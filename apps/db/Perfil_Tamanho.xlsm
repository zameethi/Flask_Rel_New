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Python Projetos\Novo_Relatório\temp\excel\"/>
    </mc:Choice>
  </mc:AlternateContent>
  <xr:revisionPtr revIDLastSave="0" documentId="13_ncr:1_{01575436-0D1F-4A09-B706-57E65F599095}" xr6:coauthVersionLast="46" xr6:coauthVersionMax="46" xr10:uidLastSave="{00000000-0000-0000-0000-000000000000}"/>
  <bookViews>
    <workbookView xWindow="-5115" yWindow="-16320" windowWidth="38640" windowHeight="15990" xr2:uid="{00000000-000D-0000-FFFF-FFFF00000000}"/>
  </bookViews>
  <sheets>
    <sheet name="CAMPO MINADO ALTERAÇÃO" sheetId="1" r:id="rId1"/>
    <sheet name="CAMPO MINADO CHECK" sheetId="2" r:id="rId2"/>
    <sheet name="SORTEMP" sheetId="3" r:id="rId3"/>
    <sheet name="DIN SORTEMP" sheetId="4" r:id="rId4"/>
    <sheet name="SORTIM" sheetId="5" r:id="rId5"/>
    <sheet name="DIN SORTIM" sheetId="6" r:id="rId6"/>
    <sheet name="Carga_Exclusao" sheetId="7" state="hidden" r:id="rId7"/>
    <sheet name="Carga_Inclusao" sheetId="8" state="hidden" r:id="rId8"/>
  </sheets>
  <definedNames>
    <definedName name="___________y45">#REF!</definedName>
    <definedName name="__________qww23">#REF!</definedName>
    <definedName name="__________wr2">#REF!</definedName>
    <definedName name="__________y45">#REF!</definedName>
    <definedName name="________qww23">#REF!</definedName>
    <definedName name="________wr2">#REF!</definedName>
    <definedName name="________y45">#REF!</definedName>
    <definedName name="_______qww23">#REF!</definedName>
    <definedName name="_______wr2">#REF!</definedName>
    <definedName name="_______y45">#REF!</definedName>
    <definedName name="_____BAL1">#REF!</definedName>
    <definedName name="_____FGS2">#REF!</definedName>
    <definedName name="_____qww23">#REF!</definedName>
    <definedName name="_____wr2">#REF!</definedName>
    <definedName name="_____y45">#REF!</definedName>
    <definedName name="____qww23">#REF!</definedName>
    <definedName name="____wr2">#REF!</definedName>
    <definedName name="____y45">#REF!</definedName>
    <definedName name="___BAL1">#REF!</definedName>
    <definedName name="___qww23">#REF!</definedName>
    <definedName name="___wr2">#REF!</definedName>
    <definedName name="___xlfn_COUNTIFS">#REF!</definedName>
    <definedName name="___xlfn_SUMIFS">#REF!</definedName>
    <definedName name="___y45">#REF!</definedName>
    <definedName name="__10__123Graph_CCHART_1">#REF!</definedName>
    <definedName name="__12__123Graph_LBL_ACHART_1">#REF!</definedName>
    <definedName name="__123Graph_A">#REF!</definedName>
    <definedName name="__123Graph_B">#REF!</definedName>
    <definedName name="__123Graph_BVARIAVEL">#REF!</definedName>
    <definedName name="__123Graph_D">#REF!</definedName>
    <definedName name="__123Graph_E">#REF!</definedName>
    <definedName name="__123Graph_F">#REF!</definedName>
    <definedName name="__123Graph_X">#REF!</definedName>
    <definedName name="__19__123Graph_XCHART_4">#REF!</definedName>
    <definedName name="__20__123Graph_XCHART_5">#REF!</definedName>
    <definedName name="__21__123Graph_XCHART_6">#REF!</definedName>
    <definedName name="__22__123Graph_XCHART_7">#REF!</definedName>
    <definedName name="__8__123Graph_BCHART_1">#REF!</definedName>
    <definedName name="__BAL1">#REF!</definedName>
    <definedName name="__FGS2">#REF!</definedName>
    <definedName name="__qww23">#REF!</definedName>
    <definedName name="__r">#REF!</definedName>
    <definedName name="__rp1">#REF!</definedName>
    <definedName name="__rp10">#REF!</definedName>
    <definedName name="__rp2">#REF!</definedName>
    <definedName name="__rp3">#REF!</definedName>
    <definedName name="__rp5">#REF!</definedName>
    <definedName name="__rp6">#REF!</definedName>
    <definedName name="__rp7">#REF!</definedName>
    <definedName name="__wr2">#REF!</definedName>
    <definedName name="__xlfn_COUNTIFS">#REF!</definedName>
    <definedName name="__xlfn_SUMIFS">#REF!</definedName>
    <definedName name="__y45">#REF!</definedName>
    <definedName name="_10__123Graph_CCHART_1">#REF!</definedName>
    <definedName name="_12__123Graph_LBL_ACHART_1">#REF!</definedName>
    <definedName name="_19__123Graph_XCHART_4">#REF!</definedName>
    <definedName name="_2_0_S">#REF!</definedName>
    <definedName name="_20__123Graph_XCHART_5">#REF!</definedName>
    <definedName name="_21__123Graph_XCHART_6">#REF!</definedName>
    <definedName name="_22__123Graph_XCHART_7">#REF!</definedName>
    <definedName name="_33__123Graph_BCHART_1">#REF!</definedName>
    <definedName name="_40__123Graph_CCHART_1">#REF!</definedName>
    <definedName name="_47__123Graph_LBL_ACHART_1">#REF!</definedName>
    <definedName name="_59__123Graph_XCHART_4">#REF!</definedName>
    <definedName name="_65__123Graph_XCHART_5">#REF!</definedName>
    <definedName name="_71__123Graph_XCHART_6">#REF!</definedName>
    <definedName name="_77__123Graph_XCHART_7">#REF!</definedName>
    <definedName name="_8__123Graph_BCHART_1">#REF!</definedName>
    <definedName name="_b2">#REF!</definedName>
    <definedName name="_BAL1">#REF!</definedName>
    <definedName name="_Dist_Values">#REF!</definedName>
    <definedName name="_FGS2">#REF!</definedName>
    <definedName name="_Fill">#REF!</definedName>
    <definedName name="_xlnm._FilterDatabase" localSheetId="0" hidden="1">'CAMPO MINADO ALTERAÇÃO'!$A$16:$AT$464</definedName>
    <definedName name="_xlnm._FilterDatabase" localSheetId="1" hidden="1">'CAMPO MINADO CHECK'!$A$16:$AV$220</definedName>
    <definedName name="_I2">#REF!</definedName>
    <definedName name="_I22">#REF!</definedName>
    <definedName name="_I3">#REF!</definedName>
    <definedName name="_II2">#REF!</definedName>
    <definedName name="_Key1">#REF!</definedName>
    <definedName name="_Key2">#REF!</definedName>
    <definedName name="_MatInverse_In">#REF!</definedName>
    <definedName name="_MatInverse_Out">#REF!</definedName>
    <definedName name="_Parse_Out">#REF!</definedName>
    <definedName name="_qww23">#REF!</definedName>
    <definedName name="_r">#REF!</definedName>
    <definedName name="_rp1">#REF!</definedName>
    <definedName name="_rp10">#REF!</definedName>
    <definedName name="_rp2">#REF!</definedName>
    <definedName name="_rp3">#REF!</definedName>
    <definedName name="_rp5">#REF!</definedName>
    <definedName name="_rp6">#REF!</definedName>
    <definedName name="_rp7">#REF!</definedName>
    <definedName name="_SE2">#REF!</definedName>
    <definedName name="_Sort">#REF!</definedName>
    <definedName name="_Table1_In1">#REF!</definedName>
    <definedName name="_Table1_Out">#REF!</definedName>
    <definedName name="_Table2_In1">#REF!</definedName>
    <definedName name="_Table2_In2">#REF!</definedName>
    <definedName name="_Table2_Out">#REF!</definedName>
    <definedName name="_Table3_In2">#REF!</definedName>
    <definedName name="_w1">#REF!</definedName>
    <definedName name="_w2">#REF!</definedName>
    <definedName name="_w3">#REF!</definedName>
    <definedName name="_w9">#REF!</definedName>
    <definedName name="_wr2">#REF!</definedName>
    <definedName name="_x2">#REF!</definedName>
    <definedName name="_y2">#REF!</definedName>
    <definedName name="_y45">#REF!</definedName>
    <definedName name="aa">#REF!</definedName>
    <definedName name="aaa">#REF!</definedName>
    <definedName name="aaaaa">#REF!</definedName>
    <definedName name="aaaaaa">#REF!</definedName>
    <definedName name="AASASAS">#REF!</definedName>
    <definedName name="ab">#REF!</definedName>
    <definedName name="ada">#REF!</definedName>
    <definedName name="adada">#REF!</definedName>
    <definedName name="adaewqea">#REF!</definedName>
    <definedName name="adfasdfasdfasdf">#REF!</definedName>
    <definedName name="aDFGDS">#REF!</definedName>
    <definedName name="adfsd">#REF!</definedName>
    <definedName name="aedrgeag">#REF!</definedName>
    <definedName name="aes">#REF!</definedName>
    <definedName name="afa">#REF!</definedName>
    <definedName name="ANA">#REF!</definedName>
    <definedName name="analitico_simples">#REF!</definedName>
    <definedName name="ANO">#REF!</definedName>
    <definedName name="antonio">#REF!</definedName>
    <definedName name="AQQQWS">#REF!</definedName>
    <definedName name="aqs">#REF!</definedName>
    <definedName name="aqsws">#REF!</definedName>
    <definedName name="area_orcto">#REF!</definedName>
    <definedName name="area_real">#REF!</definedName>
    <definedName name="as">#REF!</definedName>
    <definedName name="AS2TickmarkLS">#REF!</definedName>
    <definedName name="asdasd">#REF!</definedName>
    <definedName name="ASDASFASDFA">#REF!</definedName>
    <definedName name="asddsas">#REF!</definedName>
    <definedName name="asdf">#REF!</definedName>
    <definedName name="asdfasd">#REF!</definedName>
    <definedName name="asdfasdf">#REF!</definedName>
    <definedName name="ASDFFHJYSOQQUQWYJWJAHSADOAODAKD">#REF!</definedName>
    <definedName name="asfs">#REF!</definedName>
    <definedName name="aswqe">#REF!</definedName>
    <definedName name="Ata">#REF!</definedName>
    <definedName name="avaria_evolutivo">#REF!</definedName>
    <definedName name="b">#REF!</definedName>
    <definedName name="bAL">#REF!</definedName>
    <definedName name="balanços2">#REF!</definedName>
    <definedName name="bbb">#REF!</definedName>
    <definedName name="BD_Sortim_Sortem.accdb" localSheetId="2">SORTEMP!$A$1:$Z$8702</definedName>
    <definedName name="BD_Sortim_Sortem.accdb" localSheetId="4">SORTIM!$A$1:$V$1077</definedName>
    <definedName name="BEx0017DGUEDPCFJUPUZOOLJCS2B">#REF!</definedName>
    <definedName name="BEx001CNWHJ5RULCSFM36ZCGJ1UH">#REF!</definedName>
    <definedName name="BEx004791UAJIJSN57OT7YBLNP82">#REF!</definedName>
    <definedName name="BEx008P2NVFDLBHL7IZ5WTMVOQ1F">#REF!</definedName>
    <definedName name="BEx009G00IN0JUIAQ4WE9NHTMQE2">#REF!</definedName>
    <definedName name="BEx00DXTY2JDVGWQKV8H7FG4SV30">#REF!</definedName>
    <definedName name="BEx00GHLTYRH5N2S6P78YW1CD30N">#REF!</definedName>
    <definedName name="BEx00JC31DY11L45SEU4B10BIN6W">#REF!</definedName>
    <definedName name="BEx00KZHZBHP3TDV1YMX4B19B95O">#REF!</definedName>
    <definedName name="BEx00MBY8XXUOHIZ4LHXHPD7WYD5">#REF!</definedName>
    <definedName name="BEx01HY6E3GJ66ABU5ABN26V6Q13">#REF!</definedName>
    <definedName name="BEx01PW5YQKEGAR8JDDI5OARYXDF">#REF!</definedName>
    <definedName name="BEx01XJ94SHJ1YQ7ORPW0RQGKI2H">#REF!</definedName>
    <definedName name="BEx02Q08R9G839Q4RFGG9026C7PX">#REF!</definedName>
    <definedName name="BEx02SEL3Z1QWGAHXDPUA9WLTTPS">#REF!</definedName>
    <definedName name="BEx02Y3KJZH5BGDM9QEZ1PVVI114">#REF!</definedName>
    <definedName name="BEx0313GRLLASDTVPW5DHTXHE74M">#REF!</definedName>
    <definedName name="BEx1F0SOZ3H5XUHXD7O01TCR8T6J">#REF!</definedName>
    <definedName name="BEx1F9HL824UCNCVZ2U62J4KZCX8">#REF!</definedName>
    <definedName name="BEx1FEVSJKTI1Q1Z874QZVFSJSVA">#REF!</definedName>
    <definedName name="BEx1FGDRUHHLI1GBHELT4PK0LY4V">#REF!</definedName>
    <definedName name="BEx1FJZ7GKO99IYTP6GGGF7EUL3Z">#REF!</definedName>
    <definedName name="BEx1FZV2CM77TBH1R6YYV9P06KA2">#REF!</definedName>
    <definedName name="BEx1G59AY8195JTUM6P18VXUFJ3E">#REF!</definedName>
    <definedName name="BEx1GVMRHFXUP6XYYY9NR12PV5TF">#REF!</definedName>
    <definedName name="BEx1H6KIT7BHUH6MDDWC935V9N47">#REF!</definedName>
    <definedName name="BEx1HDGOOJ3SKHYMWUZJ1P0RQZ9N">#REF!</definedName>
    <definedName name="BEx1HDM5ZXSJG6JQEMSFV52PZ10V">#REF!</definedName>
    <definedName name="BEx1HETBBZVN5F43LKOFMC4QB0CR">#REF!</definedName>
    <definedName name="BEx1HGWNWPLNXICOTP90TKQVVE4E">#REF!</definedName>
    <definedName name="BEx1HIPLJZABY0EMUOTZN0EQMDPU">#REF!</definedName>
    <definedName name="BEx1HO94JIRX219MPWMB5E5XZ04X">#REF!</definedName>
    <definedName name="BEx1HQNF6KHM21E3XLW0NMSSEI9S">#REF!</definedName>
    <definedName name="BEx1HSLNWIW4S97ZBYY7I7M5YVH4">#REF!</definedName>
    <definedName name="BEx1I4QKTILCKZUSOJCVZN7SNHL5">#REF!</definedName>
    <definedName name="BEx1IE0ZP7RIFM9FI24S9I6AAJ14">#REF!</definedName>
    <definedName name="BEx1IGQ5B697MNDOE06MVSR0H58E">#REF!</definedName>
    <definedName name="BEx1IKRPW8MLB9Y485M1TL2IT9SH">#REF!</definedName>
    <definedName name="BEx1J0CSSHDJGBJUHVOEMCF2P4DL">#REF!</definedName>
    <definedName name="BEx1J5037KLNZ3ZNTJ07NSIK0JVN">#REF!</definedName>
    <definedName name="BEx1J61RRF9LJ3V3R5OY3WJ6VBWR">#REF!</definedName>
    <definedName name="BEx1J7E8VCGLPYU82QXVUG5N3ZAI">#REF!</definedName>
    <definedName name="BEx1JGE2YQWH8S25USOY08XVGO0D">#REF!</definedName>
    <definedName name="BEx1JJJC9T1W7HY4V7HP1S1W4JO1">#REF!</definedName>
    <definedName name="BEx1JKKZSJ7DI4PTFVI9VVFMB1X2">#REF!</definedName>
    <definedName name="BEx1JQFH1VJ4WO93HE50B4YN6OJD">#REF!</definedName>
    <definedName name="BEx1JUBQFRVMASSFK4B3V0AD7YP9">#REF!</definedName>
    <definedName name="BEx1JXBM5W4YRWNQ0P95QQS6JWD6">#REF!</definedName>
    <definedName name="BEx1K9RBI1NDRB4DBTIJN1OZ3XRS">#REF!</definedName>
    <definedName name="BEx1KGY9QEHZ9QSARMQUTQKRK4UX">#REF!</definedName>
    <definedName name="BEx1KKP1ELIF2UII2FWVGL7M1X7J">#REF!</definedName>
    <definedName name="BEx1KUVWMB0QCWA3RBE4CADFVRIS">#REF!</definedName>
    <definedName name="BEx1L2OG1SDFK2TPXELJ77YP4NI2">#REF!</definedName>
    <definedName name="BEx1L6Q60MWRDJB4L20LK0XPA0Z2">#REF!</definedName>
    <definedName name="BEx1LD63FP2Z4BR9TKSHOZW9KKZ5">#REF!</definedName>
    <definedName name="BEx1LDMB9RW982DUILM2WPT5VWQ3">#REF!</definedName>
    <definedName name="BEx1LRPGDQCOEMW8YT80J1XCDCIV">#REF!</definedName>
    <definedName name="BEx1LRUSJW4JG54X07QWD9R27WV9">#REF!</definedName>
    <definedName name="BEx1M1WBK5T0LP1AK2JYV6W87ID6">#REF!</definedName>
    <definedName name="BEx1M51HHDYGIT8PON7U8ICL2S95">#REF!</definedName>
    <definedName name="BEx1MTRKKVCHOZ0YGID6HZ49LJTO">#REF!</definedName>
    <definedName name="BEx1N3CUJ3UX61X38ZAJVPEN4KMC">#REF!</definedName>
    <definedName name="BEx1NM34KQTO1LDNSAFD1L82UZFG">#REF!</definedName>
    <definedName name="BEx1NO6TXZVOGCUWCCRTXRXWW0XL">#REF!</definedName>
    <definedName name="BEx1NS8EU5P9FQV3S0WRTXI5L361">#REF!</definedName>
    <definedName name="BEx1NUBX5VUYZFKQH69FN6BTLWCR">#REF!</definedName>
    <definedName name="BEx1NZ4K1L8UON80Y2A4RASKWGNP">#REF!</definedName>
    <definedName name="BEx1OLAZ915OGYWP0QP1QQWDLCRX">#REF!</definedName>
    <definedName name="BEx1OO5ER042IS6IC4TLDI75JNVH">#REF!</definedName>
    <definedName name="BEx1OTE54CBSUT8FWKRALEDCUWN4">#REF!</definedName>
    <definedName name="BEx1OVSMPADTX95QUOX34KZQ8EDY">#REF!</definedName>
    <definedName name="BEx1OX544IO9FQJI7YYQGZCEHB3O">#REF!</definedName>
    <definedName name="BEx1OY6SVEUT2EQ26P7EKEND342G">#REF!</definedName>
    <definedName name="BEx1OYN1LPIPI12O9G6F7QAOS9T4">#REF!</definedName>
    <definedName name="BEx1P1HHKJA799O3YZXQAX6KFH58">#REF!</definedName>
    <definedName name="BEx1P34W467WGPOXPK292QFJIPHJ">#REF!</definedName>
    <definedName name="BEx1P7S1J4TKGVJ43C2Q2R3M9WRB">#REF!</definedName>
    <definedName name="BEx1PA11BLPVZM8RC5BL46WX8YB5">#REF!</definedName>
    <definedName name="BEx1PBZ4BEFIPGMQXT9T8S4PZ2IM">#REF!</definedName>
    <definedName name="BEx1PHITNI5SOFUAFUMHSBMMISUG">#REF!</definedName>
    <definedName name="BEx1PLF2CFSXBZPVI6CJ534EIJDN">#REF!</definedName>
    <definedName name="BEx1PMWZB2DO6EM9BKLUICZJ65HD">#REF!</definedName>
    <definedName name="BEx1QA54J2A4I7IBQR19BTY28ZMR">#REF!</definedName>
    <definedName name="BEx1QMQAHG3KQUK59DVM68SWKZIZ">#REF!</definedName>
    <definedName name="BEx1QQXBCSMCUHPUDYL6FN7INW26">#REF!</definedName>
    <definedName name="BEx1QZBG2TCKYKX8JZEFO2119A1L">#REF!</definedName>
    <definedName name="BEx1R9YFKJCMSEST8OVCAO5E47FO">#REF!</definedName>
    <definedName name="BEx1RBGC06B3T52OIC0EQ1KGVP1I">#REF!</definedName>
    <definedName name="BEx1RRC7X4NI1CU4EO5XYE2GVARJ">#REF!</definedName>
    <definedName name="BEx1RZA1NCGT832L7EMR7GMF588W">#REF!</definedName>
    <definedName name="BEx1S0XGIPUSZQUCSGWSK10GKW7Y">#REF!</definedName>
    <definedName name="BEx1S5VFNKIXHTTCWSV60UC50EZ8">#REF!</definedName>
    <definedName name="BEx1SK3U02H0RGKEYXW7ZMCEOF3V">#REF!</definedName>
    <definedName name="BEx1SSNEZINBJT29QVS62VS1THT4">#REF!</definedName>
    <definedName name="BEx1SVNCHNANBJIDIQVB8AFK4HAN">#REF!</definedName>
    <definedName name="BEx1TJ0WLS9O7KNSGIPWTYHDYI1D">#REF!</definedName>
    <definedName name="BEx1U15M7LVVFZENH830B2BGWC04">#REF!</definedName>
    <definedName name="BEx1U7WFO8OZKB1EBF4H386JW91L">#REF!</definedName>
    <definedName name="BEx1U87938YR9N6HYI24KVBKLOS3">#REF!</definedName>
    <definedName name="BEx1UESH4KDWHYESQU2IE55RS3LI">#REF!</definedName>
    <definedName name="BEx1UI8N9KTCPSOJ7RDW0T8UEBNP">#REF!</definedName>
    <definedName name="BEx1UML0HHJFHA5TBOYQ24I3RV1W">#REF!</definedName>
    <definedName name="BEx1UUDIQPZ23XQ79GUL0RAWRSCK">#REF!</definedName>
    <definedName name="BEx1V67SEV778NVW68J8W5SND1J7">#REF!</definedName>
    <definedName name="BEx1VIY9SQLRESD11CC4PHYT0XSG">#REF!</definedName>
    <definedName name="BEx1VM3NS6W3Z4W6507N07NI4XIF">#REF!</definedName>
    <definedName name="BEx1WC67EH10SC38QWX3WEA5KH3A">#REF!</definedName>
    <definedName name="BEx1WGYTKZZIPM1577W5FEYKFH3V">#REF!</definedName>
    <definedName name="BEx1WHPURIV3D3PTJJ359H1OP7ZV">#REF!</definedName>
    <definedName name="BEx1WLWY2CR1WRD694JJSWSDFAIR">#REF!</definedName>
    <definedName name="BEx1WMD1LWPWRIK6GGAJRJAHJM8I">#REF!</definedName>
    <definedName name="BEx1WQ3ZN3BUP31XNLL1US7ROA9H">#REF!</definedName>
    <definedName name="BEx1WR0D41MR174LBF3P9E3K0J51">#REF!</definedName>
    <definedName name="BEx1WUB1FAS5PHU33TJ60SUHR618">#REF!</definedName>
    <definedName name="BEx1WX04G0INSPPG9NTNR3DYR6PZ">#REF!</definedName>
    <definedName name="BEx1X3LHU9DPG01VWX2IF65TRATF">#REF!</definedName>
    <definedName name="BEx1XK8AAMO0AH0Z1OUKW30CA7EQ">#REF!</definedName>
    <definedName name="BEx1XL4MZ7C80495GHQRWOBS16PQ">#REF!</definedName>
    <definedName name="BEx1Y2IGS2K95E1M51PEF9KJZ0KB">#REF!</definedName>
    <definedName name="BEx1Y3PKK83X2FN9SAALFHOWKMRQ">#REF!</definedName>
    <definedName name="BEx1YL3DJ7Y4AZ01ERCOGW0FJ26T">#REF!</definedName>
    <definedName name="BEx1Z2RYHSVD1H37817SN93VMURZ">#REF!</definedName>
    <definedName name="BEx3AMAKWI6458B67VKZO56MCNJW">#REF!</definedName>
    <definedName name="BEx3AOOVM42G82TNF53W0EKXLUSI">#REF!</definedName>
    <definedName name="BEx3AZH9W4SUFCAHNDOQ728R9V4L">#REF!</definedName>
    <definedName name="BEx3BNR9ES4KY7Q1DK83KC5NDGL8">#REF!</definedName>
    <definedName name="BEx3BQR5VZXNQ4H949ORM8ESU3B3">#REF!</definedName>
    <definedName name="BEx3BTLL3ASJN134DLEQTQM70VZM">#REF!</definedName>
    <definedName name="BEx3BW5CTV0DJU5AQS3ZQFK2VLF3">#REF!</definedName>
    <definedName name="BEx3BYP0FG369M7G3JEFLMMXAKTS">#REF!</definedName>
    <definedName name="BEx3C2QR0WUD19QSVO8EMIPNQJKH">#REF!</definedName>
    <definedName name="BEx3CCS3VNR1KW2R7DKSQFZ17QW0">#REF!</definedName>
    <definedName name="BEx3CKFCCPZZ6ROLAT5C1DZNIC1U">#REF!</definedName>
    <definedName name="BEx3CO0SVO4WLH0DO43DCHYDTH1P">#REF!</definedName>
    <definedName name="BEx3D9G6QTSPF9UYI4X0XY0VE896">#REF!</definedName>
    <definedName name="BEx3DCQU9PBRXIMLO62KS5RLH447">#REF!</definedName>
    <definedName name="BEx3EF99FD6QNNCNOKDEE67JHTUJ">#REF!</definedName>
    <definedName name="BEx3EHCSERZ2O2OAG8Y95UPG2IY9">#REF!</definedName>
    <definedName name="BEx3EJR3TCJDYS7ZXNDS5N9KTGIK">#REF!</definedName>
    <definedName name="BEx3ELJTTBS6P05CNISMGOJOA60V">#REF!</definedName>
    <definedName name="BEx3EQSLJBDDJRHNX19PBFCKNY2I">#REF!</definedName>
    <definedName name="BEx3EUUAX947Q5N6MY6W0KSNY78Y">#REF!</definedName>
    <definedName name="BEx3FHMD1P5XBCH23ZKIFO6ZTCNB">#REF!</definedName>
    <definedName name="BEx3FI2G3YYIACQHXNXEA15M8ZK5">#REF!</definedName>
    <definedName name="BEx3FJ9MHSLDK8W91GO85FX1GX57">#REF!</definedName>
    <definedName name="BEx3FR251HFU7A33PU01SJUENL2B">#REF!</definedName>
    <definedName name="BEx3FX7EJL47JSLSWP3EOC265WAE">#REF!</definedName>
    <definedName name="BEx3G201R8NLJ6FIHO2QS0SW9QVV">#REF!</definedName>
    <definedName name="BEx3G2LL2II66XY5YCDPG4JE13A3">#REF!</definedName>
    <definedName name="BEx3G2WA0DTYY9D8AGHHOBTPE2B2">#REF!</definedName>
    <definedName name="BEx3GCXR6IAS0B6WJ03GJVH7CO52">#REF!</definedName>
    <definedName name="BEx3GEVV18SEQDI1JGY7EN6D1GT1">#REF!</definedName>
    <definedName name="BEx3GKFH64MKQX61S7DYTZ15JCPY">#REF!</definedName>
    <definedName name="BEx3GMJ1Y6UU02DLRL0QXCEKDA6C">#REF!</definedName>
    <definedName name="BEx3GN4LY0135CBDIN1TU2UEODGF">#REF!</definedName>
    <definedName name="BEx3GPDH2AH4QKT4OOSN563XUHBD">#REF!</definedName>
    <definedName name="BEx3H5UX2GZFZZT657YR76RHW5I6">#REF!</definedName>
    <definedName name="BEx3HMSEFOP6DBM4R97XA6B7NFG6">#REF!</definedName>
    <definedName name="BEx3HWJ5SQSD2CVCQNR183X44FR8">#REF!</definedName>
    <definedName name="BEx3I09YVXO0G4X7KGSA4WGORM35">#REF!</definedName>
    <definedName name="BEx3ICF1GY8HQEBIU9S43PDJ90BX">#REF!</definedName>
    <definedName name="BEx3IYAH2DEBFWO8F94H4MXE3RLY">#REF!</definedName>
    <definedName name="BEx3IZXXSYEW50379N2EAFWO8DZV">#REF!</definedName>
    <definedName name="BEx3J1VZVGTKT4ATPO9O5JCSFTTR">#REF!</definedName>
    <definedName name="BEx3JC2TY7JNAAC3L7QHVPQXLGQ8">#REF!</definedName>
    <definedName name="BEx3JX23SYDIGOGM4Y0CQFBW8ZBV">#REF!</definedName>
    <definedName name="BEx3JXCXCVBZJGV5VEG9MJEI01AL">#REF!</definedName>
    <definedName name="BEx3JYK2N7X59TPJSKYZ77ENY8SS">#REF!</definedName>
    <definedName name="BEx3K4EII7GU1CG0BN7UL15M6J8Z">#REF!</definedName>
    <definedName name="BEx3K4ZXQUQ2KYZF74B84SO48XMW">#REF!</definedName>
    <definedName name="BEx3KEFXUCVNVPH7KSEGAZYX13B5">#REF!</definedName>
    <definedName name="BEx3KFXUAF6YXAA47B7Q6X9B3VGB">#REF!</definedName>
    <definedName name="BEx3KIXQYOGMPK4WJJAVBRX4NR28">#REF!</definedName>
    <definedName name="BEx3KJOMVOSFZVJUL3GKCNP6DQDS">#REF!</definedName>
    <definedName name="BEx3KP2VRBMORK0QEAZUYCXL3DHJ">#REF!</definedName>
    <definedName name="BEx3L4IN3LI4C26SITKTGAH27CDU">#REF!</definedName>
    <definedName name="BEx3L4YQ0J7ZU0M5QM6YIPCEYC9K">#REF!</definedName>
    <definedName name="BEx3L60DJOR7NQN42G7YSAODP1EX">#REF!</definedName>
    <definedName name="BEx3L7D0PI38HWZ7VADU16C9E33D">#REF!</definedName>
    <definedName name="BEx3LM1PR4Y7KINKMTMKR984GX8Q">#REF!</definedName>
    <definedName name="BEx3LPCEZ1C0XEKNCM3YT09JWCUO">#REF!</definedName>
    <definedName name="BEx3M1MR1K1NQD03H74BFWOK4MWQ">#REF!</definedName>
    <definedName name="BEx3M4H77MYUKOOD31H9F80NMVK8">#REF!</definedName>
    <definedName name="BEx3M9VFX329PZWYC4DMZ6P3W9R2">#REF!</definedName>
    <definedName name="BEx3MCQ0VEBV0CZXDS505L38EQ8N">#REF!</definedName>
    <definedName name="BEx3MEYV5LQY0BAL7V3CFAFVOM3T">#REF!</definedName>
    <definedName name="BEx3MREOFWJQEYMCMBL7ZE06NBN6">#REF!</definedName>
    <definedName name="BEx3NKXF7GYXHBK75UI6MDRUSU0J">#REF!</definedName>
    <definedName name="BEx3NLIZ7PHF2XE59ECZ3MD04ZG1">#REF!</definedName>
    <definedName name="BEx3NMQ4BVC94728AUM7CCX7UHTU">#REF!</definedName>
    <definedName name="BEx3NR2I4OUFP3Z2QZEDU2PIFIDI">#REF!</definedName>
    <definedName name="BEx3O19B8FTTAPVT5DZXQGQXWFR8">#REF!</definedName>
    <definedName name="BEx3OJZSCGFRW7SVGBFI0X9DNVMM">#REF!</definedName>
    <definedName name="BEx3ORSBUXAF21MKEY90YJV9AY9A">#REF!</definedName>
    <definedName name="BEx3OV8BH6PYNZT7C246LOAU9SVX">#REF!</definedName>
    <definedName name="BEx3OXRYJZUEY6E72UJU0PHLMYAR">#REF!</definedName>
    <definedName name="BEx3P59TTRSGQY888P5C1O7M2PQT">#REF!</definedName>
    <definedName name="BEx3PDNRRNKD5GOUBUQFXAHIXLD9">#REF!</definedName>
    <definedName name="BEx3PDT8GNPWLLN02IH1XPV90XYK">#REF!</definedName>
    <definedName name="BEx3PKEMDW8KZEP11IL927C5O7I2">#REF!</definedName>
    <definedName name="BEx3PKJZ1Z7L9S6KV8KXVS6B2FX4">#REF!</definedName>
    <definedName name="BEx3PMNG53Z5HY138H99QOMTX8W3">#REF!</definedName>
    <definedName name="BEx3PP1RRSFZ8UC0JC9R91W6LNKW">#REF!</definedName>
    <definedName name="BEx3PVXYZC8WB9ZJE7OCKUXZ46EA">#REF!</definedName>
    <definedName name="BEx3Q0VWPU5EQECK7MQ47TYJ3SWW">#REF!</definedName>
    <definedName name="BEx3Q7BZ9PUXK2RLIOFSIS9AHU1B">#REF!</definedName>
    <definedName name="BEx3Q8J42S9VU6EAN2Y28MR6DF88">#REF!</definedName>
    <definedName name="BEx3QEDFOYFY5NBTININ5W4RLD4Q">#REF!</definedName>
    <definedName name="BEx3QIKJ3U962US1Q564NZDLU8LD">#REF!</definedName>
    <definedName name="BEx3QR9D45DHW50VQ7Y3Q1AXPOB9">#REF!</definedName>
    <definedName name="BEx3QSWT2S5KWG6U2V9711IYDQBM">#REF!</definedName>
    <definedName name="BEx3QVGG7Q2X4HZHJAM35A8T3VR7">#REF!</definedName>
    <definedName name="BEx3R0JUB9YN8PHPPQTAMIT1IHWK">#REF!</definedName>
    <definedName name="BEx3R81NFRO7M81VHVKOBFT0QBIL">#REF!</definedName>
    <definedName name="BEx3RHC2ZD5UFS6QD4OPFCNNMWH1">#REF!</definedName>
    <definedName name="BEx3RQ10QIWBAPHALAA91BUUCM2X">#REF!</definedName>
    <definedName name="BEx3RV4E1WT43SZBUN09RTB8EK1O">#REF!</definedName>
    <definedName name="BEx3RXYU0QLFXSFTM5EB20GD03W5">#REF!</definedName>
    <definedName name="BEx3RYKLC3QQO3XTUN7BEW2AQL98">#REF!</definedName>
    <definedName name="BEx3SICJ45BYT6FHBER86PJT25FC">#REF!</definedName>
    <definedName name="BEx3SMUCMJVGQ2H4EHQI5ZFHEF0P">#REF!</definedName>
    <definedName name="BEx3SN56F03CPDRDA7LZ763V0N4I">#REF!</definedName>
    <definedName name="BEx3SPE6N1ORXPRCDL3JPZD73Z9F">#REF!</definedName>
    <definedName name="BEx3T29ZTULQE0OMSMWUMZDU9ZZ0">#REF!</definedName>
    <definedName name="BEx3T6MJ1QDJ929WMUDVZ0O3UW0Y">#REF!</definedName>
    <definedName name="BEx3TPCSI16OAB2L9M9IULQMQ9J9">#REF!</definedName>
    <definedName name="BEx3U64YUOZ419BAJS2W78UMATAW">#REF!</definedName>
    <definedName name="BEx3U94WCEA5DKMWBEX1GU0LKYG2">#REF!</definedName>
    <definedName name="BEx3U9VZ8SQVYS6ZA038J7AP7ZGW">#REF!</definedName>
    <definedName name="BEx3UIQ5WRJBGNTFCCLOR4N7B1OQ">#REF!</definedName>
    <definedName name="BEx3UJMIX2NUSSWGMSI25A5DM4CH">#REF!</definedName>
    <definedName name="BEx3UKOCOQG7S1YQ436S997K1KWV">#REF!</definedName>
    <definedName name="BEx3UYM19VIXLA0EU7LB9NHA77PB">#REF!</definedName>
    <definedName name="BEx3VML7CG70HPISMVYIUEN3711Q">#REF!</definedName>
    <definedName name="BEx56ZID5H04P9AIYLP1OASFGV56">#REF!</definedName>
    <definedName name="BEx587EYSS57E3PI8DT973HLJM9E">#REF!</definedName>
    <definedName name="BEx587KFQ3VKCOCY1SA5F24PQGUI">#REF!</definedName>
    <definedName name="BEx58O780PQ05NF0Z1SKKRB3N099">#REF!</definedName>
    <definedName name="BEx58XHO7ZULLF2EUD7YIS0MGQJ5">#REF!</definedName>
    <definedName name="BEx58ZW0HAIGIPEX9CVA1PQQTR6X">#REF!</definedName>
    <definedName name="BEx59BA1KH3RG6K1LHL7YS2VB79N">#REF!</definedName>
    <definedName name="BEx59E9WABJP2TN71QAIKK79HPK9">#REF!</definedName>
    <definedName name="BEx59N9LD62EBBAEEF0OM44DG68Z">#REF!</definedName>
    <definedName name="BEx59P7MAPNU129ZTC5H3EH892G1">#REF!</definedName>
    <definedName name="BEx59PNVSYLMA1MG1UGSD8WLKFLO">#REF!</definedName>
    <definedName name="BEx5A11WZRQSIE089QE119AOX9ZG">#REF!</definedName>
    <definedName name="BEx5A7CIGCOTHJKHGUBDZG91JGPZ">#REF!</definedName>
    <definedName name="BEx5A8UFLT2SWVSG5COFA9B8P376">#REF!</definedName>
    <definedName name="BEx5AFFTN3IXIBHDKM0FYC4OFL1S">#REF!</definedName>
    <definedName name="BEx5AOFIO8KVRHIZ1RII337AA8ML">#REF!</definedName>
    <definedName name="BEx5APRZ66L5BWHFE8E4YYNEDTI4">#REF!</definedName>
    <definedName name="BEx5AUVDSQ35VO4BD9AKKGBM5S7D">#REF!</definedName>
    <definedName name="BEx5B4RHHX0J1BF2FZKEA0SPP29O">#REF!</definedName>
    <definedName name="BEx5B5YMSWP0OVI5CIQRP5V18D0C">#REF!</definedName>
    <definedName name="BEx5B825RW35M5H0UB2IZGGRS4ER">#REF!</definedName>
    <definedName name="BEx5BAWPMY0TL684WDXX6KKJLRCN">#REF!</definedName>
    <definedName name="BEx5BBI61U4Y65GD0ARMTALPP7SJ">#REF!</definedName>
    <definedName name="BEx5BDR56MEV4IHY6CIH2SVNG1UB">#REF!</definedName>
    <definedName name="BEx5BESZC5H329SKHGJOHZFILYJJ">#REF!</definedName>
    <definedName name="BEx5BHSQ42B50IU1TEQFUXFX9XQD">#REF!</definedName>
    <definedName name="BEx5BKSM4UN4C1DM3EYKM79MRC5K">#REF!</definedName>
    <definedName name="BEx5BNN8NPH9KVOBARB9CDD9WLB6">#REF!</definedName>
    <definedName name="BEx5BX8GNBGSUIXZM8L3AYJKGBY3">#REF!</definedName>
    <definedName name="BEx5BYFMZ80TDDN2EZO8CF39AIAC">#REF!</definedName>
    <definedName name="BEx5C2BWFW6SHZBFDEISKGXHZCQW">#REF!</definedName>
    <definedName name="BEx5C49ZFH8TO9ZU55729C3F7XG7">#REF!</definedName>
    <definedName name="BEx5C8GZQK13G60ZM70P63I5OS0L">#REF!</definedName>
    <definedName name="BEx5CAPTVN2NBT3UOMA1UFAL1C2R">#REF!</definedName>
    <definedName name="BEx5CEM3SYF9XP0ZZVE0GEPCLV3F">#REF!</definedName>
    <definedName name="BEx5CFYQ0F1Z6P8SCVJ0I3UPVFE4">#REF!</definedName>
    <definedName name="BEx5CINUDCSDCAJSNNV7XVNU8Q79">#REF!</definedName>
    <definedName name="BEx5CNLUIOYU8EODGA03Z3547I9T">#REF!</definedName>
    <definedName name="BEx5CPEKNSJORIPFQC2E1LTRYY8L">#REF!</definedName>
    <definedName name="BEx5CSUOL05D8PAM2TRDA9VRJT1O">#REF!</definedName>
    <definedName name="BEx5CUNFOO4YDFJ22HCMI2QKIGKM">#REF!</definedName>
    <definedName name="BEx5CVP5144UJVG8BG40829ZFLB8">#REF!</definedName>
    <definedName name="BEx5D8L47OF0WHBPFWXGZINZWUBZ">#REF!</definedName>
    <definedName name="BEx5DAJAHQ2SKUPCKSCR3PYML67L">#REF!</definedName>
    <definedName name="BEx5DBVRHDN8BWFRWDSWF34CB6D1">#REF!</definedName>
    <definedName name="BEx5DC18JM1KJCV44PF18E0LNRKA">#REF!</definedName>
    <definedName name="BEx5DJIZBTNS011R9IIG2OQ2L6ZX">#REF!</definedName>
    <definedName name="BEx5E123OLO9WQUOIRIDJ967KAGK">#REF!</definedName>
    <definedName name="BEx5E2UU5NES6W779W2OZTZOB4O7">#REF!</definedName>
    <definedName name="BEx5E4CSE5G83J5K32WENF7BXL82">#REF!</definedName>
    <definedName name="BEx5ELQL9B0VR6UT18KP11DHOTFX">#REF!</definedName>
    <definedName name="BEx5ER4TJTFPN7IB1MNEB1ZFR5M6">#REF!</definedName>
    <definedName name="BEx5F6V72QTCK7O39Y59R0EVM6CW">#REF!</definedName>
    <definedName name="BEx5FGLQVACD5F5YZG4DGSCHCGO2">#REF!</definedName>
    <definedName name="BEx5FLJWHLW3BTZILDPN5NMA449V">#REF!</definedName>
    <definedName name="BEx5FNI2O10YN2SI1NO4X5GP3GTF">#REF!</definedName>
    <definedName name="BEx5FO8YRFSZCG3L608EHIHIHFY4">#REF!</definedName>
    <definedName name="BEx5FOEGABD03GDC1P2D0T85FC4V">#REF!</definedName>
    <definedName name="BEx5FQNA6V4CNYSH013K45RI4BCV">#REF!</definedName>
    <definedName name="BEx5FVQPPEU32CPNV9RRQ9MNLLVE">#REF!</definedName>
    <definedName name="BEx5G08KGMG5X2AQKDGPFYG5GH94">#REF!</definedName>
    <definedName name="BEx5G1A8TFN4C4QII35U9DKYNIS8">#REF!</definedName>
    <definedName name="BEx5G1L0QO91KEPDMV1D8OT4BT73">#REF!</definedName>
    <definedName name="BEx5G6Z9PXNB9A9QPD78P1GX7ZL4">#REF!</definedName>
    <definedName name="BEx5G86DZL1VYUX6KWODAP3WFAWP">#REF!</definedName>
    <definedName name="BEx5G8BV2GIOCM3C7IUFK8L04A6M">#REF!</definedName>
    <definedName name="BEx5GID9MVBUPFFT9M8K8B5MO9NV">#REF!</definedName>
    <definedName name="BEx5GN0EWA9SCQDPQ7NTUQH82QVK">#REF!</definedName>
    <definedName name="BEx5GNBCU4WZ74I0UXFL9ZG2XSGJ">#REF!</definedName>
    <definedName name="BEx5GUCTYC7QCWGWU5BTO7Y7HDZX">#REF!</definedName>
    <definedName name="BEx5GYUPJULJQ624TEESYFG1NFOH">#REF!</definedName>
    <definedName name="BEx5H0NEE0AIN5E2UHJ9J9ISU9N1">#REF!</definedName>
    <definedName name="BEx5H1UJSEUQM2K8QHQXO5THVHSO">#REF!</definedName>
    <definedName name="BEx5HAOT9XWUF7XIFRZZS8B9F5TZ">#REF!</definedName>
    <definedName name="BEx5HE4XRF9BUY04MENWY9CHHN5H">#REF!</definedName>
    <definedName name="BEx5HFHMABAT0H9KKS754X4T304E">#REF!</definedName>
    <definedName name="BEx5HGDZ7MX1S3KNXLRL9WU565V4">#REF!</definedName>
    <definedName name="BEx5HJZ9FAVNZSSBTAYRPZDYM9NU">#REF!</definedName>
    <definedName name="BEx5HZ9JMKHNLFWLVUB1WP5B39BL">#REF!</definedName>
    <definedName name="BEx5I244LQHZTF3XI66J8705R9XX">#REF!</definedName>
    <definedName name="BEx5I8PBP4LIXDGID5BP0THLO0AQ">#REF!</definedName>
    <definedName name="BEx5I8USVUB3JP4S9OXGMZVMOQXR">#REF!</definedName>
    <definedName name="BEx5I9GDQSYIAL65UQNDMNFQCS9Y">#REF!</definedName>
    <definedName name="BEx5IBUPG9AWNW5PK7JGRGEJ4OLM">#REF!</definedName>
    <definedName name="BEx5IC06RVN8BSAEPREVKHKLCJ2L">#REF!</definedName>
    <definedName name="BEx5J0FFP1KS4NGY20AEJI8VREEA">#REF!</definedName>
    <definedName name="BEx5JF3ZXLDIS8VNKDCY7ZI7H1CI">#REF!</definedName>
    <definedName name="BEx5JHCZJ8G6OOOW6EF3GABXKH6F">#REF!</definedName>
    <definedName name="BEx5JJB6W446THXQCRUKD3I7RKLP">#REF!</definedName>
    <definedName name="BEx5JJWTMI37U3RDEJOYLO93RJ6Z">#REF!</definedName>
    <definedName name="BEx5JNCT8Z7XSSPD5EMNAJELCU2V">#REF!</definedName>
    <definedName name="BEx5JQCNT9Y4RM306CHC8IPY3HBZ">#REF!</definedName>
    <definedName name="BEx5K08PYKE6JOKBYIB006TX619P">#REF!</definedName>
    <definedName name="BEx5K51DSERT1TR7B4A29R41W4NX">#REF!</definedName>
    <definedName name="BEx5KYER580I4T7WTLMUN7NLNP5K">#REF!</definedName>
    <definedName name="BEx5LHLB3M6K4ZKY2F42QBZT30ZH">#REF!</definedName>
    <definedName name="BEx5LRMNU3HXIE1BUMDHRU31F7JJ">#REF!</definedName>
    <definedName name="BEx5LSJ1LPUAX3ENSPECWPG4J7D1">#REF!</definedName>
    <definedName name="BEx5LTKQ8RQWJE4BC88OP928893U">#REF!</definedName>
    <definedName name="BEx5MB9BR71LZDG7XXQ2EO58JC5F">#REF!</definedName>
    <definedName name="BEx5MVXTKNBXHNWTL43C670E4KXC">#REF!</definedName>
    <definedName name="BEx5N4XI4PWB1W9PMZ4O5R0HWTYD">#REF!</definedName>
    <definedName name="BEx5NA68N6FJFX9UJXK4M14U487F">#REF!</definedName>
    <definedName name="BEx5NIKBG2GDJOYGE3WCXKU7YY51">#REF!</definedName>
    <definedName name="BEx5NV06L5J5IMKGOMGKGJ4PBZCD">#REF!</definedName>
    <definedName name="BEx5NZSSQ6PY99ZX2D7Q9IGOR34W">#REF!</definedName>
    <definedName name="BEx5O3ZUQ2OARA1CDOZ3NC4UE5AA">#REF!</definedName>
    <definedName name="BEx5OAFS0NJ2CB86A02E1JYHMLQ1">#REF!</definedName>
    <definedName name="BEx5OG4RPU8W1ETWDWM234NYYYEN">#REF!</definedName>
    <definedName name="BEx5OP9Y43F99O2IT69MKCCXGL61">#REF!</definedName>
    <definedName name="BEx5P9Y9RDXNUAJ6CZ2LHMM8IM7T">#REF!</definedName>
    <definedName name="BEx5PHWB2C0D5QLP3BZIP3UO7DIZ">#REF!</definedName>
    <definedName name="BEx5PJP02W68K2E46L5C5YBSNU6T">#REF!</definedName>
    <definedName name="BEx5PLCA8DOMAU315YCS5275L2HS">#REF!</definedName>
    <definedName name="BEx5PRXMZ5M65Z732WNNGV564C2J">#REF!</definedName>
    <definedName name="BEx5QPSW4IPLH50WSR87HRER05RF">#REF!</definedName>
    <definedName name="BEx73V0EP8EMNRC3EZJJKKVKWQVB">#REF!</definedName>
    <definedName name="BEx741WJHIJVXUX131SBXTVW8D71">#REF!</definedName>
    <definedName name="BEx74ESIB9Y8KGETIERMKU5PLCQR">#REF!</definedName>
    <definedName name="BEx74Q6H3O7133AWQXWC21MI2UFT">#REF!</definedName>
    <definedName name="BEx74W6BJ8ENO3J25WNM5H5APKA3">#REF!</definedName>
    <definedName name="BEx755GRRD9BL27YHLH5QWIYLWB7">#REF!</definedName>
    <definedName name="BEx759D1D5SXS5ELLZVBI0SXYUNF">#REF!</definedName>
    <definedName name="BEx75GJZSZHUDN6OOAGQYFUDA2LP">#REF!</definedName>
    <definedName name="BEx75HGCCV5K4UCJWYV8EV9AG5YT">#REF!</definedName>
    <definedName name="BEx75PZT8TY5P13U978NVBUXKHT4">#REF!</definedName>
    <definedName name="BEx75T55F7GML8V1DMWL26WRT006">#REF!</definedName>
    <definedName name="BEx75VJGR07JY6UUWURQ4PJ29UKC">#REF!</definedName>
    <definedName name="BEx7741OUGLA0WJQLQRUJSL4DE00">#REF!</definedName>
    <definedName name="BEx774N83DXLJZ54Q42PWIJZ2DN1">#REF!</definedName>
    <definedName name="BEx779QNIY3061ZV9BR462WKEGRW">#REF!</definedName>
    <definedName name="BEx77G19QU9A95CNHE6QMVSQR2T3">#REF!</definedName>
    <definedName name="BEx77P0S3GVMS7BJUL9OWUGJ1B02">#REF!</definedName>
    <definedName name="BEx77QDESURI6WW5582YXSK3A972">#REF!</definedName>
    <definedName name="BEx77VBI9XOPFHKEWU5EHQ9J675Y">#REF!</definedName>
    <definedName name="BEx7809GQOCLHSNH95VOYIX7P1TV">#REF!</definedName>
    <definedName name="BEx780K8XAXUHGVZGZWQ74DK4CI3">#REF!</definedName>
    <definedName name="BEx78226TN58UE0CTY98YEDU0LSL">#REF!</definedName>
    <definedName name="BEx7881ZZBWHRAX6W2GY19J8MGEQ">#REF!</definedName>
    <definedName name="BEx78HHRIWDLHQX2LG0HWFRYEL1T">#REF!</definedName>
    <definedName name="BEx78QMXZ2P1ZB3HJ9O50DWHCMXR">#REF!</definedName>
    <definedName name="BEx78SFO5VR28677DWZEMDN7G86X">#REF!</definedName>
    <definedName name="BEx78SFOYH1Z0ZDTO47W2M60TW6K">#REF!</definedName>
    <definedName name="BEx79JK3E6JO8MX4O35A5G8NZCC8">#REF!</definedName>
    <definedName name="BEx79OCP4HQ6XP8EWNGEUDLOZBBS">#REF!</definedName>
    <definedName name="BEx79SEAYKUZB0H4LYBCD6WWJBG2">#REF!</definedName>
    <definedName name="BEx79SJRHTLS9PYM69O9BWW1FMJK">#REF!</definedName>
    <definedName name="BEx79YJJLBELICW9F9FRYSCQ101L">#REF!</definedName>
    <definedName name="BEx79YUC7B0V77FSBGIRCY1BR4VK">#REF!</definedName>
    <definedName name="BEx7A06T3RC2891FUX05G3QPRAUE">#REF!</definedName>
    <definedName name="BEx7A9S3JA1X7FH4CFSQLTZC4691">#REF!</definedName>
    <definedName name="BEx7ABA2C9IWH5VSLVLLLCY62161">#REF!</definedName>
    <definedName name="BEx7AE4LPLX8N85BYB0WCO5S7ZPV">#REF!</definedName>
    <definedName name="BEx7ASD1I654MEDCO6GGWA95PXSC">#REF!</definedName>
    <definedName name="BEx7AVCX9S5RJP3NSZ4QM4E6ERDT">#REF!</definedName>
    <definedName name="BEx7AVYIGP0930MV5JEBWRYCJN68">#REF!</definedName>
    <definedName name="BEx7B6LH6917TXOSAAQ6U7HVF018">#REF!</definedName>
    <definedName name="BEx7BPXFZXJ79FQ0E8AQE21PGVHA">#REF!</definedName>
    <definedName name="BEx7C04AM39DQMC1TIX7CFZ2ADHX">#REF!</definedName>
    <definedName name="BEx7C40F0PQURHPI6YQ39NFIR86Z">#REF!</definedName>
    <definedName name="BEx7C93VR7SYRIJS1JO8YZKSFAW9">#REF!</definedName>
    <definedName name="BEx7CCPC6R1KQQZ2JQU6EFI1G0RM">#REF!</definedName>
    <definedName name="BEx7CIJST9GLS2QD383UK7VUDTGL">#REF!</definedName>
    <definedName name="BEx7CO8T2XKC7GHDSYNAWTZ9L7YR">#REF!</definedName>
    <definedName name="BEx7CW1CF00DO8A36UNC2X7K65C2">#REF!</definedName>
    <definedName name="BEx7CW6NFRL2P4XWP0MWHIYA97KF">#REF!</definedName>
    <definedName name="BEx7D5RWKRS4W71J4NZ6ZSFHPKFT">#REF!</definedName>
    <definedName name="BEx7D8H1TPOX1UN17QZYEV7Q58GA">#REF!</definedName>
    <definedName name="BEx7DGF13H2074LRWFZQ45PZ6JPX">#REF!</definedName>
    <definedName name="BEx7DKWUXEDIISSX4GDD4YYT887F">#REF!</definedName>
    <definedName name="BEx7DMUYR2HC26WW7AOB1TULERMB">#REF!</definedName>
    <definedName name="BEx7DVJTRV44IMJIBFXELE67SZ7S">#REF!</definedName>
    <definedName name="BEx7DVUMFCI5INHMVFIJ44RTTSTT">#REF!</definedName>
    <definedName name="BEx7E2QT2U8THYOKBPXONB1B47WH">#REF!</definedName>
    <definedName name="BEx7E5QP7W6UKO74F5Y0VJ741HS5">#REF!</definedName>
    <definedName name="BEx7E6N29HGH3I47AFB2DCS6MVS6">#REF!</definedName>
    <definedName name="BEx7E8QLEFYA1S12SBGE20RGJV6Y">#REF!</definedName>
    <definedName name="BEx7EBA8IYHQKT7IQAOAML660SYA">#REF!</definedName>
    <definedName name="BEx7EI6C8MCRZFEQYUBE5FSUTIHK">#REF!</definedName>
    <definedName name="BEx7EI6DL1Z6UWLFBXAKVGZTKHWJ">#REF!</definedName>
    <definedName name="BEx7EIBVBM24322I474B5OAL543A">#REF!</definedName>
    <definedName name="BEx7EQKHX7GZYOLXRDU534TT4H64">#REF!</definedName>
    <definedName name="BEx7ETV6L1TM7JSXJIGK3FC6RVZW">#REF!</definedName>
    <definedName name="BEx7EWK9GUVV6FXWYIGH0TAI4V2O">#REF!</definedName>
    <definedName name="BEx7EYYLHMBYQTH6I377FCQS7CSX">#REF!</definedName>
    <definedName name="BEx7FCLG1RYI2SNOU1Y2GQZNZSWA">#REF!</definedName>
    <definedName name="BEx7FN32ZGWOAA4TTH79KINTDWR9">#REF!</definedName>
    <definedName name="BEx7G82CKM3NIY1PHNFK28M09PCH">#REF!</definedName>
    <definedName name="BEx7GR3ENYWRXXS5IT0UMEGOLGUH">#REF!</definedName>
    <definedName name="BEx7GSAL6P7TASL8MB63RFST1LJL">#REF!</definedName>
    <definedName name="BEx7H0JD6I5I8WQLLWOYWY5YWPQE">#REF!</definedName>
    <definedName name="BEx7H14XCXH7WEXEY1HVO53A6AGH">#REF!</definedName>
    <definedName name="BEx7H3DTI4SGIEIWD6TN8ZVJFGMY">#REF!</definedName>
    <definedName name="BEx7HFTIA8AC8BR8HKIN81VE1SGW">#REF!</definedName>
    <definedName name="BEx7HGVBEF4LEIF6RC14N3PSU461">#REF!</definedName>
    <definedName name="BEx7HQ5T9FZ42QWS09UO4DT42Y0R">#REF!</definedName>
    <definedName name="BEx7HRCZE3CVGON1HV07MT5MNDZ3">#REF!</definedName>
    <definedName name="BEx7HWGE2CANG5M17X4C8YNC3N8F">#REF!</definedName>
    <definedName name="BEx7I8FZ96C5JAHXS18ZV0912LZP">#REF!</definedName>
    <definedName name="BEx7IBVYN47SFZIA0K4MDKQZNN9V">#REF!</definedName>
    <definedName name="BEx7IV2IJ5WT7UC0UG7WP0WF2JZI">#REF!</definedName>
    <definedName name="BEx7IXGU74GE5E4S6W4Z13AR092Y">#REF!</definedName>
    <definedName name="BEx7J4YL8Q3BI1MLH16YYQ18IJRD">#REF!</definedName>
    <definedName name="BEx7JH3HGBPI07OHZ5LFYK0UFZQR">#REF!</definedName>
    <definedName name="BEx7JV194190CNM6WWGQ3UBJ3CHH">#REF!</definedName>
    <definedName name="BEx7K7GYZ6ELD1LNDCD1RFVTMRZV">#REF!</definedName>
    <definedName name="BEx7K7GZ607XQOGB81A1HINBTGOZ">#REF!</definedName>
    <definedName name="BEx7KEYPBDXSNROH8M6CDCBN6B50">#REF!</definedName>
    <definedName name="BEx7KSAS8BZT6H8OQCZ5DNSTMO07">#REF!</definedName>
    <definedName name="BEx7KWHTBD21COXVI4HNEQH0Z3L8">#REF!</definedName>
    <definedName name="BEx7KXUGRMRSUXCM97Z7VRZQ9JH2">#REF!</definedName>
    <definedName name="BEx7L21IQVP1N1TTQLRMANSSLSLE">#REF!</definedName>
    <definedName name="BEx7L5C6U8MP6IZ67BD649WQYJEK">#REF!</definedName>
    <definedName name="BEx7L8HEYEVTATR0OG5JJO647KNI">#REF!</definedName>
    <definedName name="BEx7L8XOV64OMS15ZFURFEUXLMWF">#REF!</definedName>
    <definedName name="BEx7LJVFQACL9F4DRS9YZQ9R2N30">#REF!</definedName>
    <definedName name="BEx7MAUI1JJFDIJGDW4RWY5384LY">#REF!</definedName>
    <definedName name="BEx7MJZO3UKAMJ53UWOJ5ZD4GGMQ">#REF!</definedName>
    <definedName name="BEx7MT4MFNXIVQGAT6D971GZW7CA">#REF!</definedName>
    <definedName name="BEx7NI062THZAM6I8AJWTFJL91CS">#REF!</definedName>
    <definedName name="BEx904S75BPRYMHF0083JF7ES4NG">#REF!</definedName>
    <definedName name="BEx90HDD4RWF7JZGA8GCGG7D63MG">#REF!</definedName>
    <definedName name="BEx90VGH5H09ON2QXYC9WIIEU98T">#REF!</definedName>
    <definedName name="BEx9175B70QXYAU5A8DJPGZQ46L9">#REF!</definedName>
    <definedName name="BEx91AQQRTV87AO27VWHSFZAD4ZR">#REF!</definedName>
    <definedName name="BEx91L8FLL5CWLA2CDHKCOMGVDZN">#REF!</definedName>
    <definedName name="BEx91OTVH9ZDBC3QTORU8RZX4EOC">#REF!</definedName>
    <definedName name="BEx91QH5JRZKQP1GPN2SQMR3CKAG">#REF!</definedName>
    <definedName name="BEx91ROALDNHO7FI4X8L61RH4UJE">#REF!</definedName>
    <definedName name="BEx91TMID71GVYH0U16QM1RV3PX0">#REF!</definedName>
    <definedName name="BEx91VF2D78PAF337E3L2L81K9W2">#REF!</definedName>
    <definedName name="BEx921PNZ46VORG2VRMWREWIC0SE">#REF!</definedName>
    <definedName name="BEx92DPEKL5WM5A3CN8674JI0PR3">#REF!</definedName>
    <definedName name="BEx92ER2RMY93TZK0D9L9T3H0GI5">#REF!</definedName>
    <definedName name="BEx92FI04PJT4LI23KKIHRXWJDTT">#REF!</definedName>
    <definedName name="BEx92HR14HQ9D5JXCSPA4SS4RT62">#REF!</definedName>
    <definedName name="BEx92HWA2D6A5EX9MFG68G0NOMSN">#REF!</definedName>
    <definedName name="BEx92PUBDIXAU1FW5ZAXECMAU0LN">#REF!</definedName>
    <definedName name="BEx92S8MHFFIVRQ2YSHZNQGOFUHD">#REF!</definedName>
    <definedName name="BEx93B9OULL2YGC896XXYAAJSTRK">#REF!</definedName>
    <definedName name="BEx93FRKF99NRT3LH99UTIH7AAYF">#REF!</definedName>
    <definedName name="BEx93M7FSHP50OG34A4W8W8DF12U">#REF!</definedName>
    <definedName name="BEx93OLWY2O3PRA74U41VG5RXT4Q">#REF!</definedName>
    <definedName name="BEx93RWFAF6YJGYUTITVM445C02U">#REF!</definedName>
    <definedName name="BEx93SY9RWG3HUV4YXQKXJH9FH14">#REF!</definedName>
    <definedName name="BEx93TJUX3U0FJDBG6DDSNQ91R5J">#REF!</definedName>
    <definedName name="BEx942UCRHMI4B0US31HO95GSC2X">#REF!</definedName>
    <definedName name="BEx948ZFFQWVIDNG4AZAUGGGEB5U">#REF!</definedName>
    <definedName name="BEx94CKXG92OMURH41SNU6IOHK4J">#REF!</definedName>
    <definedName name="BEx94GXG30CIVB6ZQN3X3IK6BZXQ">#REF!</definedName>
    <definedName name="BEx94HZ5LURYM9ST744ALV6ZCKYP">#REF!</definedName>
    <definedName name="BEx94IQ75E90YUMWJ9N591LR7DQQ">#REF!</definedName>
    <definedName name="BEx94L9TBK45AUQSX1IUZ86U1GPQ">#REF!</definedName>
    <definedName name="BEx94N7W5T3U7UOE97D6OVIBUCXS">#REF!</definedName>
    <definedName name="BEx953PB6S6ECMD8N0JSW0CBG0DA">#REF!</definedName>
    <definedName name="BEx955NIAWX5OLAHMTV6QFUZPR30">#REF!</definedName>
    <definedName name="BEx9581TYVI2M5TT4ISDAJV4W7Z6">#REF!</definedName>
    <definedName name="BEx95NHF4RVUE0YDOAFZEIVBYJXD">#REF!</definedName>
    <definedName name="BEx95QBZMG0E2KQ9BERJ861QLYN3">#REF!</definedName>
    <definedName name="BEx95QHBVDN795UNQJLRXG3RDU49">#REF!</definedName>
    <definedName name="BEx95TBVUWV7L7OMFMZDQEXGVHU6">#REF!</definedName>
    <definedName name="BEx95U89DZZSVO39TGS62CX8G9N4">#REF!</definedName>
    <definedName name="BEx9602K2GHNBUEUVT9ONRQU1GMD">#REF!</definedName>
    <definedName name="BEx962BL3Y4LA53EBYI64ZYMZE8U">#REF!</definedName>
    <definedName name="BEx96KR21O7H9R29TN0S45Y3QPUK">#REF!</definedName>
    <definedName name="BEx96SUFKHHFE8XQ6UUO6ILDOXHO">#REF!</definedName>
    <definedName name="BEx96UN4YWXBDEZ1U1ZUIPP41Z7I">#REF!</definedName>
    <definedName name="BEx970MYCPJ6DQ44TKLOIGZO5LHH">#REF!</definedName>
    <definedName name="BEx978KSD61YJH3S9DGO050R2EHA">#REF!</definedName>
    <definedName name="BEx97H9O1NAKAPK4MX4PKO34ICL5">#REF!</definedName>
    <definedName name="BEx97HVA5F2I0D6ID81KCUDEQOIH">#REF!</definedName>
    <definedName name="BEx97MNUZQ1Z0AO2FL7XQYVNCPR7">#REF!</definedName>
    <definedName name="BEx97NPQBACJVD9K1YXI08RTW9E2">#REF!</definedName>
    <definedName name="BEx97RWQLXS0OORDCN69IGA58CWU">#REF!</definedName>
    <definedName name="BEx97YNGGDFIXHTMGFL2IHAQX9MI">#REF!</definedName>
    <definedName name="BEx981HW73BUZWT14TBTZHC0ZTJ4">#REF!</definedName>
    <definedName name="BEx9871KU0N99P0900EAK69VFYT2">#REF!</definedName>
    <definedName name="BEx98IFKNJFGZFLID1YTRFEG1SXY">#REF!</definedName>
    <definedName name="BEx9915UVD4G7RA3IMLFZ0LG3UA2">#REF!</definedName>
    <definedName name="BEx992CZON8AO7U7V88VN1JBO0MG">#REF!</definedName>
    <definedName name="BEx9952469XMFGSPXL7CMXHPJF90">#REF!</definedName>
    <definedName name="BEx99B77I7TUSHRR4HIZ9FU2EIUT">#REF!</definedName>
    <definedName name="BEx99Q6PH5F3OQKCCAAO75PYDEFN">#REF!</definedName>
    <definedName name="BEx99WBYT2D6UUC1PT7A40ENYID4">#REF!</definedName>
    <definedName name="BEx99XOGHOM28CNCYKQWYGL56W2S">#REF!</definedName>
    <definedName name="BEx99ZRZ4I7FHDPGRAT5VW7NVBPU">#REF!</definedName>
    <definedName name="BEx9AT5E3ZSHKSOL35O38L8HF9TH">#REF!</definedName>
    <definedName name="BEx9AV8W1FAWF5BHATYEN47X12JN">#REF!</definedName>
    <definedName name="BEx9B7ZDVXUUYFTQJ81AWAKCGVS4">#REF!</definedName>
    <definedName name="BEx9B8A5186FNTQQNLIO5LK02ABI">#REF!</definedName>
    <definedName name="BEx9B8VR20E2CILU4CDQUQQ9ONXK">#REF!</definedName>
    <definedName name="BEx9B917EUP13X6FQ3NPQL76XM5V">#REF!</definedName>
    <definedName name="BEx9BAJ5WYEQ623HUT9NNCMP3RUG">#REF!</definedName>
    <definedName name="BEx9BYSYW7QCPXS2NAVLFAU5Y2Z2">#REF!</definedName>
    <definedName name="BEx9C590HJ2O31IWJB73C1HR74AI">#REF!</definedName>
    <definedName name="BEx9CCQRMYYOGIOYTOM73VKDIPS1">#REF!</definedName>
    <definedName name="BEx9D1BC9FT19KY0INAABNDBAMR1">#REF!</definedName>
    <definedName name="BEx9DN6ZMF18Q39MPMXSDJTZQNJ3">#REF!</definedName>
    <definedName name="BEx9DUU8DALPSCW66GTMQRPXZ6GL">#REF!</definedName>
    <definedName name="BEx9E14TDNSEMI784W0OTIEQMWN6">#REF!</definedName>
    <definedName name="BEx9E2BZ2B1R41FMGJCJ7JLGLUAJ">#REF!</definedName>
    <definedName name="BEx9EG9KBJ77M8LEOR9ITOKN5KXY">#REF!</definedName>
    <definedName name="BEx9EMK6HAJJMVYZTN5AUIV7O1E6">#REF!</definedName>
    <definedName name="BEx9EQLVZHYQ1TPX7WH3SOWXCZLE">#REF!</definedName>
    <definedName name="BEx9ETLU0EK5LGEM1QCNYN2S8O5F">#REF!</definedName>
    <definedName name="BEx9F0Y2ESUNE3U7TQDLMPE9BO67">#REF!</definedName>
    <definedName name="BEx9F5W18ZGFOKGRE8PR6T1MO6GT">#REF!</definedName>
    <definedName name="BEx9F78N4HY0XFGBQ4UJRD52L1EI">#REF!</definedName>
    <definedName name="BEx9FF16LOQP5QIR4UHW5EIFGQB8">#REF!</definedName>
    <definedName name="BEx9FJTSRCZ3ZXT3QVBJT5NF8T7V">#REF!</definedName>
    <definedName name="BEx9FRBEEYPS5HLS3XT34AKZN94G">#REF!</definedName>
    <definedName name="BEx9GDY4D8ZPQJCYFIMYM0V0C51Y">#REF!</definedName>
    <definedName name="BEx9GGY04V0ZWI6O9KZH4KSBB389">#REF!</definedName>
    <definedName name="BEx9GNOPB6OZ2RH3FCDNJR38RJOS">#REF!</definedName>
    <definedName name="BEx9GUQALUWCD30UKUQGSWW8KBQ7">#REF!</definedName>
    <definedName name="BEx9GY6BVFQGCLMOWVT6PIC9WP5X">#REF!</definedName>
    <definedName name="BEx9GZ2P3FDHKXEBXX2VS0BG2NP2">#REF!</definedName>
    <definedName name="BEx9H04IB14E1437FF2OIRRWBSD7">#REF!</definedName>
    <definedName name="BEx9H5O1KDZJCW91Q29VRPY5YS6P">#REF!</definedName>
    <definedName name="BEx9H8YR0E906F1JXZMBX3LNT004">#REF!</definedName>
    <definedName name="BEx9I8XIG7E5NB48QQHXP23FIN60">#REF!</definedName>
    <definedName name="BEx9IQRF01ATLVK0YE60ARKQJ68L">#REF!</definedName>
    <definedName name="BEx9IT5QNZWKM6YQ5WER0DC2PMMU">#REF!</definedName>
    <definedName name="BEx9IW5MFLXTVCJHVUZTUH93AXOS">#REF!</definedName>
    <definedName name="BEx9IXCSPSZC80YZUPRCYTG326KV">#REF!</definedName>
    <definedName name="BEx9IZR39NHDGOM97H4E6F81RTQW">#REF!</definedName>
    <definedName name="BEx9J6CH5E7YZPER7HXEIOIKGPCA">#REF!</definedName>
    <definedName name="BEx9JJTZKVUJAVPTRE0RAVTEH41G">#REF!</definedName>
    <definedName name="BEx9JLBYK239B3F841C7YG1GT7ST">#REF!</definedName>
    <definedName name="BExAW4IIW5D0MDY6TJ3G4FOLPYIR">#REF!</definedName>
    <definedName name="BExAX2OJQ7QWA5Z8823RALYHVWQ9">#REF!</definedName>
    <definedName name="BExAX410NB4F2XOB84OR2197H8M5">#REF!</definedName>
    <definedName name="BExAX8TNG8LQ5Q4904SAYQIPGBSV">#REF!</definedName>
    <definedName name="BExAY0EAT2LXR5MFGM0DLIB45PLO">#REF!</definedName>
    <definedName name="BExAY639HRTTC975NL039LVKI9GB">#REF!</definedName>
    <definedName name="BExAYE6LNIEBR9DSNI5JGNITGKIT">#REF!</definedName>
    <definedName name="BExAYHMLXGGO25P8HYB2S75DEB4F">#REF!</definedName>
    <definedName name="BExAYKXAUWGDOPG952TEJ2UKZKWN">#REF!</definedName>
    <definedName name="BExAYP9TDTI2MBP6EYE0H39CPMXN">#REF!</definedName>
    <definedName name="BExAYPPWJPWDKU59O051WMGB7O0J">#REF!</definedName>
    <definedName name="BExAYR2JZCJBUH6F1LZC2A7JIVRJ">#REF!</definedName>
    <definedName name="BExAYTGVRD3DLKO75RFPMBKCIWB8">#REF!</definedName>
    <definedName name="BExAYY9H9COOT46HJLPVDLTO12UL">#REF!</definedName>
    <definedName name="BExAZCNEGB4JYHC8CZ51KTN890US">#REF!</definedName>
    <definedName name="BExAZFCI302YFYRDJYQDWQQL0Q0O">#REF!</definedName>
    <definedName name="BExAZLHLST9OP89R1HJMC1POQG8H">#REF!</definedName>
    <definedName name="BExAZMDYMIAA7RX1BMCKU1VLBRGY">#REF!</definedName>
    <definedName name="BExAZNL6BHI8DCQWXOX4I2P839UX">#REF!</definedName>
    <definedName name="BExAZRMWSONMCG9KDUM4KAQ7BONM">#REF!</definedName>
    <definedName name="BExAZTFG4SJRG4TW6JXRF7N08JFI">#REF!</definedName>
    <definedName name="BExAZUS4A8OHDZK0MWAOCCCKTH73">#REF!</definedName>
    <definedName name="BExAZX6FECVK3E07KXM2XPYKGM6U">#REF!</definedName>
    <definedName name="BExB012NJ8GASTNNPBRRFTLHIOC9">#REF!</definedName>
    <definedName name="BExB072HHXVMUC0VYNGG48GRSH5Q">#REF!</definedName>
    <definedName name="BExB0FRDEYDEUEAB1W8KD6D965XA">#REF!</definedName>
    <definedName name="BExB0KPCN7YJORQAYUCF4YKIKPMC">#REF!</definedName>
    <definedName name="BExB0WE4PI3NOBXXVO9CTEN4DIU2">#REF!</definedName>
    <definedName name="BExB10QNIVITUYS55OAEKK3VLJFE">#REF!</definedName>
    <definedName name="BExB15ZDRY4CIJ911DONP0KCY9KU">#REF!</definedName>
    <definedName name="BExB16VQY0O0RLZYJFU3OFEONVTE">#REF!</definedName>
    <definedName name="BExB1FKNY2UO4W5FUGFHJOA2WFGG">#REF!</definedName>
    <definedName name="BExB1GMD0PIDGTFBGQOPRWQSP9I4">#REF!</definedName>
    <definedName name="BExB1Q29OO6LNFNT1EQLA3KYE7MX">#REF!</definedName>
    <definedName name="BExB1TNRV5EBWZEHYLHI76T0FVA7">#REF!</definedName>
    <definedName name="BExB1WI6M8I0EEP1ANUQZCFY24EV">#REF!</definedName>
    <definedName name="BExB203OWC9QZA3BYOKQ18L4FUJE">#REF!</definedName>
    <definedName name="BExB2CJHTU7C591BR4WRL5L2F2K6">#REF!</definedName>
    <definedName name="BExB2K1AV4PGNS1O6C7D7AO411AX">#REF!</definedName>
    <definedName name="BExB2O2UYHKI324YE324E1N7FVIB">#REF!</definedName>
    <definedName name="BExB2Q0VJ0MU2URO3JOVUAVHEI3V">#REF!</definedName>
    <definedName name="BExB30IP1DNKNQ6PZ5ERUGR5MK4Z">#REF!</definedName>
    <definedName name="BExB442RX0T3L6HUL6X5T21CENW6">#REF!</definedName>
    <definedName name="BExB4ADD0L7417CII901XTFKXD1J">#REF!</definedName>
    <definedName name="BExB4DO1V1NL2AVK5YE1RSL5RYHL">#REF!</definedName>
    <definedName name="BExB4DYU06HCGRIPBSWRCXK804UM">#REF!</definedName>
    <definedName name="BExB4Z3EZBGYYI33U0KQ8NEIH8PY">#REF!</definedName>
    <definedName name="BExB55368XW7UX657ZSPC6BFE92S">#REF!</definedName>
    <definedName name="BExB57MZEPL2SA2ONPK66YFLZWJU">#REF!</definedName>
    <definedName name="BExB5833OAOJ22VK1YK47FHUSVK2">#REF!</definedName>
    <definedName name="BExB58JDIHS42JZT9DJJMKA8QFCO">#REF!</definedName>
    <definedName name="BExB58U5FQC5JWV9CGC83HLLZUZI">#REF!</definedName>
    <definedName name="BExB5EDO9XUKHF74X3HAU2WPPHZH">#REF!</definedName>
    <definedName name="BExB5G6EH68AYEP1UT0GHUEL3SLN">#REF!</definedName>
    <definedName name="BExB5QYVEZWFE5DQVHAM760EV05X">#REF!</definedName>
    <definedName name="BExB5U9IRH14EMOE0YGIE3WIVLFS">#REF!</definedName>
    <definedName name="BExB5VWYMOV6BAIH7XUBBVPU7MMD">#REF!</definedName>
    <definedName name="BExB610DZWIJP1B72U9QM42COH2B">#REF!</definedName>
    <definedName name="BExB6C3FUAKK9ML5T767NMWGA9YB">#REF!</definedName>
    <definedName name="BExB6C8X6JYRLKZKK17VE3QUNL3D">#REF!</definedName>
    <definedName name="BExB6HN3QRFPXM71MDUK21BKM7PF">#REF!</definedName>
    <definedName name="BExB6IZMHCZ3LB7N73KD90YB1HBZ">#REF!</definedName>
    <definedName name="BExB719SGNX4Y8NE6JEXC555K596">#REF!</definedName>
    <definedName name="BExB7265DCHKS7V2OWRBXCZTEIW9">#REF!</definedName>
    <definedName name="BExB74PS5P9G0P09Y6DZSCX0FLTJ">#REF!</definedName>
    <definedName name="BExB78RH79J0MIF7H8CAZ0CFE88Q">#REF!</definedName>
    <definedName name="BExB7ELT09HGDVO5BJC1ZY9D09GZ">#REF!</definedName>
    <definedName name="BExB806PAXX70XUTA3ZI7OORD78R">#REF!</definedName>
    <definedName name="BExB8D7Y5ER7H6S5Y4EFVOAV5END">#REF!</definedName>
    <definedName name="BExB8HF4UBVZKQCSRFRUQL2EE6VL">#REF!</definedName>
    <definedName name="BExB8HKHKZ1ORJZUYGG2M4VSCC39">#REF!</definedName>
    <definedName name="BExB8QPH8DC5BESEVPSMBCWVN6PO">#REF!</definedName>
    <definedName name="BExB8U5N0D85YR8APKN3PPKG0FWP">#REF!</definedName>
    <definedName name="BExB9DHI5I2TJ2LXYPM98EE81L27">#REF!</definedName>
    <definedName name="BExB9Q2MZZHBGW8QQKVEYIMJBPIE">#REF!</definedName>
    <definedName name="BExBA1GON0EZRJ20UYPILAPLNQWM">#REF!</definedName>
    <definedName name="BExBA69ASGYRZW1G1DYIS9QRRTBN">#REF!</definedName>
    <definedName name="BExBA6K42582A14WFFWQ3Q8QQWB6">#REF!</definedName>
    <definedName name="BExBA8I5D4R8R2PYQ1K16TWGTOEP">#REF!</definedName>
    <definedName name="BExBA93PE0DGUUTA7LLSIGBIXWE5">#REF!</definedName>
    <definedName name="BExBAI8X0FKDQJ6YZJQDTTG4ZCWY">#REF!</definedName>
    <definedName name="BExBAKN7XIBAXCF9PCNVS038PCQO">#REF!</definedName>
    <definedName name="BExBAKXZ7PBW3DDKKA5MWC1ZUC7O">#REF!</definedName>
    <definedName name="BExBAO8NLXZXHO6KCIECSFCH3RR0">#REF!</definedName>
    <definedName name="BExBAOOT1KBSIEISN1ADL4RMY879">#REF!</definedName>
    <definedName name="BExBAVKX8Q09370X1GCZWJ4E91YJ">#REF!</definedName>
    <definedName name="BExBAX2X2ENJYO4QTR5VAIQ86L7B">#REF!</definedName>
    <definedName name="BExBAZ13D3F1DVJQ6YJ8JGUYEYJE">#REF!</definedName>
    <definedName name="BExBB5XB009ME5J31RTZJ1SXZTDP">#REF!</definedName>
    <definedName name="BExBBTG649R9I0CT042JLL8LXV18">#REF!</definedName>
    <definedName name="BExBBUCJQRR74Q7GPWDEZXYK2KJL">#REF!</definedName>
    <definedName name="BExBBV8XVMD9CKZY711T0BN7H3PM">#REF!</definedName>
    <definedName name="BExBC78HXWXHO3XAB6E8NVTBGLJS">#REF!</definedName>
    <definedName name="BExBCKKJTIRKC1RZJRTK65HHLX4W">#REF!</definedName>
    <definedName name="BExBCLMEPAN3XXX174TU8SS0627Q">#REF!</definedName>
    <definedName name="BExBCRBEYR2KZ8FAQFZ2NHY13WIY">#REF!</definedName>
    <definedName name="BExBD4I559NXSV6J07Q343TKYMVJ">#REF!</definedName>
    <definedName name="BExBDBZQLTX3OGFYGULQFK5WEZU5">#REF!</definedName>
    <definedName name="BExBDJS9TUEU8Z84IV59E5V4T8K6">#REF!</definedName>
    <definedName name="BExBDKOMSVH4XMH52CFJ3F028I9R">#REF!</definedName>
    <definedName name="BExBDSRXVZQ0W5WXQMP5XD00GRRL">#REF!</definedName>
    <definedName name="BExBDUVGK3E1J4JY9ZYTS7V14BLY">#REF!</definedName>
    <definedName name="BExBE162OSBKD30I7T1DKKPT3I9I">#REF!</definedName>
    <definedName name="BExBE5YPUY1T7N7DHMMIGGXK8TMP">#REF!</definedName>
    <definedName name="BExBEC9ATLQZF86W1M3APSM4HEOH">#REF!</definedName>
    <definedName name="BExBEYFQJE9YK12A6JBMRFKEC7RN">#REF!</definedName>
    <definedName name="BExBG1ED81J2O4A2S5F5Y3BPHMCR">#REF!</definedName>
    <definedName name="BExCRLIHS7466WFJ3RPIUGGXYESZ">#REF!</definedName>
    <definedName name="BExCS1EDDUEAEWHVYXHIP9I1WCJH">#REF!</definedName>
    <definedName name="BExCS6SLRCBH006GNRE27HFRHP40">#REF!</definedName>
    <definedName name="BExCS7ZPMHFJ4UJDAL8CQOLSZ13B">#REF!</definedName>
    <definedName name="BExCS8W4NJUZH9S1CYB6XSDLEPBW">#REF!</definedName>
    <definedName name="BExCSAE1M6G20R41J0Y24YNN0YC1">#REF!</definedName>
    <definedName name="BExCSAOUZOYKHN7HV511TO8VDJ02">#REF!</definedName>
    <definedName name="BExCSMOFTXSUEC1T46LR1UPYRCX5">#REF!</definedName>
    <definedName name="BExCSSDG3TM6TPKS19E9QYJEELZ6">#REF!</definedName>
    <definedName name="BExCSZV7U67UWXL2HKJNM5W1E4OO">#REF!</definedName>
    <definedName name="BExCT4NSDT61OCH04Y2QIFIOP75H">#REF!</definedName>
    <definedName name="BExCTW8G3VCZ55S09HTUGXKB1P2M">#REF!</definedName>
    <definedName name="BExCTYS2KX0QANOLT8LGZ9WV3S3T">#REF!</definedName>
    <definedName name="BExCTZZ9JNES4EDHW97NP0EGQALX">#REF!</definedName>
    <definedName name="BExCU0A1V6NMZQ9ASYJ8QIVQ5UR2">#REF!</definedName>
    <definedName name="BExCU2834920JBHSPCRC4UF80OLL">#REF!</definedName>
    <definedName name="BExCU3KPF4L87CDGFGVQ7CAIQDD5">#REF!</definedName>
    <definedName name="BExCU8O54I3P3WRYWY1CRP3S78QY">#REF!</definedName>
    <definedName name="BExCUDRJO23YOKT8GPWOVQ4XEHF5">#REF!</definedName>
    <definedName name="BExCUPAXFR16YMWL30ME3F3BSRDZ">#REF!</definedName>
    <definedName name="BExCUR94DHCE47PUUWEMT5QZOYR2">#REF!</definedName>
    <definedName name="BExCV634L7SVHGB0UDDTRRQ2Q72H">#REF!</definedName>
    <definedName name="BExCVBXGSXT9FWJRG62PX9S1RK83">#REF!</definedName>
    <definedName name="BExCVHBNLOHNFS0JAV3I1XGPNH9W">#REF!</definedName>
    <definedName name="BExCVI86R31A2IOZIEBY1FJLVILD">#REF!</definedName>
    <definedName name="BExCVKGZXE0I9EIXKBZVSGSEY2RR">#REF!</definedName>
    <definedName name="BExCVV44WY5807WGMTGKPW0GT256">#REF!</definedName>
    <definedName name="BExCVZ5PN4V6MRBZ04PZJW3GEF8S">#REF!</definedName>
    <definedName name="BExCW13R0GWJYGXZBNCPAHQN4NR2">#REF!</definedName>
    <definedName name="BExCW9Y5HWU4RJTNX74O6L24VGCK">#REF!</definedName>
    <definedName name="BExCWPDPESGZS07QGBLSBWDNVJLZ">#REF!</definedName>
    <definedName name="BExCWTVKHIVCRHF8GC39KI58YM5K">#REF!</definedName>
    <definedName name="BExCX2KGRZBRVLZNM8SUSIE6A0RL">#REF!</definedName>
    <definedName name="BExCX3X451T70LZ1VF95L7W4Y4TM">#REF!</definedName>
    <definedName name="BExCX4NZ2N1OUGXM7EV0U7VULJMM">#REF!</definedName>
    <definedName name="BExCXILMURGYMAH6N5LF5DV6K3GM">#REF!</definedName>
    <definedName name="BExCXQUFBMXQ1650735H48B1AZT3">#REF!</definedName>
    <definedName name="BExCY2DQO9VLA77Q7EG3T0XNXX4F">#REF!</definedName>
    <definedName name="BExCY6VMJ68MX3C981R5Q0BX5791">#REF!</definedName>
    <definedName name="BExCYAH2SAZCPW6XCB7V7PMMCAWO">#REF!</definedName>
    <definedName name="BExCYJBB52X8B3AREHCC1L5QNPX7">#REF!</definedName>
    <definedName name="BExCYPRC5HJE6N2XQTHCT6NXGP8N">#REF!</definedName>
    <definedName name="BExCYUK0I3UEXZNFDW71G6Z6D8XR">#REF!</definedName>
    <definedName name="BExCZFZCXMLY5DWESYJ9NGTJYQ8M">#REF!</definedName>
    <definedName name="BExCZJ4P8WS0BDT31WDXI0ROE7D6">#REF!</definedName>
    <definedName name="BExCZKH6NI0EE02L995IFVBD1J59">#REF!</definedName>
    <definedName name="BExCZMKQGKIJKRGZ29ZVYTCU5SZS">#REF!</definedName>
    <definedName name="BExCZODFS81QZBRDLW3QU0BCGQ98">#REF!</definedName>
    <definedName name="BExCZUD9FEOJBKDJ51Z3JON9LKJ8">#REF!</definedName>
    <definedName name="BExD0508DAALLU00PHFPBC8SRRKT">#REF!</definedName>
    <definedName name="BExD0HALIN0JR4JTPGDEVAEE5EX5">#REF!</definedName>
    <definedName name="BExD0LCCDPG16YLY5WQSZF1XI5DA">#REF!</definedName>
    <definedName name="BExD0RMWSB4TRECEHTH6NN4K9DFZ">#REF!</definedName>
    <definedName name="BExD0U6KG10QGVDI1XSHK0J10A2V">#REF!</definedName>
    <definedName name="BExD13RUIBGRXDL4QDZ305UKUR12">#REF!</definedName>
    <definedName name="BExD14DETV5R4OOTMAXD5NAKWRO3">#REF!</definedName>
    <definedName name="BExD1OAU9OXQAZA4D70HP72CU6GB">#REF!</definedName>
    <definedName name="BExD1Y1JV61416YA1XRQHKWPZIE7">#REF!</definedName>
    <definedName name="BExD2CFHIRMBKN5KXE5QP4XXEWFS">#REF!</definedName>
    <definedName name="BExD2DMHH1HWXQ9W0YYMDP8AAX8Q">#REF!</definedName>
    <definedName name="BExD2HTPC7IWBAU6OSQ67MQA8BYZ">#REF!</definedName>
    <definedName name="BExD363H2VGFIQUCE6LS4AC5J0ZT">#REF!</definedName>
    <definedName name="BExD3A588E939V61P1XEW0FI5Q0S">#REF!</definedName>
    <definedName name="BExD3CJJDKVR9M18XI3WDZH80WL6">#REF!</definedName>
    <definedName name="BExD3ESD9WYJIB3TRDPJ1CKXRAVL">#REF!</definedName>
    <definedName name="BExD3F368X5S25MWSUNIV57RDB57">#REF!</definedName>
    <definedName name="BExD3IJ5IT335SOSNV9L85WKAOSI">#REF!</definedName>
    <definedName name="BExD3KBVUY57GMMQTOFEU6S6G1AY">#REF!</definedName>
    <definedName name="BExD3NMR7AW2Z6V8SC79VQR37NA6">#REF!</definedName>
    <definedName name="BExD3QXA2UQ2W4N7NYLUEOG40BZB">#REF!</definedName>
    <definedName name="BExD3U2N041TEJ7GCN005UTPHNXY">#REF!</definedName>
    <definedName name="BExD40O0CFTNJFOFMMM1KH0P7BUI">#REF!</definedName>
    <definedName name="BExD47EPDUSZGT0HJFHYIY7YIZ8L">#REF!</definedName>
    <definedName name="BExD4BR9HJ3MWWZ5KLVZWX9FJAUS">#REF!</definedName>
    <definedName name="BExD4F1WTKT3H0N9MF4H1LX7MBSY">#REF!</definedName>
    <definedName name="BExD4H5GQWXBS6LUL3TSP36DVO38">#REF!</definedName>
    <definedName name="BExD4JJSS3QDBLABCJCHD45SRNPI">#REF!</definedName>
    <definedName name="BExD4R1I0MKF033I5LPUYIMTZ6E8">#REF!</definedName>
    <definedName name="BExD50MT3M6XZLNUP9JL93EG6D9R">#REF!</definedName>
    <definedName name="BExD5EV7KDSVF1CJT38M4IBPFLPY">#REF!</definedName>
    <definedName name="BExD5FRK547OESJRYAW574DZEZ7J">#REF!</definedName>
    <definedName name="BExD5I5X2YA2YNCTCDSMEL4CWF4N">#REF!</definedName>
    <definedName name="BExD5QUSRFJWRQ1ZM50WYLCF74DF">#REF!</definedName>
    <definedName name="BExD5SSUIF6AJQHBHK8PNMFBPRYB">#REF!</definedName>
    <definedName name="BExD623C9LRX18BE0W2V6SZLQUXX">#REF!</definedName>
    <definedName name="BExD6CQA7UMJBXV7AIFAIHUF2ICX">#REF!</definedName>
    <definedName name="BExD6FKVK8WJWNYPVENR7Q8Q30PK">#REF!</definedName>
    <definedName name="BExD6GMP0LK8WKVWMIT1NNH8CHLF">#REF!</definedName>
    <definedName name="BExD6H2TE0WWAUIWVSSCLPZ6B88N">#REF!</definedName>
    <definedName name="BExD71LTOE015TV5RSAHM8NT8GVW">#REF!</definedName>
    <definedName name="BExD73USXVADC7EHGHVTQNCT06ZA">#REF!</definedName>
    <definedName name="BExD7GAIGULTB3YHM1OS9RBQOTEC">#REF!</definedName>
    <definedName name="BExD7IE1DHIS52UFDCTSKPJQNRD5">#REF!</definedName>
    <definedName name="BExD7IUBGUWHYC9UNZ1IY5XFYKQN">#REF!</definedName>
    <definedName name="BExD7JQOJ35HGL8U2OCEI2P2JT7I">#REF!</definedName>
    <definedName name="BExD7KSDKNDNH95NDT3S7GM3MUU2">#REF!</definedName>
    <definedName name="BExD8H5O087KQVWIVPUUID5VMGMS">#REF!</definedName>
    <definedName name="BExD8OCLZMFN5K3VZYI4Q4ITVKUA">#REF!</definedName>
    <definedName name="BExD93C1R6LC0631ECHVFYH0R0PD">#REF!</definedName>
    <definedName name="BExD97TXIO0COVNN4OH3DEJ33YLM">#REF!</definedName>
    <definedName name="BExD99RZ1RFIMK6O1ZHSPJ68X9Y5">#REF!</definedName>
    <definedName name="BExD9L0ID3VSOU609GKWYTA5BFMA">#REF!</definedName>
    <definedName name="BExD9M7SEMG0JK2FUTTZXWIEBTKB">#REF!</definedName>
    <definedName name="BExD9MNYBYB1AICQL5165G472IE2">#REF!</definedName>
    <definedName name="BExD9PNSYT7GASEGUVL48MUQ02WO">#REF!</definedName>
    <definedName name="BExD9TK2MIWFH5SKUYU9ZKF4NPHQ">#REF!</definedName>
    <definedName name="BExDA6LD9061UULVKUUI4QP8SK13">#REF!</definedName>
    <definedName name="BExDAGMVMNLQ6QXASB9R6D8DIT12">#REF!</definedName>
    <definedName name="BExDAYBHU9ADLXI8VRC7F608RVGM">#REF!</definedName>
    <definedName name="BExDBDR1XR0FV0CYUCB2OJ7CJCZU">#REF!</definedName>
    <definedName name="BExDC7F818VN0S18ID7XRCRVYPJ4">#REF!</definedName>
    <definedName name="BExDCL7K96PC9VZYB70ZW3QPVIJE">#REF!</definedName>
    <definedName name="BExDCP3UZ3C2O4C1F7KMU0Z9U32N">#REF!</definedName>
    <definedName name="BExEOBX3WECDMYCV9RLN49APTXMM">#REF!</definedName>
    <definedName name="BExEP4E4F36662JDI0TOD85OP7X9">#REF!</definedName>
    <definedName name="BExEPN9VIYI0FVL0HLZQXJFO6TT0">#REF!</definedName>
    <definedName name="BExEPYT6VDSMR8MU2341Q5GM2Y9V">#REF!</definedName>
    <definedName name="BExEQ2ENYLMY8K1796XBB31CJHNN">#REF!</definedName>
    <definedName name="BExEQ2PFE4N40LEPGDPS90WDL6BN">#REF!</definedName>
    <definedName name="BExEQ2PFURT24NQYGYVE8NKX1EGA">#REF!</definedName>
    <definedName name="BExEQB8ZWXO6IIGOEPWTLOJGE2NR">#REF!</definedName>
    <definedName name="BExEQBZX0EL6LIKPY01197ACK65H">#REF!</definedName>
    <definedName name="BExEQDXZALJLD4OBF74IKZBR13SR">#REF!</definedName>
    <definedName name="BExEQFLE2RPWGMWQAI4JMKUEFRPT">#REF!</definedName>
    <definedName name="BExEQTZAP8R69U31W4LKGTKKGKQE">#REF!</definedName>
    <definedName name="BExER2O72H1F9WV6S1J04C15PXX7">#REF!</definedName>
    <definedName name="BExER76215I9BBXP8AIHYSNL6R6B">#REF!</definedName>
    <definedName name="BExERRUIKIOATPZ9U4HQ0V52RJAU">#REF!</definedName>
    <definedName name="BExERSANFNM1O7T65PC5MJ301YET">#REF!</definedName>
    <definedName name="BExES44RHHDL3V7FLV6M20834WF1">#REF!</definedName>
    <definedName name="BExES4A7VE2X3RYYTVRLKZD4I7WU">#REF!</definedName>
    <definedName name="BExES5148TXOJ4AKRWN2UDQX7EWU">#REF!</definedName>
    <definedName name="BExES6ZC8R7PHJ21OVJFLIR7DY30">#REF!</definedName>
    <definedName name="BExESMKD95A649M0WRSG6CXXP326">#REF!</definedName>
    <definedName name="BExESR27ZXJG5VMY4PR9D940VS7T">#REF!</definedName>
    <definedName name="BExESZ03KXL8DQ2591HLR56ZML94">#REF!</definedName>
    <definedName name="BExESZAW5N443NRTKIP59OEI1CR6">#REF!</definedName>
    <definedName name="BExET3HXQ60A4O2OLKX8QNXRI6LQ">#REF!</definedName>
    <definedName name="BExETA3B1FCIOA80H94K90FWXQKE">#REF!</definedName>
    <definedName name="BExETAZOYT4CJIT8RRKC9F2HJG1D">#REF!</definedName>
    <definedName name="BExETF6QD5A9GEINE1KZRRC2LXWM">#REF!</definedName>
    <definedName name="BExETQ9XRXLUACN82805SPSPNKHI">#REF!</definedName>
    <definedName name="BExETR0YRMOR63E6DHLEHV9QVVON">#REF!</definedName>
    <definedName name="BExETVTGY38YXYYF7N73OYN6FYY3">#REF!</definedName>
    <definedName name="BExEUNE4T242Y59C6MS28MXEUGCP">#REF!</definedName>
    <definedName name="BExEV2TP7NA3ZR6RJGH5ER370OUM">#REF!</definedName>
    <definedName name="BExEV69USLNYO2QRJRC0J92XUF00">#REF!</definedName>
    <definedName name="BExEV6KNTQOCFD7GV726XQEVQ7R6">#REF!</definedName>
    <definedName name="BExEV6VGM4POO9QT9KH3QA3VYCWM">#REF!</definedName>
    <definedName name="BExEVET98G3FU6QBF9LHYWSAMV0O">#REF!</definedName>
    <definedName name="BExEVNCUT0PDUYNJH7G6BSEWZOT2">#REF!</definedName>
    <definedName name="BExEVPGF4V5J0WQRZKUM8F9TTKZJ">#REF!</definedName>
    <definedName name="BExEVPWH8S9GER9M14SPIT6XZ8SG">#REF!</definedName>
    <definedName name="BExEVVLIEVWYRF2UUC1H0H5QU1CP">#REF!</definedName>
    <definedName name="BExEVWCKO8T84GW9Z3X47915XKSH">#REF!</definedName>
    <definedName name="BExEVZSJWMZ5L2ZE7AZC57CXKW6T">#REF!</definedName>
    <definedName name="BExEW0JL1GFFCXMDGW54CI7Y8FZN">#REF!</definedName>
    <definedName name="BExEW68M9WL8214QH9C7VCK7BN08">#REF!</definedName>
    <definedName name="BExEW8HFKH6F47KIHYBDRUEFZ2ZZ">#REF!</definedName>
    <definedName name="BExEWLO75K95C6IRKHXSP7VP81T4">#REF!</definedName>
    <definedName name="BExEWNBGQS1U2LW3W84T4LSJ9K00">#REF!</definedName>
    <definedName name="BExEWO7STL7HNZSTY8VQBPTX1WK6">#REF!</definedName>
    <definedName name="BExEWQ0M1N3KMKTDJ73H10QSG4W1">#REF!</definedName>
    <definedName name="BExEX85F3OSW8NSCYGYPS9372Z1Q">#REF!</definedName>
    <definedName name="BExEX9HWY2G6928ZVVVQF77QCM2C">#REF!</definedName>
    <definedName name="BExEXBQWAYKMVBRJRHB8PFCSYFVN">#REF!</definedName>
    <definedName name="BExEXD8V2GA8CKAV5BBFAFRIB5S7">#REF!</definedName>
    <definedName name="BExEXRBZ0DI9E2UFLLKYWGN66B61">#REF!</definedName>
    <definedName name="BExEYLG9FL9V1JPPNZ3FUDNSEJ4V">#REF!</definedName>
    <definedName name="BExEYOW8C1B3OUUCIGEC7L8OOW1Z">#REF!</definedName>
    <definedName name="BExEYUQJXZT6N5HJH8ACJF6SRWEE">#REF!</definedName>
    <definedName name="BExEZ1S6VZCG01ZPLBSS9Z1SBOJ2">#REF!</definedName>
    <definedName name="BExEZGBFNJR8DLPN0V11AU22L6WY">#REF!</definedName>
    <definedName name="BExF02Y3V3QEPO2XLDSK47APK9XJ">#REF!</definedName>
    <definedName name="BExF09OS91RT7N7IW8JLMZ121ZP3">#REF!</definedName>
    <definedName name="BExF0LOEHV42P2DV7QL8O7HOQ3N9">#REF!</definedName>
    <definedName name="BExF0WRM9VO25RLSO03ZOCE8H7K5">#REF!</definedName>
    <definedName name="BExF0ZRI7W4RSLIDLHTSM0AWXO3S">#REF!</definedName>
    <definedName name="BExF19CT3MMZZ2T5EWMDNG3UOJ01">#REF!</definedName>
    <definedName name="BExF1M38U6NX17YJA8YU359B5Z4M">#REF!</definedName>
    <definedName name="BExF1MU4W3NPEY0OHRDWP5IANCBB">#REF!</definedName>
    <definedName name="BExF1MZN8MWMOKOARHJ1QAF9HPGT">#REF!</definedName>
    <definedName name="BExF1US4ZIQYSU5LBFYNRA9N0K2O">#REF!</definedName>
    <definedName name="BExF2CWZN6E87RGTBMD4YQI2QT7R">#REF!</definedName>
    <definedName name="BExF2DYO1WQ7GMXSTAQRDBW1NSFG">#REF!</definedName>
    <definedName name="BExF2MSWNUY9Z6BZJQZ538PPTION">#REF!</definedName>
    <definedName name="BExF2QZYWHTYGUTTXR15CKCV3LS7">#REF!</definedName>
    <definedName name="BExF2T8Y6TSJ74RMSZOA9CEH4OZ6">#REF!</definedName>
    <definedName name="BExF31N3YM4F37EOOY8M8VI1KXN8">#REF!</definedName>
    <definedName name="BExF37C1YKBT79Z9SOJAG5MXQGTU">#REF!</definedName>
    <definedName name="BExF3A6HPA6DGYALZNHHJPMCUYZR">#REF!</definedName>
    <definedName name="BExF3I9T44X7DV9HHV51DVDDPPZG">#REF!</definedName>
    <definedName name="BExF3JMFX5DILOIFUDIO1HZUK875">#REF!</definedName>
    <definedName name="BExF3NTC4BGZEM6B87TCFX277QCS">#REF!</definedName>
    <definedName name="BExF3Q7NI90WT31QHYSJDIG0LLLJ">#REF!</definedName>
    <definedName name="BExF3QD55TIY1MSBSRK9TUJKBEWO">#REF!</definedName>
    <definedName name="BExF3QT8J6RIF1L3R700MBSKIOKW">#REF!</definedName>
    <definedName name="BExF42SSBVPMLK2UB3B7FPEIY9TU">#REF!</definedName>
    <definedName name="BExF4HXSWB50BKYPWA0HTT8W56H6">#REF!</definedName>
    <definedName name="BExF4KHF04IWW4LQ95FHQPFE4Y9K">#REF!</definedName>
    <definedName name="BExF4LU2NV3A47BCWPM3EZXUEH37">#REF!</definedName>
    <definedName name="BExF4MVQM5Y0QRDLDFSKWWTF709C">#REF!</definedName>
    <definedName name="BExF4PVMZYV36E8HOYY06J81AMBI">#REF!</definedName>
    <definedName name="BExF4SF9NEX1FZE9N8EXT89PM54D">#REF!</definedName>
    <definedName name="BExF4WBI65SJX3QGJJDFYG4SMXS7">#REF!</definedName>
    <definedName name="BExF52GTGP8MHGII4KJ8TJGR8W8U">#REF!</definedName>
    <definedName name="BExF57K7L3UC1I2FSAWURR4SN0UN">#REF!</definedName>
    <definedName name="BExF5D96JEPDW6LV89G2REZJ1ES7">#REF!</definedName>
    <definedName name="BExF5H01INW14YXVGFNHR46J1P26">#REF!</definedName>
    <definedName name="BExF5HR2GFV7O8LKG9SJ4BY78LYA">#REF!</definedName>
    <definedName name="BExF5ZFO2A29GHWR5ES64Z9OS16J">#REF!</definedName>
    <definedName name="BExF63S045JO7H2ZJCBTBVH3SUIF">#REF!</definedName>
    <definedName name="BExF642TEGTXCI9A61ZOONJCB0U1">#REF!</definedName>
    <definedName name="BExF67O951CF8UJF3KBDNR0E83C1">#REF!</definedName>
    <definedName name="BExF6EV7I35NVMIJGYTB6E24YVPA">#REF!</definedName>
    <definedName name="BExF6FGUF393KTMBT40S5BYAFG00">#REF!</definedName>
    <definedName name="BExF6GNYXWY8A0SY4PW1B6KJMMTM">#REF!</definedName>
    <definedName name="BExF6IB8K74Z0AFT05GPOKKZW7C9">#REF!</definedName>
    <definedName name="BExF6NUXJI11W2IAZNAM1QWC0459">#REF!</definedName>
    <definedName name="BExF6RR76KNVIXGJOVFO8GDILKGZ">#REF!</definedName>
    <definedName name="BExF6ZE8D5CMPJPRWT6S4HM56LPF">#REF!</definedName>
    <definedName name="BExF76FV8SF7AJK7B35AL7VTZF6D">#REF!</definedName>
    <definedName name="BExF7EOIMC1OYL1N7835KGOI0FIZ">#REF!</definedName>
    <definedName name="BExF7K88K7ASGV6RAOAGH52G04VR">#REF!</definedName>
    <definedName name="BExF7OVDRP3LHNAF2CX4V84CKKIR">#REF!</definedName>
    <definedName name="BExF7QO41X2A2SL8UXDNP99GY7U9">#REF!</definedName>
    <definedName name="BExF81GI8B8WBHXFTET68A9358BR">#REF!</definedName>
    <definedName name="BExGL97US0Y3KXXASUTVR26XLT70">#REF!</definedName>
    <definedName name="BExGLC7R4C33RO0PID97ZPPVCW4M">#REF!</definedName>
    <definedName name="BExGLFIF7HCFSHNQHKEV6RY0WCO3">#REF!</definedName>
    <definedName name="BExGLTARRL0J772UD2TXEYAVPY6E">#REF!</definedName>
    <definedName name="BExGLVP1IU8K5A8J1340XFMYPR88">#REF!</definedName>
    <definedName name="BExGLYE6RZTAAWHJBG2QFJPTDS2Q">#REF!</definedName>
    <definedName name="BExGM436808FWQA36X9OYIHVMGJJ">#REF!</definedName>
    <definedName name="BExGM4DZ65OAQP7MA4LN6QMYZOFF">#REF!</definedName>
    <definedName name="BExGMCXCWEC9XNUOEMZ61TMI6CUO">#REF!</definedName>
    <definedName name="BExGMJDGIH0MEPC2TUSFUCY2ROTB">#REF!</definedName>
    <definedName name="BExGMKPW2HPKN0M0XKF3AZ8YP0D6">#REF!</definedName>
    <definedName name="BExGMP2F175LGL6QVSJGP6GKYHHA">#REF!</definedName>
    <definedName name="BExGMPIIP8GKML2VVA8OEFL43NCS">#REF!</definedName>
    <definedName name="BExGMZ3SRIXLXMWBVOXXV3M4U4YL">#REF!</definedName>
    <definedName name="BExGMZ3UBN48IXU1ZEFYECEMZ1IM">#REF!</definedName>
    <definedName name="BExGN4I0QATXNZCLZJM1KH1OIJQH">#REF!</definedName>
    <definedName name="BExGN9FZ2RWCMSY1YOBJKZMNIM9R">#REF!</definedName>
    <definedName name="BExGNDSIMTHOCXXG6QOGR6DA8SGG">#REF!</definedName>
    <definedName name="BExGNN2YQ9BDAZXT2GLCSAPXKIM7">#REF!</definedName>
    <definedName name="BExGNSS0CKRPKHO25R3TDBEL2NHX">#REF!</definedName>
    <definedName name="BExGNYH0MO8NOVS85L15G0RWX4GW">#REF!</definedName>
    <definedName name="BExGNZO44DEG8CGIDYSEGDUQ531R">#REF!</definedName>
    <definedName name="BExGO2O0V6UYDY26AX8OSN72F77N">#REF!</definedName>
    <definedName name="BExGO2YUBOVLYHY1QSIHRE1KLAFV">#REF!</definedName>
    <definedName name="BExGO70E2O70LF46V8T26YFPL4V8">#REF!</definedName>
    <definedName name="BExGOB25QJMQCQE76MRW9X58OIOO">#REF!</definedName>
    <definedName name="BExGODAZKJ9EXMQZNQR5YDBSS525">#REF!</definedName>
    <definedName name="BExGODR8ZSMUC11I56QHSZ686XV5">#REF!</definedName>
    <definedName name="BExGOT6UXUX5FVTAYL9SOBZ1D0II">#REF!</definedName>
    <definedName name="BExGOXJDHUDPDT8I8IVGVW9J0R5Q">#REF!</definedName>
    <definedName name="BExGPHGT5KDOCMV2EFS4OVKTWBRD">#REF!</definedName>
    <definedName name="BExGPID72Y4Y619LWASUQZKZHJNC">#REF!</definedName>
    <definedName name="BExGPPENQIANVGLVQJ77DK5JPRTB">#REF!</definedName>
    <definedName name="BExGQ1ZU4967P72AHF4V1D0FOL5C">#REF!</definedName>
    <definedName name="BExGQ36ZOMR9GV8T05M605MMOY3Y">#REF!</definedName>
    <definedName name="BExGQ61DTJ0SBFMDFBAK3XZ9O0ZO">#REF!</definedName>
    <definedName name="BExGQ6SG9XEOD0VMBAR22YPZWSTA">#REF!</definedName>
    <definedName name="BExGQGJ1A7LNZUS8QSMOG8UNGLMK">#REF!</definedName>
    <definedName name="BExGQPO7ENFEQC0NC6MC9OZR2LHY">#REF!</definedName>
    <definedName name="BExGQX0H4EZMXBJTKJJE4ICJWN5O">#REF!</definedName>
    <definedName name="BExGR4CW3WRIID17GGX4MI9ZDHFE">#REF!</definedName>
    <definedName name="BExGR65GJX27MU2OL6NI5PB8XVB4">#REF!</definedName>
    <definedName name="BExGR6LQ97HETGS3CT96L4IK0JSH">#REF!</definedName>
    <definedName name="BExGR9ATP2LVT7B9OCPSLJ11H9SX">#REF!</definedName>
    <definedName name="BExGRUKVVKDL8483WI70VN2QZDGD">#REF!</definedName>
    <definedName name="BExGS2IWR5DUNJ1U9PAKIV8CMBNI">#REF!</definedName>
    <definedName name="BExGS69P9FFTEOPDS0MWFKF45G47">#REF!</definedName>
    <definedName name="BExGS6F1JFHM5MUJ1RFO50WP6D05">#REF!</definedName>
    <definedName name="BExGSA5YB5ZGE4NHDVCZ55TQAJTL">#REF!</definedName>
    <definedName name="BExGSCEUCQQVDEEKWJ677QTGUVTE">#REF!</definedName>
    <definedName name="BExGSQY65LH1PCKKM5WHDW83F35O">#REF!</definedName>
    <definedName name="BExGSYW1GKISF0PMUAK3XJK9PEW9">#REF!</definedName>
    <definedName name="BExGT0DZJB6LSF6L693UUB9EY1VQ">#REF!</definedName>
    <definedName name="BExGTGVFIF8HOQXR54SK065A8M4K">#REF!</definedName>
    <definedName name="BExGTIYX3OWPIINOGY1E4QQYSKHP">#REF!</definedName>
    <definedName name="BExGTKGUN0KUU3C0RL2LK98D8MEK">#REF!</definedName>
    <definedName name="BExGTZ046J7VMUG4YPKFN2K8TWB7">#REF!</definedName>
    <definedName name="BExGU2G9OPRZRIU9YGF6NX9FUW0J">#REF!</definedName>
    <definedName name="BExGU6HTKLRZO8UOI3DTAM5RFDBA">#REF!</definedName>
    <definedName name="BExGUDDZXFFQHAF4UZF8ZB1HO7H6">#REF!</definedName>
    <definedName name="BExGUIBXBRHGM97ZX6GBA4ZDQ79C">#REF!</definedName>
    <definedName name="BExGUM8D91UNPCOO4TKP9FGX85TF">#REF!</definedName>
    <definedName name="BExGUQF9N9FKI7S0H30WUAEB5LPD">#REF!</definedName>
    <definedName name="BExGUR6BA03XPBK60SQUW197GJ5X">#REF!</definedName>
    <definedName name="BExGUVIP60TA4B7X2PFGMBFUSKGX">#REF!</definedName>
    <definedName name="BExGUZKF06F209XL1IZWVJEQ82EE">#REF!</definedName>
    <definedName name="BExGV2EVT380QHD4AP2RL9MR8L5L">#REF!</definedName>
    <definedName name="BExGVV6OOLDQ3TXZK51TTF3YX0WN">#REF!</definedName>
    <definedName name="BExGW0KVS7U0C87XFZ78QW991IEV">#REF!</definedName>
    <definedName name="BExGW2Z7AMPG6H9EXA9ML6EZVGGA">#REF!</definedName>
    <definedName name="BExGWABG5VT5XO1A196RK61AXA8C">#REF!</definedName>
    <definedName name="BExGWEO0JDG84NYLEAV5NSOAGMJZ">#REF!</definedName>
    <definedName name="BExGWLEOC70Z8QAJTPT2PDHTNM4L">#REF!</definedName>
    <definedName name="BExGWNCXLCRTLBVMTXYJ5PHQI6SS">#REF!</definedName>
    <definedName name="BExGX6U988MCFIGDA1282F92U9AA">#REF!</definedName>
    <definedName name="BExGX7FTB1CKAT5HUW6H531FIY6I">#REF!</definedName>
    <definedName name="BExGX9DVACJQIZ4GH6YAD2A7F70O">#REF!</definedName>
    <definedName name="BExGXDVP2S2Y8Z8Q43I78RCIK3DD">#REF!</definedName>
    <definedName name="BExGXJ9W5JU7TT9S0BKL5Y6VVB39">#REF!</definedName>
    <definedName name="BExGXWB73RJ4BASBQTQ8EY0EC1EB">#REF!</definedName>
    <definedName name="BExGXZ0ABB43C7SMRKZHWOSU9EQX">#REF!</definedName>
    <definedName name="BExGY6SU3SYVCJ3AG2ITY59SAZ5A">#REF!</definedName>
    <definedName name="BExGY6YA4P5KMY2VHT0DYK3YTFAX">#REF!</definedName>
    <definedName name="BExGY8G88PVVRYHPHRPJZFSX6HSC">#REF!</definedName>
    <definedName name="BExGYC718HTZ80PNKYPVIYGRJVF6">#REF!</definedName>
    <definedName name="BExGYCNATXZY2FID93B17YWIPPRD">#REF!</definedName>
    <definedName name="BExGYGJJJ3BBCQAOA51WHP01HN73">#REF!</definedName>
    <definedName name="BExGYOS6TV2C72PLRFU8RP1I58GY">#REF!</definedName>
    <definedName name="BExGZ7NXZ0IBS44C2NZ9VMD6T6K2">#REF!</definedName>
    <definedName name="BExGZJ78ZWZCVHZ3BKEKFJZ6MAEO">#REF!</definedName>
    <definedName name="BExGZOLH2QV73J3M9IWDDPA62TP4">#REF!</definedName>
    <definedName name="BExGZP1PWGFKVVVN4YDIS22DZPCR">#REF!</definedName>
    <definedName name="BExH00L21GZX5YJJGVMOAWBERLP5">#REF!</definedName>
    <definedName name="BExH02ZD6VAY1KQLAQYBBI6WWIZB">#REF!</definedName>
    <definedName name="BExH04S5HMVZRL94KU8J0IFUD7BD">#REF!</definedName>
    <definedName name="BExH08Z6LQCGGSGSAILMHX4X7JMD">#REF!</definedName>
    <definedName name="BExH0KT9Z8HEVRRQRGQ8YHXRLIJA">#REF!</definedName>
    <definedName name="BExH0M0FDN12YBOCKL3XL2Z7T7Y8">#REF!</definedName>
    <definedName name="BExH0O9G06YPZ5TN9RYT326I1CP2">#REF!</definedName>
    <definedName name="BExH0WNJAKTJRCKMTX8O4KNMIIJM">#REF!</definedName>
    <definedName name="BExH12Y4WX542WI3ZEM15AK4UM9J">#REF!</definedName>
    <definedName name="BExH1C35KSZ7CNP9YEGHXXHGNIBS">#REF!</definedName>
    <definedName name="BExH1FDTQXR9QQ31WDB7OPXU7MPT">#REF!</definedName>
    <definedName name="BExH1FOMEUIJNIDJAUY0ZQFBJSY9">#REF!</definedName>
    <definedName name="BExH1JFFHEBFX9BWJMNIA3N66R3Z">#REF!</definedName>
    <definedName name="BExH1OZ33U5MO0K56IQSTPK1OXHM">#REF!</definedName>
    <definedName name="BExH1Z0GIUSVTF2H1G1I3PDGBNK2">#REF!</definedName>
    <definedName name="BExH225UTM6S9FW4MUDZS7F1PQSH">#REF!</definedName>
    <definedName name="BExH23271RF7AYZ542KHQTH68GQ7">#REF!</definedName>
    <definedName name="BExH2GJQR4JALNB314RY0LDI49VH">#REF!</definedName>
    <definedName name="BExH2JZR49T7644JFVE7B3N7RZM9">#REF!</definedName>
    <definedName name="BExH2UHF0QTJG107MULYB16WBJM9">#REF!</definedName>
    <definedName name="BExH2WKXV8X5S2GSBBTWGI0NLNAH">#REF!</definedName>
    <definedName name="BExH2XS1UFYFGU0S0EBXX90W2WE8">#REF!</definedName>
    <definedName name="BExH2XS2TND9SB0GC295R4FP6K5Y">#REF!</definedName>
    <definedName name="BExH2ZA0SZ4SSITL50NA8LZ3OEX6">#REF!</definedName>
    <definedName name="BExH31Z3JNVJPESWKXHILGXZHP2M">#REF!</definedName>
    <definedName name="BExH3E9HZ3QJCDZW7WI7YACFQCHE">#REF!</definedName>
    <definedName name="BExH3IRB6764RQ5HBYRLH6XCT29X">#REF!</definedName>
    <definedName name="BExIG2U8V6RSB47SXLCQG3Q68YRO">#REF!</definedName>
    <definedName name="BExIGJBO8R13LV7CZ7C1YCP974NN">#REF!</definedName>
    <definedName name="BExIGWT86FPOEYTI8GXCGU5Y3KGK">#REF!</definedName>
    <definedName name="BExIHBHXA7E7VUTBVHXXXCH3A5CL">#REF!</definedName>
    <definedName name="BExIHCZVT5TWU8BHMLCN4DA6QPA3">#REF!</definedName>
    <definedName name="BExIHPQCQTGEW8QOJVIQ4VX0P6DX">#REF!</definedName>
    <definedName name="BExII1KN91Q7DLW0UB7W2TJ5ACT9">#REF!</definedName>
    <definedName name="BExII50LI8I0CDOOZEMIVHVA2V95">#REF!</definedName>
    <definedName name="BExII5WYBI66F1RKBU0WEVLLI4L8">#REF!</definedName>
    <definedName name="BExIIXMY38TQD12CVV4S57L3I809">#REF!</definedName>
    <definedName name="BExIIY37NEVU2LGS1JE4VR9AN6W4">#REF!</definedName>
    <definedName name="BExIIYJAGXR8TPZ1KCYM7EGJ79UW">#REF!</definedName>
    <definedName name="BExIJ3160YCWGAVEU0208ZGXXG3P">#REF!</definedName>
    <definedName name="BExIJ8KUV4UTFILZQ55BAIYQZGN0">#REF!</definedName>
    <definedName name="BExIJFGZJ5ED9D6KAY4PGQYLELAX">#REF!</definedName>
    <definedName name="BExIJQK80ZEKSTV62E59AYJYUNLI">#REF!</definedName>
    <definedName name="BExIJRLX3M0YQLU1D5Y9V7HM5QNM">#REF!</definedName>
    <definedName name="BExIJV22J0QA7286KNPMHO1ZUCB3">#REF!</definedName>
    <definedName name="BExIJVI6OC7B6ZE9V4PAOYZXKNER">#REF!</definedName>
    <definedName name="BExIJWK0NGTGQ4X7D5VIVXD14JHI">#REF!</definedName>
    <definedName name="BExIJWPCIYINEJUTXU74VK7WG031">#REF!</definedName>
    <definedName name="BExIKHTXPZR5A8OHB6HDP6QWDHAD">#REF!</definedName>
    <definedName name="BExIKMMJOETSAXJYY1SIKM58LMA2">#REF!</definedName>
    <definedName name="BExIKRF6AQ6VOO9KCIWSM6FY8M7D">#REF!</definedName>
    <definedName name="BExIKTYZESFT3LC0ASFMFKSE0D1X">#REF!</definedName>
    <definedName name="BExIKXVA6M8K0PTRYAGXS666L335">#REF!</definedName>
    <definedName name="BExIL0PMZ2SXK9R6MLP43KBU1J2P">#REF!</definedName>
    <definedName name="BExILAAXRTRAD18K74M6MGUEEPUM">#REF!</definedName>
    <definedName name="BExILG5F338C0FFLMVOKMKF8X5ZP">#REF!</definedName>
    <definedName name="BExILGQTQM0HOD0BJI90YO7GOIN3">#REF!</definedName>
    <definedName name="BExILT1832BOYZPQ2ND7LS23I0X9">#REF!</definedName>
    <definedName name="BExIM9DBUB7ZGF4B20FVUO9QGOX2">#REF!</definedName>
    <definedName name="BExIMGK9Z94TFPWWZFMD10HV0IF6">#REF!</definedName>
    <definedName name="BExIMPEGKG18TELVC33T4OQTNBWC">#REF!</definedName>
    <definedName name="BExIN4OR435DL1US13JQPOQK8GD5">#REF!</definedName>
    <definedName name="BExINI6A7H3KSFRFA6UBBDPKW37F">#REF!</definedName>
    <definedName name="BExINIMK8XC3JOBT2EXYFHHH52H0">#REF!</definedName>
    <definedName name="BExINLX401ZKEGWU168DS4JUM2J6">#REF!</definedName>
    <definedName name="BExINMYYJO1FTV1CZF6O5XCFAMQX">#REF!</definedName>
    <definedName name="BExINP2H4KI05FRFV5PKZFE00HKO">#REF!</definedName>
    <definedName name="BExINZELVWYGU876QUUZCIMXPBQC">#REF!</definedName>
    <definedName name="BExIOCQUQHKUU1KONGSDOLQTQEIC">#REF!</definedName>
    <definedName name="BExIOFL8Y5O61VLKTB4H20IJNWS1">#REF!</definedName>
    <definedName name="BExIOMBXRW5NS4ZPYX9G5QREZ5J6">#REF!</definedName>
    <definedName name="BExIORA3GK78T7C7SNBJJUONJ0LS">#REF!</definedName>
    <definedName name="BExIORFDXP4AVIEBLSTZ8ETSXMNM">#REF!</definedName>
    <definedName name="BExIOTZ5EFZ2NASVQ05RH15HRSW6">#REF!</definedName>
    <definedName name="BExIP8YNN6UUE1GZ223SWH7DLGKO">#REF!</definedName>
    <definedName name="BExIPAB4AOL592OJCC1CFAXTLF1A">#REF!</definedName>
    <definedName name="BExIPB25DKX4S2ZCKQN7KWSC3JBF">#REF!</definedName>
    <definedName name="BExIPDLT8JYAMGE5HTN4D1YHZF3V">#REF!</definedName>
    <definedName name="BExIPG040Q08EWIWL6CAVR3GRI43">#REF!</definedName>
    <definedName name="BExIPKNFUDPDKOSH5GHDVNA8D66S">#REF!</definedName>
    <definedName name="BExIQ1VS9A2FHVD9TUHKG9K8EVVP">#REF!</definedName>
    <definedName name="BExIQ3J19L30PSQ2CXNT6IHW0I7V">#REF!</definedName>
    <definedName name="BExIQ3OJ7M04XCY276IO0LJA5XUK">#REF!</definedName>
    <definedName name="BExIQ5S19ITB0NDRUN4XV7B905ED">#REF!</definedName>
    <definedName name="BExIQ9TMQT2EIXSVQW7GVSOAW2VJ">#REF!</definedName>
    <definedName name="BExIQBMDE1L6J4H27K1FMSHQKDSE">#REF!</definedName>
    <definedName name="BExIQE65LVXUOF3UZFO7SDHFJH22">#REF!</definedName>
    <definedName name="BExIQG9OO2KKBOWTMD1OXY36TEGA">#REF!</definedName>
    <definedName name="BExIQX1XBB31HZTYEEVOBSE3C5A6">#REF!</definedName>
    <definedName name="BExIQYP5T1TPAQYW7QU1Q98BKX7W">#REF!</definedName>
    <definedName name="BExIR2ALYRP9FW99DK2084J7IIDC">#REF!</definedName>
    <definedName name="BExIR8FQETPTQYW37DBVDWG3J4JW">#REF!</definedName>
    <definedName name="BExIRRBGTY01OQOI3U5SW59RFDFI">#REF!</definedName>
    <definedName name="BExIS4T0DRF57HYO7OGG72KBOFOI">#REF!</definedName>
    <definedName name="BExIS77BJDDK18PGI9DSEYZPIL7P">#REF!</definedName>
    <definedName name="BExIS8USL1T3Z97CZ30HJ98E2GXQ">#REF!</definedName>
    <definedName name="BExISASS7NIQ1YNKDBFQNIPR2ZRF">#REF!</definedName>
    <definedName name="BExISC5B700MZUBFTQ9K4IKTF7HR">#REF!</definedName>
    <definedName name="BExISDHXS49S1H56ENBPRF1NLD5C">#REF!</definedName>
    <definedName name="BExISM1JLV54A21A164IURMPGUMU">#REF!</definedName>
    <definedName name="BExISRFKJYUZ4AKW44IJF7RF9Y90">#REF!</definedName>
    <definedName name="BExIT1MK8TBAK3SNP36A8FKDQSOK">#REF!</definedName>
    <definedName name="BExITBNYANV2S8KD56GOGCKW393R">#REF!</definedName>
    <definedName name="BExIUD4OJGH65NFNQ4VMCE3R4J1X">#REF!</definedName>
    <definedName name="BExIUTB5OAAXYW0OFMP0PS40SPOB">#REF!</definedName>
    <definedName name="BExIUUT2MHIOV6R3WHA0DPM1KBKY">#REF!</definedName>
    <definedName name="BExIUYPDT1AM6MWGWQS646PIZIWC">#REF!</definedName>
    <definedName name="BExIV0I2O9F8D1UK1SI8AEYR6U0A">#REF!</definedName>
    <definedName name="BExIV2LM38XPLRTWT0R44TMQ59E5">#REF!</definedName>
    <definedName name="BExIV3HY4S0YRV1F7XEMF2YHAR2I">#REF!</definedName>
    <definedName name="BExIV6HUZFRIFLXW2SICKGTAH1PV">#REF!</definedName>
    <definedName name="BExIVC6WZMHRBRGIBUVX0CO2RK05">#REF!</definedName>
    <definedName name="BExIVCXWL6H5LD9DHDIA4F5U9TQL">#REF!</definedName>
    <definedName name="BExIVMOIPSEWSIHIDDLOXESQ28A0">#REF!</definedName>
    <definedName name="BExIVNVNJX9BYDLC88NG09YF5XQ6">#REF!</definedName>
    <definedName name="BExIVQVKLMGSRYT1LFZH0KUIA4OR">#REF!</definedName>
    <definedName name="BExIVYTFI35KNR2XSA6N8OJYUTUR">#REF!</definedName>
    <definedName name="BExIWB3SY3WRIVIOF988DNNODBOA">#REF!</definedName>
    <definedName name="BExIWB99CG0H52LRD6QWPN4L6DV2">#REF!</definedName>
    <definedName name="BExIWG1W7XP9DFYYSZAIOSHM0QLQ">#REF!</definedName>
    <definedName name="BExIWH3KUK94B7833DD4TB0Y6KP9">#REF!</definedName>
    <definedName name="BExIWKE9MGIDWORBI43AWTUNYFAN">#REF!</definedName>
    <definedName name="BExIX34PM5DBTRHRQWP6PL6WIX88">#REF!</definedName>
    <definedName name="BExIX5OAP9KSUE5SIZCW9P39Q4WE">#REF!</definedName>
    <definedName name="BExIXGRJPVJMUDGSG7IHPXPNO69B">#REF!</definedName>
    <definedName name="BExIXJGNNG7AH5373MTUR1DXTNFG">#REF!</definedName>
    <definedName name="BExIXM5R87ZL3FHALWZXYCPHGX3E">#REF!</definedName>
    <definedName name="BExIXS036ZCKT2Z8XZKLZ8PFWQGL">#REF!</definedName>
    <definedName name="BExIXY5CF9PFM0P40AZ4U51TMWV0">#REF!</definedName>
    <definedName name="BExIY1W3N1AL4OTL3ARH683JFMU7">#REF!</definedName>
    <definedName name="BExIYEXJBK8JDWIRSVV4RJSKZVV1">#REF!</definedName>
    <definedName name="BExIYI2RH0K4225XO970K2IQ1E79">#REF!</definedName>
    <definedName name="BExIYMPZ0KS2KOJFQAUQJ77L7701">#REF!</definedName>
    <definedName name="BExIYP9Q6FV9T0R9G3UDKLS4TTYX">#REF!</definedName>
    <definedName name="BExIYZGLDQ1TN7BIIN4RLDP31GIM">#REF!</definedName>
    <definedName name="BExIZ4K0EZJK6PW3L8SVKTJFSWW9">#REF!</definedName>
    <definedName name="BExIZAECOEZGBAO29QMV14E6XDIV">#REF!</definedName>
    <definedName name="BExIZKVXYD5O2JBU81F2UFJZLLSI">#REF!</definedName>
    <definedName name="BExIZPZDHC8HGER83WHCZAHOX7LK">#REF!</definedName>
    <definedName name="BExIZY2PUZ0OF9YKK1B13IW0VS6G">#REF!</definedName>
    <definedName name="BExJ08KBRR2XMWW3VZMPSQKXHZUH">#REF!</definedName>
    <definedName name="BExJ0DYJWXGE7DA39PYL3WM05U9O">#REF!</definedName>
    <definedName name="BExJ0MY8SY5J5V50H3UKE78ODTVB">#REF!</definedName>
    <definedName name="BExJ0YC98G37ML4N8FLP8D95EFRF">#REF!</definedName>
    <definedName name="BExKCDYKAEV45AFXHVHZZ62E5BM3">#REF!</definedName>
    <definedName name="BExKDKO0W4AGQO1V7K6Q4VM750FT">#REF!</definedName>
    <definedName name="BExKDLF10G7W77J87QWH3ZGLUCLW">#REF!</definedName>
    <definedName name="BExKEFE0I3MT6ZLC4T1L9465HKTN">#REF!</definedName>
    <definedName name="BExKEK6O5BVJP4VY02FY7JNAZ6BT">#REF!</definedName>
    <definedName name="BExKEKXK6E6QX339ELPXDIRZSJE0">#REF!</definedName>
    <definedName name="BExKEOOIBMP7N8033EY2CJYCBX6H">#REF!</definedName>
    <definedName name="BExKEW0RR5LA3VC46A2BEOOMQE56">#REF!</definedName>
    <definedName name="BExKFA3VI1CZK21SM0N3LZWT9LA1">#REF!</definedName>
    <definedName name="BExKFINBFV5J2NFRCL4YUO3YF0ZE">#REF!</definedName>
    <definedName name="BExKFISRBFACTAMJSALEYMY66F6X">#REF!</definedName>
    <definedName name="BExKFOSK5DJ151C4E8544UWMYTOC">#REF!</definedName>
    <definedName name="BExKFYJC4EVEV54F82K6VKP7Q3OU">#REF!</definedName>
    <definedName name="BExKG4IYHBKQQ8J8FN10GB2IKO33">#REF!</definedName>
    <definedName name="BExKGF0L44S78D33WMQ1A75TRKB9">#REF!</definedName>
    <definedName name="BExKGFRN31B3G20LMQ4LRF879J68">#REF!</definedName>
    <definedName name="BExKGJD3U3ADZILP20U3EURP0UQP">#REF!</definedName>
    <definedName name="BExKGNK5YGKP0YHHTAAOV17Z9EIM">#REF!</definedName>
    <definedName name="BExKGV77YH9YXIQTRKK2331QGYKF">#REF!</definedName>
    <definedName name="BExKH3FTZ5VGTB86W9M4AB39R0G8">#REF!</definedName>
    <definedName name="BExKH3FV5U5O6XZM7STS3NZKQFGJ">#REF!</definedName>
    <definedName name="BExKHAMUH8NR3HRV0V6FHJE3ROLN">#REF!</definedName>
    <definedName name="BExKHCFKOWFHO2WW0N7Y5XDXEWAO">#REF!</definedName>
    <definedName name="BExKHIVLONZ46HLMR50DEXKEUNEP">#REF!</definedName>
    <definedName name="BExKHKDK2PRBCUJS8TEDP8K3VODQ">#REF!</definedName>
    <definedName name="BExKHPM9XA0ADDK7TUR0N38EXWEP">#REF!</definedName>
    <definedName name="BExKHZ7KO3U5MTGZDMW16IR4UAJT">#REF!</definedName>
    <definedName name="BExKI4076KXCDE5KXL79KT36OKLO">#REF!</definedName>
    <definedName name="BExKI7LO70WYISR7Q0Y1ZDWO9M3B">#REF!</definedName>
    <definedName name="BExKIGQV6TXIZG039HBOJU62WP2U">#REF!</definedName>
    <definedName name="BExKILE008SF3KTAN8WML3XKI1NZ">#REF!</definedName>
    <definedName name="BExKINSBB6RS7I489QHMCOMU4Z2X">#REF!</definedName>
    <definedName name="BExKIU87ZKSOC2DYZWFK6SAK9I8E">#REF!</definedName>
    <definedName name="BExKJ449HLYX2DJ9UF0H9GTPSQ73">#REF!</definedName>
    <definedName name="BExKJELX2RUC8UEC56IZPYYZXHA7">#REF!</definedName>
    <definedName name="BExKJINMXS61G2TZEXCJAWVV4F57">#REF!</definedName>
    <definedName name="BExKJK5ME8KB7HA0180L7OUZDDGV">#REF!</definedName>
    <definedName name="BExKJN5IF0VMDILJ5K8ZENF2QYV1">#REF!</definedName>
    <definedName name="BExKJUSJPFUIK20FTVAFJWR2OUYX">#REF!</definedName>
    <definedName name="BExKK4OLYZWF98NTEYECSSC4MJIK">#REF!</definedName>
    <definedName name="BExKK8VP5RS3D0UXZVKA37C4SYBP">#REF!</definedName>
    <definedName name="BExKKIM9NPF6B3SPMPIQB27HQME4">#REF!</definedName>
    <definedName name="BExKKIX1BCBQ4R3K41QD8NTV0OV0">#REF!</definedName>
    <definedName name="BExKKQ3ZWADYV03YHMXDOAMU90EB">#REF!</definedName>
    <definedName name="BExKKUGD2HMJWQEYZ8H3X1BMXFS9">#REF!</definedName>
    <definedName name="BExKKX05KCZZZPKOR1NE5A8RGVT4">#REF!</definedName>
    <definedName name="BExKLD6S9L66QYREYHBE5J44OK7X">#REF!</definedName>
    <definedName name="BExKLEZK32L28GYJWVO63BZ5E1JD">#REF!</definedName>
    <definedName name="BExKLLKVVHT06LA55JB2FC871DC5">#REF!</definedName>
    <definedName name="BExKMWBX4EH3EYJ07UFEM08NB40Z">#REF!</definedName>
    <definedName name="BExKNBGV2IR3S7M0BX4810KZB4V3">#REF!</definedName>
    <definedName name="BExKNCTBZTSY3MO42VU5PLV6YUHZ">#REF!</definedName>
    <definedName name="BExKNGV2YY749C42AQ2T9QNIE5C3">#REF!</definedName>
    <definedName name="BExKNV8UOHVWEHDJWI2WMJ9X6QHZ">#REF!</definedName>
    <definedName name="BExKNZLD7UATC1MYRNJD8H2NH4KU">#REF!</definedName>
    <definedName name="BExKNZQUKQQG2Y97R74G4O4BJP1L">#REF!</definedName>
    <definedName name="BExKO06X0EAD3ABEG1E8PWLDWHBA">#REF!</definedName>
    <definedName name="BExKO2AHHSGNI1AZOIOW21KPXKPE">#REF!</definedName>
    <definedName name="BExKO2FXWJWC5IZLDN8JHYILQJ2N">#REF!</definedName>
    <definedName name="BExKO438WZ8FKOU00NURGFMOYXWN">#REF!</definedName>
    <definedName name="BExKODIZGWW2EQD0FEYW6WK6XLCM">#REF!</definedName>
    <definedName name="BExKOPO2HPWVQGAKW8LOZMPIDEFG">#REF!</definedName>
    <definedName name="BExKPEZP0QTKOTLIMMIFSVTHQEEK">#REF!</definedName>
    <definedName name="BExKPLQJX0HJ8OTXBXH9IC9J2V0W">#REF!</definedName>
    <definedName name="BExKPN8C7GN36ZJZHLOB74LU6KT0">#REF!</definedName>
    <definedName name="BExKPX9VZ1J5021Q98K60HMPJU58">#REF!</definedName>
    <definedName name="BExKQJGAAWNM3NT19E9I0CQDBTU0">#REF!</definedName>
    <definedName name="BExKQM5GJ1ZN5REKFE7YVBQ0KXWF">#REF!</definedName>
    <definedName name="BExKQOEA7HV9U5DH9C8JXFD62EKH">#REF!</definedName>
    <definedName name="BExKQQ71278061G7ZFYGPWOMOMY2">#REF!</definedName>
    <definedName name="BExKQTXRG3ECU8NT47UR7643LO5G">#REF!</definedName>
    <definedName name="BExKQVL7HPOIZ4FHANDFMVOJLEPR">#REF!</definedName>
    <definedName name="BExKR32XG1WY77WDT8KW9FJPGQTU">#REF!</definedName>
    <definedName name="BExKR8RZSEHW184G0Z56B4EGNU72">#REF!</definedName>
    <definedName name="BExKRVUSQ6PA7ZYQSTEQL3X7PB9P">#REF!</definedName>
    <definedName name="BExKRY3KZ7F7RB2KH8HXSQ85IEQO">#REF!</definedName>
    <definedName name="BExKSA37DZTCK6H13HPIKR0ZFVL8">#REF!</definedName>
    <definedName name="BExKSFMOMSZYDE0WNC94F40S6636">#REF!</definedName>
    <definedName name="BExKSHQ9K79S8KYUWIV5M5LAHHF1">#REF!</definedName>
    <definedName name="BExKSIS3VA1NCEFCZZSIK8B3YIBZ">#REF!</definedName>
    <definedName name="BExKSJTWG9L3FCX8FLK4EMUJMF27">#REF!</definedName>
    <definedName name="BExKSU0MKNAVZYYPKCYTZDWQX4R8">#REF!</definedName>
    <definedName name="BExKSX60G1MUS689FXIGYP2F7C62">#REF!</definedName>
    <definedName name="BExKT2UZ7Y2VWF5NQE18SJRLD2RN">#REF!</definedName>
    <definedName name="BExKT3GJFNGAM09H5F615E36A38C">#REF!</definedName>
    <definedName name="BExKTDCN89BRASP3VCO545X7O31O">#REF!</definedName>
    <definedName name="BExKTQZGN8GI3XGSEXMPCCA3S19H">#REF!</definedName>
    <definedName name="BExKTUKYYU0F6TUW1RXV24LRAZFE">#REF!</definedName>
    <definedName name="BExKU3FBLHQBIUTN6XEZW5GC9OG1">#REF!</definedName>
    <definedName name="BExKU82I99FEUIZLODXJDOJC96CQ">#REF!</definedName>
    <definedName name="BExKUDM0DFSCM3D91SH0XLXJSL18">#REF!</definedName>
    <definedName name="BExKULEKJLA77AUQPDUHSM94Y76Z">#REF!</definedName>
    <definedName name="BExKUWN9JTC5ZN4KP6QC4QWH4H4M">#REF!</definedName>
    <definedName name="BExKV08R85MKI3MAX9E2HERNQUNL">#REF!</definedName>
    <definedName name="BExKV4AAUNNJL5JWD7PX6BFKVS6O">#REF!</definedName>
    <definedName name="BExKVDVK6HN74GQPTXICP9BFC8CF">#REF!</definedName>
    <definedName name="BExKVFZ3ZZGIC1QI8XN6BYFWN0ZY">#REF!</definedName>
    <definedName name="BExKVG4KGO28KPGTAFL1R8TTZ10N">#REF!</definedName>
    <definedName name="BExKW0CSH7DA02YSNV64PSEIXB2P">#REF!</definedName>
    <definedName name="BExM9NUG3Q31X01AI9ZJCZIX25CS">#REF!</definedName>
    <definedName name="BExM9OG182RP30MY23PG49LVPZ1C">#REF!</definedName>
    <definedName name="BExMA64MW1S18NH8DCKPCCEI5KCB">#REF!</definedName>
    <definedName name="BExMALEWFUEM8Y686IT03ECURUBR">#REF!</definedName>
    <definedName name="BExMAR3XSK6RSFLHP7ZX1EWGHASI">#REF!</definedName>
    <definedName name="BExMAXJS82ZJ8RS22VLE0V0LDUII">#REF!</definedName>
    <definedName name="BExMB4QRS0R3MTB4CMUHFZ84LNZQ">#REF!</definedName>
    <definedName name="BExMBC35WKQY5CWQJLV4D05O6971">#REF!</definedName>
    <definedName name="BExMBFTZV4Q1A5KG25C1N9PHQNSW">#REF!</definedName>
    <definedName name="BExMBK6ISK3U7KHZKUJXIDKGF6VW">#REF!</definedName>
    <definedName name="BExMBMFBZI45TE9S6LCCQ4UKVJH6">#REF!</definedName>
    <definedName name="BExMBXTCHRY37GZB3EXNA6FKCK5A">#REF!</definedName>
    <definedName name="BExMC8AZUTX8LG89K2JJR7ZG62XX">#REF!</definedName>
    <definedName name="BExMCA96YR10V72G2R0SCIKPZLIZ">#REF!</definedName>
    <definedName name="BExMCB5JU5I2VQDUBS4O42BTEVKI">#REF!</definedName>
    <definedName name="BExMCFSQFSEMPY5IXDIRKZDASDBR">#REF!</definedName>
    <definedName name="BExMCMZOEYWVOOJ98TBHTTCS7XB8">#REF!</definedName>
    <definedName name="BExMCS8EF2W3FS9QADNKREYSI8P0">#REF!</definedName>
    <definedName name="BExMCUS7GSOM96J0HJ7EH0FFM2AC">#REF!</definedName>
    <definedName name="BExMCYTT6TVDWMJXO1NZANRTVNAN">#REF!</definedName>
    <definedName name="BExMD5F6IAV108XYJLXUO9HD0IT6">#REF!</definedName>
    <definedName name="BExMDANV66W9T3XAXID40XFJ0J93">#REF!</definedName>
    <definedName name="BExMDGD1KQP7NNR78X2ZX4FCBQ1S">#REF!</definedName>
    <definedName name="BExMDIRDK0DI8P86HB7WPH8QWLSQ">#REF!</definedName>
    <definedName name="BExMDPI2FVMORSWDDCVAJ85WYAYO">#REF!</definedName>
    <definedName name="BExMDUWB7VWHFFR266QXO46BNV2S">#REF!</definedName>
    <definedName name="BExME2U47N8LZG0BPJ49ANY5QVV2">#REF!</definedName>
    <definedName name="BExME88DH5DUKMUFI9FNVECXFD2E">#REF!</definedName>
    <definedName name="BExME9A7MOGAK7YTTQYXP5DL6VYA">#REF!</definedName>
    <definedName name="BExMEOV9YFRY5C3GDLU60GIX10BY">#REF!</definedName>
    <definedName name="BExMEY09ESM4H2YGKEQQRYUD114R">#REF!</definedName>
    <definedName name="BExMF4G4IUPQY1Y5GEY5N3E04CL6">#REF!</definedName>
    <definedName name="BExMF9UIGYMOAQK0ELUWP0S0HZZY">#REF!</definedName>
    <definedName name="BExMFDLBSWFMRDYJ2DZETI3EXKN2">#REF!</definedName>
    <definedName name="BExMFLDTMRTCHKA37LQW67BG8D5C">#REF!</definedName>
    <definedName name="BExMG9NSK30KD01QX0UBN2VNRTG4">#REF!</definedName>
    <definedName name="BExMGCCRMFS7FKYJTTXKQN5QX0R6">#REF!</definedName>
    <definedName name="BExMGG3PFIHPHX7NXB7HDFI3N12L">#REF!</definedName>
    <definedName name="BExMH3H9TW5TJCNU5Z1EWXP3BAEP">#REF!</definedName>
    <definedName name="BExMHOWPB34KPZ76M2KIX2C9R2VB">#REF!</definedName>
    <definedName name="BExMHSSYC6KVHA3QDTSYPN92TWMI">#REF!</definedName>
    <definedName name="BExMI0WA793SF41LQ40A28U8OXQY">#REF!</definedName>
    <definedName name="BExMI3AJ9477KDL4T9DHET4LJJTW">#REF!</definedName>
    <definedName name="BExMI6L9KX05GAK523JFKICJMTA5">#REF!</definedName>
    <definedName name="BExMI6QQ20XHD0NWJUN741B37182">#REF!</definedName>
    <definedName name="BExMI8JB94SBD9EMNJEK7Y2T6GYU">#REF!</definedName>
    <definedName name="BExMI8OS85YTW3KYVE4YD0R7Z6UV">#REF!</definedName>
    <definedName name="BExMIBOOZU40JS3F89OMPSRCE9MM">#REF!</definedName>
    <definedName name="BExMIIQ5MBWSIHTFWAQADXMZC22Q">#REF!</definedName>
    <definedName name="BExMIL4I2GE866I25CR5JBLJWJ6A">#REF!</definedName>
    <definedName name="BExMIRKIPF27SNO82SPFSB3T5U17">#REF!</definedName>
    <definedName name="BExMIV0KC8555D5E42ZGWG15Y0MO">#REF!</definedName>
    <definedName name="BExMIZT6AN7E6YMW2S87CTCN2UXH">#REF!</definedName>
    <definedName name="BExMJ15T9F3475M0896SG60TN0SR">#REF!</definedName>
    <definedName name="BExMJNC8ZFB9DRFOJ961ZAJ8U3A8">#REF!</definedName>
    <definedName name="BExMJTBV8A3D31W2IQHP9RDFPPHQ">#REF!</definedName>
    <definedName name="BExMK2RTXN4QJWEUNX002XK8VQP8">#REF!</definedName>
    <definedName name="BExMKBGQDUZ8AWXYHA3QVMSDVZ3D">#REF!</definedName>
    <definedName name="BExMKBM1467553LDFZRRKVSHN374">#REF!</definedName>
    <definedName name="BExMKGK5FJUC0AU8MABRGDC5ZM70">#REF!</definedName>
    <definedName name="BExMKTW7R5SOV4PHAFGHU3W73DYE">#REF!</definedName>
    <definedName name="BExMKU7051J2W1RQXGZGE62NBRUZ">#REF!</definedName>
    <definedName name="BExMKUN3WPECJR2XRID2R7GZRGNX">#REF!</definedName>
    <definedName name="BExMKZ535P011X4TNV16GCOH4H21">#REF!</definedName>
    <definedName name="BExML3XQNDIMX55ZCHHXKUV3D6E6">#REF!</definedName>
    <definedName name="BExML5QGSWHLI18BGY4CGOTD3UWH">#REF!</definedName>
    <definedName name="BExMLO5Z61RE85X8HHX2G4IU3AZW">#REF!</definedName>
    <definedName name="BExMLVI7UORSHM9FMO8S2EI0TMTS">#REF!</definedName>
    <definedName name="BExMM5UCOT2HSSN0ZIPZW55GSOVO">#REF!</definedName>
    <definedName name="BExMM8ZRS5RQ8H1H55RVPVTDL5NL">#REF!</definedName>
    <definedName name="BExMMH8EAZB09XXQ5X4LR0P4NHG9">#REF!</definedName>
    <definedName name="BExMMIQH5BABNZVCIQ7TBCQ10AY5">#REF!</definedName>
    <definedName name="BExMMNIZ2T7M22WECMUQXEF4NJ71">#REF!</definedName>
    <definedName name="BExMMPMIOU7BURTV0L1K6ACW9X73">#REF!</definedName>
    <definedName name="BExMMQ835AJDHS4B419SS645P67Q">#REF!</definedName>
    <definedName name="BExMMQIUVPCOBISTEJJYNCCLUCPY">#REF!</definedName>
    <definedName name="BExMMTIXETA5VAKBSOFDD5SRU887">#REF!</definedName>
    <definedName name="BExMMTO8OR64EIQQ4R83NNJ0SZW7">#REF!</definedName>
    <definedName name="BExMMV0P6P5YS3C35G0JYYHI7992">#REF!</definedName>
    <definedName name="BExMNDR4V2VG5RFZDGTAGD3Q9PPG">#REF!</definedName>
    <definedName name="BExMNJLFWZBRN9PZF1IO9CYWV1B2">#REF!</definedName>
    <definedName name="BExMNKCJ0FA57YEUUAJE43U1QN5P">#REF!</definedName>
    <definedName name="BExMNKN5D1WEF2OOJVP6LZ6DLU3Y">#REF!</definedName>
    <definedName name="BExMNR38HMPLWAJRQ9MMS3ZAZ9IU">#REF!</definedName>
    <definedName name="BExMNRDZULKJMVY2VKIIRM2M5A1M">#REF!</definedName>
    <definedName name="BExMO9IOWKTWHO8LQJJQI5P3INWY">#REF!</definedName>
    <definedName name="BExMOI29DOEK5R1A5QZPUDKF7N6T">#REF!</definedName>
    <definedName name="BExMPAJ5AJAXGKGK3F6H3ODS6RF4">#REF!</definedName>
    <definedName name="BExMPD2X55FFBVJ6CBUKNPROIOEU">#REF!</definedName>
    <definedName name="BExMPGZ848E38FUH1JBQN97DGWAT">#REF!</definedName>
    <definedName name="BExMPMTICOSMQENOFKQ18K0ZT4S8">#REF!</definedName>
    <definedName name="BExMPMZ07II0R4KGWQQ7PGS3RZS4">#REF!</definedName>
    <definedName name="BExMPOBH04JMDO6Z8DMSEJZM4ANN">#REF!</definedName>
    <definedName name="BExMPSD77XQ3HA6A4FZOJK8G2JP3">#REF!</definedName>
    <definedName name="BExMQ4I3Q7F0BMPHSFMFW9TZ87UD">#REF!</definedName>
    <definedName name="BExMQ4SWDWI4N16AZ0T5CJ6HH8WC">#REF!</definedName>
    <definedName name="BExMQ71WHW50GVX45JU951AGPLFQ">#REF!</definedName>
    <definedName name="BExMQGXSLPT4A6N47LE6FBVHWBOF">#REF!</definedName>
    <definedName name="BExMQSBR7PL4KLB1Q4961QO45Y4G">#REF!</definedName>
    <definedName name="BExMR1MA4I1X77714ZEPUVC8W398">#REF!</definedName>
    <definedName name="BExMR8YQHA7N77HGHY4Y6R30I3XT">#REF!</definedName>
    <definedName name="BExMRENOIARWRYOIVPDIEBVNRDO7">#REF!</definedName>
    <definedName name="BExMRQHUEHGF2FS4LCB0THFELGDI">#REF!</definedName>
    <definedName name="BExMRRJNUMGRSDD5GGKKGEIZ6FTS">#REF!</definedName>
    <definedName name="BExMRU3ACIU0RD2BNWO55LH5U2BR">#REF!</definedName>
    <definedName name="BExMSQRCC40AP8BDUPL2I2DNC210">#REF!</definedName>
    <definedName name="BExO4DVFVQLU8PI7AFHRE1URLEPI">#REF!</definedName>
    <definedName name="BExO4J9LR712G00TVA82VNTG8O7H">#REF!</definedName>
    <definedName name="BExO55G2KVZ7MIJ30N827CLH0I2A">#REF!</definedName>
    <definedName name="BExO5A8PZD9EUHC5CMPU6N3SQ15L">#REF!</definedName>
    <definedName name="BExO5XMAHL7CY3X0B1OPKZ28DCJ5">#REF!</definedName>
    <definedName name="BExO66LZJKY4PTQVREELI6POS4AY">#REF!</definedName>
    <definedName name="BExO6LLHCYTF7CIVHKAO0NMET14Q">#REF!</definedName>
    <definedName name="BExO7OUQS3XTUQ2LDKGQ8AAQ3OJJ">#REF!</definedName>
    <definedName name="BExO7RUSODZC2NQZMT2AFSMV2ONF">#REF!</definedName>
    <definedName name="BExO85HMYXZJ7SONWBKKIAXMCI3C">#REF!</definedName>
    <definedName name="BExO863922O4PBGQMUNEQKGN3K96">#REF!</definedName>
    <definedName name="BExO89ZIOXN0HOKHY24F7HDZ87UT">#REF!</definedName>
    <definedName name="BExO8CDTBCABLEUD6PE2UM2EZ6C4">#REF!</definedName>
    <definedName name="BExO8IZ05ZG0XVOL3W41KBQE176A">#REF!</definedName>
    <definedName name="BExO8UTAGQWDBQZEEF4HUNMLQCVU">#REF!</definedName>
    <definedName name="BExO937E20IHMGQOZMECL3VZC7OX">#REF!</definedName>
    <definedName name="BExO94UTJKQQ7TJTTJRTSR70YVJC">#REF!</definedName>
    <definedName name="BExO9J3A438976RXIUX5U9SU5T55">#REF!</definedName>
    <definedName name="BExO9RS5RXFJ1911HL3CCK6M74EP">#REF!</definedName>
    <definedName name="BExO9SDRI1M6KMHXSG3AE5L0F2U3">#REF!</definedName>
    <definedName name="BExO9V2U2YXAY904GYYGU6TD8Y7M">#REF!</definedName>
    <definedName name="BExOAQ3GKCT7YZW1EMVU3EILSZL2">#REF!</definedName>
    <definedName name="BExOB9KT2THGV4SPLDVFTFXS4B14">#REF!</definedName>
    <definedName name="BExOBEZ0IE2WBEYY3D3CMRI72N1K">#REF!</definedName>
    <definedName name="BExOBIPU8760ITY0C8N27XZ3KWEF">#REF!</definedName>
    <definedName name="BExOBM0I5L0MZ1G4H9MGMD87SBMZ">#REF!</definedName>
    <definedName name="BExOBOUXMP88KJY2BX2JLUJH5N0K">#REF!</definedName>
    <definedName name="BExOBP0FKQ4SVR59FB48UNLKCOR6">#REF!</definedName>
    <definedName name="BExOBYAVUCQ0IGM0Y6A75QHP0Q1A">#REF!</definedName>
    <definedName name="BExOC3UEHB1CZNINSQHZANWJYKR8">#REF!</definedName>
    <definedName name="BExOCBSF3XGO9YJ23LX2H78VOUR7">#REF!</definedName>
    <definedName name="BExOCKXFMOW6WPFEVX1I7R7FNDSS">#REF!</definedName>
    <definedName name="BExOCYEXOB95DH5NOB0M5NOYX398">#REF!</definedName>
    <definedName name="BExOD4ERMDMFD8X1016N4EXOUR0S">#REF!</definedName>
    <definedName name="BExOD55RS7BQUHRQ6H3USVGKR0P7">#REF!</definedName>
    <definedName name="BExODEWDDEABM4ZY3XREJIBZ8IVP">#REF!</definedName>
    <definedName name="BExODNLAA1L7WQ9ZQX6A1ZOXK9VR">#REF!</definedName>
    <definedName name="BExODZFEIWV26E8RFU7XQYX1J458">#REF!</definedName>
    <definedName name="BExOEAIL8Y5AP7WWVG2YVUTX02CX">#REF!</definedName>
    <definedName name="BExOEBKG55EROA2VL360A06LKASE">#REF!</definedName>
    <definedName name="BExOERG5LWXYYEN1DY1H2FWRJS9T">#REF!</definedName>
    <definedName name="BExOEV1S6JJVO5PP4BZ20SNGZR7D">#REF!</definedName>
    <definedName name="BExOFEDNCYI2TPTMQ8SJN3AW4YMF">#REF!</definedName>
    <definedName name="BExOFVLXVD6RVHSQO8KZOOACSV24">#REF!</definedName>
    <definedName name="BExOG2SW3XOGP9VAPQ3THV3VWV12">#REF!</definedName>
    <definedName name="BExOG45J81K4OPA40KW5VQU54KY3">#REF!</definedName>
    <definedName name="BExOGFE2SCL8HHT4DFAXKLUTJZOG">#REF!</definedName>
    <definedName name="BExOGT6D0LJ3C22RDW8COECKB1J5">#REF!</definedName>
    <definedName name="BExOGTMI1HT31M1RGWVRAVHAK7DE">#REF!</definedName>
    <definedName name="BExOGXO9JE5XSE9GC3I6O21UEKAO">#REF!</definedName>
    <definedName name="BExOH9ICZ13C1LAW8OTYTR9S7ZP3">#REF!</definedName>
    <definedName name="BExOHL75H3OT4WAKKPUXIVXWFVDS">#REF!</definedName>
    <definedName name="BExOHLHXXJL6363CC082M9M5VVXQ">#REF!</definedName>
    <definedName name="BExOHNAO5UDXSO73BK2ARHWKS90Y">#REF!</definedName>
    <definedName name="BExOHR1G1I9A9CI1HG94EWBLWNM2">#REF!</definedName>
    <definedName name="BExOHTQPP8LQ98L6PYUI6QW08YID">#REF!</definedName>
    <definedName name="BExOHX6Q6NJI793PGX59O5EKTP4G">#REF!</definedName>
    <definedName name="BExOI5VMTHH7Y8MQQ1N635CHYI0P">#REF!</definedName>
    <definedName name="BExOIEVCP4Y6VDS23AK84MCYYHRT">#REF!</definedName>
    <definedName name="BExOIHPQIXR0NDR5WD01BZKPKEO3">#REF!</definedName>
    <definedName name="BExOIM7L0Z3LSII9P7ZTV4KJ8RMA">#REF!</definedName>
    <definedName name="BExOIWJVMJ6MG6JC4SPD1L00OHU1">#REF!</definedName>
    <definedName name="BExOIYCN8Z4JK3OOG86KYUCV0ME8">#REF!</definedName>
    <definedName name="BExOJ3AKZ9BCBZT3KD8WMSLK6MN2">#REF!</definedName>
    <definedName name="BExOJ7XQK71I4YZDD29AKOOWZ47E">#REF!</definedName>
    <definedName name="BExOJCVVDXB9E0TY5822C3VU04CK">#REF!</definedName>
    <definedName name="BExOJM0W6XGSW5MXPTTX0GNF6SFT">#REF!</definedName>
    <definedName name="BExOJXEUJJ9SYRJXKYYV2NCCDT2R">#REF!</definedName>
    <definedName name="BExOK0EQYM9JUMAGWOUN7QDH7VMZ">#REF!</definedName>
    <definedName name="BExOK4WM9O7QNG6O57FOASI5QSN1">#REF!</definedName>
    <definedName name="BExOKF8RFQPH2WJ9SG1774IZWYD9">#REF!</definedName>
    <definedName name="BExOKKHOPWUVRJGQJ5ONR2U40JX8">#REF!</definedName>
    <definedName name="BExOKKXS4CHN592XZULMHNPWPJ14">#REF!</definedName>
    <definedName name="BExOKTXMJP351VXKH8VT6SXUNIMF">#REF!</definedName>
    <definedName name="BExOKU8GMLOCNVORDE329819XN67">#REF!</definedName>
    <definedName name="BExOL0Z3Z7IAMHPB91EO2MF49U57">#REF!</definedName>
    <definedName name="BExOL7KH12VAR0LG741SIOJTLWFD">#REF!</definedName>
    <definedName name="BExOLICXFHJLILCJVFMJE5MGGWKR">#REF!</definedName>
    <definedName name="BExOLOI0WJS3QC12I3ISL0D9AWOF">#REF!</definedName>
    <definedName name="BExOLYZNG5RBD0BTS1OEZJNU92Q5">#REF!</definedName>
    <definedName name="BExOM3HIJ3UZPOKJI68KPBJAHPDC">#REF!</definedName>
    <definedName name="BExOMKPURE33YQ3K1JG9NVQD4W49">#REF!</definedName>
    <definedName name="BExOMP7NGCLUNFK50QD2LPKRG078">#REF!</definedName>
    <definedName name="BExOMU0A6XMY48SZRYL4WQZD13BI">#REF!</definedName>
    <definedName name="BExOMVT0HSNC59DJP4CLISASGHKL">#REF!</definedName>
    <definedName name="BExON0AX35F2SI0UCVMGWGVIUNI3">#REF!</definedName>
    <definedName name="BExON41U4296DV3DPG6I5EF3OEYF">#REF!</definedName>
    <definedName name="BExONB3A7CO4YD8RB41PHC93BQ9M">#REF!</definedName>
    <definedName name="BExONFQH6UUXF8V0GI4BRIST9RFO">#REF!</definedName>
    <definedName name="BExONIL31DZWU7IFVN3VV0XTXJA1">#REF!</definedName>
    <definedName name="BExONJ1BU17R0F5A2UP1UGJBOGKS">#REF!</definedName>
    <definedName name="BExONNZ9VMHVX3J6NLNJY7KZA61O">#REF!</definedName>
    <definedName name="BExONRQ1BAA4F3TXP2MYQ4YCZ09S">#REF!</definedName>
    <definedName name="BExOO1WWIZSGB0YTGKESB45TSVMZ">#REF!</definedName>
    <definedName name="BExOO4B8FPAFYPHCTYTX37P1TQM5">#REF!</definedName>
    <definedName name="BExOOIULUDOJRMYABWV5CCL906X6">#REF!</definedName>
    <definedName name="BExOOTN0KTXJCL7E476XBN1CJ553">#REF!</definedName>
    <definedName name="BExOP9DEBV5W5P4Q25J3XCJBP5S9">#REF!</definedName>
    <definedName name="BExOPFNYRBL0BFM23LZBJTADNOE4">#REF!</definedName>
    <definedName name="BExOPINVFSIZMCVT9YGT2AODVCX3">#REF!</definedName>
    <definedName name="BExOQ1JN4SAC44RTMZIGHSW023WA">#REF!</definedName>
    <definedName name="BExOQ256YMF115DJL3KBPNKABJ90">#REF!</definedName>
    <definedName name="BExQ19DEUOLC11IW32E2AMVZLFF1">#REF!</definedName>
    <definedName name="BExQ1FD6KISGYU1JWEQ4G243ZPVD">#REF!</definedName>
    <definedName name="BExQ29C73XR33S3668YYSYZAIHTG">#REF!</definedName>
    <definedName name="BExQ2FS228IUDUP2023RA1D4AO4C">#REF!</definedName>
    <definedName name="BExQ2L0XYWLY9VPZWXYYFRIRQRJ1">#REF!</definedName>
    <definedName name="BExQ2M841F5Z1BQYR8DG5FKK0LIU">#REF!</definedName>
    <definedName name="BExQ2NKMTXSUZO64MSARR536CZJ0">#REF!</definedName>
    <definedName name="BExQ300G8I8TK45A0MVHV15422EU">#REF!</definedName>
    <definedName name="BExQ39R28MXSG2SEV956F0KZ20AN">#REF!</definedName>
    <definedName name="BExQ3D1P3M5Z3HLMEZ17E0BLEE4U">#REF!</definedName>
    <definedName name="BExQ3O4W7QF8BOXTUT4IOGF6YKUD">#REF!</definedName>
    <definedName name="BExQ3PXOWSN8561ZR8IEY8ZASI3B">#REF!</definedName>
    <definedName name="BExQ3TZF04IPY0B0UG9CQQ5736UA">#REF!</definedName>
    <definedName name="BExQ42IU9MNDYLODP41DL6YTZMAR">#REF!</definedName>
    <definedName name="BExQ452HF7N1HYPXJXQ8WD6SOWUV">#REF!</definedName>
    <definedName name="BExQ499KBJ5W7A1G293A0K14EVQB">#REF!</definedName>
    <definedName name="BExQ4BTBSHPHVEDRCXC2ROW8PLFC">#REF!</definedName>
    <definedName name="BExQ4DGKF54SRKQUTUT4B1CZSS62">#REF!</definedName>
    <definedName name="BExQ4T74LQ5PYTV1MUQUW75A4BDY">#REF!</definedName>
    <definedName name="BExQ4XJHD7EJCNH7S1MJDZJ2MNWG">#REF!</definedName>
    <definedName name="BExQ5039ZCEWBUJHU682G4S89J03">#REF!</definedName>
    <definedName name="BExQ56Z9W6YHZHRXOFFI8EFA7CDI">#REF!</definedName>
    <definedName name="BExQ58S6DFG21C4SIKXBGJFEZOFU">#REF!</definedName>
    <definedName name="BExQ5KX3Z668H1KUCKZ9J24HUQ1F">#REF!</definedName>
    <definedName name="BExQ5LIO0WI3ERQ9QFIT832S43W8">#REF!</definedName>
    <definedName name="BExQ5SPMSOCJYLAY20NB5A6O32RE">#REF!</definedName>
    <definedName name="BExQ5UICMGTMK790KTLK49MAGXRC">#REF!</definedName>
    <definedName name="BExQ5VEQEIJO7YY80OJTA3XRQYJ9">#REF!</definedName>
    <definedName name="BExQ5YUUK9FD0QGTY4WD0W90O7OL">#REF!</definedName>
    <definedName name="BExQ63793YQ9BH7JLCNRIATIGTRG">#REF!</definedName>
    <definedName name="BExQ6CN1EF2UPZ57ZYMGK8TUJQSS">#REF!</definedName>
    <definedName name="BExQ6M2YXJ8AMRJF3QGHC40ADAHZ">#REF!</definedName>
    <definedName name="BExQ6M8B0X44N9TV56ATUVHGDI00">#REF!</definedName>
    <definedName name="BExQ6POH065GV0I74XXVD0VUPBJW">#REF!</definedName>
    <definedName name="BExQ6WV9KPSMXPPLGZ3KK4WNYTHU">#REF!</definedName>
    <definedName name="BExQ783XTMM2A9I3UKCFWJH1PP2N">#REF!</definedName>
    <definedName name="BExQ79LX01ZPQB8EGD1ZHR2VK2H3">#REF!</definedName>
    <definedName name="BExQ7B3V9MGDK2OIJ61XXFBFLJFZ">#REF!</definedName>
    <definedName name="BExQ7CB046NVPF9ZXDGA7OXOLSLX">#REF!</definedName>
    <definedName name="BExQ7IWDCGGOO1HTJ97YGO1CK3R9">#REF!</definedName>
    <definedName name="BExQ7JNFIEGS2HKNBALH3Q2N5G7Z">#REF!</definedName>
    <definedName name="BExQ7MY3U2Z1IZ71U5LJUD00VVB4">#REF!</definedName>
    <definedName name="BExQ7XL2Q1GVUFL1F9KK0K0EXMWG">#REF!</definedName>
    <definedName name="BExQ8469L3ZRZ3KYZPYMSJIDL7Y5">#REF!</definedName>
    <definedName name="BExQ84MJB94HL3BWRN50M4NCB6Z0">#REF!</definedName>
    <definedName name="BExQ8583ZE00NW7T9OF11OT9IA14">#REF!</definedName>
    <definedName name="BExQ8A0RPE3IMIFIZLUE7KD2N21W">#REF!</definedName>
    <definedName name="BExQ8ABK6H1ADV2R2OYT8NFFYG2N">#REF!</definedName>
    <definedName name="BExQ8DM90XJ6GCJIK9LC5O82I2TJ">#REF!</definedName>
    <definedName name="BExQ8G0K46ZORA0QVQTDI7Z8LXGF">#REF!</definedName>
    <definedName name="BExQ8O3WEU8HNTTGKTW5T0QSKCLP">#REF!</definedName>
    <definedName name="BExQ8ZCEDBOBJA3D9LDP5TU2WYGR">#REF!</definedName>
    <definedName name="BExQ94LAW6MAQBWY25WTBFV5PPZJ">#REF!</definedName>
    <definedName name="BExQ97QIPOSSRK978N8P234Y1XA4">#REF!</definedName>
    <definedName name="BExQ9E6FBAXTHGF3RXANFIA77GXP">#REF!</definedName>
    <definedName name="BExQ9F2YH4UUCCMQITJ475B3S3NP">#REF!</definedName>
    <definedName name="BExQ9KX9734KIAK7IMRLHCPYDHO2">#REF!</definedName>
    <definedName name="BExQ9L81FF4I7816VTPFBDWVU4CW">#REF!</definedName>
    <definedName name="BExQ9M4E2ACZOWWWP1JJIQO8AHUM">#REF!</definedName>
    <definedName name="BExQ9UTANMJCK7LJ4OQMD6F2Q01L">#REF!</definedName>
    <definedName name="BExQA324HSCK40ENJUT9CS9EC71B">#REF!</definedName>
    <definedName name="BExQA55GY0STSNBWQCWN8E31ZXCS">#REF!</definedName>
    <definedName name="BExQA9HZIN9XEMHEEVHT99UU9Z82">#REF!</definedName>
    <definedName name="BExQAELFYH92K8CJL155181UDORO">#REF!</definedName>
    <definedName name="BExQAG8PP8R5NJKNQD1U4QOSD6X5">#REF!</definedName>
    <definedName name="BExQBDICMZTSA1X73TMHNO4JSFLN">#REF!</definedName>
    <definedName name="BExQBEER6CRCRPSSL61S0OMH57ZA">#REF!</definedName>
    <definedName name="BExQBIGGY5TXI2FJVVZSLZ0LTZYH">#REF!</definedName>
    <definedName name="BExQBM1RUSIQ85LLMM2159BYDPIP">#REF!</definedName>
    <definedName name="BExQBPSOZ47V81YAEURP0NQJNTJH">#REF!</definedName>
    <definedName name="BExQC5TWT21CGBKD0IHAXTIN2QB8">#REF!</definedName>
    <definedName name="BExQC94JL9F5GW4S8DQCAF4WB2DA">#REF!</definedName>
    <definedName name="BExQCKTD8AT0824LGWREXM1B5D1X">#REF!</definedName>
    <definedName name="BExQD571YWOXKR2SX85K5MKQ0AO2">#REF!</definedName>
    <definedName name="BExQDB6VCHN8PNX8EA6JNIEQ2JC2">#REF!</definedName>
    <definedName name="BExQDE1B6U2Q9B73KBENABP71YM1">#REF!</definedName>
    <definedName name="BExQDGQCN7ZW41QDUHOBJUGQAX40">#REF!</definedName>
    <definedName name="BExQEC7BRIJ30PTU3UPFOIP2HPE3">#REF!</definedName>
    <definedName name="BExQEMUA4HEFM4OVO8M8MA8PIAW1">#REF!</definedName>
    <definedName name="BExQEQ4XZQFIKUXNU9H7WE7AMZ1U">#REF!</definedName>
    <definedName name="BExQF1OEB07CRAP6ALNNMJNJ3P2D">#REF!</definedName>
    <definedName name="BExQF9X2AQPFJZTCHTU5PTTR0JAH">#REF!</definedName>
    <definedName name="BExQFC0M9KKFMQKPLPEO2RQDB7MM">#REF!</definedName>
    <definedName name="BExQFEEV7627R8TYZCM28C6V6WHE">#REF!</definedName>
    <definedName name="BExQFEK8NUD04X2OBRA275ADPSDL">#REF!</definedName>
    <definedName name="BExQFGYIWDR4W0YF7XR6E4EWWJ02">#REF!</definedName>
    <definedName name="BExQFPNFKA36IAPS22LAUMBDI4KE">#REF!</definedName>
    <definedName name="BExQFPSWEMA8WBUZ4WK20LR13VSU">#REF!</definedName>
    <definedName name="BExQFVSPOSCCPF1TLJPIWYWYB8A9">#REF!</definedName>
    <definedName name="BExQFWJQXNQAW6LUMOEDS6KMJMYL">#REF!</definedName>
    <definedName name="BExQG8TYRD2G42UA5ZPCRLNKUDMX">#REF!</definedName>
    <definedName name="BExQGO48J9MPCDQ96RBB9UN9AIGT">#REF!</definedName>
    <definedName name="BExQGSBB6MJWDW7AYWA0MSFTXKRR">#REF!</definedName>
    <definedName name="BExQH0UURAJ13AVO5UI04HSRGVYW">#REF!</definedName>
    <definedName name="BExQH6ZZY0NR8SE48PSI9D0CU1TC">#REF!</definedName>
    <definedName name="BExQH9P2MCXAJOVEO4GFQT6MNW22">#REF!</definedName>
    <definedName name="BExQHCZSBYUY8OKKJXFYWKBBM6AH">#REF!</definedName>
    <definedName name="BExQHPKXZ1K33V2F90NZIQRZYIAW">#REF!</definedName>
    <definedName name="BExQHVF9KD06AG2RXUQJ9X4PVGX4">#REF!</definedName>
    <definedName name="BExQHZBHVN2L4HC7ACTR73T5OCV0">#REF!</definedName>
    <definedName name="BExQI85V9TNLDJT5LTRZS10Y26SG">#REF!</definedName>
    <definedName name="BExQIAPKHVEV8CU1L3TTHJW67FJ5">#REF!</definedName>
    <definedName name="BExQIBB4I3Z6AUU0HYV1DHRS13M4">#REF!</definedName>
    <definedName name="BExQIBWPAXU7HJZLKGJZY3EB7MIS">#REF!</definedName>
    <definedName name="BExQIS8O6R36CI01XRY9ISM99TW9">#REF!</definedName>
    <definedName name="BExQIVJB9MJ25NDUHTCVMSODJY2C">#REF!</definedName>
    <definedName name="BExQIXSCW8MNY9BPLS3JZR76R49J">#REF!</definedName>
    <definedName name="BExQJBF7LAX128WR7VTMJC88ZLPG">#REF!</definedName>
    <definedName name="BExQJEVCKX6KZHNCLYXY7D0MX5KN">#REF!</definedName>
    <definedName name="BExQJJYSDX8B0J1QGF2HL071KKA3">#REF!</definedName>
    <definedName name="BExQK1HV6SQQ7CP8H8IUKI9TYXTD">#REF!</definedName>
    <definedName name="BExQK3LE5CSBW1E4H4KHW548FL2R">#REF!</definedName>
    <definedName name="BExQKG6LD6PLNDGNGO9DJXY865BR">#REF!</definedName>
    <definedName name="BExQLE1TOW3A287TQB0AVWENT8O1">#REF!</definedName>
    <definedName name="BExRYOYB4A3E5F6MTROY69LR0PMG">#REF!</definedName>
    <definedName name="BExRYZLA9EW71H4SXQR525S72LLP">#REF!</definedName>
    <definedName name="BExRZ66M8G9FQ0VFP077QSZBSOA5">#REF!</definedName>
    <definedName name="BExRZ8FMQQL46I8AQWU17LRNZD5T">#REF!</definedName>
    <definedName name="BExRZIRRIXRUMZ5GOO95S7460BMP">#REF!</definedName>
    <definedName name="BExRZK9RAHMM0ZLTNSK7A4LDC42D">#REF!</definedName>
    <definedName name="BExRZOGSR69INI6GAEPHDWSNK5Q4">#REF!</definedName>
    <definedName name="BExRZT45A80X07CKX9QSXMBY2QKA">#REF!</definedName>
    <definedName name="BExS0ASQBKRTPDWFK0KUDFOS9LE5">#REF!</definedName>
    <definedName name="BExS0GHQUF6YT0RU3TKDEO8CSJYB">#REF!</definedName>
    <definedName name="BExS0K8IHC45I78DMZBOJ1P13KQA">#REF!</definedName>
    <definedName name="BExS152B2LFCRAUHSLI5T6QRNII0">#REF!</definedName>
    <definedName name="BExS15IJV0WW662NXQUVT3FGP4ST">#REF!</definedName>
    <definedName name="BExS194110MR25BYJI3CJ2EGZ8XT">#REF!</definedName>
    <definedName name="BExS1BNVGNSGD4EP90QL8WXYWZ66">#REF!</definedName>
    <definedName name="BExS1UE39N6NCND7MAARSBWXS6HU">#REF!</definedName>
    <definedName name="BExS226HTWL5WVC76MP5A1IBI8WD">#REF!</definedName>
    <definedName name="BExS26OI2QNNAH2WMDD95Z400048">#REF!</definedName>
    <definedName name="BExS2DF6B4ZUF3VZLI4G6LJ3BF38">#REF!</definedName>
    <definedName name="BExS2QB5FS5LYTFYO4BROTWG3OV5">#REF!</definedName>
    <definedName name="BExS2TLU1HONYV6S3ZD9T12D7CIG">#REF!</definedName>
    <definedName name="BExS318UV9I2FXPQQWUKKX00QLPJ">#REF!</definedName>
    <definedName name="BExS3LBS0SMTHALVM4NRI1BAV1NP">#REF!</definedName>
    <definedName name="BExS3MTQ75VBXDGEBURP6YT8RROE">#REF!</definedName>
    <definedName name="BExS3OMGYO0DFN5186UFKEXZ2RX3">#REF!</definedName>
    <definedName name="BExS3SDERJ27OER67TIGOVZU13A2">#REF!</definedName>
    <definedName name="BExS42PKLHTRZL2E7B1D3ICGPT7U">#REF!</definedName>
    <definedName name="BExS46R5WDNU5KL04FKY5LHJUCB8">#REF!</definedName>
    <definedName name="BExS4ASWKM93XA275AXHYP8AG6SU">#REF!</definedName>
    <definedName name="BExS4JN3Y6SVBKILQK0R9HS45Y52">#REF!</definedName>
    <definedName name="BExS4P6S41O6Z6BED77U3GD9PNH1">#REF!</definedName>
    <definedName name="BExS51H0N51UT0FZOPZRCF1GU063">#REF!</definedName>
    <definedName name="BExS54X72TJFC41FJK72MLRR2OO7">#REF!</definedName>
    <definedName name="BExS59F0PA1V2ZC7S5TN6IT41SXP">#REF!</definedName>
    <definedName name="BExS5DRER9US6NXY9ATYT41KZII3">#REF!</definedName>
    <definedName name="BExS5L3TGB8JVW9ROYWTKYTUPW27">#REF!</definedName>
    <definedName name="BExS5OUMDJ0NY70OLHU2PEAO65BZ">#REF!</definedName>
    <definedName name="BExS68MP3S1S15ZPM3DD7M20DH8X">#REF!</definedName>
    <definedName name="BExS6GKQ96EHVLYWNJDWXZXUZW90">#REF!</definedName>
    <definedName name="BExS6ITKSZFRR01YD5B0F676SYN7">#REF!</definedName>
    <definedName name="BExS6N0LI574IAC89EFW6CLTCQ33">#REF!</definedName>
    <definedName name="BExS6WRDBF3ST86ZOBBUL3GTCR11">#REF!</definedName>
    <definedName name="BExS6XNRKR0C3MTA0LV5B60UB908">#REF!</definedName>
    <definedName name="BExS7PDO1FIC5JI7MHLJN5FX6FFH">#REF!</definedName>
    <definedName name="BExS7TKQYLRZGM93UY3ZJZJBQNFJ">#REF!</definedName>
    <definedName name="BExS7Y2LNGVHSIBKC7C3R6X4LDR6">#REF!</definedName>
    <definedName name="BExS81TE0EY44Y3W2M4Z4MGNP5OM">#REF!</definedName>
    <definedName name="BExS81YPDZDVJJVS15HV2HDXAC3Y">#REF!</definedName>
    <definedName name="BExS82PRVNUTEKQZS56YT2DVF6C2">#REF!</definedName>
    <definedName name="BExS8BPG5A0GR5AO1U951NDGGR0L">#REF!</definedName>
    <definedName name="BExS8GSUS17UY50TEM2AWF36BR9Z">#REF!</definedName>
    <definedName name="BExS8HJRBVG0XI6PWA9KTMJZMQXK">#REF!</definedName>
    <definedName name="BExS8R51C8RM2FS6V6IRTYO9GA4A">#REF!</definedName>
    <definedName name="BExS8WDX408F60MH1X9B9UZ2H4R7">#REF!</definedName>
    <definedName name="BExS8Z2W2QEC3MH0BZIYLDFQNUIP">#REF!</definedName>
    <definedName name="BExS92DKGRFFCIA9C0IXDOLO57EP">#REF!</definedName>
    <definedName name="BExS98OB4321YCHLCQ022PXKTT2W">#REF!</definedName>
    <definedName name="BExS9C9N8GFISC6HUERJ0EI06GB2">#REF!</definedName>
    <definedName name="BExS9DX13CACP3J8JDREK30JB1SQ">#REF!</definedName>
    <definedName name="BExS9FPRS2KRRCS33SE6WFNF5GYL">#REF!</definedName>
    <definedName name="BExS9WI0A6PSEB8N9GPXF2Z7MWHM">#REF!</definedName>
    <definedName name="BExSA5HP306TN9XJS0TU619DLRR7">#REF!</definedName>
    <definedName name="BExSAAVWQOOIA6B3JHQVGP08HFEM">#REF!</definedName>
    <definedName name="BExSAFJ3IICU2M7QPVE4ARYMXZKX">#REF!</definedName>
    <definedName name="BExSAH6ID8OHX379UXVNGFO8J6KQ">#REF!</definedName>
    <definedName name="BExSAQBHIXGQRNIRGCJMBXUPCZQA">#REF!</definedName>
    <definedName name="BExSAUTCT4P7JP57NOR9MTX33QJZ">#REF!</definedName>
    <definedName name="BExSAY9CA9TFXQ9M9FBJRGJO9T9E">#REF!</definedName>
    <definedName name="BExSB4JYKQ3MINI7RAYK5M8BLJDC">#REF!</definedName>
    <definedName name="BExSBMOS41ZRLWYLOU29V6Y7YORR">#REF!</definedName>
    <definedName name="BExSBRBXXQMBU1TYDW1BXTEVEPRU">#REF!</definedName>
    <definedName name="BExSC54998WTZ21DSL0R8UN0Y9JH">#REF!</definedName>
    <definedName name="BExSC60N7WR9PJSNC9B7ORCX9NGY">#REF!</definedName>
    <definedName name="BExSCE99EZTILTTCE4NJJF96OYYM">#REF!</definedName>
    <definedName name="BExSCHUQZ2HFEWS54X67DIS8OSXZ">#REF!</definedName>
    <definedName name="BExSCOG41SKKG4GYU76WRWW1CTE6">#REF!</definedName>
    <definedName name="BExSCVC9P86YVFMRKKUVRV29MZXZ">#REF!</definedName>
    <definedName name="BExSD233CH4MU9ZMGNRF97ZV7KWU">#REF!</definedName>
    <definedName name="BExSD2U0F3BN6IN9N4R2DTTJG15H">#REF!</definedName>
    <definedName name="BExSD6A6NY15YSMFH51ST6XJY429">#REF!</definedName>
    <definedName name="BExSD9VH6PF6RQ135VOEE08YXPAW">#REF!</definedName>
    <definedName name="BExSDP5Y04WWMX2WWRITWOX8R5I9">#REF!</definedName>
    <definedName name="BExSDSGM203BJTNS9MKCBX453HMD">#REF!</definedName>
    <definedName name="BExSDT20XUFXTDM37M148AXAP7HN">#REF!</definedName>
    <definedName name="BExSEEHK1VLWD7JBV9SVVVIKQZ3I">#REF!</definedName>
    <definedName name="BExSEJKZLX37P3V33TRTFJ30BFRK">#REF!</definedName>
    <definedName name="BExSEP9UVOAI6TMXKNK587PQ3328">#REF!</definedName>
    <definedName name="BExSERZ34ETZF8OI93MYIVZX4RDV">#REF!</definedName>
    <definedName name="BExSF07QFLZCO4P6K6QF05XG7PH1">#REF!</definedName>
    <definedName name="BExSFELNPJYUZX393PKWKNNZYV1N">#REF!</definedName>
    <definedName name="BExSFJ8ZAGQ63A4MVMZRQWLVRGQ5">#REF!</definedName>
    <definedName name="BExSFKQRST2S9KXWWLCXYLKSF4G1">#REF!</definedName>
    <definedName name="BExSFYDRRTAZVPXRWUF5PDQ97WFF">#REF!</definedName>
    <definedName name="BExSFZVPFTXA3F0IJ2NGH1GXX9R7">#REF!</definedName>
    <definedName name="BExSG90Q4ZUU2IPGDYOM169NJV9S">#REF!</definedName>
    <definedName name="BExSG9X3DU845PNXYJGGLBQY2UHG">#REF!</definedName>
    <definedName name="BExSGE45J27MDUUNXW7Z8Q33UAON">#REF!</definedName>
    <definedName name="BExSGE9LY91Q0URHB4YAMX0UAMYI">#REF!</definedName>
    <definedName name="BExSGLB2URTLBCKBB4Y885W925F2">#REF!</definedName>
    <definedName name="BExSGOAYG73SFWOPAQV80P710GID">#REF!</definedName>
    <definedName name="BExSGOWJHRW7FWKLO2EHUOOGHNAF">#REF!</definedName>
    <definedName name="BExSGOWJTAP41ZV5Q23H7MI9C76W">#REF!</definedName>
    <definedName name="BExSGR5JQVX2HQ0PKCGZNSSUM1RV">#REF!</definedName>
    <definedName name="BExSGVHX69GJZHD99DKE4RZ042B1">#REF!</definedName>
    <definedName name="BExSGZJO4J4ZO04E2N2ECVYS9DEZ">#REF!</definedName>
    <definedName name="BExSHAHFHS7MMNJR8JPVABRGBVIT">#REF!</definedName>
    <definedName name="BExSHGH88QZWW4RNAX4YKAZ5JEBL">#REF!</definedName>
    <definedName name="BExSHOKK1OO3CX9Z28C58E5J1D9W">#REF!</definedName>
    <definedName name="BExSHQD8KYLTQGDXIRKCHQQ7MKIH">#REF!</definedName>
    <definedName name="BExSHVGPIAHXI97UBLI9G4I4M29F">#REF!</definedName>
    <definedName name="BExSI0K2YL3HTCQAD8A7TR4QCUR6">#REF!</definedName>
    <definedName name="BExSIFUDNRWXWIWNGCCFOOD8WIAZ">#REF!</definedName>
    <definedName name="BExTTWD2PGX3Y9FR5F2MRNLY1DIY">#REF!</definedName>
    <definedName name="BExTTZNS2PBCR93C9IUW49UZ4I6T">#REF!</definedName>
    <definedName name="BExTU2YFQ25JQ6MEMRHHN66VLTPJ">#REF!</definedName>
    <definedName name="BExTU75IOII1V5O0C9X2VAYYVJUG">#REF!</definedName>
    <definedName name="BExTUA5F7V4LUIIAM17J3A8XF3JE">#REF!</definedName>
    <definedName name="BExTUJ53ANGZ3H1KDK4CR4Q0OD6P">#REF!</definedName>
    <definedName name="BExTUKXSZBM7C57G6NGLWGU4WOHY">#REF!</definedName>
    <definedName name="BExTUSQCFFYZCDNHWHADBC2E1ZP1">#REF!</definedName>
    <definedName name="BExTUVFGOJEYS28JURA5KHQFDU5J">#REF!</definedName>
    <definedName name="BExTUW10U40QCYGHM5NJ3YR1O5SP">#REF!</definedName>
    <definedName name="BExTUWXFQHINU66YG82BI20ATMB5">#REF!</definedName>
    <definedName name="BExTV67VIM8PV6KO253M4DUBJQLC">#REF!</definedName>
    <definedName name="BExTVELZCF2YA5L6F23BYZZR6WHF">#REF!</definedName>
    <definedName name="BExTVGPIQZ99YFXUC8OONUX5BD42">#REF!</definedName>
    <definedName name="BExTVZQLP9VFLEYQ9280W13X7E8K">#REF!</definedName>
    <definedName name="BExTWB4LA1PODQOH4LDTHQKBN16K">#REF!</definedName>
    <definedName name="BExTWI0Q8AWXUA3ZN7I5V3QK2KM1">#REF!</definedName>
    <definedName name="BExTWJTIA3WUW1PUWXAOP9O8NKLZ">#REF!</definedName>
    <definedName name="BExTWW95OX07FNA01WF5MSSSFQLX">#REF!</definedName>
    <definedName name="BExTX476KI0RNB71XI5TYMANSGBG">#REF!</definedName>
    <definedName name="BExTXJ6HBAIXMMWKZTJNFDYVZCAY">#REF!</definedName>
    <definedName name="BExTXT812NQT8GAEGH738U29BI0D">#REF!</definedName>
    <definedName name="BExTXWIP2TFPTQ76NHFOB72NICRZ">#REF!</definedName>
    <definedName name="BExTY5T62H651VC86QM4X7E28JVA">#REF!</definedName>
    <definedName name="BExTYHCJJ2NWRM1RV59FYR41534U">#REF!</definedName>
    <definedName name="BExTYKCEFJ83LZM95M1V7CSFQVEA">#REF!</definedName>
    <definedName name="BExTYPLA9N640MFRJJQPKXT7P88M">#REF!</definedName>
    <definedName name="BExTZ7F71SNTOX4LLZCK5R9VUMIJ">#REF!</definedName>
    <definedName name="BExTZ8X5G9S3PA4FPSNK7T69W7QT">#REF!</definedName>
    <definedName name="BExTZ97Y0RMR8V5BI9F2H4MFB77O">#REF!</definedName>
    <definedName name="BExTZK5PMCAXJL4DUIGL6H9Y8U4C">#REF!</definedName>
    <definedName name="BExTZKB6L5SXV5UN71YVTCBEIGWY">#REF!</definedName>
    <definedName name="BExTZLICVKK4NBJFEGL270GJ2VQO">#REF!</definedName>
    <definedName name="BExTZO2596CBZKPI7YNA1QQNPAIJ">#REF!</definedName>
    <definedName name="BExTZY8TDV4U7FQL7O10G6VKWKPJ">#REF!</definedName>
    <definedName name="BExU02QNT4LT7H9JPUC4FXTLVGZT">#REF!</definedName>
    <definedName name="BExU0BFJJQO1HJZKI14QGOQ6JROO">#REF!</definedName>
    <definedName name="BExU0FH5WTGW8MRFUFMDDSMJ6YQ5">#REF!</definedName>
    <definedName name="BExU0GDOIL9U33QGU9ZU3YX3V1I4">#REF!</definedName>
    <definedName name="BExU0HKTO8WJDQDWRTUK5TETM3HS">#REF!</definedName>
    <definedName name="BExU0MTJQPE041ZN7H8UKGV6MZT7">#REF!</definedName>
    <definedName name="BExU0XB6XCXI4SZ92YEUFMW4TAXF">#REF!</definedName>
    <definedName name="BExU0ZUUFYHLUK4M4E8GLGIBBNT0">#REF!</definedName>
    <definedName name="BExU147D6RPG6ZVTSXRKFSVRHSBG">#REF!</definedName>
    <definedName name="BExU16R10W1SOAPNG4CDJ01T7JRE">#REF!</definedName>
    <definedName name="BExU17CKOR3GNIHDNVLH9L1IOJS9">#REF!</definedName>
    <definedName name="BExU1GXUTLRPJN4MRINLAPHSZQFG">#REF!</definedName>
    <definedName name="BExU1IL9AOHFO85BZB6S60DK3N8H">#REF!</definedName>
    <definedName name="BExU1NOPS09CLFZL1O31RAF9BQNQ">#REF!</definedName>
    <definedName name="BExU1PH9MOEX1JZVZ3D5M9DXB191">#REF!</definedName>
    <definedName name="BExU1QZEEKJA35IMEOLOJ3ODX0ZA">#REF!</definedName>
    <definedName name="BExU1VRURIWWVJ95O40WA23LMTJD">#REF!</definedName>
    <definedName name="BExU2M5CK6XK55UIHDVYRXJJJRI4">#REF!</definedName>
    <definedName name="BExU2TXVT25ZTOFQAF6CM53Z1RLF">#REF!</definedName>
    <definedName name="BExU2XZLYIU19G7358W5T9E87AFR">#REF!</definedName>
    <definedName name="BExU3B66MCKJFSKT3HL8B5EJGVX0">#REF!</definedName>
    <definedName name="BExU3UI7C3DLM76R0GQW3O6WOZ9C">#REF!</definedName>
    <definedName name="BExU3UNI9NR1RNZR07NSLSZMDOQQ">#REF!</definedName>
    <definedName name="BExU401R18N6XKZKL7CNFOZQCM14">#REF!</definedName>
    <definedName name="BExU42QVGY7TK39W1BIN6CDRG2OE">#REF!</definedName>
    <definedName name="BExU44P2AEX6PD8VC4ISCROUCQSP">#REF!</definedName>
    <definedName name="BExU47OZMS6TCWMEHHF0UCSFLLPI">#REF!</definedName>
    <definedName name="BExU4D36E8TXN0M8KSNGEAFYP4DQ">#REF!</definedName>
    <definedName name="BExU4G31RRVLJ3AC6E1FNEFMXM3O">#REF!</definedName>
    <definedName name="BExU4GDVLPUEWBA4MRYRTQAUNO7B">#REF!</definedName>
    <definedName name="BExU4I148DA7PRCCISLWQ6ABXFK6">#REF!</definedName>
    <definedName name="BExU4L101H2KQHVKCKQ4PBAWZV6K">#REF!</definedName>
    <definedName name="BExU4NA00RRRBGRT6TOB0MXZRCRZ">#REF!</definedName>
    <definedName name="BExU51IFNZXPBDES28457LR8X60M">#REF!</definedName>
    <definedName name="BExU529I6YHVOG83TJHWSILIQU1S">#REF!</definedName>
    <definedName name="BExU57YCIKPRD8QWL6EU0YR3NG3J">#REF!</definedName>
    <definedName name="BExU5DSTBWXLN6E59B757KRWRI6E">#REF!</definedName>
    <definedName name="BExU5MXUZN6MSSVXUUDSYEXLEFRB">#REF!</definedName>
    <definedName name="BExU5TDWM8NNDHYPQ7OQODTQ368A">#REF!</definedName>
    <definedName name="BExU5X4OX1V1XHS6WSSORVQPP6Z3">#REF!</definedName>
    <definedName name="BExU5XVPARTFMRYHNUTBKDIL4UJN">#REF!</definedName>
    <definedName name="BExU5ZTSHTOEOCV0JEYMPDSGCK1B">#REF!</definedName>
    <definedName name="BExU66KMFBAP8JCVG9VM1RD1TNFF">#REF!</definedName>
    <definedName name="BExU68IOM3CB3TACNAE9565TW7SH">#REF!</definedName>
    <definedName name="BExU6AM82KN21E82HMWVP3LWP9IL">#REF!</definedName>
    <definedName name="BExU6FEU1MRHU98R9YOJC5OKUJ6L">#REF!</definedName>
    <definedName name="BExU6KIAJ663Y8W8QMU4HCF183DF">#REF!</definedName>
    <definedName name="BExU6KT19B4PG6SHXFBGBPLM66KT">#REF!</definedName>
    <definedName name="BExU6PAVKIOAIMQ9XQIHHF1SUAGO">#REF!</definedName>
    <definedName name="BExU6WXXC7SSQDMHSLUN5C2V4IYX">#REF!</definedName>
    <definedName name="BExU73387E74XE8A9UKZLZNJYY65">#REF!</definedName>
    <definedName name="BExU76ZHCJM8I7VSICCMSTC33O6U">#REF!</definedName>
    <definedName name="BExU7BBTUF8BQ42DSGM94X5TG5GF">#REF!</definedName>
    <definedName name="BExU7HH4EAHFQHT4AXKGWAWZP3I0">#REF!</definedName>
    <definedName name="BExU7MF1ZVPDHOSMCAXOSYICHZ4I">#REF!</definedName>
    <definedName name="BExU7O2BJ6D5YCKEL6FD2EFCWYRX">#REF!</definedName>
    <definedName name="BExU7Q0JS9YIUKUPNSSAIDK2KJAV">#REF!</definedName>
    <definedName name="BExU80I6AE5OU7P7F5V7HWIZBJ4P">#REF!</definedName>
    <definedName name="BExU86NB26MCPYIISZ36HADONGT2">#REF!</definedName>
    <definedName name="BExU87P4Y40TQFG7CJ8H6I5YM6FH">#REF!</definedName>
    <definedName name="BExU885EZZNSZV3GP298UJ8LB7OL">#REF!</definedName>
    <definedName name="BExU8FSAUP9TUZ1NO9WXK80QPHWV">#REF!</definedName>
    <definedName name="BExU8KFLAN778MBN93NYZB0FV30G">#REF!</definedName>
    <definedName name="BExU8UX9JX3XLB47YZ8GFXE0V7R2">#REF!</definedName>
    <definedName name="BExU91DC3DGKPZD6LTER2IRTF89C">#REF!</definedName>
    <definedName name="BExU96M1J7P9DZQ3S9H0C12KGYTW">#REF!</definedName>
    <definedName name="BExU97T6IGVTE4C5LY1WLP5HPP37">#REF!</definedName>
    <definedName name="BExU9F05OR1GZ3057R6UL3WPEIYI">#REF!</definedName>
    <definedName name="BExU9GCSO5YILIKG6VAHN13DL75K">#REF!</definedName>
    <definedName name="BExU9KJOZLO15N11MJVN782NFGJ0">#REF!</definedName>
    <definedName name="BExU9LG29XU2K1GNKRO4438JYQZE">#REF!</definedName>
    <definedName name="BExU9RW36I5Z6JIXUIUB3PJH86LT">#REF!</definedName>
    <definedName name="BExUA28AO7OWDG3H23Q0CL4B7BHW">#REF!</definedName>
    <definedName name="BExUA5O923FFNEBY8BPO1TU3QGBM">#REF!</definedName>
    <definedName name="BExUA6Q4K25VH452AQ3ZIRBCMS61">#REF!</definedName>
    <definedName name="BExUAFV4JMBSM2SKBQL9NHL0NIBS">#REF!</definedName>
    <definedName name="BExUAMWQODKBXMRH1QCMJLJBF8M7">#REF!</definedName>
    <definedName name="BExUAX8WS5OPVLCDXRGKTU2QMTFO">#REF!</definedName>
    <definedName name="BExUAZ754O4K4ISR1OY4D26553ZH">#REF!</definedName>
    <definedName name="BExUB8HLEXSBVPZ5AXNQEK96F1N4">#REF!</definedName>
    <definedName name="BExUB8HMODWHJVTGM5Y0HTX5C5KG">#REF!</definedName>
    <definedName name="BExUBCDVZIEA7YT0LPSMHL5ZSERQ">#REF!</definedName>
    <definedName name="BExUBKXBUCN760QYU7Q8GESBWOQH">#REF!</definedName>
    <definedName name="BExUBL83ED0P076RN9RJ8P1MZ299">#REF!</definedName>
    <definedName name="BExUC623BDYEODBN0N4DO6PJQ7NU">#REF!</definedName>
    <definedName name="BExUC8WH8TCKBB5313JGYYQ1WFLT">#REF!</definedName>
    <definedName name="BExUCFCDK6SPH86I6STXX8X3WMC4">#REF!</definedName>
    <definedName name="BExUCLC6AQ5KR6LXSAXV4QQ8ASVG">#REF!</definedName>
    <definedName name="BExUD4IOJ12X3PJG5WXNNGDRCKAP">#REF!</definedName>
    <definedName name="BExUD9WX9BWK72UWVSLYZJLAY5VY">#REF!</definedName>
    <definedName name="BExUDBEUJH9IACZDBL1VAUWPG0QW">#REF!</definedName>
    <definedName name="BExUDEV0CYVO7Y5IQQBEJ6FUY9S6">#REF!</definedName>
    <definedName name="BExUDWOXQGIZW0EAIIYLQUPXF8YV">#REF!</definedName>
    <definedName name="BExUDXAIC17W1FUU8Z10XUAVB7CS">#REF!</definedName>
    <definedName name="BExUE5OMY7OAJQ9WR8C8HG311ORP">#REF!</definedName>
    <definedName name="BExUEFKOQWXXGRNLAOJV2BJ66UB8">#REF!</definedName>
    <definedName name="BExUEJGX3OQQP5KFRJSRCZ70EI9V">#REF!</definedName>
    <definedName name="BExUEYR71COFS2X8PDNU21IPMQEU">#REF!</definedName>
    <definedName name="BExVPRLJ9I6RX45EDVFSQGCPJSOK">#REF!</definedName>
    <definedName name="BExVSL787C8E4HFQZ2NVLT35I2XV">#REF!</definedName>
    <definedName name="BExVSTFTVV14SFGHQUOJL5SQ5TX9">#REF!</definedName>
    <definedName name="BExVT3MPE8LQ5JFN3HQIFKSQ80U4">#REF!</definedName>
    <definedName name="BExVT7TRK3NZHPME2TFBXOF1WBR9">#REF!</definedName>
    <definedName name="BExVT9H0R0T7WGQAAC0HABMG54YM">#REF!</definedName>
    <definedName name="BExVTCMDDEDGLUIMUU6BSFHEWTOP">#REF!</definedName>
    <definedName name="BExVTCMDQMLKRA2NQR72XU6Y54IK">#REF!</definedName>
    <definedName name="BExVTCRV8FQ5U9OYWWL44N6KFNHU">#REF!</definedName>
    <definedName name="BExVTNESHPVG0A0KZ7BRX26MS0PF">#REF!</definedName>
    <definedName name="BExVTTJVTNRSBHBTUZ78WG2JM5MK">#REF!</definedName>
    <definedName name="BExVTXLMYR87BC04D1ERALPUFVPG">#REF!</definedName>
    <definedName name="BExVUL9V3H8ZF6Y72LQBBN639YAA">#REF!</definedName>
    <definedName name="BExVUUF1JFVR6CILS5SE6L11P65G">#REF!</definedName>
    <definedName name="BExVV5T14N2HZIK7HQ4P2KG09U0J">#REF!</definedName>
    <definedName name="BExVV7R410VYLADLX9LNG63ID6H1">#REF!</definedName>
    <definedName name="BExVVCEED4JEKF59OV0G3T4XFMFO">#REF!</definedName>
    <definedName name="BExVVPFO2J7FMSRPD36909HN4BZJ">#REF!</definedName>
    <definedName name="BExVVQ19AQ3VCARJOC38SF7OYE9Y">#REF!</definedName>
    <definedName name="BExVVQ19TAECID45CS4HXT1RD3AQ">#REF!</definedName>
    <definedName name="BExVW3YV5XGIVJ97UUPDJGJ2P15B">#REF!</definedName>
    <definedName name="BExVW5X571GEYR5SCU1Z2DHKWM79">#REF!</definedName>
    <definedName name="BExVW6YTKA098AF57M4PHNQ54XMH">#REF!</definedName>
    <definedName name="BExVWINKCH0V0NUWH363SMXAZE62">#REF!</definedName>
    <definedName name="BExVWYU8EK669NP172GEIGCTVPPA">#REF!</definedName>
    <definedName name="BExVWZQLZ528318WP71JJSC09KJ6">#REF!</definedName>
    <definedName name="BExVX3MVJ0GHWPP1EL59ZQNKMX0B">#REF!</definedName>
    <definedName name="BExVX3XN2DRJKL8EDBIG58RYQ36R">#REF!</definedName>
    <definedName name="BExVXDZ63PUART77BBR5SI63TPC6">#REF!</definedName>
    <definedName name="BExVXHKI6LFYMGWISMPACMO247HL">#REF!</definedName>
    <definedName name="BExVXLX2BZ5EF2X6R41BTKRJR1NM">#REF!</definedName>
    <definedName name="BExVY11V7U1SAY4QKYE0PBSPD7LW">#REF!</definedName>
    <definedName name="BExVY1SV37DL5YU59HS4IG3VBCP4">#REF!</definedName>
    <definedName name="BExVY3WFGJKSQA08UF9NCMST928Y">#REF!</definedName>
    <definedName name="BExVY954UOEVQEIC5OFO4NEWVKAQ">#REF!</definedName>
    <definedName name="BExVYHDYIV5397LC02V4FEP8VD6W">#REF!</definedName>
    <definedName name="BExVYOVIZDA18YIQ0A30Q052PCAK">#REF!</definedName>
    <definedName name="BExVYQIXPEM6J4JVP78BRHIC05PV">#REF!</definedName>
    <definedName name="BExVYVGWN7SONLVDH9WJ2F1JS264">#REF!</definedName>
    <definedName name="BExVZ9EO732IK6MNMG17Y1EFTJQC">#REF!</definedName>
    <definedName name="BExVZB1Y5J4UL2LKK0363EU7GIJ1">#REF!</definedName>
    <definedName name="BExVZJQVO5LQ0BJH5JEN5NOBIAF6">#REF!</definedName>
    <definedName name="BExVZNXWS91RD7NXV5NE2R3C8WW7">#REF!</definedName>
    <definedName name="BExW0386REQRCQCVT9BCX80UPTRY">#REF!</definedName>
    <definedName name="BExW0FYP4WXY71CYUG40SUBG9UWU">#REF!</definedName>
    <definedName name="BExW0RI61B4VV0ARXTFVBAWRA1C5">#REF!</definedName>
    <definedName name="BExW136YBP71QPWC2LVL4B5E1U0P">#REF!</definedName>
    <definedName name="BExW19C1SRFXXK18055XL1WCOS3Y">#REF!</definedName>
    <definedName name="BExW1BVUYQTKMOR56MW7RVRX4L1L">#REF!</definedName>
    <definedName name="BExW1F1220628FOMTW5UAATHRJHK">#REF!</definedName>
    <definedName name="BExW1TKA0Z9OP2DTG50GZR5EG8C7">#REF!</definedName>
    <definedName name="BExW1U0JLKQ094DW5MMOI8UHO09V">#REF!</definedName>
    <definedName name="BExW283NP9D366XFPXLGSCI5UB0L">#REF!</definedName>
    <definedName name="BExW2H3C8WJSBW5FGTFKVDVJC4CL">#REF!</definedName>
    <definedName name="BExW2MSCKPGF5K3I7TL4KF5ISUOL">#REF!</definedName>
    <definedName name="BExW2SMO90FU9W8DVVES6Q4E6BZR">#REF!</definedName>
    <definedName name="BExW36V9N91OHCUMGWJQL3I5P4JK">#REF!</definedName>
    <definedName name="BExW3EIBA1J9Q9NA9VCGZGRS8WV7">#REF!</definedName>
    <definedName name="BExW3FEO8FI8N6AGQKYEG4SQVJWB">#REF!</definedName>
    <definedName name="BExW3GB28STOMJUSZEIA7YKYNS4Y">#REF!</definedName>
    <definedName name="BExW3T1K638HT5E0Y8MMK108P5JT">#REF!</definedName>
    <definedName name="BExW4217ZHL9VO39POSTJOD090WU">#REF!</definedName>
    <definedName name="BExW4GPW71EBF8XPS2QGVQHBCDX3">#REF!</definedName>
    <definedName name="BExW4JKC5837JBPCOJV337ZVYYY3">#REF!</definedName>
    <definedName name="BExW4QR9FV9MP5K610THBSM51RYO">#REF!</definedName>
    <definedName name="BExW4Z029R9E19ZENN3WEA3VDAD1">#REF!</definedName>
    <definedName name="BExW5AZNT6IAZGNF2C879ODHY1B8">#REF!</definedName>
    <definedName name="BExW5WPU27WD4NWZOT0ZEJIDLX5J">#REF!</definedName>
    <definedName name="BExW660AV1TUV2XNUPD65RZR3QOO">#REF!</definedName>
    <definedName name="BExW66LVVZK656PQY1257QMHP2AY">#REF!</definedName>
    <definedName name="BExW6EJPHAP1TWT380AZLXNHR22P">#REF!</definedName>
    <definedName name="BExW6G1PJ38H10DVLL8WPQ736OEB">#REF!</definedName>
    <definedName name="BExW6V1715YYO7FYFGVAXO6J92LK">#REF!</definedName>
    <definedName name="BExW794A74Z5F2K8LVQLD6VSKXUE">#REF!</definedName>
    <definedName name="BExW7TCHZS3RPN3NQKL67B5GH9TT">#REF!</definedName>
    <definedName name="BExW8K0SSIPSKBVP06IJ71600HJZ">#REF!</definedName>
    <definedName name="BExW8NM8DJJESE7GF7VGTO2XO6P1">#REF!</definedName>
    <definedName name="BExW8T0GVY3ZYO4ACSBLHS8SH895">#REF!</definedName>
    <definedName name="BExW8YEP73JMMU9HZ08PM4WHJQZ4">#REF!</definedName>
    <definedName name="BExW937AT53OZQRHNWQZ5BVH24IE">#REF!</definedName>
    <definedName name="BExW95LN5N0LYFFVP7GJEGDVDLF0">#REF!</definedName>
    <definedName name="BExW967733Q8RAJOHR2GJ3HO8JIW">#REF!</definedName>
    <definedName name="BExW9POK1KIOI0ALS5MZIKTDIYMA">#REF!</definedName>
    <definedName name="BExW9TVLB7OIHTG98I7I4EXBL61S">#REF!</definedName>
    <definedName name="BExWA3RN69F5FF37B6XRHDIGY775">#REF!</definedName>
    <definedName name="BExXLDE6PN4ESWT3LXJNQCY94NE4">#REF!</definedName>
    <definedName name="BExXLQVPK2H3IF0NDDA5CT612EUK">#REF!</definedName>
    <definedName name="BExXLR6IO70TYTACKQH9M5PGV24J">#REF!</definedName>
    <definedName name="BExXM065WOLYRYHGHOJE0OOFXA4M">#REF!</definedName>
    <definedName name="BExXM3GUNXVDM82KUR17NNUMQCNI">#REF!</definedName>
    <definedName name="BExXMA28M8SH7MKIGETSDA72WUIZ">#REF!</definedName>
    <definedName name="BExXMOLHIAHDLFSA31PUB36SC3I9">#REF!</definedName>
    <definedName name="BExXMT8T5Z3M2JBQN65X2LKH0YQI">#REF!</definedName>
    <definedName name="BExXN1XNO7H60M9X1E7EVWFJDM5N">#REF!</definedName>
    <definedName name="BExXN22ZOTIW49GPLWFYKVM90FNZ">#REF!</definedName>
    <definedName name="BExXN4C031W9DK73MJHKL8YT1QA8">#REF!</definedName>
    <definedName name="BExXN6QAP8UJQVN4R4BQKPP4QK35">#REF!</definedName>
    <definedName name="BExXNBOA39T2X6Y5Y5GZ5DDNA1AX">#REF!</definedName>
    <definedName name="BExXND6872VJ3M2PGT056WQMWBHD">#REF!</definedName>
    <definedName name="BExXNPM24UN2PGVL9D1TUBFRIKR4">#REF!</definedName>
    <definedName name="BExXNWYB165VO9MHARCL5WLCHWS0">#REF!</definedName>
    <definedName name="BExXO278QHQN8JDK5425EJ615ECC">#REF!</definedName>
    <definedName name="BExXOBHOP0WGFHI2Y9AO4L440UVQ">#REF!</definedName>
    <definedName name="BExXOHSAD2NSHOLLMZ2JWA4I3I1R">#REF!</definedName>
    <definedName name="BExXP80B5FGA00JCM7UXKPI3PB7Y">#REF!</definedName>
    <definedName name="BExXP85M4WXYVN1UVHUTOEKEG5XS">#REF!</definedName>
    <definedName name="BExXPELOTHOAG0OWILLAH94OZV5J">#REF!</definedName>
    <definedName name="BExXPS31W1VD2NMIE4E37LHVDF0L">#REF!</definedName>
    <definedName name="BExXPZKYEMVF5JOC14HYOOYQK6JK">#REF!</definedName>
    <definedName name="BExXQ89PA10X79WBWOEP1AJX1OQM">#REF!</definedName>
    <definedName name="BExXQCGQGGYSI0LTRVR73MUO50AW">#REF!</definedName>
    <definedName name="BExXQEEXFHDQ8DSRAJSB5ET6J004">#REF!</definedName>
    <definedName name="BExXQH41O5HZAH8BO6HCFY8YC3TU">#REF!</definedName>
    <definedName name="BExXQIRBLQSLAJTFL7224FCFUTKH">#REF!</definedName>
    <definedName name="BExXQJIEF5R3QQ6D8HO3NGPU0IQC">#REF!</definedName>
    <definedName name="BExXQU00K9ER4I1WM7T9J0W1E7ZC">#REF!</definedName>
    <definedName name="BExXQU00KOR7XLM8B13DGJ1MIQDY">#REF!</definedName>
    <definedName name="BExXQXG18PS8HGBOS03OSTQ0KEYC">#REF!</definedName>
    <definedName name="BExXQXQT4OAFQT5B0YB3USDJOJOB">#REF!</definedName>
    <definedName name="BExXR3FSEXAHSXEQNJORWFCPX86N">#REF!</definedName>
    <definedName name="BExXR3W3FKYQBLR299HO9RZ70C43">#REF!</definedName>
    <definedName name="BExXR46U23CRRBV6IZT982MAEQKI">#REF!</definedName>
    <definedName name="BExXR8OKAVX7O70V5IYG2PRKXSTI">#REF!</definedName>
    <definedName name="BExXRA6N6XCLQM6XDV724ZIH6G93">#REF!</definedName>
    <definedName name="BExXRABZ1CNKCG6K1MR6OUFHF7J9">#REF!</definedName>
    <definedName name="BExXRBOFETC0OTJ6WY3VPMFH03VB">#REF!</definedName>
    <definedName name="BExXRD13K1S9Y3JGR7CXSONT7RJZ">#REF!</definedName>
    <definedName name="BExXRIFB4QQ87QIGA9AG0NXP577K">#REF!</definedName>
    <definedName name="BExXRIQ2JF2CVTRDQX2D9SPH7FTN">#REF!</definedName>
    <definedName name="BExXRO4A6VUH1F4XV8N1BRJ4896W">#REF!</definedName>
    <definedName name="BExXRO9N1SNJZGKD90P4K7FU1J0P">#REF!</definedName>
    <definedName name="BExXRV5QP3Z0KAQ1EQT9JYT2FV0L">#REF!</definedName>
    <definedName name="BExXRZ20LZZCW8LVGDK0XETOTSAI">#REF!</definedName>
    <definedName name="BExXRZNM651EJ5HJPGKGTVYLAZQ1">#REF!</definedName>
    <definedName name="BExXS63O4OMWMNXXAODZQFSDG33N">#REF!</definedName>
    <definedName name="BExXSBSP1TOY051HSPEPM0AEIO2M">#REF!</definedName>
    <definedName name="BExXSC8RFK5D68FJD2HI4K66SA6I">#REF!</definedName>
    <definedName name="BExXSM4UB3DVHEKQVTLIJ5YKHO4U">#REF!</definedName>
    <definedName name="BExXSNHC88W4UMXEOIOOATJAIKZO">#REF!</definedName>
    <definedName name="BExXSQ6GFMWPB14I1521BRSOOMOT">#REF!</definedName>
    <definedName name="BExXSTBS08WIA9TLALV3UQ2Z3MRG">#REF!</definedName>
    <definedName name="BExXSVQ2WOJJ73YEO8Q2FK60V4G8">#REF!</definedName>
    <definedName name="BExXTHLRNL82GN7KZY3TOLO508N7">#REF!</definedName>
    <definedName name="BExXTL72MKEQSQH9L2OTFLU8DM2B">#REF!</definedName>
    <definedName name="BExXTM3M4RTCRSX7VGAXGQNPP668">#REF!</definedName>
    <definedName name="BExXTOCF78J7WY6FOVBRY1N2RBBR">#REF!</definedName>
    <definedName name="BExXTP3GYO6Z9RTKKT10XA0UTV3T">#REF!</definedName>
    <definedName name="BExXTZKZ4CG92ZQLIRKEXXH9BFIR">#REF!</definedName>
    <definedName name="BExXU4J2BM2964GD5UZHM752Q4NS">#REF!</definedName>
    <definedName name="BExXU6XDTT7RM93KILIDEYPA9XKF">#REF!</definedName>
    <definedName name="BExXU8VLZA7WLPZ3RAQZGNERUD26">#REF!</definedName>
    <definedName name="BExXUB9RSLSCNN5ETLXY72DAPZZM">#REF!</definedName>
    <definedName name="BExXUFRM82XQIN2T8KGLDQL1IBQW">#REF!</definedName>
    <definedName name="BExXUQEQBF6FI240ZGIF9YXZSRAU">#REF!</definedName>
    <definedName name="BExXUYND6EJO7CJ5KRICV4O1JNWK">#REF!</definedName>
    <definedName name="BExXV6FWG4H3S2QEUJZYIXILNGJ7">#REF!</definedName>
    <definedName name="BExXV6QOP3J8DQFXGLB2EZ8CYM6F">#REF!</definedName>
    <definedName name="BExXVK87BMMO6LHKV0CFDNIQVIBS">#REF!</definedName>
    <definedName name="BExXVKZ9WXPGL6IVY6T61IDD771I">#REF!</definedName>
    <definedName name="BExXW0K72T1Y8K1I4VZT87UY9S2G">#REF!</definedName>
    <definedName name="BExXW27MMXHXUXX78SDTBE1JYTHT">#REF!</definedName>
    <definedName name="BExXW2YIM2MYBSHRIX0RP9D4PRMN">#REF!</definedName>
    <definedName name="BExXWBNE4KTFSXKVSRF6WX039WPB">#REF!</definedName>
    <definedName name="BExXWFP5AYE7EHYTJWBZSQ8PQ0YX">#REF!</definedName>
    <definedName name="BExXWVFIBQT8OY1O41FRFPFGXQHK">#REF!</definedName>
    <definedName name="BExXWWXHBZHA9J3N8K47F84X0M0L">#REF!</definedName>
    <definedName name="BExXXBM521DL8R4ZX7NZ3DBCUOR5">#REF!</definedName>
    <definedName name="BExXXC7OZI33XZ03NRMEP7VRLQK4">#REF!</definedName>
    <definedName name="BExXXH5N3NKBQ7BCJPJTBF8CYM2Q">#REF!</definedName>
    <definedName name="BExXXKWLM4D541BH6O8GOJMHFHMW">#REF!</definedName>
    <definedName name="BExXXPPA1Q87XPI97X0OXCPBPDON">#REF!</definedName>
    <definedName name="BExXXVUDA98IZTQ6MANKU4MTTDVR">#REF!</definedName>
    <definedName name="BExXXZQNZY6IZI45DJXJK0MQZWA7">#REF!</definedName>
    <definedName name="BExXY5QFG6QP94SFT3935OBM8Y4K">#REF!</definedName>
    <definedName name="BExXY7TYEBFXRYUYIFHTN65RJ8EW">#REF!</definedName>
    <definedName name="BExXYLBHANUXC5FCTDDTGOVD3GQS">#REF!</definedName>
    <definedName name="BExXYMNYAYH3WA2ZCFAYKZID9ZCI">#REF!</definedName>
    <definedName name="BExXYYT12SVN2VDMLVNV4P3ISD8T">#REF!</definedName>
    <definedName name="BExXZEDWUYH25UZMW2QU2RXFILJE">#REF!</definedName>
    <definedName name="BExXZFVV4YB42AZ3H1I40YG3JAPU">#REF!</definedName>
    <definedName name="BExXZHJ9T2JELF12CHHGD54J1B0C">#REF!</definedName>
    <definedName name="BExXZNJ2X1TK2LRK5ZY3MX49H5T7">#REF!</definedName>
    <definedName name="BExXZOVPCEP495TQSON6PSRQ8XCY">#REF!</definedName>
    <definedName name="BExXZXKH7NBARQQAZM69Z57IH1MM">#REF!</definedName>
    <definedName name="BExY07WSDH5QEVM7BJXJK2ZRAI1O">#REF!</definedName>
    <definedName name="BExY0C3UBVC4M59JIRXVQ8OWAJC1">#REF!</definedName>
    <definedName name="BExY0OE8GFHMLLTEAFIOQTOPEVPB">#REF!</definedName>
    <definedName name="BExY0OJHW85S0VKBA8T4HTYPYBOS">#REF!</definedName>
    <definedName name="BExY0T1E034D7XAXNC6F7540LLIE">#REF!</definedName>
    <definedName name="BExY0TC5HYN760YIV6TSE3XUMWJB">#REF!</definedName>
    <definedName name="BExY0XTZLHN49J2JH94BYTKBJLT3">#REF!</definedName>
    <definedName name="BExY11FH9TXHERUYGG8FE50U7H7J">#REF!</definedName>
    <definedName name="BExY180UKNW5NIAWD6ZUYTFEH8QS">#REF!</definedName>
    <definedName name="BExY1DPTV4LSY9MEOUGXF8X052NA">#REF!</definedName>
    <definedName name="BExY1GK9ELBEKDD7O6HR6DUO8YGO">#REF!</definedName>
    <definedName name="BExY1NWOXXFV9GGZ3PX444LZ8TVX">#REF!</definedName>
    <definedName name="BExY1TG7XONIH4DYJ7IZ1G8XB27N">#REF!</definedName>
    <definedName name="BExY1UCL0RND63LLSM9X5SFRG117">#REF!</definedName>
    <definedName name="BExY1WAT3937L08HLHIRQHMP2A3H">#REF!</definedName>
    <definedName name="BExY1YEBOSLMID7LURP8QB46AI91">#REF!</definedName>
    <definedName name="BExY2FS4LFX9OHOTQT7SJ2PXAC25">#REF!</definedName>
    <definedName name="BExY2GDPCZPVU0IQ6IJIB1YQQRQ6">#REF!</definedName>
    <definedName name="BExY2GTSZ3VA9TXLY7KW1LIAKJ61">#REF!</definedName>
    <definedName name="BExY2IXBR1SGYZH08T7QHKEFS8HA">#REF!</definedName>
    <definedName name="BExY2Q4B5FUDA5VU4VRUHX327QN0">#REF!</definedName>
    <definedName name="BExY3HOSK7YI364K15OX70AVR6F1">#REF!</definedName>
    <definedName name="BExY3T89AUR83SOAZZ3OMDEJDQ39">#REF!</definedName>
    <definedName name="BExY4MG771JQ84EMIVB6HQGGHZY7">#REF!</definedName>
    <definedName name="BExY4PWCSFB8P3J3TBQB2MD67263">#REF!</definedName>
    <definedName name="BExY4RZW3KK11JLYBA4DWZ92M6LQ">#REF!</definedName>
    <definedName name="BExY4XOVTTNVZ577RLIEC7NZQFIX">#REF!</definedName>
    <definedName name="BExY50JAF5CG01GTHAUS7I4ZLUDC">#REF!</definedName>
    <definedName name="BExY53J7EXFEOFTRNAHLK7IH3ACB">#REF!</definedName>
    <definedName name="BExY5515SJTJS3VM80M3YYR0WF37">#REF!</definedName>
    <definedName name="BExY5515WE39FQ3EG5QHG67V9C0O">#REF!</definedName>
    <definedName name="BExY5986WNAD8NFCPXC9TVLBU4FG">#REF!</definedName>
    <definedName name="BExY5CZ4NL75LBU3E0070JP3FBVN">#REF!</definedName>
    <definedName name="BExY5DF9MS25IFNWGJ1YAS5MDN8R">#REF!</definedName>
    <definedName name="BExY5ERVGL3UM2MGT8LJ0XPKTZEK">#REF!</definedName>
    <definedName name="BExY5EX6NJFK8W754ZVZDN5DS04K">#REF!</definedName>
    <definedName name="BExY5S3XD1NJT109CV54IFOHVLQ6">#REF!</definedName>
    <definedName name="BExY5TB2VAI3GHKCPXMCVIOM8B8W">#REF!</definedName>
    <definedName name="BExY6KVS1MMZ2R34PGEFR2BMTU9W">#REF!</definedName>
    <definedName name="BExY6Q9YY7LW745GP7CYOGGSPHGE">#REF!</definedName>
    <definedName name="BExZIA3C8LKJTEH3MKQ57KJH5TA2">#REF!</definedName>
    <definedName name="BExZIIHH3QNQE3GFMHEE4UMHY6WQ">#REF!</definedName>
    <definedName name="BExZIYO22G5UXOB42GDLYGVRJ6U7">#REF!</definedName>
    <definedName name="BExZJ7I9T8XU4MZRKJ1VVU76V2LZ">#REF!</definedName>
    <definedName name="BExZJMY170JCUU1RWASNZ1HJPRTA">#REF!</definedName>
    <definedName name="BExZJOQR77H0P4SUKVYACDCFBBXO">#REF!</definedName>
    <definedName name="BExZJS6RG34ODDY9HMZ0O34MEMSB">#REF!</definedName>
    <definedName name="BExZK34NR4BAD7HJAP7SQ926UQP3">#REF!</definedName>
    <definedName name="BExZK3FGPHH5H771U7D5XY7XBS6E">#REF!</definedName>
    <definedName name="BExZKHYORG3O8C772XPFHM1N8T80">#REF!</definedName>
    <definedName name="BExZKJRF2IRR57DG9CLC7MSHWNNN">#REF!</definedName>
    <definedName name="BExZKV5GYXO0X760SBD9TWTIQHGI">#REF!</definedName>
    <definedName name="BExZL6E4YVXRUN7ZGF2BIGIXFR8K">#REF!</definedName>
    <definedName name="BExZLGVLMKTPFXG42QYT0PO81G7F">#REF!</definedName>
    <definedName name="BExZLKMK7LRK14S09WLMH7MXSQXM">#REF!</definedName>
    <definedName name="BExZM7JVLG0W8EG5RBU915U3SKBY">#REF!</definedName>
    <definedName name="BExZM85FOVUFF110XMQ9O2ODSJUK">#REF!</definedName>
    <definedName name="BExZMF1MMTZ1TA14PZ8ASSU2CBSP">#REF!</definedName>
    <definedName name="BExZMKL5YQZD7F0FUCSVFGLPFK52">#REF!</definedName>
    <definedName name="BExZMOC3VNZALJM71X2T6FV91GTB">#REF!</definedName>
    <definedName name="BExZMXH39OB0I43XEL3K11U3G9PM">#REF!</definedName>
    <definedName name="BExZMZQ3RBKDHT5GLFNLS52OSJA0">#REF!</definedName>
    <definedName name="BExZN2F7Y2J2L2LN5WZRG949MS4A">#REF!</definedName>
    <definedName name="BExZN847WUWKRYTZWG9TCQZJS3OL">#REF!</definedName>
    <definedName name="BExZNH3VISFF4NQI11BZDP5IQ7VG">#REF!</definedName>
    <definedName name="BExZNJYCFYVMAOI62GB2BABK1ELE">#REF!</definedName>
    <definedName name="BExZNV707LIU6Z5H6QI6H67LHTI1">#REF!</definedName>
    <definedName name="BExZNVCBKB930QQ9QW7KSGOZ0V1M">#REF!</definedName>
    <definedName name="BExZNW8QJ18X0RSGFDWAE9ZSDX39">#REF!</definedName>
    <definedName name="BExZNZDWRS6Q40L8OCWFEIVI0A1O">#REF!</definedName>
    <definedName name="BExZOBO9NYLGVJQ31LVQ9XS2ZT4N">#REF!</definedName>
    <definedName name="BExZOETNB1CJ3Y2RKLI1ZK0S8Z6H">#REF!</definedName>
    <definedName name="BExZOL9K1RUXBTLZ6FJ65BIE9G5R">#REF!</definedName>
    <definedName name="BExZOREMVSK4E5VSWM838KHUB8AI">#REF!</definedName>
    <definedName name="BExZOVR745T5P1KS9NV2PXZPZVRG">#REF!</definedName>
    <definedName name="BExZOZSWGLSY2XYVRIS6VSNJDSGD">#REF!</definedName>
    <definedName name="BExZP5HXAJNO00JRA7RN087VVMVQ">#REF!</definedName>
    <definedName name="BExZP7AIJKLM6C6CSUIIFAHFBNX2">#REF!</definedName>
    <definedName name="BExZPQ0XY507N8FJMVPKCTK8HC9H">#REF!</definedName>
    <definedName name="BExZQ37OVBR25U32CO2YYVPZOMR5">#REF!</definedName>
    <definedName name="BExZQ3IHNAFF2HI20IH754T349LH">#REF!</definedName>
    <definedName name="BExZQ3NT7H06VO0AR48WHZULZB93">#REF!</definedName>
    <definedName name="BExZQ7PJU07SEJMDX18U9YVDC2GU">#REF!</definedName>
    <definedName name="BExZQIHTGHK7OOI2Y2PN3JYBY82I">#REF!</definedName>
    <definedName name="BExZQJJMGU5MHQOILGXGJPAQI5XI">#REF!</definedName>
    <definedName name="BExZQXBYEBN28QUH1KOVW6KKA5UM">#REF!</definedName>
    <definedName name="BExZQZKT146WEN8FTVZ7Y5TSB8L5">#REF!</definedName>
    <definedName name="BExZR485AKBH93YZ08CMUC3WROED">#REF!</definedName>
    <definedName name="BExZR7TL98P2PPUVGIZYR5873DWW">#REF!</definedName>
    <definedName name="BExZRGD1603X5ACFALUUDKCD7X48">#REF!</definedName>
    <definedName name="BExZRP1X6UVLN1UOLHH5VF4STP1O">#REF!</definedName>
    <definedName name="BExZRQ930U6OCYNV00CH5I0Q4LPE">#REF!</definedName>
    <definedName name="BExZRW8W514W8OZ72YBONYJ64GXF">#REF!</definedName>
    <definedName name="BExZRWJP2BUVFJPO8U8ATQEP0LZU">#REF!</definedName>
    <definedName name="BExZS2OY9JTSSP01ZQ6V2T2LO5R9">#REF!</definedName>
    <definedName name="BExZSI9USDLZAN8LI8M4YYQL24GZ">#REF!</definedName>
    <definedName name="BExZSS0LA2JY4ZLJ1Z5YCMLJJZCH">#REF!</definedName>
    <definedName name="BExZT8Y33PRGKL9KDYBD2426SDET">#REF!</definedName>
    <definedName name="BExZTAQV2QVSZY5Y3VCCWUBSBW9P">#REF!</definedName>
    <definedName name="BExZTHSI2FX56PWRSNX9H5EWTZFO">#REF!</definedName>
    <definedName name="BExZTJL3HVBFY139H6CJHEQCT1EL">#REF!</definedName>
    <definedName name="BExZTLOL8OPABZI453E0KVNA1GJS">#REF!</definedName>
    <definedName name="BExZTT6J3X0TOX0ZY6YPLUVMCW9X">#REF!</definedName>
    <definedName name="BExZTW6ECBRA0BBITWBQ8R93RMCL">#REF!</definedName>
    <definedName name="BExZU2BHYAOKSCBM3C5014ZF6IXS">#REF!</definedName>
    <definedName name="BExZU2RMJTXOCS0ROPMYPE6WTD87">#REF!</definedName>
    <definedName name="BExZUF7G8FENTJKH9R1XUWXM6CWD">#REF!</definedName>
    <definedName name="BExZUNARUJBIZ08VCAV3GEVBIR3D">#REF!</definedName>
    <definedName name="BExZUSZT5496UMBP4LFSLTR1GVEW">#REF!</definedName>
    <definedName name="BExZUT54340I38GVCV79EL116WR0">#REF!</definedName>
    <definedName name="BExZUYDULCX65H9OZ9JHPBNKF3MI">#REF!</definedName>
    <definedName name="BExZV2QD5ZDK3AGDRULLA7JB46C3">#REF!</definedName>
    <definedName name="BExZV9XBOSLB0786PVX9FJP6H8QL">#REF!</definedName>
    <definedName name="BExZVBQ29OM0V8XAL3HL0JIM0MMU">#REF!</definedName>
    <definedName name="BExZVEPYS6HYXG8RN9GMWZTHDEMK">#REF!</definedName>
    <definedName name="BExZVLM4T9ORS4ZWHME46U4Q103C">#REF!</definedName>
    <definedName name="BExZVM7OZWPPRH5YQW50EYMMIW1A">#REF!</definedName>
    <definedName name="BExZVPYGX2C5OSHMZ6F0KBKZ6B1S">#REF!</definedName>
    <definedName name="BExZW5UARC8W9AQNLJX2I5WQWS5F">#REF!</definedName>
    <definedName name="BExZW7HRGN6A9YS41KI2B2UUMJ7X">#REF!</definedName>
    <definedName name="BExZW8ZPNV43UXGOT98FDNIBQHZY">#REF!</definedName>
    <definedName name="BExZWKZ5N3RDXU8MZ8HQVYYD8O0F">#REF!</definedName>
    <definedName name="BExZWSGVLVDOPHLR728NQBUKWC1N">#REF!</definedName>
    <definedName name="BExZWSMC9T48W74GFGQCIUJ8ZPP3">#REF!</definedName>
    <definedName name="BExZWUF2V4HY3HI8JN9ZVPRWK1H3">#REF!</definedName>
    <definedName name="BExZWX45URTK9KYDJHEXL1OTZ833">#REF!</definedName>
    <definedName name="BExZX0EWQEZO86WDAD9A4EAEZ012">#REF!</definedName>
    <definedName name="BExZX2T6ZT2DZLYSDJJBPVIT5OK2">#REF!</definedName>
    <definedName name="BExZXOJDELULNLEH7WG0OYJT0NJ4">#REF!</definedName>
    <definedName name="BExZXOOTRNUK8LGEAZ8ZCFW9KXQ1">#REF!</definedName>
    <definedName name="BExZXT6JOXNKEDU23DKL8XZAJZIH">#REF!</definedName>
    <definedName name="BExZXUTYW1HWEEZ1LIX4OQWC7HL1">#REF!</definedName>
    <definedName name="BExZXY4NKQL9QD76YMQJ15U1C2G8">#REF!</definedName>
    <definedName name="BExZXYQ7U5G08FQGUIGYT14QCBOF">#REF!</definedName>
    <definedName name="BExZY02V77YJBMODJSWZOYCMPS5X">#REF!</definedName>
    <definedName name="BExZY49QRZIR6CA41LFA9LM6EULU">#REF!</definedName>
    <definedName name="BExZZ2FQA9A8C7CJKMEFQ9VPSLCE">#REF!</definedName>
    <definedName name="BExZZCHAVHW8C2H649KRGVQ0WVRT">#REF!</definedName>
    <definedName name="BExZZTK54OTLF2YB68BHGOS27GEN">#REF!</definedName>
    <definedName name="BExZZXB3JQQG4SIZS4MRU6NNW7HI">#REF!</definedName>
    <definedName name="BExZZZEMIIFKMLLV4DJKX5TB9R5V">#REF!</definedName>
    <definedName name="BINV">#REF!</definedName>
    <definedName name="BLPH1">#REF!</definedName>
    <definedName name="BLPH3">#REF!</definedName>
    <definedName name="Busca">#REF!</definedName>
    <definedName name="C_">#REF!</definedName>
    <definedName name="Cadastro.Lojas">#REF!</definedName>
    <definedName name="Cadastro.Lojas.CED">#REF!</definedName>
    <definedName name="Cadastro.Lojas.FlagMobile">#REF!</definedName>
    <definedName name="Cadastro.Lojas.Mobile">#REF!</definedName>
    <definedName name="Cadastro.Lojas.Polo">#REF!</definedName>
    <definedName name="CAMB_1tax">#REF!</definedName>
    <definedName name="CAMB_LT">#REF!</definedName>
    <definedName name="CAMB_ME">#REF!</definedName>
    <definedName name="CAMB_mesbase">#REF!</definedName>
    <definedName name="CAMB_MI">#REF!</definedName>
    <definedName name="CAMB_taxas">#REF!</definedName>
    <definedName name="CAMB_val">#REF!</definedName>
    <definedName name="carlos">#REF!</definedName>
    <definedName name="ccc">#REF!</definedName>
    <definedName name="ccont_evo_mensal">#REF!</definedName>
    <definedName name="ccont_tipo_ajuste">#REF!</definedName>
    <definedName name="celulaativaexped">#REF!</definedName>
    <definedName name="celulaativaleves">#REF!</definedName>
    <definedName name="celulaativapesados">#REF!</definedName>
    <definedName name="CIPA">#REF!</definedName>
    <definedName name="CLA">#REF!</definedName>
    <definedName name="claudia">#REF!</definedName>
    <definedName name="çlk">#REF!</definedName>
    <definedName name="CMVA">#REF!</definedName>
    <definedName name="Comp">#REF!</definedName>
    <definedName name="COMPARATIVO">#REF!</definedName>
    <definedName name="Concessão_Malha_Sul">#REF!</definedName>
    <definedName name="cs">#REF!</definedName>
    <definedName name="cualquiera">#REF!</definedName>
    <definedName name="Custo">#REF!</definedName>
    <definedName name="D">#REF!</definedName>
    <definedName name="D1AS">#REF!</definedName>
    <definedName name="D4D">#REF!</definedName>
    <definedName name="DADASLÇ">#REF!</definedName>
    <definedName name="ddd">#REF!</definedName>
    <definedName name="dech">#REF!</definedName>
    <definedName name="descr_acum">#REF!</definedName>
    <definedName name="descr_mes">#REF!</definedName>
    <definedName name="desp_financeiras_2">#REF!</definedName>
    <definedName name="df">#REF!</definedName>
    <definedName name="dfgt">#REF!</definedName>
    <definedName name="DFSFSFSF">#REF!</definedName>
    <definedName name="DiagramaA.">#REF!</definedName>
    <definedName name="djmfkedjfkd">#REF!</definedName>
    <definedName name="dlp">#REF!</definedName>
    <definedName name="doar">#REF!</definedName>
    <definedName name="dplfec">#REF!</definedName>
    <definedName name="DRFG1">#REF!</definedName>
    <definedName name="DSA">#REF!</definedName>
    <definedName name="DSADAS">#REF!</definedName>
    <definedName name="DSADG6">#REF!</definedName>
    <definedName name="DSFSGHS">#REF!</definedName>
    <definedName name="E">#REF!</definedName>
    <definedName name="e3te">#REF!</definedName>
    <definedName name="ea">#REF!</definedName>
    <definedName name="edd">#REF!</definedName>
    <definedName name="edgtea">#REF!</definedName>
    <definedName name="edhreh">#REF!</definedName>
    <definedName name="edrtge">#REF!</definedName>
    <definedName name="edsa">#REF!</definedName>
    <definedName name="EE">#REF!</definedName>
    <definedName name="eee">#REF!</definedName>
    <definedName name="eg">#REF!</definedName>
    <definedName name="egrere">#REF!</definedName>
    <definedName name="ehyetrhye">#REF!</definedName>
    <definedName name="eqtqetq">#REF!</definedName>
    <definedName name="eqw">#REF!</definedName>
    <definedName name="eqweqe">#REF!</definedName>
    <definedName name="eqwqwq">#REF!</definedName>
    <definedName name="er321e314">#REF!</definedName>
    <definedName name="ereqrqer">#REF!</definedName>
    <definedName name="erqqt">#REF!</definedName>
    <definedName name="ertge">#REF!</definedName>
    <definedName name="erty">#REF!</definedName>
    <definedName name="eryee">#REF!</definedName>
    <definedName name="ESCOLHA">#REF!</definedName>
    <definedName name="ESCOLHA2">#REF!</definedName>
    <definedName name="ESCOLHA3">#REF!</definedName>
    <definedName name="ESCOLHA4">#REF!</definedName>
    <definedName name="ESCOLHA5">#REF!</definedName>
    <definedName name="esdd">#REF!</definedName>
    <definedName name="esdr">#REF!</definedName>
    <definedName name="ESPECIFICO">#REF!</definedName>
    <definedName name="est_ns">#REF!</definedName>
    <definedName name="estoq">#REF!</definedName>
    <definedName name="Etapas">#REF!</definedName>
    <definedName name="etgye">#REF!</definedName>
    <definedName name="ewqew">#REF!</definedName>
    <definedName name="ewwqee">#REF!</definedName>
    <definedName name="Excel_BuiltIn_Print_Area_1">#REF!</definedName>
    <definedName name="Excel_BuiltIn_Print_Area_1_1">#REF!</definedName>
    <definedName name="Excel_BuiltIn_Print_Area_1_1_1">#REF!</definedName>
    <definedName name="Excel_BuiltIn_Print_Area_1_1_1_1">#REF!</definedName>
    <definedName name="Excel_BuiltIn_Print_Area_1_1_1_1_1">#REF!</definedName>
    <definedName name="eyery">#REF!</definedName>
    <definedName name="eyey">#REF!</definedName>
    <definedName name="eyeye">#REF!</definedName>
    <definedName name="eyeyer">#REF!</definedName>
    <definedName name="F">#REF!</definedName>
    <definedName name="fad">#REF!</definedName>
    <definedName name="fdsfs">#REF!</definedName>
    <definedName name="fDSgdsag">#REF!</definedName>
    <definedName name="fe">#REF!</definedName>
    <definedName name="FechamentoDri">#REF!</definedName>
    <definedName name="fewrwer">#REF!</definedName>
    <definedName name="ff">#REF!</definedName>
    <definedName name="ffaf">#REF!</definedName>
    <definedName name="ffdfdf">#REF!</definedName>
    <definedName name="fff">#REF!</definedName>
    <definedName name="ffff">#REF!</definedName>
    <definedName name="ffffffffff">#REF!</definedName>
    <definedName name="ffggg">#REF!</definedName>
    <definedName name="ffgghh4">#REF!</definedName>
    <definedName name="FGS">#REF!</definedName>
    <definedName name="Filial">#REF!</definedName>
    <definedName name="Financeiras_totais_2">#REF!</definedName>
    <definedName name="forma">#REF!</definedName>
    <definedName name="FPagto">#REF!</definedName>
    <definedName name="FREGT">#REF!</definedName>
    <definedName name="FS_Bronstein">#REF!</definedName>
    <definedName name="fsdfsdf">#REF!</definedName>
    <definedName name="fsfsgf">#REF!</definedName>
    <definedName name="fttyyy">#REF!</definedName>
    <definedName name="fvd">#REF!</definedName>
    <definedName name="fwewe">#REF!</definedName>
    <definedName name="FWFE">#REF!</definedName>
    <definedName name="fwq">#REF!</definedName>
    <definedName name="G">#REF!</definedName>
    <definedName name="gafa">#REF!</definedName>
    <definedName name="gafdghadg">#REF!</definedName>
    <definedName name="GDFHGH">#REF!</definedName>
    <definedName name="general_exp.">#REF!</definedName>
    <definedName name="GESTORES">#REF!</definedName>
    <definedName name="GFD">#REF!</definedName>
    <definedName name="gfdagfdd">#REF!</definedName>
    <definedName name="ggg">#REF!</definedName>
    <definedName name="ggggg">#REF!</definedName>
    <definedName name="GHFHFG">#REF!</definedName>
    <definedName name="GHJGHJGHJGH">#REF!</definedName>
    <definedName name="H">#REF!</definedName>
    <definedName name="herh">#REF!</definedName>
    <definedName name="hgggg">#REF!</definedName>
    <definedName name="hgjg">#REF!</definedName>
    <definedName name="hgrehre">#REF!</definedName>
    <definedName name="HHGFHFH">#REF!</definedName>
    <definedName name="hhh">#REF!</definedName>
    <definedName name="hjrhhr">#REF!</definedName>
    <definedName name="hola">#REF!</definedName>
    <definedName name="hy4r4">#REF!</definedName>
    <definedName name="hyrwtyy">#REF!</definedName>
    <definedName name="hyu45y5y">#REF!</definedName>
    <definedName name="i">#REF!</definedName>
    <definedName name="IF">#REF!</definedName>
    <definedName name="iii">#REF!</definedName>
    <definedName name="iii9ppopo">#REF!</definedName>
    <definedName name="iiii">#REF!</definedName>
    <definedName name="imagem1">#REF!</definedName>
    <definedName name="IMAGICA">#REF!</definedName>
    <definedName name="imob">#REF!</definedName>
    <definedName name="imob1">#REF!</definedName>
    <definedName name="ioioi">#REF!</definedName>
    <definedName name="ir_2">#REF!</definedName>
    <definedName name="J">#REF!</definedName>
    <definedName name="jad">#REF!</definedName>
    <definedName name="jfgd">#REF!</definedName>
    <definedName name="jfk">#REF!</definedName>
    <definedName name="JGHJKGKJKJ">#REF!</definedName>
    <definedName name="jh">#REF!</definedName>
    <definedName name="jhg">#REF!</definedName>
    <definedName name="jhkj">#REF!</definedName>
    <definedName name="jj">#REF!</definedName>
    <definedName name="jjj">#REF!</definedName>
    <definedName name="jjju">#REF!</definedName>
    <definedName name="jkjjkk">#REF!</definedName>
    <definedName name="jkkk">#REF!</definedName>
    <definedName name="joaquim">#REF!</definedName>
    <definedName name="jp">#REF!</definedName>
    <definedName name="jrjrj">#REF!</definedName>
    <definedName name="K">#REF!</definedName>
    <definedName name="kj">#REF!</definedName>
    <definedName name="kjh">#REF!</definedName>
    <definedName name="kkk">#REF!</definedName>
    <definedName name="klkl">#REF!</definedName>
    <definedName name="lfl">#REF!</definedName>
    <definedName name="Linha_de_Trabalho">#REF!</definedName>
    <definedName name="lk">#REF!</definedName>
    <definedName name="lkfklyfdkyd">#REF!</definedName>
    <definedName name="lll">#REF!</definedName>
    <definedName name="llllllllllll">#REF!</definedName>
    <definedName name="LLSDAD">#REF!</definedName>
    <definedName name="lsl">#REF!</definedName>
    <definedName name="lui">#REF!</definedName>
    <definedName name="luis">#REF!</definedName>
    <definedName name="luisin">#REF!</definedName>
    <definedName name="M">#REF!</definedName>
    <definedName name="market">#REF!</definedName>
    <definedName name="Matriz.Distancias">#REF!</definedName>
    <definedName name="MEconv">#REF!</definedName>
    <definedName name="meoi">#REF!</definedName>
    <definedName name="mes_evo_mensal">#REF!</definedName>
    <definedName name="mes_orcto">#REF!</definedName>
    <definedName name="mes_real">#REF!</definedName>
    <definedName name="mes_tipo_ajuste">#REF!</definedName>
    <definedName name="MG">#REF!</definedName>
    <definedName name="MIconv">#REF!</definedName>
    <definedName name="MIX_1">#REF!</definedName>
    <definedName name="MIX_2">#REF!</definedName>
    <definedName name="MIX_BOR">#REF!</definedName>
    <definedName name="mmm">#REF!</definedName>
    <definedName name="mndsfmn">#REF!</definedName>
    <definedName name="Morosidade1">#REF!</definedName>
    <definedName name="N">#REF!</definedName>
    <definedName name="NEGOCIADORES">#REF!</definedName>
    <definedName name="nikol">#REF!</definedName>
    <definedName name="njo">#REF!</definedName>
    <definedName name="nlkp">#REF!</definedName>
    <definedName name="nmfdmnf">#REF!</definedName>
    <definedName name="nn">#REF!</definedName>
    <definedName name="nnn">#REF!</definedName>
    <definedName name="novasoc_12">#REF!</definedName>
    <definedName name="O">#REF!</definedName>
    <definedName name="OBZ">#REF!</definedName>
    <definedName name="ooo">#REF!</definedName>
    <definedName name="OPCAO">#REF!</definedName>
    <definedName name="P">#REF!</definedName>
    <definedName name="pasta3">#REF!</definedName>
    <definedName name="pedro">#REF!</definedName>
    <definedName name="posicao">#REF!</definedName>
    <definedName name="pp">#REF!</definedName>
    <definedName name="Print_Area_MI">#REF!</definedName>
    <definedName name="Print_Titles_MI">#REF!</definedName>
    <definedName name="produto">#REF!</definedName>
    <definedName name="Projetos">#REF!</definedName>
    <definedName name="Q">#REF!</definedName>
    <definedName name="qas">#REF!</definedName>
    <definedName name="QDDWQED">#REF!</definedName>
    <definedName name="qer">#REF!</definedName>
    <definedName name="QQ">#REF!</definedName>
    <definedName name="qqq">#REF!</definedName>
    <definedName name="qqqq">#REF!</definedName>
    <definedName name="qtd_avaria_mensal">#REF!</definedName>
    <definedName name="qtd_evo_mensal">#REF!</definedName>
    <definedName name="qtd_tipo_ajuste">#REF!</definedName>
    <definedName name="QWDD">#REF!</definedName>
    <definedName name="qwer">#REF!</definedName>
    <definedName name="qwetwqt">#REF!</definedName>
    <definedName name="qwqw">#REF!</definedName>
    <definedName name="RemuneracaoHeitor">#REF!</definedName>
    <definedName name="rer">#REF!</definedName>
    <definedName name="rew">#REF!</definedName>
    <definedName name="rewe">#REF!</definedName>
    <definedName name="rewrw">#REF!</definedName>
    <definedName name="rjrjre">#REF!</definedName>
    <definedName name="rp">#REF!</definedName>
    <definedName name="rreerq">#REF!</definedName>
    <definedName name="rrqr">#REF!</definedName>
    <definedName name="rtgeq">#REF!</definedName>
    <definedName name="rtyf">#REF!</definedName>
    <definedName name="rtyu">#REF!</definedName>
    <definedName name="Ruda">#REF!</definedName>
    <definedName name="rwhytrewye">#REF!</definedName>
    <definedName name="rwr">#REF!</definedName>
    <definedName name="rwrw">#REF!</definedName>
    <definedName name="S">#REF!</definedName>
    <definedName name="SA">#REF!</definedName>
    <definedName name="SADA">#REF!</definedName>
    <definedName name="sadaas">#REF!</definedName>
    <definedName name="SDFGSDFGSD">#REF!</definedName>
    <definedName name="SDQW15">#REF!</definedName>
    <definedName name="sdsds">#REF!</definedName>
    <definedName name="semana_evolutivo">#REF!</definedName>
    <definedName name="SERN">#REF!</definedName>
    <definedName name="sfadb">#REF!</definedName>
    <definedName name="SFDGSDFG">#REF!</definedName>
    <definedName name="SIG_CONTROLE">#REF!</definedName>
    <definedName name="SIG_DERNIERECOLONNE">#REF!</definedName>
    <definedName name="SIG_LG11_firstLine">#REF!</definedName>
    <definedName name="SIG_LG11_H349">#REF!</definedName>
    <definedName name="SIG_LG11_H353">#REF!</definedName>
    <definedName name="SIG_LG11_H354">#REF!</definedName>
    <definedName name="SIG_LG11_H357">#REF!</definedName>
    <definedName name="SIG_LG11_H358">#REF!</definedName>
    <definedName name="SIG_LG11_H359">#REF!</definedName>
    <definedName name="SIG_LG11_H388">#REF!</definedName>
    <definedName name="SIG_LG11_H395">#REF!</definedName>
    <definedName name="SIG_LG11_IsControlOK">#REF!</definedName>
    <definedName name="SIG_LG11_lastLine">#REF!</definedName>
    <definedName name="SIG_LG11_ListeRangeMontant">#REF!</definedName>
    <definedName name="SIG_LG11_TITLECOL">#REF!</definedName>
    <definedName name="SIG_LG11_TITLELINE">#REF!</definedName>
    <definedName name="SIG_PTBD_LG11">#REF!</definedName>
    <definedName name="SIG_PTHG_LG11">#REF!</definedName>
    <definedName name="SQ">#REF!</definedName>
    <definedName name="ssss">#REF!</definedName>
    <definedName name="SSWQ4">#REF!</definedName>
    <definedName name="SWOT">#REF!</definedName>
    <definedName name="T">#REF!</definedName>
    <definedName name="TABELA">#REF!</definedName>
    <definedName name="taxas">#REF!</definedName>
    <definedName name="test">#REF!</definedName>
    <definedName name="teste">#REF!</definedName>
    <definedName name="testes">#REF!</definedName>
    <definedName name="TGE5RG">#REF!</definedName>
    <definedName name="Thatiana">#REF!</definedName>
    <definedName name="tudo2">#REF!</definedName>
    <definedName name="twwq">#REF!</definedName>
    <definedName name="tyui">#REF!</definedName>
    <definedName name="U">#REF!</definedName>
    <definedName name="U_1">#REF!</definedName>
    <definedName name="UCM_9">#REF!</definedName>
    <definedName name="UFIR">#REF!</definedName>
    <definedName name="uiuuiuiuiui">#REF!</definedName>
    <definedName name="utt">#REF!</definedName>
    <definedName name="uuiiuiuiu">#REF!</definedName>
    <definedName name="uuu">#REF!</definedName>
    <definedName name="uyttytyyt">#REF!</definedName>
    <definedName name="V">#REF!</definedName>
    <definedName name="va">#REF!</definedName>
    <definedName name="Vail">#REF!</definedName>
    <definedName name="vtfr">#REF!</definedName>
    <definedName name="w">#REF!</definedName>
    <definedName name="wedrwr">#REF!</definedName>
    <definedName name="WEFWEFW">#REF!</definedName>
    <definedName name="wer">#REF!</definedName>
    <definedName name="wert">#REF!</definedName>
    <definedName name="WERW">#REF!</definedName>
    <definedName name="wet">#REF!</definedName>
    <definedName name="wetgewt">#REF!</definedName>
    <definedName name="wetrewtw">#REF!</definedName>
    <definedName name="wetweq">#REF!</definedName>
    <definedName name="wftrewtg">#REF!</definedName>
    <definedName name="WQREF">#REF!</definedName>
    <definedName name="wqtwqtw">#REF!</definedName>
    <definedName name="wqwqwq">#REF!</definedName>
    <definedName name="wrewr">#REF!</definedName>
    <definedName name="wrewrw">#REF!</definedName>
    <definedName name="wrewrwr">#REF!</definedName>
    <definedName name="wrgrw">#REF!</definedName>
    <definedName name="wrn.1.">#REF!</definedName>
    <definedName name="wrn.10.">#REF!</definedName>
    <definedName name="wrn.10._.Per._.Cent._.Success.">#REF!</definedName>
    <definedName name="wrn.100._.Per._.Cent._.Success.">#REF!</definedName>
    <definedName name="wrn.11.">#REF!</definedName>
    <definedName name="wrn.12.">#REF!</definedName>
    <definedName name="wrn.13.">#REF!</definedName>
    <definedName name="wrn.14.">#REF!</definedName>
    <definedName name="wrn.15.">#REF!</definedName>
    <definedName name="wrn.16.">#REF!</definedName>
    <definedName name="wrn.17.">#REF!</definedName>
    <definedName name="wrn.18.">#REF!</definedName>
    <definedName name="wrn.19.">#REF!</definedName>
    <definedName name="wrn.2.">#REF!</definedName>
    <definedName name="wrn.20.">#REF!</definedName>
    <definedName name="wrn.21.">#REF!</definedName>
    <definedName name="wrn.22.">#REF!</definedName>
    <definedName name="wrn.23.">#REF!</definedName>
    <definedName name="wrn.24.">#REF!</definedName>
    <definedName name="wrn.25.">#REF!</definedName>
    <definedName name="wrn.26.">#REF!</definedName>
    <definedName name="wrn.27.">#REF!</definedName>
    <definedName name="wrn.28.">#REF!</definedName>
    <definedName name="wrn.29.">#REF!</definedName>
    <definedName name="wrn.3.">#REF!</definedName>
    <definedName name="wrn.30.">#REF!</definedName>
    <definedName name="wrn.30._.Per._.Cent.">#REF!</definedName>
    <definedName name="wrn.31.">#REF!</definedName>
    <definedName name="wrn.32.">#REF!</definedName>
    <definedName name="wrn.33.">#REF!</definedName>
    <definedName name="wrn.34.">#REF!</definedName>
    <definedName name="wrn.35.">#REF!</definedName>
    <definedName name="wrn.36.">#REF!</definedName>
    <definedName name="wrn.37.">#REF!</definedName>
    <definedName name="wrn.38.">#REF!</definedName>
    <definedName name="wrn.39.">#REF!</definedName>
    <definedName name="wrn.4.">#REF!</definedName>
    <definedName name="wrn.40.">#REF!</definedName>
    <definedName name="wrn.41.">#REF!</definedName>
    <definedName name="wrn.42.">#REF!</definedName>
    <definedName name="wrn.43.">#REF!</definedName>
    <definedName name="wrn.44.">#REF!</definedName>
    <definedName name="wrn.45.">#REF!</definedName>
    <definedName name="wrn.46.">#REF!</definedName>
    <definedName name="wrn.47.">#REF!</definedName>
    <definedName name="wrn.48.">#REF!</definedName>
    <definedName name="wrn.49.">#REF!</definedName>
    <definedName name="wrn.5.">#REF!</definedName>
    <definedName name="wrn.50.">#REF!</definedName>
    <definedName name="wrn.51.">#REF!</definedName>
    <definedName name="wrn.52.">#REF!</definedName>
    <definedName name="wrn.53.">#REF!</definedName>
    <definedName name="wrn.54.">#REF!</definedName>
    <definedName name="wrn.55.">#REF!</definedName>
    <definedName name="wrn.56.">#REF!</definedName>
    <definedName name="wrn.57.">#REF!</definedName>
    <definedName name="wrn.58.">#REF!</definedName>
    <definedName name="wrn.59.">#REF!</definedName>
    <definedName name="wrn.6.">#REF!</definedName>
    <definedName name="wrn.60.">#REF!</definedName>
    <definedName name="wrn.61.">#REF!</definedName>
    <definedName name="wrn.62.">#REF!</definedName>
    <definedName name="wrn.63.">#REF!</definedName>
    <definedName name="wrn.64.">#REF!</definedName>
    <definedName name="wrn.65.">#REF!</definedName>
    <definedName name="wrn.66.">#REF!</definedName>
    <definedName name="wrn.67.">#REF!</definedName>
    <definedName name="wrn.68.">#REF!</definedName>
    <definedName name="wrn.69.">#REF!</definedName>
    <definedName name="wrn.7.">#REF!</definedName>
    <definedName name="wrn.70.">#REF!</definedName>
    <definedName name="wrn.70._.Per._.Cent._.Success.">#REF!</definedName>
    <definedName name="wrn.71.">#REF!</definedName>
    <definedName name="wrn.72.">#REF!</definedName>
    <definedName name="wrn.8.">#REF!</definedName>
    <definedName name="wrn.9.">#REF!</definedName>
    <definedName name="wrn.abr97.">#REF!</definedName>
    <definedName name="wrn.adm_pl.">#REF!</definedName>
    <definedName name="wrn.adm_rtp.">#REF!</definedName>
    <definedName name="wrn.Aging._.and._.Trend._.Analysis.">#REF!</definedName>
    <definedName name="wrn.Alligator.">#REF!</definedName>
    <definedName name="wrn.ANALISIS.">#REF!</definedName>
    <definedName name="wrn.ANALITICO._.COMPLETO.">#REF!</definedName>
    <definedName name="wrn.argentina.">#REF!</definedName>
    <definedName name="wrn.BALANÇOS.">#REF!</definedName>
    <definedName name="wrn.BATIDA_LUCRO_BRUTO.">#REF!</definedName>
    <definedName name="wrn.bow_argentina.">#REF!</definedName>
    <definedName name="wrn.bow_brasil.">#REF!</definedName>
    <definedName name="wrn.CAPA_COMPLETA.">#REF!</definedName>
    <definedName name="wrn.CAPA_FOLHA_01.">#REF!</definedName>
    <definedName name="wrn.CAPA_FOLHA_02.">#REF!</definedName>
    <definedName name="wrn.CAPA_FOLHA_03.">#REF!</definedName>
    <definedName name="wrn.CAPA_FOLHA_04.">#REF!</definedName>
    <definedName name="wrn.CONSOLIDADO.">#REF!</definedName>
    <definedName name="wrn.Decision._.Memo.">#REF!</definedName>
    <definedName name="wrn.Desp._.financeiras.">#REF!</definedName>
    <definedName name="wrn.Diário._.GDD.">#REF!</definedName>
    <definedName name="wrn.DIRETRIZ.">#REF!</definedName>
    <definedName name="wrn.div_bow.">#REF!</definedName>
    <definedName name="wrn.div_pls.">#REF!</definedName>
    <definedName name="wrn.div_rtp.">#REF!</definedName>
    <definedName name="wrn.divisões.">#REF!</definedName>
    <definedName name="wrn.DLP_DIVISIONAL.">#REF!</definedName>
    <definedName name="wrn.DLP_FOLHA_01.">#REF!</definedName>
    <definedName name="wrn.DLP_FOLHA_02.">#REF!</definedName>
    <definedName name="wrn.DLP_FOLHA_03.">#REF!</definedName>
    <definedName name="wrn.DLP_FOLHA_04.">#REF!</definedName>
    <definedName name="wrn.DLP_FOLHA_05.">#REF!</definedName>
    <definedName name="wrn.DLP_FOLHA_06.">#REF!</definedName>
    <definedName name="wrn.DLP_FOLHA_08.">#REF!</definedName>
    <definedName name="wrn.DLP_FOLHA_09.">#REF!</definedName>
    <definedName name="wrn.DLP_FOLHA_10.">#REF!</definedName>
    <definedName name="wrn.DLP_FOLHA_11.">#REF!</definedName>
    <definedName name="wrn.DLP_FOLHA_12.">#REF!</definedName>
    <definedName name="wrn.DLP_FOLHA_13.">#REF!</definedName>
    <definedName name="wrn.DLP_FOLHA_14.">#REF!</definedName>
    <definedName name="wrn.DOC_TRAB_COMPLETO.">#REF!</definedName>
    <definedName name="wrn.DOC_TRAB_FOLHA_01.">#REF!</definedName>
    <definedName name="wrn.DOC_TRAB_FOLHA_02.">#REF!</definedName>
    <definedName name="wrn.DOC_TRAB_FOLHA_03.">#REF!</definedName>
    <definedName name="wrn.DOC_TRAB_FOLHA_04.">#REF!</definedName>
    <definedName name="wrn.DOC_TRAB_FOLHA_05.">#REF!</definedName>
    <definedName name="wrn.DOC_TRAB_FOLHA_06.">#REF!</definedName>
    <definedName name="wrn.dresultado.">#REF!</definedName>
    <definedName name="wrn.EXPENSES._.98._.US.">#REF!</definedName>
    <definedName name="wrn.EXPENSES._.99._.REAL.">#REF!</definedName>
    <definedName name="wrn.Financeiras._.Totais.">#REF!</definedName>
    <definedName name="wrn.FINANCIAL._.MONTH.">#REF!</definedName>
    <definedName name="wrn.FINANCIAL._.MONTHS.">#REF!</definedName>
    <definedName name="wrn.FINANCIAL._.US._.MONTH.">#REF!</definedName>
    <definedName name="wrn.FINANCIAL._.US._.MONTHS.">#REF!</definedName>
    <definedName name="wrn.Geral.">#REF!</definedName>
    <definedName name="wrn.IMOBILIZADO._.GERAL.">#REF!</definedName>
    <definedName name="wrn.IMOBILIZADO._.GERAL._.REALIZADO.">#REF!</definedName>
    <definedName name="wrn.international._.définitif.">#REF!</definedName>
    <definedName name="wrn.international._.définitif._1">#REF!</definedName>
    <definedName name="wrn.international._.francs._.et._.devises.">#REF!</definedName>
    <definedName name="wrn.international._.francs._.et._.devises._1">#REF!</definedName>
    <definedName name="wrn.IQRCGMES.">#REF!</definedName>
    <definedName name="wrn.JUINTI._.IRENDA.">#REF!</definedName>
    <definedName name="wrn.jun96.">#REF!</definedName>
    <definedName name="wrn.junho97.">#REF!</definedName>
    <definedName name="wrn.kleyner.">#REF!</definedName>
    <definedName name="wrn.maio97.">#REF!</definedName>
    <definedName name="wrn.MergerModel.">#REF!</definedName>
    <definedName name="wrn.Nico.">#REF!</definedName>
    <definedName name="wrn.pag.00">#REF!</definedName>
    <definedName name="wrn.pag.000">#REF!</definedName>
    <definedName name="wrn.pag.0000">#REF!</definedName>
    <definedName name="wrn.pag.00000">#REF!</definedName>
    <definedName name="wrn.pag.00001">#REF!</definedName>
    <definedName name="wrn.pag.000012">#REF!</definedName>
    <definedName name="WRN.PAG.01">#REF!</definedName>
    <definedName name="wrn.pag.01.">#REF!</definedName>
    <definedName name="wrn.pag.010">#REF!</definedName>
    <definedName name="wrn.pag.01000">#REF!</definedName>
    <definedName name="wrn.pag.010000">#REF!</definedName>
    <definedName name="wrn.pag.0100000">#REF!</definedName>
    <definedName name="wrn.pag.011">#REF!</definedName>
    <definedName name="wrn.pag.0110">#REF!</definedName>
    <definedName name="wrn.pag.0110000">#REF!</definedName>
    <definedName name="wrn.pag.01200">#REF!</definedName>
    <definedName name="wrn.pag.012547">#REF!</definedName>
    <definedName name="wrn.pag.013">#REF!</definedName>
    <definedName name="wrn.pag.0130">#REF!</definedName>
    <definedName name="wrn.pag.0130000">#REF!</definedName>
    <definedName name="wrn.pag.014">#REF!</definedName>
    <definedName name="wrn.pag.0140">#REF!</definedName>
    <definedName name="wrn.pag.0140000">#REF!</definedName>
    <definedName name="wrn.pag.0140563">#REF!</definedName>
    <definedName name="wrn.pag.0147456">#REF!</definedName>
    <definedName name="wrn.pag.015">#REF!</definedName>
    <definedName name="wrn.pag.0150">#REF!</definedName>
    <definedName name="wrn.pag.01500000">#REF!</definedName>
    <definedName name="wrn.pag.015320">#REF!</definedName>
    <definedName name="wrn.pag.015468">#REF!</definedName>
    <definedName name="wrn.pag.016">#REF!</definedName>
    <definedName name="wrn.pag.0160">#REF!</definedName>
    <definedName name="wrn.pag.016000">#REF!</definedName>
    <definedName name="wrn.pag.01603254">#REF!</definedName>
    <definedName name="wrn.pag.0165487">#REF!</definedName>
    <definedName name="wrn.pag.017">#REF!</definedName>
    <definedName name="wrn.pag.0170">#REF!</definedName>
    <definedName name="wrn.pag.017000">#REF!</definedName>
    <definedName name="wrn.pag.018">#REF!</definedName>
    <definedName name="wrn.pag.018000">#REF!</definedName>
    <definedName name="wrn.pag.02">#REF!</definedName>
    <definedName name="wrn.pag.020">#REF!</definedName>
    <definedName name="wrn.pag.020000">#REF!</definedName>
    <definedName name="wrn.pag.02145">#REF!</definedName>
    <definedName name="wrn.pag.0214567">#REF!</definedName>
    <definedName name="wrn.pag.02145879">#REF!</definedName>
    <definedName name="wrn.pag.02325478">#REF!</definedName>
    <definedName name="wrn.pag.025">#REF!</definedName>
    <definedName name="wrn.pag.025000">#REF!</definedName>
    <definedName name="wrn.pag.025476">#REF!</definedName>
    <definedName name="wrn.pag.02564789">#REF!</definedName>
    <definedName name="wrn.pag.03">#REF!</definedName>
    <definedName name="wrn.pag.030">#REF!</definedName>
    <definedName name="wrn.pag.0300">#REF!</definedName>
    <definedName name="wrn.pag.03000000">#REF!</definedName>
    <definedName name="wrn.pag.030000000">#REF!</definedName>
    <definedName name="wrn.pag.0321475">#REF!</definedName>
    <definedName name="wrn.pag.032548">#REF!</definedName>
    <definedName name="wrn.pag.0345778">#REF!</definedName>
    <definedName name="wrn.pag.04">#REF!</definedName>
    <definedName name="wrn.pag.040">#REF!</definedName>
    <definedName name="wrn.pag.0400">#REF!</definedName>
    <definedName name="wrn.pag.040000000">#REF!</definedName>
    <definedName name="wrn.pag.040000000000">#REF!</definedName>
    <definedName name="wrn.pag.04254789">#REF!</definedName>
    <definedName name="wrn.pag.04875323">#REF!</definedName>
    <definedName name="wrn.pag.05">#REF!</definedName>
    <definedName name="wrn.pag.050">#REF!</definedName>
    <definedName name="wrn.pag.0500">#REF!</definedName>
    <definedName name="wrn.pag.0500000000">#REF!</definedName>
    <definedName name="wrn.pag.05000000000">#REF!</definedName>
    <definedName name="wrn.pag.05428">#REF!</definedName>
    <definedName name="wrn.pag.056874">#REF!</definedName>
    <definedName name="wrn.pag.06">#REF!</definedName>
    <definedName name="wrn.pag.060">#REF!</definedName>
    <definedName name="wrn.pag.0600">#REF!</definedName>
    <definedName name="wrn.pag.0600000000">#REF!</definedName>
    <definedName name="wrn.pag.06000000000000000">#REF!</definedName>
    <definedName name="wrn.pag.07">#REF!</definedName>
    <definedName name="wrn.pag.070">#REF!</definedName>
    <definedName name="wrn.pag.0700">#REF!</definedName>
    <definedName name="wrn.pag.070000000000">#REF!</definedName>
    <definedName name="wrn.pag.07000000000000">#REF!</definedName>
    <definedName name="wrn.pag.09">#REF!</definedName>
    <definedName name="wrn.pag.090">#REF!</definedName>
    <definedName name="wrn.pag.0900">#REF!</definedName>
    <definedName name="wrn.pag.090000000000">#REF!</definedName>
    <definedName name="wrn.pag.09000000000000000000">#REF!</definedName>
    <definedName name="wrn.pag.100">#REF!</definedName>
    <definedName name="wrn.pag.102145">#REF!</definedName>
    <definedName name="wrn.pag.12">#REF!</definedName>
    <definedName name="wrn.pag.120">#REF!</definedName>
    <definedName name="wrn.pag.12000000000">#REF!</definedName>
    <definedName name="wrn.pag.1200000000000000">#REF!</definedName>
    <definedName name="wrn.pag.1254789">#REF!</definedName>
    <definedName name="wrn.pag.214578">#REF!</definedName>
    <definedName name="wrn.pag.214789">#REF!</definedName>
    <definedName name="wrn.pag.23654789">#REF!</definedName>
    <definedName name="wrn.pag.2547257">#REF!</definedName>
    <definedName name="wrn.pag.254789">#REF!</definedName>
    <definedName name="wrn.pag.2564789">#REF!</definedName>
    <definedName name="wrn.pag.458796">#REF!</definedName>
    <definedName name="wrn.pag.500">#REF!</definedName>
    <definedName name="wrn.pag.5000">#REF!</definedName>
    <definedName name="wrn.pag.501000">#REF!</definedName>
    <definedName name="wrn.pag.5010000">#REF!</definedName>
    <definedName name="wrn.pag.50100000000000">#REF!</definedName>
    <definedName name="wrn.pag.5011">#REF!</definedName>
    <definedName name="wrn.pag.501110">#REF!</definedName>
    <definedName name="wrn.pag.5012000">#REF!</definedName>
    <definedName name="wrn.pag.50123">#REF!</definedName>
    <definedName name="wrn.pag.5013000">#REF!</definedName>
    <definedName name="wrn.pag.5017">#REF!</definedName>
    <definedName name="wrn.pag.5018">#REF!</definedName>
    <definedName name="wrn.pag.514000">#REF!</definedName>
    <definedName name="wrn.pag.658742">#REF!</definedName>
    <definedName name="wrn.PARA._.EL._.CONSEJO.">#REF!</definedName>
    <definedName name="wrn.PARA._.LA._.CARTA.">#REF!</definedName>
    <definedName name="wrn.perspectives.">#REF!</definedName>
    <definedName name="wrn.perspectives._1">#REF!</definedName>
    <definedName name="wrn.pl_brasil.">#REF!</definedName>
    <definedName name="wrn.PLANIL._.141.">#REF!</definedName>
    <definedName name="wrn.PLANIL._.142.">#REF!</definedName>
    <definedName name="wrn.PLANIL._.143.">#REF!</definedName>
    <definedName name="wrn.PLANIL._.COMPLETO.">#REF!</definedName>
    <definedName name="wrn.portugal.">#REF!</definedName>
    <definedName name="wrn.pq_dr.">#REF!</definedName>
    <definedName name="wrn.pq_pe.">#REF!</definedName>
    <definedName name="wrn.pq_sp.">#REF!</definedName>
    <definedName name="wrn.Quick._.Summary.">#REF!</definedName>
    <definedName name="wrn.RELAT.._.INVEST.._.ANUAL.">#REF!</definedName>
    <definedName name="wrn.relat.._.mut.._.dez._.96.">#REF!</definedName>
    <definedName name="wrn.Relatório._.1.">#REF!</definedName>
    <definedName name="wrn.relatorio._.mutacao.">#REF!</definedName>
    <definedName name="wrn.RESULTADO.">#REF!</definedName>
    <definedName name="wrn.sociedades.">#REF!</definedName>
    <definedName name="wrn.Test.">#REF!</definedName>
    <definedName name="wrn.test._.2.">#REF!</definedName>
    <definedName name="wrn.tot_bow.">#REF!</definedName>
    <definedName name="wrn.TOT_DIVISÕES.">#REF!</definedName>
    <definedName name="wrn.tot_pls.">#REF!</definedName>
    <definedName name="wrn.tot_pqs.">#REF!</definedName>
    <definedName name="wrn.Tudo.">#REF!</definedName>
    <definedName name="wrn.UNISER.">#REF!</definedName>
    <definedName name="wrn.WORK._.PAPER.">#REF!</definedName>
    <definedName name="wrn.WORK._.PAPER._.99.">#REF!</definedName>
    <definedName name="WRW">#REF!</definedName>
    <definedName name="wrwer">#REF!</definedName>
    <definedName name="WW">#REF!</definedName>
    <definedName name="wwww">#REF!</definedName>
    <definedName name="X">#REF!</definedName>
    <definedName name="XREF_COLUMN_1">#REF!</definedName>
    <definedName name="XREF_COLUMN_10">#REF!</definedName>
    <definedName name="XREF_COLUMN_11">#REF!</definedName>
    <definedName name="XREF_COLUMN_14">#REF!</definedName>
    <definedName name="XREF_COLUMN_15">#REF!</definedName>
    <definedName name="XREF_COLUMN_16">#REF!</definedName>
    <definedName name="XREF_COLUMN_19">#REF!</definedName>
    <definedName name="XREF_COLUMN_2">#REF!</definedName>
    <definedName name="XREF_COLUMN_20">#REF!</definedName>
    <definedName name="XREF_COLUMN_21">#REF!</definedName>
    <definedName name="XREF_COLUMN_3">#REF!</definedName>
    <definedName name="XREF_COLUMN_4">#REF!</definedName>
    <definedName name="XREF_COLUMN_5">#REF!</definedName>
    <definedName name="XREF_COLUMN_6">#REF!</definedName>
    <definedName name="XREF_COLUMN_7">#REF!</definedName>
    <definedName name="XREF_COLUMN_8">#REF!</definedName>
    <definedName name="XREF_COLUMN_9">#REF!</definedName>
    <definedName name="XRefCopy1">#REF!</definedName>
    <definedName name="XRefCopy10">#REF!</definedName>
    <definedName name="XRefCopy10Row">#REF!</definedName>
    <definedName name="XRefCopy12">#REF!</definedName>
    <definedName name="XRefCopy12Row">#REF!</definedName>
    <definedName name="XRefCopy13">#REF!</definedName>
    <definedName name="XRefCopy13Row">#REF!</definedName>
    <definedName name="XRefCopy15">#REF!</definedName>
    <definedName name="XRefCopy15Row">#REF!</definedName>
    <definedName name="XRefCopy16Row">#REF!</definedName>
    <definedName name="XRefCopy17">#REF!</definedName>
    <definedName name="XRefCopy17Row">#REF!</definedName>
    <definedName name="XRefCopy18">#REF!</definedName>
    <definedName name="XRefCopy18Row">#REF!</definedName>
    <definedName name="XRefCopy19">#REF!</definedName>
    <definedName name="XRefCopy19Row">#REF!</definedName>
    <definedName name="XRefCopy2">#REF!</definedName>
    <definedName name="XRefCopy20">#REF!</definedName>
    <definedName name="XRefCopy20Row">#REF!</definedName>
    <definedName name="XRefCopy21">#REF!</definedName>
    <definedName name="XRefCopy21Row">#REF!</definedName>
    <definedName name="XRefCopy28">#REF!</definedName>
    <definedName name="XRefCopy28Row">#REF!</definedName>
    <definedName name="XRefCopy29">#REF!</definedName>
    <definedName name="XRefCopy29Row">#REF!</definedName>
    <definedName name="XRefCopy3">#REF!</definedName>
    <definedName name="XRefCopy30Row">#REF!</definedName>
    <definedName name="XRefCopy31">#REF!</definedName>
    <definedName name="XRefCopy31Row">#REF!</definedName>
    <definedName name="XRefCopy33Row">#REF!</definedName>
    <definedName name="XRefCopy39">#REF!</definedName>
    <definedName name="XRefCopy4">#REF!</definedName>
    <definedName name="XRefCopy40Row">#REF!</definedName>
    <definedName name="XRefCopy43Row">#REF!</definedName>
    <definedName name="XRefCopy44Row">#REF!</definedName>
    <definedName name="XRefCopy49Row">#REF!</definedName>
    <definedName name="XRefCopy4Row">#REF!</definedName>
    <definedName name="XRefCopy5">#REF!</definedName>
    <definedName name="XRefCopy50Row">#REF!</definedName>
    <definedName name="XRefCopy51Row">#REF!</definedName>
    <definedName name="XRefCopy52Row">#REF!</definedName>
    <definedName name="XRefCopy53Row">#REF!</definedName>
    <definedName name="XRefCopy55Row">#REF!</definedName>
    <definedName name="XRefCopy56">#REF!</definedName>
    <definedName name="XRefCopy56Row">#REF!</definedName>
    <definedName name="XRefCopy5Row">#REF!</definedName>
    <definedName name="XRefCopy6">#REF!</definedName>
    <definedName name="XRefCopy61">#REF!</definedName>
    <definedName name="XRefCopy61Row">#REF!</definedName>
    <definedName name="XRefCopy63Row">#REF!</definedName>
    <definedName name="XRefCopy64Row">#REF!</definedName>
    <definedName name="XRefCopy65Row">#REF!</definedName>
    <definedName name="XRefCopy66">#REF!</definedName>
    <definedName name="XRefCopy66Row">#REF!</definedName>
    <definedName name="XRefCopy67Row">#REF!</definedName>
    <definedName name="XRefCopy68Row">#REF!</definedName>
    <definedName name="XRefCopy69Row">#REF!</definedName>
    <definedName name="XRefCopy6Row">#REF!</definedName>
    <definedName name="XRefCopy7">#REF!</definedName>
    <definedName name="XRefCopy70Row">#REF!</definedName>
    <definedName name="XRefCopy71Row">#REF!</definedName>
    <definedName name="XRefCopy72Row">#REF!</definedName>
    <definedName name="XRefCopy73Row">#REF!</definedName>
    <definedName name="XRefCopy74Row">#REF!</definedName>
    <definedName name="XRefCopy75Row">#REF!</definedName>
    <definedName name="XRefCopy76Row">#REF!</definedName>
    <definedName name="XRefCopy77Row">#REF!</definedName>
    <definedName name="XRefCopy78Row">#REF!</definedName>
    <definedName name="XRefCopy7Row">#REF!</definedName>
    <definedName name="XRefCopy8">#REF!</definedName>
    <definedName name="XRefCopy80Row">#REF!</definedName>
    <definedName name="XRefCopy81">#REF!</definedName>
    <definedName name="XRefCopy81Row">#REF!</definedName>
    <definedName name="XRefCopy82Row">#REF!</definedName>
    <definedName name="XRefCopy8Row">#REF!</definedName>
    <definedName name="XRefCopy9">#REF!</definedName>
    <definedName name="XRefCopy9Row">#REF!</definedName>
    <definedName name="XRefPaste1">#REF!</definedName>
    <definedName name="XRefPaste10">#REF!</definedName>
    <definedName name="XRefPaste101">#REF!</definedName>
    <definedName name="XRefPaste101Row">#REF!</definedName>
    <definedName name="XRefPaste102">#REF!</definedName>
    <definedName name="XRefPaste102Row">#REF!</definedName>
    <definedName name="XRefPaste103">#REF!</definedName>
    <definedName name="XRefPaste103Row">#REF!</definedName>
    <definedName name="XRefPaste104Row">#REF!</definedName>
    <definedName name="XRefPaste105Row">#REF!</definedName>
    <definedName name="XRefPaste106">#REF!</definedName>
    <definedName name="XRefPaste106Row">#REF!</definedName>
    <definedName name="XRefPaste107Row">#REF!</definedName>
    <definedName name="XRefPaste108Row">#REF!</definedName>
    <definedName name="XRefPaste11">#REF!</definedName>
    <definedName name="XRefPaste111Row">#REF!</definedName>
    <definedName name="XRefPaste112Row">#REF!</definedName>
    <definedName name="XRefPaste117">#REF!</definedName>
    <definedName name="XRefPaste117Row">#REF!</definedName>
    <definedName name="XRefPaste118">#REF!</definedName>
    <definedName name="XRefPaste118Row">#REF!</definedName>
    <definedName name="XRefPaste119">#REF!</definedName>
    <definedName name="XRefPaste119Row">#REF!</definedName>
    <definedName name="XRefPaste12">#REF!</definedName>
    <definedName name="XRefPaste120">#REF!</definedName>
    <definedName name="XRefPaste120Row">#REF!</definedName>
    <definedName name="XRefPaste121Row">#REF!</definedName>
    <definedName name="XRefPaste122Row">#REF!</definedName>
    <definedName name="XRefPaste123Row">#REF!</definedName>
    <definedName name="XRefPaste124Row">#REF!</definedName>
    <definedName name="XRefPaste126Row">#REF!</definedName>
    <definedName name="XRefPaste127Row">#REF!</definedName>
    <definedName name="XRefPaste128Row">#REF!</definedName>
    <definedName name="XRefPaste129Row">#REF!</definedName>
    <definedName name="XRefPaste13">#REF!</definedName>
    <definedName name="XRefPaste130Row">#REF!</definedName>
    <definedName name="XRefPaste131Row">#REF!</definedName>
    <definedName name="XRefPaste132Row">#REF!</definedName>
    <definedName name="XRefPaste133Row">#REF!</definedName>
    <definedName name="XRefPaste134Row">#REF!</definedName>
    <definedName name="XRefPaste135Row">#REF!</definedName>
    <definedName name="XRefPaste136Row">#REF!</definedName>
    <definedName name="XRefPaste137Row">#REF!</definedName>
    <definedName name="XRefPaste138Row">#REF!</definedName>
    <definedName name="XRefPaste139">#REF!</definedName>
    <definedName name="XRefPaste139Row">#REF!</definedName>
    <definedName name="XRefPaste14">#REF!</definedName>
    <definedName name="XRefPaste15">#REF!</definedName>
    <definedName name="XRefPaste15Row">#REF!</definedName>
    <definedName name="XRefPaste16">#REF!</definedName>
    <definedName name="XRefPaste16Row">#REF!</definedName>
    <definedName name="XRefPaste17Row">#REF!</definedName>
    <definedName name="XRefPaste18">#REF!</definedName>
    <definedName name="XRefPaste18Row">#REF!</definedName>
    <definedName name="XRefPaste19">#REF!</definedName>
    <definedName name="XRefPaste19Row">#REF!</definedName>
    <definedName name="XRefPaste1Row">#REF!</definedName>
    <definedName name="XRefPaste2">#REF!</definedName>
    <definedName name="XRefPaste26">#REF!</definedName>
    <definedName name="XRefPaste26Row">#REF!</definedName>
    <definedName name="XRefPaste27Row">#REF!</definedName>
    <definedName name="XRefPaste28">#REF!</definedName>
    <definedName name="XRefPaste28Row">#REF!</definedName>
    <definedName name="XRefPaste29">#REF!</definedName>
    <definedName name="XRefPaste29Row">#REF!</definedName>
    <definedName name="XRefPaste2Row">#REF!</definedName>
    <definedName name="XRefPaste3">#REF!</definedName>
    <definedName name="XRefPaste31">#REF!</definedName>
    <definedName name="XRefPaste31Row">#REF!</definedName>
    <definedName name="XRefPaste32">#REF!</definedName>
    <definedName name="XRefPaste32Row">#REF!</definedName>
    <definedName name="XRefPaste35">#REF!</definedName>
    <definedName name="XRefPaste35Row">#REF!</definedName>
    <definedName name="XRefPaste37">#REF!</definedName>
    <definedName name="XRefPaste37Row">#REF!</definedName>
    <definedName name="XRefPaste38">#REF!</definedName>
    <definedName name="XRefPaste38Row">#REF!</definedName>
    <definedName name="XRefPaste39">#REF!</definedName>
    <definedName name="XRefPaste39Row">#REF!</definedName>
    <definedName name="XRefPaste3Row">#REF!</definedName>
    <definedName name="XRefPaste4">#REF!</definedName>
    <definedName name="XRefPaste44">#REF!</definedName>
    <definedName name="XRefPaste44Row">#REF!</definedName>
    <definedName name="XRefPaste45">#REF!</definedName>
    <definedName name="XRefPaste45Row">#REF!</definedName>
    <definedName name="XRefPaste4Row">#REF!</definedName>
    <definedName name="XRefPaste5">#REF!</definedName>
    <definedName name="XRefPaste56Row">#REF!</definedName>
    <definedName name="XRefPaste57Row">#REF!</definedName>
    <definedName name="XRefPaste59Row">#REF!</definedName>
    <definedName name="XRefPaste5Row">#REF!</definedName>
    <definedName name="XRefPaste6">#REF!</definedName>
    <definedName name="XRefPaste62Row">#REF!</definedName>
    <definedName name="XRefPaste63Row">#REF!</definedName>
    <definedName name="XRefPaste64Row">#REF!</definedName>
    <definedName name="XRefPaste65Row">#REF!</definedName>
    <definedName name="XRefPaste67Row">#REF!</definedName>
    <definedName name="XRefPaste68Row">#REF!</definedName>
    <definedName name="XRefPaste69Row">#REF!</definedName>
    <definedName name="XRefPaste6Row">#REF!</definedName>
    <definedName name="XRefPaste7">#REF!</definedName>
    <definedName name="XRefPaste70Row">#REF!</definedName>
    <definedName name="XRefPaste71Row">#REF!</definedName>
    <definedName name="XRefPaste75Row">#REF!</definedName>
    <definedName name="XRefPaste7Row">#REF!</definedName>
    <definedName name="XRefPaste8">#REF!</definedName>
    <definedName name="XRefPaste9">#REF!</definedName>
    <definedName name="XRefPaste99Row">#REF!</definedName>
    <definedName name="xx">#REF!</definedName>
    <definedName name="xxx">#REF!</definedName>
    <definedName name="XXXX">#REF!</definedName>
    <definedName name="Y">#REF!</definedName>
    <definedName name="yeryer">#REF!</definedName>
    <definedName name="yewry">#REF!</definedName>
    <definedName name="yeye">#REF!</definedName>
    <definedName name="yeyer">#REF!</definedName>
    <definedName name="z">#REF!</definedName>
    <definedName name="Z_BDB4B167_E3AA_11D7_8D7A_00B0D08F20DC_.wvu.PrintArea">#REF!</definedName>
    <definedName name="zfsfsfs">#REF!</definedName>
    <definedName name="zzz">#REF!</definedName>
    <definedName name="zzzzz">#REF!</definedName>
    <definedName name="zzzzz_1">#REF!</definedName>
  </definedNames>
  <calcPr calcId="181029"/>
  <pivotCaches>
    <pivotCache cacheId="12" r:id="rId9"/>
    <pivotCache cacheId="15" r:id="rId10"/>
  </pivotCaches>
  <extLst>
    <ext uri="GoogleSheetsCustomDataVersion1">
      <go:sheetsCustomData xmlns:go="http://customooxmlschemas.google.com/" r:id="rId49" roundtripDataSignature="AMtx7mgQRbATP2HvVYsxoYfdGXPKa8Gj3w=="/>
    </ext>
  </extLst>
</workbook>
</file>

<file path=xl/calcChain.xml><?xml version="1.0" encoding="utf-8"?>
<calcChain xmlns="http://schemas.openxmlformats.org/spreadsheetml/2006/main">
  <c r="AT16" i="2" l="1"/>
  <c r="AS16" i="2"/>
  <c r="AR16" i="2"/>
  <c r="AQ16" i="2"/>
  <c r="AP16" i="2"/>
  <c r="AO16" i="2"/>
  <c r="AN16" i="2"/>
  <c r="AM16" i="2"/>
  <c r="AL16" i="2"/>
  <c r="AK16" i="2"/>
  <c r="AJ16" i="2"/>
  <c r="AI16" i="2"/>
  <c r="AH16" i="2"/>
  <c r="AG16" i="2"/>
  <c r="AF16" i="2"/>
  <c r="AE16" i="2"/>
  <c r="AD16" i="2"/>
  <c r="AC16" i="2"/>
  <c r="AB16" i="2"/>
  <c r="AA16" i="2"/>
  <c r="Z16" i="2"/>
  <c r="Y16" i="2"/>
  <c r="X16" i="2"/>
  <c r="W16" i="2"/>
  <c r="V16" i="2"/>
  <c r="U16" i="2"/>
  <c r="T16" i="2"/>
  <c r="S16" i="2"/>
  <c r="R16" i="2"/>
  <c r="Q16" i="2"/>
  <c r="P16" i="2"/>
  <c r="O16" i="2"/>
  <c r="N16" i="2"/>
  <c r="M16" i="2"/>
  <c r="L16" i="2"/>
  <c r="B15" i="2"/>
  <c r="AT11" i="2"/>
  <c r="AL11" i="2"/>
  <c r="AJ11" i="2"/>
  <c r="AI11" i="2"/>
  <c r="AH11" i="2"/>
  <c r="AG11" i="2"/>
  <c r="AF11" i="2"/>
  <c r="AE11" i="2"/>
  <c r="AD11" i="2"/>
  <c r="AC11" i="2"/>
  <c r="AB11" i="2"/>
  <c r="AA11" i="2"/>
  <c r="Z11" i="2"/>
  <c r="Y11" i="2"/>
  <c r="X11" i="2"/>
  <c r="W11" i="2"/>
  <c r="V11" i="2"/>
  <c r="U11" i="2"/>
  <c r="T11" i="2"/>
  <c r="S11" i="2"/>
  <c r="R11" i="2"/>
  <c r="Q11" i="2"/>
  <c r="P11" i="2"/>
  <c r="O11" i="2"/>
  <c r="N11" i="2"/>
  <c r="M11" i="2"/>
  <c r="L11" i="2"/>
  <c r="C10" i="2"/>
  <c r="AQ6" i="2"/>
  <c r="AT5" i="2"/>
  <c r="AS5" i="2"/>
  <c r="AR5" i="2"/>
  <c r="AQ5" i="2"/>
  <c r="AP5" i="2"/>
  <c r="AO5" i="2"/>
  <c r="AN5" i="2"/>
  <c r="AM5" i="2"/>
  <c r="AL5" i="2"/>
  <c r="AK5" i="2"/>
  <c r="AJ5" i="2"/>
  <c r="AI5" i="2"/>
  <c r="AH5" i="2"/>
  <c r="AG5" i="2"/>
  <c r="AF5" i="2"/>
  <c r="AE5" i="2"/>
  <c r="AD5" i="2"/>
  <c r="AC5" i="2"/>
  <c r="AB5" i="2"/>
  <c r="AA5" i="2"/>
  <c r="Z5" i="2"/>
  <c r="Y5" i="2"/>
  <c r="X5" i="2"/>
  <c r="W5" i="2"/>
  <c r="V5" i="2"/>
  <c r="U5" i="2"/>
  <c r="T5" i="2"/>
  <c r="S5" i="2"/>
  <c r="R5" i="2"/>
  <c r="Q5" i="2"/>
  <c r="P5" i="2"/>
  <c r="O5" i="2"/>
  <c r="N5" i="2"/>
  <c r="M5" i="2"/>
  <c r="L5" i="2"/>
  <c r="AT4" i="2"/>
  <c r="AT6" i="2" s="1"/>
  <c r="AS4" i="2"/>
  <c r="AS6" i="2" s="1"/>
  <c r="AR4" i="2"/>
  <c r="AQ4" i="2"/>
  <c r="AP4" i="2"/>
  <c r="AO4" i="2"/>
  <c r="AO6" i="2" s="1"/>
  <c r="AN4" i="2"/>
  <c r="AM4" i="2"/>
  <c r="AM6" i="2" s="1"/>
  <c r="AL4" i="2"/>
  <c r="AL6" i="2" s="1"/>
  <c r="AK4" i="2"/>
  <c r="AK6" i="2" s="1"/>
  <c r="AJ4" i="2"/>
  <c r="AI4" i="2"/>
  <c r="AI6" i="2" s="1"/>
  <c r="AH4" i="2"/>
  <c r="AG4" i="2"/>
  <c r="AG6" i="2" s="1"/>
  <c r="AF4" i="2"/>
  <c r="AE4" i="2"/>
  <c r="AE6" i="2" s="1"/>
  <c r="AD4" i="2"/>
  <c r="AD6" i="2" s="1"/>
  <c r="AC4" i="2"/>
  <c r="AC6" i="2" s="1"/>
  <c r="AB4" i="2"/>
  <c r="AA4" i="2"/>
  <c r="AA6" i="2" s="1"/>
  <c r="Z4" i="2"/>
  <c r="Y4" i="2"/>
  <c r="Y6" i="2" s="1"/>
  <c r="X4" i="2"/>
  <c r="W4" i="2"/>
  <c r="W6" i="2" s="1"/>
  <c r="V4" i="2"/>
  <c r="V6" i="2" s="1"/>
  <c r="U4" i="2"/>
  <c r="U6" i="2" s="1"/>
  <c r="T4" i="2"/>
  <c r="S4" i="2"/>
  <c r="S6" i="2" s="1"/>
  <c r="R4" i="2"/>
  <c r="Q4" i="2"/>
  <c r="P4" i="2"/>
  <c r="O4" i="2"/>
  <c r="O6" i="2" s="1"/>
  <c r="N4" i="2"/>
  <c r="N6" i="2" s="1"/>
  <c r="M4" i="2"/>
  <c r="M6" i="2" s="1"/>
  <c r="L4" i="2"/>
  <c r="AT15" i="1"/>
  <c r="AT14" i="1" s="1"/>
  <c r="AS15" i="1"/>
  <c r="AS14" i="1" s="1"/>
  <c r="AR15" i="1"/>
  <c r="AQ15" i="1"/>
  <c r="AP15" i="1"/>
  <c r="AO15" i="1"/>
  <c r="AO14" i="1" s="1"/>
  <c r="AN15" i="1"/>
  <c r="AN14" i="1" s="1"/>
  <c r="AM15" i="1"/>
  <c r="AM14" i="1" s="1"/>
  <c r="AL15" i="1"/>
  <c r="AL14" i="1" s="1"/>
  <c r="AK15" i="1"/>
  <c r="AK14" i="1" s="1"/>
  <c r="AJ15" i="1"/>
  <c r="AI15" i="1"/>
  <c r="AH15" i="1"/>
  <c r="AH14" i="1" s="1"/>
  <c r="AG15" i="1"/>
  <c r="AG14" i="1" s="1"/>
  <c r="AF15" i="1"/>
  <c r="AF14" i="1" s="1"/>
  <c r="AE15" i="1"/>
  <c r="AE14" i="1" s="1"/>
  <c r="AD15" i="1"/>
  <c r="AD14" i="1" s="1"/>
  <c r="AC15" i="1"/>
  <c r="AC14" i="1" s="1"/>
  <c r="AB15" i="1"/>
  <c r="AA15" i="1"/>
  <c r="Z15" i="1"/>
  <c r="Y15" i="1"/>
  <c r="Y14" i="1" s="1"/>
  <c r="X15" i="1"/>
  <c r="X14" i="1" s="1"/>
  <c r="W15" i="1"/>
  <c r="W14" i="1" s="1"/>
  <c r="V15" i="1"/>
  <c r="V14" i="1" s="1"/>
  <c r="U15" i="1"/>
  <c r="U14" i="1" s="1"/>
  <c r="T15" i="1"/>
  <c r="S15" i="1"/>
  <c r="R15" i="1"/>
  <c r="R14" i="1" s="1"/>
  <c r="Q15" i="1"/>
  <c r="Q14" i="1" s="1"/>
  <c r="P15" i="1"/>
  <c r="P14" i="1" s="1"/>
  <c r="O15" i="1"/>
  <c r="O14" i="1" s="1"/>
  <c r="N15" i="1"/>
  <c r="N14" i="1" s="1"/>
  <c r="M15" i="1"/>
  <c r="M14" i="1" s="1"/>
  <c r="L15" i="1"/>
  <c r="B15" i="1"/>
  <c r="AR14" i="1"/>
  <c r="AQ14" i="1"/>
  <c r="AP14" i="1"/>
  <c r="AJ14" i="1"/>
  <c r="AI14" i="1"/>
  <c r="AB14" i="1"/>
  <c r="AA14" i="1"/>
  <c r="Z14" i="1"/>
  <c r="T14" i="1"/>
  <c r="S14" i="1"/>
  <c r="L14" i="1"/>
  <c r="B14" i="1"/>
  <c r="C10" i="1"/>
  <c r="AN6" i="1"/>
  <c r="Y6" i="1"/>
  <c r="X6" i="1"/>
  <c r="AT5" i="1"/>
  <c r="AS5" i="1"/>
  <c r="AR5" i="1"/>
  <c r="AQ5" i="1"/>
  <c r="AP5" i="1"/>
  <c r="AO5" i="1"/>
  <c r="AN5" i="1"/>
  <c r="AM5" i="1"/>
  <c r="AL5" i="1"/>
  <c r="AK5" i="1"/>
  <c r="AJ5" i="1"/>
  <c r="AI5" i="1"/>
  <c r="AH5" i="1"/>
  <c r="AG5" i="1"/>
  <c r="AF5" i="1"/>
  <c r="AE5" i="1"/>
  <c r="AD5" i="1"/>
  <c r="AC5" i="1"/>
  <c r="AB5" i="1"/>
  <c r="AA5" i="1"/>
  <c r="Z5" i="1"/>
  <c r="Y5" i="1"/>
  <c r="X5" i="1"/>
  <c r="W5" i="1"/>
  <c r="V5" i="1"/>
  <c r="U5" i="1"/>
  <c r="T5" i="1"/>
  <c r="S5" i="1"/>
  <c r="R5" i="1"/>
  <c r="Q5" i="1"/>
  <c r="Q6" i="1" s="1"/>
  <c r="P5" i="1"/>
  <c r="O5" i="1"/>
  <c r="N5" i="1"/>
  <c r="M5" i="1"/>
  <c r="L5" i="1"/>
  <c r="AT4" i="1"/>
  <c r="AT6" i="1" s="1"/>
  <c r="AS4" i="1"/>
  <c r="AR4" i="1"/>
  <c r="AQ4" i="1"/>
  <c r="AP4" i="1"/>
  <c r="AO4" i="1"/>
  <c r="AO6" i="1" s="1"/>
  <c r="AN4" i="1"/>
  <c r="AM4" i="1"/>
  <c r="AM6" i="1" s="1"/>
  <c r="AL4" i="1"/>
  <c r="AL6" i="1" s="1"/>
  <c r="AK4" i="1"/>
  <c r="AJ4" i="1"/>
  <c r="AI4" i="1"/>
  <c r="AH4" i="1"/>
  <c r="AG4" i="1"/>
  <c r="AG6" i="1" s="1"/>
  <c r="AF4" i="1"/>
  <c r="AF6" i="1" s="1"/>
  <c r="AE4" i="1"/>
  <c r="AE6" i="1" s="1"/>
  <c r="AD4" i="1"/>
  <c r="AD6" i="1" s="1"/>
  <c r="AC4" i="1"/>
  <c r="AB4" i="1"/>
  <c r="AA4" i="1"/>
  <c r="Z4" i="1"/>
  <c r="Y4" i="1"/>
  <c r="X4" i="1"/>
  <c r="W4" i="1"/>
  <c r="W6" i="1" s="1"/>
  <c r="V4" i="1"/>
  <c r="V6" i="1" s="1"/>
  <c r="U4" i="1"/>
  <c r="T4" i="1"/>
  <c r="S4" i="1"/>
  <c r="R4" i="1"/>
  <c r="Q4" i="1"/>
  <c r="P4" i="1"/>
  <c r="P6" i="1" s="1"/>
  <c r="O4" i="1"/>
  <c r="O6" i="1" s="1"/>
  <c r="N4" i="1"/>
  <c r="N6" i="1" s="1"/>
  <c r="M4" i="1"/>
  <c r="L4" i="1"/>
  <c r="P6" i="2" l="1"/>
  <c r="X6" i="2"/>
  <c r="AF6" i="2"/>
  <c r="AN6" i="2"/>
  <c r="C4" i="2"/>
  <c r="S6" i="1"/>
  <c r="AA6" i="1"/>
  <c r="AI6" i="1"/>
  <c r="AQ6" i="1"/>
  <c r="R6" i="2"/>
  <c r="Z6" i="2"/>
  <c r="AH6" i="2"/>
  <c r="AP6" i="2"/>
  <c r="C4" i="1"/>
  <c r="AB6" i="1"/>
  <c r="AR6" i="1"/>
  <c r="T6" i="1"/>
  <c r="AJ6" i="1"/>
  <c r="M6" i="1"/>
  <c r="U6" i="1"/>
  <c r="AC6" i="1"/>
  <c r="AK6" i="1"/>
  <c r="AS6" i="1"/>
  <c r="R6" i="1"/>
  <c r="Z6" i="1"/>
  <c r="AH6" i="1"/>
  <c r="AP6" i="1"/>
  <c r="L6" i="2"/>
  <c r="T6" i="2"/>
  <c r="AB6" i="2"/>
  <c r="AJ6" i="2"/>
  <c r="AR6" i="2"/>
  <c r="I14" i="1"/>
  <c r="L6" i="1"/>
  <c r="Q6" i="2"/>
</calcChain>
</file>

<file path=xl/sharedStrings.xml><?xml version="1.0" encoding="utf-8"?>
<sst xmlns="http://schemas.openxmlformats.org/spreadsheetml/2006/main" count="537" uniqueCount="120">
  <si>
    <t>CONVENCIONAL</t>
  </si>
  <si>
    <t>COMPACTA</t>
  </si>
  <si>
    <t>DIGITAL</t>
  </si>
  <si>
    <t>QUIOSQUE</t>
  </si>
  <si>
    <t>PERFIL 1</t>
  </si>
  <si>
    <t>PERFIL 2</t>
  </si>
  <si>
    <t>PERFIL 3</t>
  </si>
  <si>
    <t>PERFIL 4</t>
  </si>
  <si>
    <t>PERFIL 5</t>
  </si>
  <si>
    <t>Qte SKU por Cluster:</t>
  </si>
  <si>
    <t>PP</t>
  </si>
  <si>
    <t>P</t>
  </si>
  <si>
    <t>M</t>
  </si>
  <si>
    <t>G</t>
  </si>
  <si>
    <t>GG</t>
  </si>
  <si>
    <t>MEGA</t>
  </si>
  <si>
    <t>Obrigatório</t>
  </si>
  <si>
    <t>Sugestão</t>
  </si>
  <si>
    <t>Total</t>
  </si>
  <si>
    <t>Número ideal de obrigatórios</t>
  </si>
  <si>
    <t>Seção</t>
  </si>
  <si>
    <t>TOTAL</t>
  </si>
  <si>
    <t>QTE LOJAS</t>
  </si>
  <si>
    <t>Alterou?</t>
  </si>
  <si>
    <t>SKU</t>
  </si>
  <si>
    <t>Descrição</t>
  </si>
  <si>
    <t>Voltagem</t>
  </si>
  <si>
    <t>Fornecedor</t>
  </si>
  <si>
    <t>Situação</t>
  </si>
  <si>
    <t>Espécie</t>
  </si>
  <si>
    <t>Check</t>
  </si>
  <si>
    <t>Obg</t>
  </si>
  <si>
    <t>Sug</t>
  </si>
  <si>
    <t/>
  </si>
  <si>
    <t>QUIOSQUES</t>
  </si>
  <si>
    <t>CONVENCIONAL-PERFIL 1-PP</t>
  </si>
  <si>
    <t>CONVENCIONAL-PERFIL 1-P</t>
  </si>
  <si>
    <t>CONVENCIONAL-PERFIL 1-M</t>
  </si>
  <si>
    <t>CONVENCIONAL-PERFIL 1-G</t>
  </si>
  <si>
    <t>CONVENCIONAL-PERFIL 1-GG</t>
  </si>
  <si>
    <t>CONVENCIONAL-PERFIL 2-PP</t>
  </si>
  <si>
    <t>CONVENCIONAL-PERFIL 2-P</t>
  </si>
  <si>
    <t>CONVENCIONAL-PERFIL 2-M</t>
  </si>
  <si>
    <t>CONVENCIONAL-PERFIL 2-G</t>
  </si>
  <si>
    <t>CONVENCIONAL-PERFIL 2-GG</t>
  </si>
  <si>
    <t>CONVENCIONAL-PERFIL 3-PP</t>
  </si>
  <si>
    <t>CONVENCIONAL-PERFIL 3-P</t>
  </si>
  <si>
    <t>CONVENCIONAL-PERFIL 3-M</t>
  </si>
  <si>
    <t>CONVENCIONAL-PERFIL 3-G</t>
  </si>
  <si>
    <t>CONVENCIONAL-PERFIL 3-GG</t>
  </si>
  <si>
    <t>CONVENCIONAL-PERFIL 4-PP</t>
  </si>
  <si>
    <t>CONVENCIONAL-PERFIL 4-P</t>
  </si>
  <si>
    <t>CONVENCIONAL-PERFIL 4-M</t>
  </si>
  <si>
    <t>CONVENCIONAL-PERFIL 4-G</t>
  </si>
  <si>
    <t>CONVENCIONAL-PERFIL 4-GG</t>
  </si>
  <si>
    <t>CONVENCIONAL-PERFIL 5-PP</t>
  </si>
  <si>
    <t>CONVENCIONAL-PERFIL 5-P</t>
  </si>
  <si>
    <t>CONVENCIONAL-PERFIL 5-M</t>
  </si>
  <si>
    <t>CONVENCIONAL-PERFIL 5-G</t>
  </si>
  <si>
    <t>CONVENCIONAL-PERFIL 5-GG</t>
  </si>
  <si>
    <t>CONVENCIONAL-PERFIL 5-MEGA</t>
  </si>
  <si>
    <t>COMPACTA-PERFIL 4-PP</t>
  </si>
  <si>
    <t>COMPACTA-PERFIL 4-P</t>
  </si>
  <si>
    <t>COMPACTA-PERFIL 4-M</t>
  </si>
  <si>
    <t>COMPACTA-PERFIL 4-G</t>
  </si>
  <si>
    <t>COMPACTA-PERFIL 4-GG</t>
  </si>
  <si>
    <t>DIGITAL-PERFIL 1-P</t>
  </si>
  <si>
    <t>QUIOSQUE-PERFIL 1-P</t>
  </si>
  <si>
    <t>QUIOSQUE-PERFIL 2-P</t>
  </si>
  <si>
    <t>QUIOSQUE-PERFIL 3-P</t>
  </si>
  <si>
    <t>CHECK</t>
  </si>
  <si>
    <t>COD SORTIMENTO</t>
  </si>
  <si>
    <t>COD SECAO</t>
  </si>
  <si>
    <t>DESC SECAO</t>
  </si>
  <si>
    <t>COD TAMANHO</t>
  </si>
  <si>
    <t>DESC TAMANHO</t>
  </si>
  <si>
    <t>COD PUBLICO</t>
  </si>
  <si>
    <t>DESC PUBLICO</t>
  </si>
  <si>
    <t>COD MERCADORIA</t>
  </si>
  <si>
    <t>DESC MERCADORIA</t>
  </si>
  <si>
    <t>MERC / CONJ</t>
  </si>
  <si>
    <t>PRIORIDADE</t>
  </si>
  <si>
    <t>QTDE</t>
  </si>
  <si>
    <t>VOLTAGEM</t>
  </si>
  <si>
    <t>VIGENCIA INICIO</t>
  </si>
  <si>
    <t>VIGENCIA FIM</t>
  </si>
  <si>
    <t>PERFIL</t>
  </si>
  <si>
    <t>BANDEIRA</t>
  </si>
  <si>
    <t>LOCAL</t>
  </si>
  <si>
    <t>LOCAL_NOVO</t>
  </si>
  <si>
    <t>TAMANHO</t>
  </si>
  <si>
    <t>REGIÃO</t>
  </si>
  <si>
    <t>STATUS</t>
  </si>
  <si>
    <t>MARCA_MERCADORIA</t>
  </si>
  <si>
    <t>ESPECIE_MERCADORIA</t>
  </si>
  <si>
    <t>CONCATENADO</t>
  </si>
  <si>
    <t>CONCATENADO2</t>
  </si>
  <si>
    <t>Média de PRIORIDADE</t>
  </si>
  <si>
    <t>REGIAO 2</t>
  </si>
  <si>
    <t>CONCATENADO3</t>
  </si>
  <si>
    <t>CONCATENADO4</t>
  </si>
  <si>
    <t>CONCATENADO5</t>
  </si>
  <si>
    <t>CONCATENADO6</t>
  </si>
  <si>
    <t>EMPRESA</t>
  </si>
  <si>
    <t>FILIAL</t>
  </si>
  <si>
    <t>TIPO PUBLICO</t>
  </si>
  <si>
    <t>SOLIC#VOLT DIF</t>
  </si>
  <si>
    <t>Contagem de FILIAL</t>
  </si>
  <si>
    <t>IMPORTACAO DE SORTIMENTOS</t>
  </si>
  <si>
    <t>OPERAÇÃO
(I)nclusão
(E)xclusão</t>
  </si>
  <si>
    <t>SORTIMENTO</t>
  </si>
  <si>
    <t>SEÇÃO</t>
  </si>
  <si>
    <t>* CÓDIGO DA MERCADORIA OU CONJUNTO</t>
  </si>
  <si>
    <t>1=MERCADORIA 2=CONJUNTO</t>
  </si>
  <si>
    <t>INICIO VIGENCIA</t>
  </si>
  <si>
    <t>DATA LIMITE</t>
  </si>
  <si>
    <t>PRIORIDADE
1=OBRIGATÓRIO
3=SUGESTÃO</t>
  </si>
  <si>
    <t>QTD.</t>
  </si>
  <si>
    <t>(vazio)</t>
  </si>
  <si>
    <t>Total Geral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</si>
</sst>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7" x14ac:knownFonts="1">
    <font>
      <sz val="11"/>
      <color theme="1"/>
      <name val="Arial"/>
    </font>
    <font>
      <sz val="12"/>
      <color theme="1"/>
      <name val="Calibri"/>
    </font>
    <font>
      <b/>
      <sz val="12"/>
      <color theme="1"/>
      <name val="Calibri"/>
    </font>
    <font>
      <sz val="11"/>
      <name val="Arial"/>
    </font>
    <font>
      <sz val="12"/>
      <color theme="0"/>
      <name val="Calibri"/>
    </font>
    <font>
      <sz val="12"/>
      <color rgb="FFFF0000"/>
      <name val="Calibri"/>
    </font>
    <font>
      <b/>
      <sz val="12"/>
      <color rgb="FFFF0000"/>
      <name val="Calibri"/>
    </font>
    <font>
      <sz val="16"/>
      <color theme="1"/>
      <name val="Calibri"/>
    </font>
    <font>
      <sz val="12"/>
      <color rgb="FFFFFFFF"/>
      <name val="Calibri"/>
    </font>
    <font>
      <b/>
      <sz val="12"/>
      <color theme="5"/>
      <name val="Calibri"/>
    </font>
    <font>
      <b/>
      <sz val="12"/>
      <color rgb="FFFFFFFF"/>
      <name val="Calibri"/>
    </font>
    <font>
      <b/>
      <sz val="12"/>
      <color theme="0"/>
      <name val="Calibri"/>
    </font>
    <font>
      <sz val="12"/>
      <color rgb="FF595959"/>
      <name val="Calibri"/>
    </font>
    <font>
      <sz val="11"/>
      <color theme="1"/>
      <name val="Calibri"/>
    </font>
    <font>
      <sz val="11"/>
      <color theme="1"/>
      <name val="Calibri"/>
    </font>
    <font>
      <sz val="11"/>
      <color theme="0"/>
      <name val="Calibri"/>
    </font>
    <font>
      <sz val="16"/>
      <color rgb="FF00000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E2EFD9"/>
        <bgColor rgb="FFE2EFD9"/>
      </patternFill>
    </fill>
    <fill>
      <patternFill patternType="solid">
        <fgColor rgb="FFFEF2CB"/>
        <bgColor rgb="FFFEF2CB"/>
      </patternFill>
    </fill>
    <fill>
      <patternFill patternType="solid">
        <fgColor rgb="FFFBE4D5"/>
        <bgColor rgb="FFFBE4D5"/>
      </patternFill>
    </fill>
    <fill>
      <patternFill patternType="solid">
        <fgColor rgb="FFD9E2F3"/>
        <bgColor rgb="FFD9E2F3"/>
      </patternFill>
    </fill>
    <fill>
      <patternFill patternType="solid">
        <fgColor rgb="FFD0CECE"/>
        <bgColor rgb="FFD0CECE"/>
      </patternFill>
    </fill>
    <fill>
      <patternFill patternType="solid">
        <fgColor rgb="FFFFFFCC"/>
        <bgColor rgb="FFFFFFCC"/>
      </patternFill>
    </fill>
    <fill>
      <patternFill patternType="solid">
        <fgColor theme="0"/>
        <bgColor theme="0"/>
      </patternFill>
    </fill>
    <fill>
      <patternFill patternType="solid">
        <fgColor rgb="FFF2F2F2"/>
        <bgColor rgb="FFF2F2F2"/>
      </patternFill>
    </fill>
    <fill>
      <patternFill patternType="solid">
        <fgColor rgb="FFC00000"/>
        <bgColor rgb="FFC00000"/>
      </patternFill>
    </fill>
    <fill>
      <patternFill patternType="solid">
        <fgColor rgb="FFF4B083"/>
        <bgColor rgb="FFF4B083"/>
      </patternFill>
    </fill>
    <fill>
      <patternFill patternType="solid">
        <fgColor rgb="FF548135"/>
        <bgColor rgb="FF548135"/>
      </patternFill>
    </fill>
    <fill>
      <patternFill patternType="solid">
        <fgColor rgb="FFA8D08D"/>
        <bgColor rgb="FFA8D08D"/>
      </patternFill>
    </fill>
  </fills>
  <borders count="33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595959"/>
      </top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rgb="FF999999"/>
      </left>
      <right style="thin">
        <color rgb="FF999999"/>
      </right>
      <top style="thin">
        <color indexed="65"/>
      </top>
      <bottom/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/>
      <bottom style="thin">
        <color rgb="FF999999"/>
      </bottom>
      <diagonal/>
    </border>
  </borders>
  <cellStyleXfs count="1">
    <xf numFmtId="0" fontId="0" fillId="0" borderId="0"/>
  </cellStyleXfs>
  <cellXfs count="108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2" fillId="2" borderId="4" xfId="0" applyFont="1" applyFill="1" applyBorder="1" applyAlignment="1">
      <alignment horizontal="center"/>
    </xf>
    <xf numFmtId="0" fontId="2" fillId="4" borderId="6" xfId="0" applyFont="1" applyFill="1" applyBorder="1"/>
    <xf numFmtId="0" fontId="2" fillId="0" borderId="0" xfId="0" applyFont="1" applyAlignment="1">
      <alignment horizontal="center"/>
    </xf>
    <xf numFmtId="0" fontId="2" fillId="5" borderId="6" xfId="0" applyFont="1" applyFill="1" applyBorder="1"/>
    <xf numFmtId="0" fontId="4" fillId="0" borderId="0" xfId="0" applyFont="1" applyAlignment="1">
      <alignment horizontal="center"/>
    </xf>
    <xf numFmtId="0" fontId="2" fillId="0" borderId="10" xfId="0" applyFont="1" applyBorder="1" applyAlignment="1">
      <alignment horizontal="right"/>
    </xf>
    <xf numFmtId="0" fontId="2" fillId="2" borderId="11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5" borderId="11" xfId="0" applyFont="1" applyFill="1" applyBorder="1" applyAlignment="1">
      <alignment horizontal="center"/>
    </xf>
    <xf numFmtId="0" fontId="5" fillId="0" borderId="0" xfId="0" applyFont="1"/>
    <xf numFmtId="0" fontId="6" fillId="0" borderId="0" xfId="0" applyFont="1" applyAlignment="1">
      <alignment horizontal="right"/>
    </xf>
    <xf numFmtId="0" fontId="6" fillId="0" borderId="0" xfId="0" applyFont="1" applyAlignment="1">
      <alignment horizontal="left"/>
    </xf>
    <xf numFmtId="0" fontId="2" fillId="0" borderId="0" xfId="0" applyFont="1" applyAlignment="1">
      <alignment horizontal="right"/>
    </xf>
    <xf numFmtId="0" fontId="1" fillId="0" borderId="12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1" fillId="0" borderId="13" xfId="0" applyFont="1" applyBorder="1" applyAlignment="1">
      <alignment horizontal="center"/>
    </xf>
    <xf numFmtId="0" fontId="2" fillId="6" borderId="14" xfId="0" applyFont="1" applyFill="1" applyBorder="1" applyAlignment="1">
      <alignment horizontal="right" vertical="center"/>
    </xf>
    <xf numFmtId="0" fontId="7" fillId="6" borderId="11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left"/>
    </xf>
    <xf numFmtId="0" fontId="2" fillId="7" borderId="11" xfId="0" applyFont="1" applyFill="1" applyBorder="1" applyAlignment="1">
      <alignment horizontal="center"/>
    </xf>
    <xf numFmtId="0" fontId="1" fillId="8" borderId="15" xfId="0" applyFont="1" applyFill="1" applyBorder="1" applyAlignment="1">
      <alignment horizontal="left"/>
    </xf>
    <xf numFmtId="0" fontId="2" fillId="0" borderId="0" xfId="0" applyFont="1" applyAlignment="1">
      <alignment horizontal="left"/>
    </xf>
    <xf numFmtId="0" fontId="1" fillId="0" borderId="0" xfId="0" applyFont="1" applyAlignment="1">
      <alignment horizontal="center" wrapText="1"/>
    </xf>
    <xf numFmtId="0" fontId="2" fillId="0" borderId="0" xfId="0" applyFont="1" applyAlignment="1">
      <alignment horizontal="left" wrapText="1"/>
    </xf>
    <xf numFmtId="0" fontId="1" fillId="0" borderId="0" xfId="0" applyFont="1" applyAlignment="1">
      <alignment wrapText="1"/>
    </xf>
    <xf numFmtId="0" fontId="2" fillId="0" borderId="0" xfId="0" applyFont="1" applyAlignment="1">
      <alignment horizontal="center" wrapText="1"/>
    </xf>
    <xf numFmtId="0" fontId="2" fillId="2" borderId="11" xfId="0" applyFont="1" applyFill="1" applyBorder="1" applyAlignment="1">
      <alignment horizontal="center" wrapText="1"/>
    </xf>
    <xf numFmtId="0" fontId="2" fillId="3" borderId="11" xfId="0" applyFont="1" applyFill="1" applyBorder="1" applyAlignment="1">
      <alignment horizontal="center" wrapText="1"/>
    </xf>
    <xf numFmtId="0" fontId="2" fillId="4" borderId="11" xfId="0" applyFont="1" applyFill="1" applyBorder="1" applyAlignment="1">
      <alignment horizontal="center" wrapText="1"/>
    </xf>
    <xf numFmtId="0" fontId="8" fillId="0" borderId="0" xfId="0" applyFont="1" applyAlignment="1">
      <alignment horizontal="center" wrapText="1"/>
    </xf>
    <xf numFmtId="0" fontId="9" fillId="0" borderId="0" xfId="0" applyFont="1" applyAlignment="1">
      <alignment horizontal="right"/>
    </xf>
    <xf numFmtId="0" fontId="9" fillId="0" borderId="11" xfId="0" applyFont="1" applyBorder="1" applyAlignment="1">
      <alignment horizontal="center"/>
    </xf>
    <xf numFmtId="0" fontId="4" fillId="9" borderId="14" xfId="0" applyFont="1" applyFill="1" applyBorder="1" applyAlignment="1">
      <alignment horizontal="center"/>
    </xf>
    <xf numFmtId="0" fontId="10" fillId="9" borderId="14" xfId="0" applyFont="1" applyFill="1" applyBorder="1" applyAlignment="1">
      <alignment horizontal="center"/>
    </xf>
    <xf numFmtId="0" fontId="11" fillId="9" borderId="14" xfId="0" applyFont="1" applyFill="1" applyBorder="1" applyAlignment="1">
      <alignment horizontal="left"/>
    </xf>
    <xf numFmtId="0" fontId="4" fillId="9" borderId="14" xfId="0" applyFont="1" applyFill="1" applyBorder="1"/>
    <xf numFmtId="0" fontId="11" fillId="9" borderId="14" xfId="0" applyFont="1" applyFill="1" applyBorder="1" applyAlignment="1">
      <alignment horizontal="center"/>
    </xf>
    <xf numFmtId="0" fontId="2" fillId="7" borderId="11" xfId="0" applyFont="1" applyFill="1" applyBorder="1"/>
    <xf numFmtId="0" fontId="1" fillId="0" borderId="11" xfId="0" applyFont="1" applyBorder="1" applyAlignment="1">
      <alignment horizontal="center"/>
    </xf>
    <xf numFmtId="0" fontId="1" fillId="0" borderId="11" xfId="0" applyFont="1" applyBorder="1" applyAlignment="1">
      <alignment horizontal="left"/>
    </xf>
    <xf numFmtId="0" fontId="12" fillId="0" borderId="11" xfId="0" applyFont="1" applyBorder="1" applyAlignment="1">
      <alignment horizontal="center"/>
    </xf>
    <xf numFmtId="0" fontId="1" fillId="2" borderId="11" xfId="0" applyFont="1" applyFill="1" applyBorder="1" applyAlignment="1">
      <alignment horizontal="center"/>
    </xf>
    <xf numFmtId="0" fontId="1" fillId="3" borderId="11" xfId="0" applyFont="1" applyFill="1" applyBorder="1" applyAlignment="1">
      <alignment horizontal="center"/>
    </xf>
    <xf numFmtId="0" fontId="1" fillId="4" borderId="11" xfId="0" applyFont="1" applyFill="1" applyBorder="1" applyAlignment="1">
      <alignment horizontal="center"/>
    </xf>
    <xf numFmtId="0" fontId="1" fillId="5" borderId="11" xfId="0" applyFont="1" applyFill="1" applyBorder="1" applyAlignment="1">
      <alignment horizontal="center"/>
    </xf>
    <xf numFmtId="0" fontId="1" fillId="10" borderId="11" xfId="0" applyFont="1" applyFill="1" applyBorder="1" applyAlignment="1">
      <alignment horizontal="center"/>
    </xf>
    <xf numFmtId="0" fontId="1" fillId="10" borderId="11" xfId="0" applyFont="1" applyFill="1" applyBorder="1" applyAlignment="1">
      <alignment horizontal="left"/>
    </xf>
    <xf numFmtId="0" fontId="1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5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6" borderId="14" xfId="0" applyFont="1" applyFill="1" applyBorder="1" applyAlignment="1">
      <alignment horizontal="right" vertical="center" wrapText="1"/>
    </xf>
    <xf numFmtId="0" fontId="4" fillId="0" borderId="0" xfId="0" applyFont="1" applyAlignment="1">
      <alignment horizontal="left" vertical="center"/>
    </xf>
    <xf numFmtId="0" fontId="2" fillId="2" borderId="6" xfId="0" applyFont="1" applyFill="1" applyBorder="1"/>
    <xf numFmtId="0" fontId="2" fillId="3" borderId="6" xfId="0" applyFont="1" applyFill="1" applyBorder="1"/>
    <xf numFmtId="0" fontId="2" fillId="2" borderId="4" xfId="0" applyFont="1" applyFill="1" applyBorder="1"/>
    <xf numFmtId="0" fontId="2" fillId="3" borderId="16" xfId="0" applyFont="1" applyFill="1" applyBorder="1"/>
    <xf numFmtId="0" fontId="6" fillId="9" borderId="14" xfId="0" applyFont="1" applyFill="1" applyBorder="1" applyAlignment="1">
      <alignment horizontal="center"/>
    </xf>
    <xf numFmtId="0" fontId="4" fillId="9" borderId="14" xfId="0" applyFont="1" applyFill="1" applyBorder="1" applyAlignment="1">
      <alignment horizontal="left" vertical="center"/>
    </xf>
    <xf numFmtId="0" fontId="11" fillId="9" borderId="14" xfId="0" applyFont="1" applyFill="1" applyBorder="1" applyAlignment="1">
      <alignment horizontal="left" vertical="center"/>
    </xf>
    <xf numFmtId="0" fontId="2" fillId="7" borderId="11" xfId="0" applyFont="1" applyFill="1" applyBorder="1" applyAlignment="1">
      <alignment horizontal="left" vertical="center"/>
    </xf>
    <xf numFmtId="0" fontId="1" fillId="0" borderId="11" xfId="0" applyFont="1" applyBorder="1" applyAlignment="1">
      <alignment horizontal="center" wrapText="1"/>
    </xf>
    <xf numFmtId="0" fontId="12" fillId="0" borderId="11" xfId="0" applyFont="1" applyBorder="1" applyAlignment="1">
      <alignment horizontal="center" wrapText="1"/>
    </xf>
    <xf numFmtId="0" fontId="1" fillId="9" borderId="14" xfId="0" applyFont="1" applyFill="1" applyBorder="1"/>
    <xf numFmtId="0" fontId="13" fillId="0" borderId="0" xfId="0" applyFont="1"/>
    <xf numFmtId="14" fontId="14" fillId="0" borderId="0" xfId="0" applyNumberFormat="1" applyFont="1"/>
    <xf numFmtId="0" fontId="14" fillId="0" borderId="0" xfId="0" applyFont="1"/>
    <xf numFmtId="0" fontId="15" fillId="12" borderId="11" xfId="0" applyFont="1" applyFill="1" applyBorder="1" applyAlignment="1">
      <alignment horizontal="center" vertical="top" wrapText="1"/>
    </xf>
    <xf numFmtId="0" fontId="15" fillId="12" borderId="11" xfId="0" applyFont="1" applyFill="1" applyBorder="1" applyAlignment="1">
      <alignment horizontal="center" vertical="top"/>
    </xf>
    <xf numFmtId="14" fontId="14" fillId="0" borderId="0" xfId="0" applyNumberFormat="1" applyFont="1"/>
    <xf numFmtId="0" fontId="15" fillId="14" borderId="11" xfId="0" applyFont="1" applyFill="1" applyBorder="1" applyAlignment="1">
      <alignment horizontal="center" vertical="top" wrapText="1"/>
    </xf>
    <xf numFmtId="0" fontId="15" fillId="14" borderId="11" xfId="0" applyFont="1" applyFill="1" applyBorder="1" applyAlignment="1">
      <alignment horizontal="center" vertical="top"/>
    </xf>
    <xf numFmtId="0" fontId="0" fillId="0" borderId="22" xfId="0" applyFont="1" applyBorder="1" applyAlignment="1"/>
    <xf numFmtId="0" fontId="0" fillId="0" borderId="22" xfId="0" pivotButton="1" applyFont="1" applyBorder="1" applyAlignment="1"/>
    <xf numFmtId="0" fontId="0" fillId="0" borderId="23" xfId="0" applyFont="1" applyBorder="1" applyAlignment="1"/>
    <xf numFmtId="0" fontId="0" fillId="0" borderId="24" xfId="0" applyFont="1" applyBorder="1" applyAlignment="1"/>
    <xf numFmtId="0" fontId="0" fillId="0" borderId="25" xfId="0" applyFont="1" applyBorder="1" applyAlignment="1"/>
    <xf numFmtId="0" fontId="0" fillId="0" borderId="26" xfId="0" applyFont="1" applyBorder="1" applyAlignment="1"/>
    <xf numFmtId="0" fontId="0" fillId="0" borderId="26" xfId="0" applyNumberFormat="1" applyFont="1" applyBorder="1" applyAlignment="1"/>
    <xf numFmtId="0" fontId="0" fillId="0" borderId="27" xfId="0" applyNumberFormat="1" applyFont="1" applyBorder="1" applyAlignment="1"/>
    <xf numFmtId="0" fontId="0" fillId="0" borderId="28" xfId="0" applyFont="1" applyBorder="1" applyAlignment="1"/>
    <xf numFmtId="0" fontId="0" fillId="0" borderId="28" xfId="0" pivotButton="1" applyFont="1" applyBorder="1" applyAlignment="1"/>
    <xf numFmtId="0" fontId="0" fillId="0" borderId="25" xfId="0" pivotButton="1" applyFont="1" applyBorder="1" applyAlignment="1"/>
    <xf numFmtId="0" fontId="0" fillId="0" borderId="29" xfId="0" applyFont="1" applyBorder="1" applyAlignment="1"/>
    <xf numFmtId="0" fontId="0" fillId="0" borderId="30" xfId="0" applyFont="1" applyBorder="1" applyAlignment="1"/>
    <xf numFmtId="0" fontId="0" fillId="0" borderId="22" xfId="0" applyNumberFormat="1" applyFont="1" applyBorder="1" applyAlignment="1"/>
    <xf numFmtId="0" fontId="0" fillId="0" borderId="31" xfId="0" applyFont="1" applyBorder="1" applyAlignment="1"/>
    <xf numFmtId="0" fontId="0" fillId="0" borderId="32" xfId="0" applyFont="1" applyBorder="1" applyAlignment="1"/>
    <xf numFmtId="0" fontId="2" fillId="2" borderId="1" xfId="0" applyFont="1" applyFill="1" applyBorder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2" fillId="3" borderId="7" xfId="0" applyFont="1" applyFill="1" applyBorder="1" applyAlignment="1">
      <alignment horizontal="center"/>
    </xf>
    <xf numFmtId="0" fontId="3" fillId="0" borderId="8" xfId="0" applyFont="1" applyBorder="1"/>
    <xf numFmtId="0" fontId="3" fillId="0" borderId="9" xfId="0" applyFont="1" applyBorder="1"/>
    <xf numFmtId="0" fontId="3" fillId="0" borderId="5" xfId="0" applyFont="1" applyBorder="1"/>
    <xf numFmtId="0" fontId="2" fillId="3" borderId="1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15" fillId="11" borderId="17" xfId="0" applyFont="1" applyFill="1" applyBorder="1" applyAlignment="1">
      <alignment horizontal="center" vertical="center"/>
    </xf>
    <xf numFmtId="0" fontId="3" fillId="0" borderId="18" xfId="0" applyFont="1" applyBorder="1"/>
    <xf numFmtId="0" fontId="3" fillId="0" borderId="19" xfId="0" applyFont="1" applyBorder="1"/>
    <xf numFmtId="0" fontId="15" fillId="13" borderId="20" xfId="0" applyFont="1" applyFill="1" applyBorder="1" applyAlignment="1">
      <alignment horizontal="center" vertical="center"/>
    </xf>
    <xf numFmtId="0" fontId="3" fillId="0" borderId="21" xfId="0" applyFont="1" applyBorder="1"/>
  </cellXfs>
  <cellStyles count="1">
    <cellStyle name="Normal" xfId="0" builtinId="0"/>
  </cellStyles>
  <dxfs count="18">
    <dxf>
      <font>
        <color rgb="FF9C0006"/>
      </font>
      <fill>
        <patternFill patternType="solid">
          <fgColor rgb="FFFFC7CE"/>
          <bgColor rgb="FFFFC7CE"/>
        </patternFill>
      </fill>
    </dxf>
    <dxf>
      <font>
        <b/>
        <color rgb="FF1E4E79"/>
      </font>
      <fill>
        <patternFill patternType="solid">
          <fgColor rgb="FF9CC2E5"/>
          <bgColor rgb="FF9CC2E5"/>
        </patternFill>
      </fill>
    </dxf>
    <dxf>
      <font>
        <b/>
        <color rgb="FF7F6000"/>
      </font>
      <fill>
        <patternFill patternType="solid">
          <fgColor rgb="FFFEF2CB"/>
          <bgColor rgb="FFFEF2CB"/>
        </patternFill>
      </fill>
    </dxf>
    <dxf>
      <font>
        <b/>
        <color rgb="FF1E4E79"/>
      </font>
      <fill>
        <patternFill patternType="solid">
          <fgColor rgb="FF9CC2E5"/>
          <bgColor rgb="FF9CC2E5"/>
        </patternFill>
      </fill>
    </dxf>
    <dxf>
      <font>
        <b/>
        <color rgb="FF7F6000"/>
      </font>
      <fill>
        <patternFill patternType="solid">
          <fgColor rgb="FFFEF2CB"/>
          <bgColor rgb="FFFEF2CB"/>
        </patternFill>
      </fill>
    </dxf>
    <dxf>
      <font>
        <b/>
        <color rgb="FF1E4E79"/>
      </font>
      <fill>
        <patternFill patternType="solid">
          <fgColor rgb="FF9CC2E5"/>
          <bgColor rgb="FF9CC2E5"/>
        </patternFill>
      </fill>
    </dxf>
    <dxf>
      <font>
        <b/>
        <color rgb="FF7F6000"/>
      </font>
      <fill>
        <patternFill patternType="solid">
          <fgColor rgb="FFFEF2CB"/>
          <bgColor rgb="FFFEF2CB"/>
        </patternFill>
      </fill>
    </dxf>
    <dxf>
      <font>
        <b/>
        <color rgb="FF1E4E79"/>
      </font>
      <fill>
        <patternFill patternType="solid">
          <fgColor rgb="FF9CC2E5"/>
          <bgColor rgb="FF9CC2E5"/>
        </patternFill>
      </fill>
    </dxf>
    <dxf>
      <font>
        <b/>
        <color rgb="FF7F6000"/>
      </font>
      <fill>
        <patternFill patternType="solid">
          <fgColor rgb="FFFEF2CB"/>
          <bgColor rgb="FFFEF2CB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b/>
        <color rgb="FF1E4E79"/>
      </font>
      <fill>
        <patternFill patternType="solid">
          <fgColor rgb="FF9CC2E5"/>
          <bgColor rgb="FF9CC2E5"/>
        </patternFill>
      </fill>
    </dxf>
    <dxf>
      <font>
        <b/>
        <color rgb="FF7F6000"/>
      </font>
      <fill>
        <patternFill patternType="solid">
          <fgColor rgb="FFFEF2CB"/>
          <bgColor rgb="FFFEF2CB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</dxfs>
  <tableStyles count="2">
    <tableStyle name="SORTEMP-style" pivot="0" count="3" xr9:uid="{00000000-0011-0000-FFFF-FFFF00000000}">
      <tableStyleElement type="headerRow" dxfId="17"/>
      <tableStyleElement type="firstRowStripe" dxfId="16"/>
      <tableStyleElement type="secondRowStripe" dxfId="15"/>
    </tableStyle>
    <tableStyle name="SORTIM-style" pivot="0" count="3" xr9:uid="{00000000-0011-0000-FFFF-FFFF01000000}">
      <tableStyleElement type="headerRow" dxfId="14"/>
      <tableStyleElement type="firstRowStripe" dxfId="13"/>
      <tableStyleElement type="secondRowStripe" dxfId="1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51" Type="http://schemas.openxmlformats.org/officeDocument/2006/relationships/styles" Target="styles.xml"/><Relationship Id="rId3" Type="http://schemas.openxmlformats.org/officeDocument/2006/relationships/worksheet" Target="worksheets/sheet3.xml"/><Relationship Id="rId50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49" Type="http://customschemas.google.com/relationships/workbookmetadata" Target="metadata"/><Relationship Id="rId10" Type="http://schemas.openxmlformats.org/officeDocument/2006/relationships/pivotCacheDefinition" Target="pivotCache/pivotCacheDefinition2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4</xdr:row>
          <xdr:rowOff>114300</xdr:rowOff>
        </xdr:from>
        <xdr:to>
          <xdr:col>2</xdr:col>
          <xdr:colOff>1181100</xdr:colOff>
          <xdr:row>6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Carga de Exclusão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1866900</xdr:colOff>
          <xdr:row>4</xdr:row>
          <xdr:rowOff>114300</xdr:rowOff>
        </xdr:from>
        <xdr:to>
          <xdr:col>2</xdr:col>
          <xdr:colOff>3848100</xdr:colOff>
          <xdr:row>6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Carga de Inclusão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André Zigaib" refreshedDate="44281.559102893516" refreshedVersion="6" recordCount="219" xr:uid="{00000000-000A-0000-FFFF-FFFF00000000}">
  <cacheSource type="worksheet">
    <worksheetSource ref="A1:Z220" sheet="SORTEMP"/>
  </cacheSource>
  <cacheFields count="26">
    <cacheField name="COD SORTIMENTO" numFmtId="0">
      <sharedItems containsNonDate="0" containsString="0" containsBlank="1"/>
    </cacheField>
    <cacheField name="COD SECAO" numFmtId="0">
      <sharedItems containsNonDate="0" containsString="0" containsBlank="1"/>
    </cacheField>
    <cacheField name="DESC SECAO" numFmtId="0">
      <sharedItems containsNonDate="0" containsString="0" containsBlank="1"/>
    </cacheField>
    <cacheField name="COD TAMANHO" numFmtId="0">
      <sharedItems containsNonDate="0" containsString="0" containsBlank="1"/>
    </cacheField>
    <cacheField name="DESC TAMANHO" numFmtId="0">
      <sharedItems containsNonDate="0" containsString="0" containsBlank="1"/>
    </cacheField>
    <cacheField name="COD PUBLICO" numFmtId="0">
      <sharedItems containsNonDate="0" containsString="0" containsBlank="1"/>
    </cacheField>
    <cacheField name="DESC PUBLICO" numFmtId="0">
      <sharedItems containsNonDate="0" containsString="0" containsBlank="1"/>
    </cacheField>
    <cacheField name="COD MERCADORIA" numFmtId="0">
      <sharedItems containsNonDate="0" containsString="0" containsBlank="1" count="1">
        <m/>
      </sharedItems>
    </cacheField>
    <cacheField name="DESC MERCADORIA" numFmtId="0">
      <sharedItems containsNonDate="0" containsString="0" containsBlank="1" count="1">
        <m/>
      </sharedItems>
    </cacheField>
    <cacheField name="MERC / CONJ" numFmtId="0">
      <sharedItems containsNonDate="0" containsString="0" containsBlank="1"/>
    </cacheField>
    <cacheField name="PRIORIDADE" numFmtId="0">
      <sharedItems containsNonDate="0" containsString="0" containsBlank="1"/>
    </cacheField>
    <cacheField name="QTDE" numFmtId="0">
      <sharedItems containsNonDate="0" containsString="0" containsBlank="1"/>
    </cacheField>
    <cacheField name="VOLTAGEM" numFmtId="0">
      <sharedItems containsNonDate="0" containsString="0" containsBlank="1" count="1">
        <m/>
      </sharedItems>
    </cacheField>
    <cacheField name="VIGENCIA INICIO" numFmtId="14">
      <sharedItems containsNonDate="0" containsString="0" containsBlank="1"/>
    </cacheField>
    <cacheField name="VIGENCIA FIM" numFmtId="0">
      <sharedItems containsNonDate="0" containsString="0" containsBlank="1"/>
    </cacheField>
    <cacheField name="PERFIL" numFmtId="0">
      <sharedItems containsNonDate="0" containsString="0" containsBlank="1" count="1">
        <m/>
      </sharedItems>
    </cacheField>
    <cacheField name="BANDEIRA" numFmtId="0">
      <sharedItems containsNonDate="0" containsString="0" containsBlank="1"/>
    </cacheField>
    <cacheField name="LOCAL" numFmtId="0">
      <sharedItems containsNonDate="0" containsString="0" containsBlank="1"/>
    </cacheField>
    <cacheField name="LOCAL_NOVO" numFmtId="0">
      <sharedItems containsNonDate="0" containsString="0" containsBlank="1" count="1">
        <m/>
      </sharedItems>
    </cacheField>
    <cacheField name="TAMANHO" numFmtId="0">
      <sharedItems containsNonDate="0" containsString="0" containsBlank="1" count="1">
        <m/>
      </sharedItems>
    </cacheField>
    <cacheField name="REGIÃO" numFmtId="0">
      <sharedItems containsNonDate="0" containsString="0" containsBlank="1"/>
    </cacheField>
    <cacheField name="STATUS" numFmtId="0">
      <sharedItems containsNonDate="0" containsString="0" containsBlank="1" count="1">
        <m/>
      </sharedItems>
    </cacheField>
    <cacheField name="MARCA_MERCADORIA" numFmtId="0">
      <sharedItems containsNonDate="0" containsString="0" containsBlank="1" count="1">
        <m/>
      </sharedItems>
    </cacheField>
    <cacheField name="ESPECIE_MERCADORIA" numFmtId="0">
      <sharedItems containsNonDate="0" containsString="0" containsBlank="1" count="1">
        <m/>
      </sharedItems>
    </cacheField>
    <cacheField name="CONCATENADO" numFmtId="0">
      <sharedItems containsNonDate="0" containsString="0" containsBlank="1"/>
    </cacheField>
    <cacheField name="CONCATENADO2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André Zigaib" refreshedDate="44281.559102893516" refreshedVersion="6" recordCount="19" xr:uid="{00000000-000A-0000-FFFF-FFFF01000000}">
  <cacheSource type="worksheet">
    <worksheetSource ref="B1:V20" sheet="SORTIM"/>
  </cacheSource>
  <cacheFields count="21">
    <cacheField name="DESC PUBLICO" numFmtId="0">
      <sharedItems containsNonDate="0" containsString="0" containsBlank="1"/>
    </cacheField>
    <cacheField name="COD SECAO" numFmtId="0">
      <sharedItems containsNonDate="0" containsString="0" containsBlank="1"/>
    </cacheField>
    <cacheField name="DESC SECAO" numFmtId="0">
      <sharedItems containsNonDate="0" containsString="0" containsBlank="1"/>
    </cacheField>
    <cacheField name="COD SORTIMENTO" numFmtId="0">
      <sharedItems containsNonDate="0" containsString="0" containsBlank="1"/>
    </cacheField>
    <cacheField name="COD TAMANHO" numFmtId="0">
      <sharedItems containsNonDate="0" containsString="0" containsBlank="1"/>
    </cacheField>
    <cacheField name="DESC TAMANHO" numFmtId="0">
      <sharedItems containsNonDate="0" containsString="0" containsBlank="1"/>
    </cacheField>
    <cacheField name="PERFIL" numFmtId="0">
      <sharedItems containsNonDate="0" containsString="0" containsBlank="1"/>
    </cacheField>
    <cacheField name="BANDEIRA" numFmtId="0">
      <sharedItems containsNonDate="0" containsString="0" containsBlank="1"/>
    </cacheField>
    <cacheField name="LOCAL_NOVO" numFmtId="0">
      <sharedItems containsNonDate="0" containsString="0" containsBlank="1"/>
    </cacheField>
    <cacheField name="LOCAL" numFmtId="0">
      <sharedItems containsNonDate="0" containsString="0" containsBlank="1"/>
    </cacheField>
    <cacheField name="TAMANHO" numFmtId="0">
      <sharedItems containsNonDate="0" containsString="0" containsBlank="1"/>
    </cacheField>
    <cacheField name="REGIÃO" numFmtId="0">
      <sharedItems containsNonDate="0" containsString="0" containsBlank="1"/>
    </cacheField>
    <cacheField name="REGIAO 2" numFmtId="0">
      <sharedItems containsNonDate="0" containsString="0" containsBlank="1"/>
    </cacheField>
    <cacheField name="CONCATENADO" numFmtId="0">
      <sharedItems containsNonDate="0" containsString="0" containsBlank="1" count="1">
        <m/>
      </sharedItems>
    </cacheField>
    <cacheField name="CONCATENADO2" numFmtId="0">
      <sharedItems containsNonDate="0" containsString="0" containsBlank="1"/>
    </cacheField>
    <cacheField name="CONCATENADO3" numFmtId="0">
      <sharedItems containsNonDate="0" containsString="0" containsBlank="1"/>
    </cacheField>
    <cacheField name="CONCATENADO4" numFmtId="0">
      <sharedItems containsNonDate="0" containsString="0" containsBlank="1"/>
    </cacheField>
    <cacheField name="CONCATENADO5" numFmtId="0">
      <sharedItems containsNonDate="0" containsString="0" containsBlank="1"/>
    </cacheField>
    <cacheField name="CONCATENADO6" numFmtId="0">
      <sharedItems containsNonDate="0" containsString="0" containsBlank="1"/>
    </cacheField>
    <cacheField name="EMPRESA" numFmtId="0">
      <sharedItems containsNonDate="0" containsString="0" containsBlank="1"/>
    </cacheField>
    <cacheField name="FILIAL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9"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">
  <r>
    <m/>
    <m/>
    <m/>
    <m/>
    <m/>
    <m/>
    <m/>
    <m/>
    <m/>
    <m/>
    <m/>
    <m/>
    <m/>
    <x v="0"/>
    <m/>
    <m/>
    <m/>
    <m/>
    <m/>
    <m/>
    <m/>
  </r>
  <r>
    <m/>
    <m/>
    <m/>
    <m/>
    <m/>
    <m/>
    <m/>
    <m/>
    <m/>
    <m/>
    <m/>
    <m/>
    <m/>
    <x v="0"/>
    <m/>
    <m/>
    <m/>
    <m/>
    <m/>
    <m/>
    <m/>
  </r>
  <r>
    <m/>
    <m/>
    <m/>
    <m/>
    <m/>
    <m/>
    <m/>
    <m/>
    <m/>
    <m/>
    <m/>
    <m/>
    <m/>
    <x v="0"/>
    <m/>
    <m/>
    <m/>
    <m/>
    <m/>
    <m/>
    <m/>
  </r>
  <r>
    <m/>
    <m/>
    <m/>
    <m/>
    <m/>
    <m/>
    <m/>
    <m/>
    <m/>
    <m/>
    <m/>
    <m/>
    <m/>
    <x v="0"/>
    <m/>
    <m/>
    <m/>
    <m/>
    <m/>
    <m/>
    <m/>
  </r>
  <r>
    <m/>
    <m/>
    <m/>
    <m/>
    <m/>
    <m/>
    <m/>
    <m/>
    <m/>
    <m/>
    <m/>
    <m/>
    <m/>
    <x v="0"/>
    <m/>
    <m/>
    <m/>
    <m/>
    <m/>
    <m/>
    <m/>
  </r>
  <r>
    <m/>
    <m/>
    <m/>
    <m/>
    <m/>
    <m/>
    <m/>
    <m/>
    <m/>
    <m/>
    <m/>
    <m/>
    <m/>
    <x v="0"/>
    <m/>
    <m/>
    <m/>
    <m/>
    <m/>
    <m/>
    <m/>
  </r>
  <r>
    <m/>
    <m/>
    <m/>
    <m/>
    <m/>
    <m/>
    <m/>
    <m/>
    <m/>
    <m/>
    <m/>
    <m/>
    <m/>
    <x v="0"/>
    <m/>
    <m/>
    <m/>
    <m/>
    <m/>
    <m/>
    <m/>
  </r>
  <r>
    <m/>
    <m/>
    <m/>
    <m/>
    <m/>
    <m/>
    <m/>
    <m/>
    <m/>
    <m/>
    <m/>
    <m/>
    <m/>
    <x v="0"/>
    <m/>
    <m/>
    <m/>
    <m/>
    <m/>
    <m/>
    <m/>
  </r>
  <r>
    <m/>
    <m/>
    <m/>
    <m/>
    <m/>
    <m/>
    <m/>
    <m/>
    <m/>
    <m/>
    <m/>
    <m/>
    <m/>
    <x v="0"/>
    <m/>
    <m/>
    <m/>
    <m/>
    <m/>
    <m/>
    <m/>
  </r>
  <r>
    <m/>
    <m/>
    <m/>
    <m/>
    <m/>
    <m/>
    <m/>
    <m/>
    <m/>
    <m/>
    <m/>
    <m/>
    <m/>
    <x v="0"/>
    <m/>
    <m/>
    <m/>
    <m/>
    <m/>
    <m/>
    <m/>
  </r>
  <r>
    <m/>
    <m/>
    <m/>
    <m/>
    <m/>
    <m/>
    <m/>
    <m/>
    <m/>
    <m/>
    <m/>
    <m/>
    <m/>
    <x v="0"/>
    <m/>
    <m/>
    <m/>
    <m/>
    <m/>
    <m/>
    <m/>
  </r>
  <r>
    <m/>
    <m/>
    <m/>
    <m/>
    <m/>
    <m/>
    <m/>
    <m/>
    <m/>
    <m/>
    <m/>
    <m/>
    <m/>
    <x v="0"/>
    <m/>
    <m/>
    <m/>
    <m/>
    <m/>
    <m/>
    <m/>
  </r>
  <r>
    <m/>
    <m/>
    <m/>
    <m/>
    <m/>
    <m/>
    <m/>
    <m/>
    <m/>
    <m/>
    <m/>
    <m/>
    <m/>
    <x v="0"/>
    <m/>
    <m/>
    <m/>
    <m/>
    <m/>
    <m/>
    <m/>
  </r>
  <r>
    <m/>
    <m/>
    <m/>
    <m/>
    <m/>
    <m/>
    <m/>
    <m/>
    <m/>
    <m/>
    <m/>
    <m/>
    <m/>
    <x v="0"/>
    <m/>
    <m/>
    <m/>
    <m/>
    <m/>
    <m/>
    <m/>
  </r>
  <r>
    <m/>
    <m/>
    <m/>
    <m/>
    <m/>
    <m/>
    <m/>
    <m/>
    <m/>
    <m/>
    <m/>
    <m/>
    <m/>
    <x v="0"/>
    <m/>
    <m/>
    <m/>
    <m/>
    <m/>
    <m/>
    <m/>
  </r>
  <r>
    <m/>
    <m/>
    <m/>
    <m/>
    <m/>
    <m/>
    <m/>
    <m/>
    <m/>
    <m/>
    <m/>
    <m/>
    <m/>
    <x v="0"/>
    <m/>
    <m/>
    <m/>
    <m/>
    <m/>
    <m/>
    <m/>
  </r>
  <r>
    <m/>
    <m/>
    <m/>
    <m/>
    <m/>
    <m/>
    <m/>
    <m/>
    <m/>
    <m/>
    <m/>
    <m/>
    <m/>
    <x v="0"/>
    <m/>
    <m/>
    <m/>
    <m/>
    <m/>
    <m/>
    <m/>
  </r>
  <r>
    <m/>
    <m/>
    <m/>
    <m/>
    <m/>
    <m/>
    <m/>
    <m/>
    <m/>
    <m/>
    <m/>
    <m/>
    <m/>
    <x v="0"/>
    <m/>
    <m/>
    <m/>
    <m/>
    <m/>
    <m/>
    <m/>
  </r>
  <r>
    <m/>
    <m/>
    <m/>
    <m/>
    <m/>
    <m/>
    <m/>
    <m/>
    <m/>
    <m/>
    <m/>
    <m/>
    <m/>
    <x v="0"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DIN SORTEMP" cacheId="12" applyNumberFormats="0" applyBorderFormats="0" applyFontFormats="0" applyPatternFormats="0" applyAlignmentFormats="0" applyWidthHeightFormats="0" dataCaption="" updatedVersion="6" compact="0" compactData="0">
  <location ref="A3:I8" firstHeaderRow="1" firstDataRow="4" firstDataCol="6"/>
  <pivotFields count="26">
    <pivotField name="COD SORTIMENTO" compact="0" outline="0" multipleItemSelectionAllowed="1" showAll="0"/>
    <pivotField name="COD SECAO" compact="0" outline="0" multipleItemSelectionAllowed="1" showAll="0"/>
    <pivotField name="DESC SECAO" compact="0" outline="0" multipleItemSelectionAllowed="1" showAll="0"/>
    <pivotField name="COD TAMANHO" compact="0" outline="0" multipleItemSelectionAllowed="1" showAll="0"/>
    <pivotField name="DESC TAMANHO" compact="0" outline="0" multipleItemSelectionAllowed="1" showAll="0"/>
    <pivotField name="COD PUBLICO" compact="0" outline="0" multipleItemSelectionAllowed="1" showAll="0"/>
    <pivotField name="DESC PUBLICO" compact="0" outline="0" multipleItemSelectionAllowed="1" showAll="0"/>
    <pivotField name="COD MERCADORIA" axis="axisRow" compact="0" outline="0" multipleItemSelectionAllowed="1" showAll="0" sortType="ascending" defaultSubtotal="0">
      <items count="1">
        <item x="0"/>
      </items>
    </pivotField>
    <pivotField name="DESC MERCADORIA" axis="axisRow" compact="0" outline="0" multipleItemSelectionAllowed="1" showAll="0" sortType="ascending" defaultSubtotal="0">
      <items count="1">
        <item x="0"/>
      </items>
    </pivotField>
    <pivotField name="MERC / CONJ" compact="0" outline="0" multipleItemSelectionAllowed="1" showAll="0"/>
    <pivotField name="PRIORIDADE" dataField="1" compact="0" outline="0" multipleItemSelectionAllowed="1" showAll="0"/>
    <pivotField name="QTDE" compact="0" outline="0" multipleItemSelectionAllowed="1" showAll="0"/>
    <pivotField name="VOLTAGEM" axis="axisRow" compact="0" outline="0" multipleItemSelectionAllowed="1" showAll="0" sortType="ascending" defaultSubtotal="0">
      <items count="1">
        <item x="0"/>
      </items>
    </pivotField>
    <pivotField name="VIGENCIA INICIO" compact="0" outline="0" multipleItemSelectionAllowed="1" showAll="0"/>
    <pivotField name="VIGENCIA FIM" compact="0" outline="0" multipleItemSelectionAllowed="1" showAll="0"/>
    <pivotField name="PERFIL" axis="axisCol" compact="0" outline="0" multipleItemSelectionAllowed="1" showAll="0" sortType="ascending" defaultSubtotal="0">
      <items count="1">
        <item x="0"/>
      </items>
    </pivotField>
    <pivotField name="BANDEIRA" compact="0" outline="0" multipleItemSelectionAllowed="1" showAll="0"/>
    <pivotField name="LOCAL" compact="0" outline="0" multipleItemSelectionAllowed="1" showAll="0"/>
    <pivotField name="LOCAL_NOVO" axis="axisCol" compact="0" outline="0" multipleItemSelectionAllowed="1" showAll="0" sortType="ascending" defaultSubtotal="0">
      <items count="1">
        <item x="0"/>
      </items>
    </pivotField>
    <pivotField name="TAMANHO" axis="axisCol" compact="0" outline="0" multipleItemSelectionAllowed="1" showAll="0" sortType="ascending">
      <items count="2">
        <item x="0"/>
        <item t="default"/>
      </items>
    </pivotField>
    <pivotField name="REGIÃO" compact="0" outline="0" multipleItemSelectionAllowed="1" showAll="0"/>
    <pivotField name="STATUS" axis="axisRow" compact="0" outline="0" multipleItemSelectionAllowed="1" showAll="0" sortType="ascending" defaultSubtotal="0">
      <items count="1">
        <item x="0"/>
      </items>
    </pivotField>
    <pivotField name="MARCA_MERCADORIA" axis="axisRow" compact="0" outline="0" multipleItemSelectionAllowed="1" showAll="0" sortType="ascending" defaultSubtotal="0">
      <items count="1">
        <item x="0"/>
      </items>
    </pivotField>
    <pivotField name="ESPECIE_MERCADORIA" axis="axisRow" compact="0" outline="0" multipleItemSelectionAllowed="1" showAll="0" sortType="ascending">
      <items count="2">
        <item x="0"/>
        <item t="default"/>
      </items>
    </pivotField>
    <pivotField name="CONCATENADO" compact="0" outline="0" multipleItemSelectionAllowed="1" showAll="0"/>
    <pivotField name="CONCATENADO2" compact="0" outline="0" multipleItemSelectionAllowed="1" showAll="0"/>
  </pivotFields>
  <rowFields count="6">
    <field x="7"/>
    <field x="8"/>
    <field x="12"/>
    <field x="22"/>
    <field x="21"/>
    <field x="23"/>
  </rowFields>
  <rowItems count="2">
    <i>
      <x/>
      <x/>
      <x/>
      <x/>
      <x/>
      <x/>
    </i>
    <i t="grand">
      <x/>
    </i>
  </rowItems>
  <colFields count="3">
    <field x="18"/>
    <field x="15"/>
    <field x="19"/>
  </colFields>
  <colItems count="2">
    <i>
      <x/>
      <x/>
      <x/>
    </i>
    <i t="grand">
      <x/>
    </i>
  </colItems>
  <dataFields count="1">
    <dataField name="Média de PRIORIDADE" fld="10" subtotal="average" baseField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DIN SORTIM" cacheId="15" applyNumberFormats="0" applyBorderFormats="0" applyFontFormats="0" applyPatternFormats="0" applyAlignmentFormats="0" applyWidthHeightFormats="0" dataCaption="" updatedVersion="6" compact="0" compactData="0">
  <location ref="A3:C5" firstHeaderRow="1" firstDataRow="2" firstDataCol="1"/>
  <pivotFields count="21">
    <pivotField name="DESC PUBLICO" compact="0" outline="0" multipleItemSelectionAllowed="1" showAll="0"/>
    <pivotField name="COD SECAO" compact="0" outline="0" multipleItemSelectionAllowed="1" showAll="0"/>
    <pivotField name="DESC SECAO" compact="0" outline="0" multipleItemSelectionAllowed="1" showAll="0"/>
    <pivotField name="COD SORTIMENTO" compact="0" outline="0" multipleItemSelectionAllowed="1" showAll="0"/>
    <pivotField name="COD TAMANHO" compact="0" outline="0" multipleItemSelectionAllowed="1" showAll="0"/>
    <pivotField name="DESC TAMANHO" compact="0" outline="0" multipleItemSelectionAllowed="1" showAll="0"/>
    <pivotField name="PERFIL" compact="0" outline="0" multipleItemSelectionAllowed="1" showAll="0"/>
    <pivotField name="BANDEIRA" compact="0" outline="0" multipleItemSelectionAllowed="1" showAll="0"/>
    <pivotField name="LOCAL_NOVO" compact="0" outline="0" multipleItemSelectionAllowed="1" showAll="0"/>
    <pivotField name="LOCAL" compact="0" outline="0" multipleItemSelectionAllowed="1" showAll="0"/>
    <pivotField name="TAMANHO" compact="0" outline="0" multipleItemSelectionAllowed="1" showAll="0"/>
    <pivotField name="REGIÃO" compact="0" outline="0" multipleItemSelectionAllowed="1" showAll="0"/>
    <pivotField name="REGIAO 2" compact="0" outline="0" multipleItemSelectionAllowed="1" showAll="0"/>
    <pivotField name="CONCATENADO" axis="axisCol" compact="0" outline="0" multipleItemSelectionAllowed="1" showAll="0" sortType="ascending">
      <items count="2">
        <item x="0"/>
        <item t="default"/>
      </items>
    </pivotField>
    <pivotField name="CONCATENADO2" compact="0" outline="0" multipleItemSelectionAllowed="1" showAll="0"/>
    <pivotField name="CONCATENADO3" compact="0" outline="0" multipleItemSelectionAllowed="1" showAll="0"/>
    <pivotField name="CONCATENADO4" compact="0" outline="0" multipleItemSelectionAllowed="1" showAll="0"/>
    <pivotField name="CONCATENADO5" compact="0" outline="0" multipleItemSelectionAllowed="1" showAll="0"/>
    <pivotField name="CONCATENADO6" compact="0" outline="0" multipleItemSelectionAllowed="1" showAll="0"/>
    <pivotField name="EMPRESA" compact="0" outline="0" multipleItemSelectionAllowed="1" showAll="0"/>
    <pivotField name="FILIAL" dataField="1" compact="0" outline="0" multipleItemSelectionAllowed="1" showAll="0"/>
  </pivotFields>
  <rowItems count="1">
    <i/>
  </rowItems>
  <colFields count="1">
    <field x="13"/>
  </colFields>
  <colItems count="2">
    <i>
      <x/>
    </i>
    <i t="grand">
      <x/>
    </i>
  </colItems>
  <dataFields count="1">
    <dataField name="Contagem de FILIAL" fld="20" subtotal="count" baseField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A1:Z220">
  <tableColumns count="26">
    <tableColumn id="1" xr3:uid="{00000000-0010-0000-0000-000001000000}" name="COD SORTIMENTO"/>
    <tableColumn id="2" xr3:uid="{00000000-0010-0000-0000-000002000000}" name="COD SECAO"/>
    <tableColumn id="3" xr3:uid="{00000000-0010-0000-0000-000003000000}" name="DESC SECAO"/>
    <tableColumn id="4" xr3:uid="{00000000-0010-0000-0000-000004000000}" name="COD TAMANHO"/>
    <tableColumn id="5" xr3:uid="{00000000-0010-0000-0000-000005000000}" name="DESC TAMANHO"/>
    <tableColumn id="6" xr3:uid="{00000000-0010-0000-0000-000006000000}" name="COD PUBLICO"/>
    <tableColumn id="7" xr3:uid="{00000000-0010-0000-0000-000007000000}" name="DESC PUBLICO"/>
    <tableColumn id="8" xr3:uid="{00000000-0010-0000-0000-000008000000}" name="COD MERCADORIA"/>
    <tableColumn id="9" xr3:uid="{00000000-0010-0000-0000-000009000000}" name="DESC MERCADORIA"/>
    <tableColumn id="10" xr3:uid="{00000000-0010-0000-0000-00000A000000}" name="MERC / CONJ"/>
    <tableColumn id="11" xr3:uid="{00000000-0010-0000-0000-00000B000000}" name="PRIORIDADE"/>
    <tableColumn id="12" xr3:uid="{00000000-0010-0000-0000-00000C000000}" name="QTDE"/>
    <tableColumn id="13" xr3:uid="{00000000-0010-0000-0000-00000D000000}" name="VOLTAGEM"/>
    <tableColumn id="14" xr3:uid="{00000000-0010-0000-0000-00000E000000}" name="VIGENCIA INICIO"/>
    <tableColumn id="15" xr3:uid="{00000000-0010-0000-0000-00000F000000}" name="VIGENCIA FIM"/>
    <tableColumn id="16" xr3:uid="{00000000-0010-0000-0000-000010000000}" name="PERFIL"/>
    <tableColumn id="17" xr3:uid="{00000000-0010-0000-0000-000011000000}" name="BANDEIRA"/>
    <tableColumn id="18" xr3:uid="{00000000-0010-0000-0000-000012000000}" name="LOCAL"/>
    <tableColumn id="19" xr3:uid="{00000000-0010-0000-0000-000013000000}" name="LOCAL_NOVO"/>
    <tableColumn id="20" xr3:uid="{00000000-0010-0000-0000-000014000000}" name="TAMANHO"/>
    <tableColumn id="21" xr3:uid="{00000000-0010-0000-0000-000015000000}" name="REGIÃO"/>
    <tableColumn id="22" xr3:uid="{00000000-0010-0000-0000-000016000000}" name="STATUS"/>
    <tableColumn id="23" xr3:uid="{00000000-0010-0000-0000-000017000000}" name="MARCA_MERCADORIA"/>
    <tableColumn id="24" xr3:uid="{00000000-0010-0000-0000-000018000000}" name="ESPECIE_MERCADORIA"/>
    <tableColumn id="25" xr3:uid="{00000000-0010-0000-0000-000019000000}" name="CONCATENADO"/>
    <tableColumn id="26" xr3:uid="{00000000-0010-0000-0000-00001A000000}" name="CONCATENADO2"/>
  </tableColumns>
  <tableStyleInfo name="SORTEMP-style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2" displayName="Table_2" ref="A1:X20">
  <tableColumns count="24">
    <tableColumn id="1" xr3:uid="{00000000-0010-0000-0100-000001000000}" name="COD PUBLICO"/>
    <tableColumn id="2" xr3:uid="{00000000-0010-0000-0100-000002000000}" name="DESC PUBLICO"/>
    <tableColumn id="3" xr3:uid="{00000000-0010-0000-0100-000003000000}" name="COD SECAO"/>
    <tableColumn id="4" xr3:uid="{00000000-0010-0000-0100-000004000000}" name="DESC SECAO"/>
    <tableColumn id="5" xr3:uid="{00000000-0010-0000-0100-000005000000}" name="COD SORTIMENTO"/>
    <tableColumn id="6" xr3:uid="{00000000-0010-0000-0100-000006000000}" name="COD TAMANHO"/>
    <tableColumn id="7" xr3:uid="{00000000-0010-0000-0100-000007000000}" name="DESC TAMANHO"/>
    <tableColumn id="8" xr3:uid="{00000000-0010-0000-0100-000008000000}" name="PERFIL"/>
    <tableColumn id="9" xr3:uid="{00000000-0010-0000-0100-000009000000}" name="BANDEIRA"/>
    <tableColumn id="10" xr3:uid="{00000000-0010-0000-0100-00000A000000}" name="LOCAL_NOVO"/>
    <tableColumn id="11" xr3:uid="{00000000-0010-0000-0100-00000B000000}" name="LOCAL"/>
    <tableColumn id="12" xr3:uid="{00000000-0010-0000-0100-00000C000000}" name="TAMANHO"/>
    <tableColumn id="13" xr3:uid="{00000000-0010-0000-0100-00000D000000}" name="REGIÃO"/>
    <tableColumn id="14" xr3:uid="{00000000-0010-0000-0100-00000E000000}" name="REGIAO 2"/>
    <tableColumn id="15" xr3:uid="{00000000-0010-0000-0100-00000F000000}" name="CONCATENADO"/>
    <tableColumn id="16" xr3:uid="{00000000-0010-0000-0100-000010000000}" name="CONCATENADO2"/>
    <tableColumn id="17" xr3:uid="{00000000-0010-0000-0100-000011000000}" name="CONCATENADO3"/>
    <tableColumn id="18" xr3:uid="{00000000-0010-0000-0100-000012000000}" name="CONCATENADO4"/>
    <tableColumn id="19" xr3:uid="{00000000-0010-0000-0100-000013000000}" name="CONCATENADO5"/>
    <tableColumn id="20" xr3:uid="{00000000-0010-0000-0100-000014000000}" name="CONCATENADO6"/>
    <tableColumn id="21" xr3:uid="{00000000-0010-0000-0100-000015000000}" name="EMPRESA"/>
    <tableColumn id="22" xr3:uid="{00000000-0010-0000-0100-000016000000}" name="FILIAL"/>
    <tableColumn id="23" xr3:uid="{00000000-0010-0000-0100-000017000000}" name="TIPO PUBLICO"/>
    <tableColumn id="24" xr3:uid="{00000000-0010-0000-0100-000018000000}" name="SOLIC#VOLT DIF"/>
  </tableColumns>
  <tableStyleInfo name="SORTIM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m_alteracao"/>
  <dimension ref="A1:BN666"/>
  <sheetViews>
    <sheetView showGridLines="0" tabSelected="1" zoomScale="62" zoomScaleNormal="62" workbookViewId="0">
      <selection activeCell="E5" sqref="E5"/>
    </sheetView>
  </sheetViews>
  <sheetFormatPr defaultColWidth="12.625" defaultRowHeight="15" customHeight="1" x14ac:dyDescent="0.2"/>
  <cols>
    <col min="1" max="1" width="12.125" customWidth="1"/>
    <col min="2" max="2" width="11.25" customWidth="1"/>
    <col min="3" max="3" width="57.25" customWidth="1"/>
    <col min="4" max="4" width="10.5" customWidth="1"/>
    <col min="5" max="5" width="41.375" customWidth="1"/>
    <col min="6" max="6" width="17" customWidth="1"/>
    <col min="7" max="7" width="38.25" customWidth="1"/>
    <col min="8" max="8" width="1" customWidth="1"/>
    <col min="9" max="9" width="10.25" customWidth="1"/>
    <col min="10" max="10" width="6.75" customWidth="1"/>
    <col min="11" max="11" width="9.75" customWidth="1"/>
    <col min="12" max="31" width="8.125" customWidth="1"/>
    <col min="32" max="37" width="10" customWidth="1"/>
    <col min="38" max="42" width="8.125" customWidth="1"/>
    <col min="43" max="43" width="9.375" customWidth="1"/>
    <col min="44" max="46" width="11.5" customWidth="1"/>
    <col min="47" max="66" width="8" customWidth="1"/>
  </cols>
  <sheetData>
    <row r="1" spans="1:66" ht="15.75" customHeight="1" x14ac:dyDescent="0.25">
      <c r="A1" s="1"/>
      <c r="B1" s="2"/>
      <c r="C1" s="3"/>
      <c r="D1" s="2"/>
      <c r="E1" s="1"/>
      <c r="F1" s="2"/>
      <c r="G1" s="2"/>
      <c r="H1" s="2"/>
      <c r="I1" s="2"/>
      <c r="J1" s="2"/>
      <c r="K1" s="2"/>
      <c r="L1" s="94" t="s">
        <v>0</v>
      </c>
      <c r="M1" s="95"/>
      <c r="N1" s="95"/>
      <c r="O1" s="95"/>
      <c r="P1" s="96"/>
      <c r="Q1" s="94" t="s">
        <v>0</v>
      </c>
      <c r="R1" s="95"/>
      <c r="S1" s="95"/>
      <c r="T1" s="95"/>
      <c r="U1" s="96"/>
      <c r="V1" s="94" t="s">
        <v>0</v>
      </c>
      <c r="W1" s="95"/>
      <c r="X1" s="95"/>
      <c r="Y1" s="95"/>
      <c r="Z1" s="96"/>
      <c r="AA1" s="94" t="s">
        <v>0</v>
      </c>
      <c r="AB1" s="95"/>
      <c r="AC1" s="95"/>
      <c r="AD1" s="95"/>
      <c r="AE1" s="96"/>
      <c r="AF1" s="94" t="s">
        <v>0</v>
      </c>
      <c r="AG1" s="95"/>
      <c r="AH1" s="95"/>
      <c r="AI1" s="95"/>
      <c r="AJ1" s="96"/>
      <c r="AK1" s="4"/>
      <c r="AL1" s="101" t="s">
        <v>1</v>
      </c>
      <c r="AM1" s="95"/>
      <c r="AN1" s="95"/>
      <c r="AO1" s="95"/>
      <c r="AP1" s="100"/>
      <c r="AQ1" s="5" t="s">
        <v>2</v>
      </c>
      <c r="AR1" s="102" t="s">
        <v>3</v>
      </c>
      <c r="AS1" s="95"/>
      <c r="AT1" s="96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</row>
    <row r="2" spans="1:66" ht="15.75" customHeight="1" x14ac:dyDescent="0.25">
      <c r="A2" s="1"/>
      <c r="B2" s="2"/>
      <c r="C2" s="3"/>
      <c r="D2" s="2"/>
      <c r="E2" s="1"/>
      <c r="F2" s="2"/>
      <c r="G2" s="6"/>
      <c r="H2" s="6"/>
      <c r="I2" s="6"/>
      <c r="J2" s="6"/>
      <c r="K2" s="6"/>
      <c r="L2" s="94" t="s">
        <v>4</v>
      </c>
      <c r="M2" s="95"/>
      <c r="N2" s="95"/>
      <c r="O2" s="95"/>
      <c r="P2" s="96"/>
      <c r="Q2" s="94" t="s">
        <v>5</v>
      </c>
      <c r="R2" s="95"/>
      <c r="S2" s="95"/>
      <c r="T2" s="95"/>
      <c r="U2" s="96"/>
      <c r="V2" s="94" t="s">
        <v>6</v>
      </c>
      <c r="W2" s="95"/>
      <c r="X2" s="95"/>
      <c r="Y2" s="95"/>
      <c r="Z2" s="96"/>
      <c r="AA2" s="94" t="s">
        <v>7</v>
      </c>
      <c r="AB2" s="95"/>
      <c r="AC2" s="95"/>
      <c r="AD2" s="95"/>
      <c r="AE2" s="96"/>
      <c r="AF2" s="94" t="s">
        <v>8</v>
      </c>
      <c r="AG2" s="95"/>
      <c r="AH2" s="95"/>
      <c r="AI2" s="95"/>
      <c r="AJ2" s="96"/>
      <c r="AK2" s="4"/>
      <c r="AL2" s="97" t="s">
        <v>7</v>
      </c>
      <c r="AM2" s="98"/>
      <c r="AN2" s="98"/>
      <c r="AO2" s="98"/>
      <c r="AP2" s="99"/>
      <c r="AQ2" s="5" t="s">
        <v>4</v>
      </c>
      <c r="AR2" s="7" t="s">
        <v>4</v>
      </c>
      <c r="AS2" s="7" t="s">
        <v>5</v>
      </c>
      <c r="AT2" s="7" t="s">
        <v>6</v>
      </c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</row>
    <row r="3" spans="1:66" ht="15.75" customHeight="1" x14ac:dyDescent="0.25">
      <c r="A3" s="1"/>
      <c r="B3" s="2"/>
      <c r="C3" s="3"/>
      <c r="D3" s="8"/>
      <c r="E3" s="8"/>
      <c r="F3" s="8"/>
      <c r="G3" s="8"/>
      <c r="H3" s="6"/>
      <c r="I3" s="6"/>
      <c r="J3" s="6"/>
      <c r="K3" s="9" t="s">
        <v>9</v>
      </c>
      <c r="L3" s="10" t="s">
        <v>10</v>
      </c>
      <c r="M3" s="10" t="s">
        <v>11</v>
      </c>
      <c r="N3" s="10" t="s">
        <v>12</v>
      </c>
      <c r="O3" s="10" t="s">
        <v>13</v>
      </c>
      <c r="P3" s="10" t="s">
        <v>14</v>
      </c>
      <c r="Q3" s="10" t="s">
        <v>10</v>
      </c>
      <c r="R3" s="10" t="s">
        <v>11</v>
      </c>
      <c r="S3" s="10" t="s">
        <v>12</v>
      </c>
      <c r="T3" s="10" t="s">
        <v>13</v>
      </c>
      <c r="U3" s="10" t="s">
        <v>14</v>
      </c>
      <c r="V3" s="10" t="s">
        <v>10</v>
      </c>
      <c r="W3" s="10" t="s">
        <v>11</v>
      </c>
      <c r="X3" s="10" t="s">
        <v>12</v>
      </c>
      <c r="Y3" s="10" t="s">
        <v>13</v>
      </c>
      <c r="Z3" s="10" t="s">
        <v>14</v>
      </c>
      <c r="AA3" s="10" t="s">
        <v>10</v>
      </c>
      <c r="AB3" s="10" t="s">
        <v>11</v>
      </c>
      <c r="AC3" s="10" t="s">
        <v>12</v>
      </c>
      <c r="AD3" s="10" t="s">
        <v>13</v>
      </c>
      <c r="AE3" s="10" t="s">
        <v>14</v>
      </c>
      <c r="AF3" s="10" t="s">
        <v>10</v>
      </c>
      <c r="AG3" s="10" t="s">
        <v>11</v>
      </c>
      <c r="AH3" s="10" t="s">
        <v>12</v>
      </c>
      <c r="AI3" s="10" t="s">
        <v>13</v>
      </c>
      <c r="AJ3" s="10" t="s">
        <v>14</v>
      </c>
      <c r="AK3" s="10" t="s">
        <v>15</v>
      </c>
      <c r="AL3" s="11" t="s">
        <v>10</v>
      </c>
      <c r="AM3" s="11" t="s">
        <v>11</v>
      </c>
      <c r="AN3" s="11" t="s">
        <v>12</v>
      </c>
      <c r="AO3" s="11" t="s">
        <v>13</v>
      </c>
      <c r="AP3" s="11" t="s">
        <v>14</v>
      </c>
      <c r="AQ3" s="12" t="s">
        <v>11</v>
      </c>
      <c r="AR3" s="13" t="s">
        <v>11</v>
      </c>
      <c r="AS3" s="13" t="s">
        <v>11</v>
      </c>
      <c r="AT3" s="13" t="s">
        <v>11</v>
      </c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</row>
    <row r="4" spans="1:66" ht="15.75" customHeight="1" x14ac:dyDescent="0.25">
      <c r="A4" s="14"/>
      <c r="B4" s="15"/>
      <c r="C4" s="16" t="str">
        <f>IF(OR(L4&gt;L7,M4&gt;M7,N4&gt;N7,O4&gt;O7,P4&gt;P7,Q4&gt;Q7,R4&gt;R7,S4&gt;S7,T4&gt;T7,U4&gt;U7,V4&gt;V7,W4&gt;W7,X4&gt;X7,Y4&gt;Y7,Z4&gt;Z7,AA4&gt;AA7,AB4&gt;AB7,AC4&gt;AC7,AD4&gt;AD7,AE4&gt;AE7,AF4&gt;AF7,AG4&gt;AG7,AH4&gt;AH7,AI4&gt;AI7,AJ4&gt;AJ7,AK4&gt;AK7,AL4&gt;AL7,AM4&gt;AM7,AN4&gt;AN7,AO4&gt;AO7,AP4&gt;AP7,AQ4&gt;AQ7,AR4&gt;AR7,AS4&gt;AS7,AT4&gt;AT7),"Os itens obrigatórios superam o número 'ideal' em algum(ns) tamanho ----------&gt;","")</f>
        <v/>
      </c>
      <c r="D4" s="8"/>
      <c r="E4" s="8"/>
      <c r="F4" s="8"/>
      <c r="G4" s="8"/>
      <c r="H4" s="6"/>
      <c r="I4" s="6"/>
      <c r="J4" s="6"/>
      <c r="K4" s="17" t="s">
        <v>16</v>
      </c>
      <c r="L4" s="18">
        <f t="shared" ref="L4:AT4" si="0">COUNTIF(L17:L1558,1)</f>
        <v>0</v>
      </c>
      <c r="M4" s="18">
        <f t="shared" si="0"/>
        <v>0</v>
      </c>
      <c r="N4" s="18">
        <f t="shared" si="0"/>
        <v>0</v>
      </c>
      <c r="O4" s="18">
        <f t="shared" si="0"/>
        <v>0</v>
      </c>
      <c r="P4" s="18">
        <f t="shared" si="0"/>
        <v>0</v>
      </c>
      <c r="Q4" s="18">
        <f t="shared" si="0"/>
        <v>0</v>
      </c>
      <c r="R4" s="18">
        <f t="shared" si="0"/>
        <v>0</v>
      </c>
      <c r="S4" s="18">
        <f t="shared" si="0"/>
        <v>0</v>
      </c>
      <c r="T4" s="18">
        <f t="shared" si="0"/>
        <v>0</v>
      </c>
      <c r="U4" s="18">
        <f t="shared" si="0"/>
        <v>0</v>
      </c>
      <c r="V4" s="18">
        <f t="shared" si="0"/>
        <v>0</v>
      </c>
      <c r="W4" s="18">
        <f t="shared" si="0"/>
        <v>0</v>
      </c>
      <c r="X4" s="18">
        <f t="shared" si="0"/>
        <v>0</v>
      </c>
      <c r="Y4" s="18">
        <f t="shared" si="0"/>
        <v>0</v>
      </c>
      <c r="Z4" s="18">
        <f t="shared" si="0"/>
        <v>0</v>
      </c>
      <c r="AA4" s="18">
        <f t="shared" si="0"/>
        <v>0</v>
      </c>
      <c r="AB4" s="18">
        <f t="shared" si="0"/>
        <v>0</v>
      </c>
      <c r="AC4" s="18">
        <f t="shared" si="0"/>
        <v>0</v>
      </c>
      <c r="AD4" s="18">
        <f t="shared" si="0"/>
        <v>0</v>
      </c>
      <c r="AE4" s="18">
        <f t="shared" si="0"/>
        <v>0</v>
      </c>
      <c r="AF4" s="18">
        <f t="shared" si="0"/>
        <v>0</v>
      </c>
      <c r="AG4" s="18">
        <f t="shared" si="0"/>
        <v>0</v>
      </c>
      <c r="AH4" s="18">
        <f t="shared" si="0"/>
        <v>0</v>
      </c>
      <c r="AI4" s="18">
        <f t="shared" si="0"/>
        <v>0</v>
      </c>
      <c r="AJ4" s="18">
        <f t="shared" si="0"/>
        <v>0</v>
      </c>
      <c r="AK4" s="18">
        <f t="shared" si="0"/>
        <v>0</v>
      </c>
      <c r="AL4" s="18">
        <f t="shared" si="0"/>
        <v>0</v>
      </c>
      <c r="AM4" s="18">
        <f t="shared" si="0"/>
        <v>0</v>
      </c>
      <c r="AN4" s="18">
        <f t="shared" si="0"/>
        <v>0</v>
      </c>
      <c r="AO4" s="18">
        <f t="shared" si="0"/>
        <v>0</v>
      </c>
      <c r="AP4" s="18">
        <f t="shared" si="0"/>
        <v>0</v>
      </c>
      <c r="AQ4" s="18">
        <f t="shared" si="0"/>
        <v>0</v>
      </c>
      <c r="AR4" s="18">
        <f t="shared" si="0"/>
        <v>0</v>
      </c>
      <c r="AS4" s="18">
        <f t="shared" si="0"/>
        <v>0</v>
      </c>
      <c r="AT4" s="18">
        <f t="shared" si="0"/>
        <v>0</v>
      </c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</row>
    <row r="5" spans="1:66" ht="15.75" customHeight="1" x14ac:dyDescent="0.25">
      <c r="A5" s="1"/>
      <c r="B5" s="19"/>
      <c r="C5" s="3"/>
      <c r="D5" s="8"/>
      <c r="E5" s="8"/>
      <c r="F5" s="8"/>
      <c r="G5" s="8"/>
      <c r="H5" s="6"/>
      <c r="I5" s="6"/>
      <c r="J5" s="6"/>
      <c r="K5" s="17" t="s">
        <v>17</v>
      </c>
      <c r="L5" s="20">
        <f t="shared" ref="L5:AT5" si="1">COUNTIF(L17:L1558,3)</f>
        <v>0</v>
      </c>
      <c r="M5" s="20">
        <f t="shared" si="1"/>
        <v>0</v>
      </c>
      <c r="N5" s="20">
        <f t="shared" si="1"/>
        <v>0</v>
      </c>
      <c r="O5" s="20">
        <f t="shared" si="1"/>
        <v>0</v>
      </c>
      <c r="P5" s="20">
        <f t="shared" si="1"/>
        <v>0</v>
      </c>
      <c r="Q5" s="20">
        <f t="shared" si="1"/>
        <v>0</v>
      </c>
      <c r="R5" s="20">
        <f t="shared" si="1"/>
        <v>0</v>
      </c>
      <c r="S5" s="20">
        <f t="shared" si="1"/>
        <v>0</v>
      </c>
      <c r="T5" s="20">
        <f t="shared" si="1"/>
        <v>0</v>
      </c>
      <c r="U5" s="20">
        <f t="shared" si="1"/>
        <v>0</v>
      </c>
      <c r="V5" s="20">
        <f t="shared" si="1"/>
        <v>0</v>
      </c>
      <c r="W5" s="20">
        <f t="shared" si="1"/>
        <v>0</v>
      </c>
      <c r="X5" s="20">
        <f t="shared" si="1"/>
        <v>0</v>
      </c>
      <c r="Y5" s="20">
        <f t="shared" si="1"/>
        <v>0</v>
      </c>
      <c r="Z5" s="20">
        <f t="shared" si="1"/>
        <v>0</v>
      </c>
      <c r="AA5" s="20">
        <f t="shared" si="1"/>
        <v>0</v>
      </c>
      <c r="AB5" s="20">
        <f t="shared" si="1"/>
        <v>0</v>
      </c>
      <c r="AC5" s="20">
        <f t="shared" si="1"/>
        <v>0</v>
      </c>
      <c r="AD5" s="20">
        <f t="shared" si="1"/>
        <v>0</v>
      </c>
      <c r="AE5" s="20">
        <f t="shared" si="1"/>
        <v>0</v>
      </c>
      <c r="AF5" s="20">
        <f t="shared" si="1"/>
        <v>0</v>
      </c>
      <c r="AG5" s="20">
        <f t="shared" si="1"/>
        <v>0</v>
      </c>
      <c r="AH5" s="20">
        <f t="shared" si="1"/>
        <v>0</v>
      </c>
      <c r="AI5" s="20">
        <f t="shared" si="1"/>
        <v>0</v>
      </c>
      <c r="AJ5" s="20">
        <f t="shared" si="1"/>
        <v>0</v>
      </c>
      <c r="AK5" s="20">
        <f t="shared" si="1"/>
        <v>0</v>
      </c>
      <c r="AL5" s="20">
        <f t="shared" si="1"/>
        <v>0</v>
      </c>
      <c r="AM5" s="20">
        <f t="shared" si="1"/>
        <v>0</v>
      </c>
      <c r="AN5" s="20">
        <f t="shared" si="1"/>
        <v>0</v>
      </c>
      <c r="AO5" s="20">
        <f t="shared" si="1"/>
        <v>0</v>
      </c>
      <c r="AP5" s="20">
        <f t="shared" si="1"/>
        <v>0</v>
      </c>
      <c r="AQ5" s="20">
        <f t="shared" si="1"/>
        <v>0</v>
      </c>
      <c r="AR5" s="20">
        <f t="shared" si="1"/>
        <v>0</v>
      </c>
      <c r="AS5" s="20">
        <f t="shared" si="1"/>
        <v>0</v>
      </c>
      <c r="AT5" s="20">
        <f t="shared" si="1"/>
        <v>0</v>
      </c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</row>
    <row r="6" spans="1:66" ht="15.75" customHeight="1" x14ac:dyDescent="0.25">
      <c r="A6" s="1"/>
      <c r="B6" s="2"/>
      <c r="C6" s="3"/>
      <c r="D6" s="8"/>
      <c r="E6" s="8"/>
      <c r="F6" s="8"/>
      <c r="G6" s="8"/>
      <c r="H6" s="6"/>
      <c r="I6" s="6"/>
      <c r="J6" s="6"/>
      <c r="K6" s="17" t="s">
        <v>18</v>
      </c>
      <c r="L6" s="19">
        <f t="shared" ref="L6:AT6" si="2">(L4+L5)</f>
        <v>0</v>
      </c>
      <c r="M6" s="19">
        <f t="shared" si="2"/>
        <v>0</v>
      </c>
      <c r="N6" s="19">
        <f t="shared" si="2"/>
        <v>0</v>
      </c>
      <c r="O6" s="19">
        <f t="shared" si="2"/>
        <v>0</v>
      </c>
      <c r="P6" s="19">
        <f t="shared" si="2"/>
        <v>0</v>
      </c>
      <c r="Q6" s="19">
        <f t="shared" si="2"/>
        <v>0</v>
      </c>
      <c r="R6" s="19">
        <f t="shared" si="2"/>
        <v>0</v>
      </c>
      <c r="S6" s="19">
        <f t="shared" si="2"/>
        <v>0</v>
      </c>
      <c r="T6" s="19">
        <f t="shared" si="2"/>
        <v>0</v>
      </c>
      <c r="U6" s="19">
        <f t="shared" si="2"/>
        <v>0</v>
      </c>
      <c r="V6" s="19">
        <f t="shared" si="2"/>
        <v>0</v>
      </c>
      <c r="W6" s="19">
        <f t="shared" si="2"/>
        <v>0</v>
      </c>
      <c r="X6" s="19">
        <f t="shared" si="2"/>
        <v>0</v>
      </c>
      <c r="Y6" s="19">
        <f t="shared" si="2"/>
        <v>0</v>
      </c>
      <c r="Z6" s="19">
        <f t="shared" si="2"/>
        <v>0</v>
      </c>
      <c r="AA6" s="19">
        <f t="shared" si="2"/>
        <v>0</v>
      </c>
      <c r="AB6" s="19">
        <f t="shared" si="2"/>
        <v>0</v>
      </c>
      <c r="AC6" s="19">
        <f t="shared" si="2"/>
        <v>0</v>
      </c>
      <c r="AD6" s="19">
        <f t="shared" si="2"/>
        <v>0</v>
      </c>
      <c r="AE6" s="19">
        <f t="shared" si="2"/>
        <v>0</v>
      </c>
      <c r="AF6" s="19">
        <f t="shared" si="2"/>
        <v>0</v>
      </c>
      <c r="AG6" s="19">
        <f t="shared" si="2"/>
        <v>0</v>
      </c>
      <c r="AH6" s="19">
        <f t="shared" si="2"/>
        <v>0</v>
      </c>
      <c r="AI6" s="19">
        <f t="shared" si="2"/>
        <v>0</v>
      </c>
      <c r="AJ6" s="19">
        <f t="shared" si="2"/>
        <v>0</v>
      </c>
      <c r="AK6" s="19">
        <f t="shared" si="2"/>
        <v>0</v>
      </c>
      <c r="AL6" s="19">
        <f t="shared" si="2"/>
        <v>0</v>
      </c>
      <c r="AM6" s="19">
        <f t="shared" si="2"/>
        <v>0</v>
      </c>
      <c r="AN6" s="19">
        <f t="shared" si="2"/>
        <v>0</v>
      </c>
      <c r="AO6" s="19">
        <f t="shared" si="2"/>
        <v>0</v>
      </c>
      <c r="AP6" s="19">
        <f t="shared" si="2"/>
        <v>0</v>
      </c>
      <c r="AQ6" s="19">
        <f t="shared" si="2"/>
        <v>0</v>
      </c>
      <c r="AR6" s="19">
        <f t="shared" si="2"/>
        <v>0</v>
      </c>
      <c r="AS6" s="19">
        <f t="shared" si="2"/>
        <v>0</v>
      </c>
      <c r="AT6" s="19">
        <f t="shared" si="2"/>
        <v>0</v>
      </c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</row>
    <row r="7" spans="1:66" ht="15.75" customHeight="1" x14ac:dyDescent="0.25">
      <c r="A7" s="2"/>
      <c r="B7" s="2"/>
      <c r="C7" s="2"/>
      <c r="D7" s="8"/>
      <c r="E7" s="8"/>
      <c r="F7" s="8"/>
      <c r="G7" s="8"/>
      <c r="H7" s="21"/>
      <c r="I7" s="21"/>
      <c r="J7" s="21"/>
      <c r="K7" s="21" t="s">
        <v>19</v>
      </c>
      <c r="L7" s="22">
        <v>54</v>
      </c>
      <c r="M7" s="22">
        <v>96</v>
      </c>
      <c r="N7" s="22">
        <v>154</v>
      </c>
      <c r="O7" s="22">
        <v>204</v>
      </c>
      <c r="P7" s="22">
        <v>220</v>
      </c>
      <c r="Q7" s="22">
        <v>74</v>
      </c>
      <c r="R7" s="22">
        <v>118</v>
      </c>
      <c r="S7" s="22">
        <v>180</v>
      </c>
      <c r="T7" s="22">
        <v>232</v>
      </c>
      <c r="U7" s="22">
        <v>292</v>
      </c>
      <c r="V7" s="22">
        <v>76</v>
      </c>
      <c r="W7" s="22">
        <v>128</v>
      </c>
      <c r="X7" s="22">
        <v>192</v>
      </c>
      <c r="Y7" s="22">
        <v>244</v>
      </c>
      <c r="Z7" s="22">
        <v>286</v>
      </c>
      <c r="AA7" s="22"/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</row>
    <row r="8" spans="1:66" ht="15.75" customHeight="1" x14ac:dyDescent="0.25">
      <c r="A8" s="2"/>
      <c r="B8" s="2"/>
      <c r="C8" s="3"/>
      <c r="D8" s="8"/>
      <c r="E8" s="8"/>
      <c r="F8" s="8"/>
      <c r="G8" s="8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</row>
    <row r="9" spans="1:66" ht="15.75" customHeight="1" x14ac:dyDescent="0.25">
      <c r="A9" s="8"/>
      <c r="B9" s="8"/>
      <c r="C9" s="23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</row>
    <row r="10" spans="1:66" ht="21" customHeight="1" x14ac:dyDescent="0.25">
      <c r="A10" s="2"/>
      <c r="B10" s="24" t="s">
        <v>20</v>
      </c>
      <c r="C10" s="25">
        <f>SORTEMP!B2</f>
        <v>0</v>
      </c>
      <c r="D10" s="8"/>
      <c r="E10" s="8"/>
      <c r="F10" s="8"/>
      <c r="G10" s="8"/>
      <c r="H10" s="6"/>
      <c r="I10" s="6"/>
      <c r="J10" s="6"/>
      <c r="K10" s="6"/>
      <c r="L10" s="94" t="s">
        <v>0</v>
      </c>
      <c r="M10" s="95"/>
      <c r="N10" s="95"/>
      <c r="O10" s="95"/>
      <c r="P10" s="100"/>
      <c r="Q10" s="94" t="s">
        <v>0</v>
      </c>
      <c r="R10" s="95"/>
      <c r="S10" s="95"/>
      <c r="T10" s="95"/>
      <c r="U10" s="100"/>
      <c r="V10" s="94" t="s">
        <v>0</v>
      </c>
      <c r="W10" s="95"/>
      <c r="X10" s="95"/>
      <c r="Y10" s="95"/>
      <c r="Z10" s="100"/>
      <c r="AA10" s="94" t="s">
        <v>0</v>
      </c>
      <c r="AB10" s="95"/>
      <c r="AC10" s="95"/>
      <c r="AD10" s="95"/>
      <c r="AE10" s="100"/>
      <c r="AF10" s="94" t="s">
        <v>0</v>
      </c>
      <c r="AG10" s="95"/>
      <c r="AH10" s="95"/>
      <c r="AI10" s="95"/>
      <c r="AJ10" s="95"/>
      <c r="AK10" s="100"/>
      <c r="AL10" s="101" t="s">
        <v>1</v>
      </c>
      <c r="AM10" s="95"/>
      <c r="AN10" s="95"/>
      <c r="AO10" s="95"/>
      <c r="AP10" s="100"/>
      <c r="AQ10" s="5" t="s">
        <v>2</v>
      </c>
      <c r="AR10" s="102" t="s">
        <v>3</v>
      </c>
      <c r="AS10" s="95"/>
      <c r="AT10" s="100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</row>
    <row r="11" spans="1:66" ht="21" customHeight="1" x14ac:dyDescent="0.25">
      <c r="A11" s="2"/>
      <c r="B11" s="2"/>
      <c r="C11" s="26"/>
      <c r="D11" s="8"/>
      <c r="E11" s="8"/>
      <c r="F11" s="8"/>
      <c r="G11" s="8"/>
      <c r="H11" s="6"/>
      <c r="I11" s="6"/>
      <c r="J11" s="6"/>
      <c r="K11" s="6"/>
      <c r="L11" s="94" t="s">
        <v>4</v>
      </c>
      <c r="M11" s="95"/>
      <c r="N11" s="95"/>
      <c r="O11" s="95"/>
      <c r="P11" s="100"/>
      <c r="Q11" s="94" t="s">
        <v>5</v>
      </c>
      <c r="R11" s="95"/>
      <c r="S11" s="95"/>
      <c r="T11" s="95"/>
      <c r="U11" s="100"/>
      <c r="V11" s="94" t="s">
        <v>6</v>
      </c>
      <c r="W11" s="95"/>
      <c r="X11" s="95"/>
      <c r="Y11" s="95"/>
      <c r="Z11" s="100"/>
      <c r="AA11" s="94" t="s">
        <v>7</v>
      </c>
      <c r="AB11" s="95"/>
      <c r="AC11" s="95"/>
      <c r="AD11" s="95"/>
      <c r="AE11" s="100"/>
      <c r="AF11" s="94" t="s">
        <v>8</v>
      </c>
      <c r="AG11" s="95"/>
      <c r="AH11" s="95"/>
      <c r="AI11" s="95"/>
      <c r="AJ11" s="95"/>
      <c r="AK11" s="100"/>
      <c r="AL11" s="101" t="s">
        <v>7</v>
      </c>
      <c r="AM11" s="95"/>
      <c r="AN11" s="95"/>
      <c r="AO11" s="95"/>
      <c r="AP11" s="100"/>
      <c r="AQ11" s="5" t="s">
        <v>4</v>
      </c>
      <c r="AR11" s="7" t="s">
        <v>4</v>
      </c>
      <c r="AS11" s="7" t="s">
        <v>5</v>
      </c>
      <c r="AT11" s="7" t="s">
        <v>6</v>
      </c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</row>
    <row r="12" spans="1:66" ht="15.75" customHeight="1" x14ac:dyDescent="0.25">
      <c r="A12" s="27"/>
      <c r="B12" s="27"/>
      <c r="C12" s="28"/>
      <c r="D12" s="27"/>
      <c r="E12" s="29"/>
      <c r="F12" s="30"/>
      <c r="G12" s="30"/>
      <c r="H12" s="6"/>
      <c r="I12" s="30" t="s">
        <v>21</v>
      </c>
      <c r="J12" s="30"/>
      <c r="K12" s="30"/>
      <c r="L12" s="31" t="s">
        <v>10</v>
      </c>
      <c r="M12" s="31" t="s">
        <v>11</v>
      </c>
      <c r="N12" s="31" t="s">
        <v>12</v>
      </c>
      <c r="O12" s="31" t="s">
        <v>13</v>
      </c>
      <c r="P12" s="31" t="s">
        <v>14</v>
      </c>
      <c r="Q12" s="31" t="s">
        <v>10</v>
      </c>
      <c r="R12" s="31" t="s">
        <v>11</v>
      </c>
      <c r="S12" s="31" t="s">
        <v>12</v>
      </c>
      <c r="T12" s="31" t="s">
        <v>13</v>
      </c>
      <c r="U12" s="31" t="s">
        <v>14</v>
      </c>
      <c r="V12" s="31" t="s">
        <v>10</v>
      </c>
      <c r="W12" s="31" t="s">
        <v>11</v>
      </c>
      <c r="X12" s="31" t="s">
        <v>12</v>
      </c>
      <c r="Y12" s="31" t="s">
        <v>13</v>
      </c>
      <c r="Z12" s="31" t="s">
        <v>14</v>
      </c>
      <c r="AA12" s="31" t="s">
        <v>10</v>
      </c>
      <c r="AB12" s="31" t="s">
        <v>11</v>
      </c>
      <c r="AC12" s="31" t="s">
        <v>12</v>
      </c>
      <c r="AD12" s="31" t="s">
        <v>13</v>
      </c>
      <c r="AE12" s="31" t="s">
        <v>14</v>
      </c>
      <c r="AF12" s="31" t="s">
        <v>10</v>
      </c>
      <c r="AG12" s="31" t="s">
        <v>11</v>
      </c>
      <c r="AH12" s="31" t="s">
        <v>12</v>
      </c>
      <c r="AI12" s="31" t="s">
        <v>13</v>
      </c>
      <c r="AJ12" s="31" t="s">
        <v>14</v>
      </c>
      <c r="AK12" s="31" t="s">
        <v>15</v>
      </c>
      <c r="AL12" s="32" t="s">
        <v>10</v>
      </c>
      <c r="AM12" s="32" t="s">
        <v>11</v>
      </c>
      <c r="AN12" s="32" t="s">
        <v>12</v>
      </c>
      <c r="AO12" s="32" t="s">
        <v>13</v>
      </c>
      <c r="AP12" s="32" t="s">
        <v>14</v>
      </c>
      <c r="AQ12" s="33" t="s">
        <v>11</v>
      </c>
      <c r="AR12" s="13" t="s">
        <v>11</v>
      </c>
      <c r="AS12" s="13" t="s">
        <v>11</v>
      </c>
      <c r="AT12" s="13" t="s">
        <v>11</v>
      </c>
      <c r="AU12" s="27"/>
      <c r="AV12" s="27"/>
      <c r="AW12" s="27"/>
      <c r="AX12" s="27"/>
      <c r="AY12" s="27"/>
      <c r="AZ12" s="27"/>
      <c r="BA12" s="27"/>
      <c r="BB12" s="27"/>
      <c r="BC12" s="27"/>
      <c r="BD12" s="27"/>
      <c r="BE12" s="27"/>
      <c r="BF12" s="27"/>
      <c r="BG12" s="27"/>
      <c r="BH12" s="27"/>
      <c r="BI12" s="27"/>
      <c r="BJ12" s="27"/>
      <c r="BK12" s="27"/>
      <c r="BL12" s="27"/>
      <c r="BM12" s="27"/>
      <c r="BN12" s="27"/>
    </row>
    <row r="13" spans="1:66" ht="4.5" customHeight="1" x14ac:dyDescent="0.25">
      <c r="A13" s="27"/>
      <c r="B13" s="27"/>
      <c r="C13" s="28"/>
      <c r="D13" s="27"/>
      <c r="E13" s="29"/>
      <c r="F13" s="30"/>
      <c r="G13" s="30"/>
      <c r="H13" s="6"/>
      <c r="I13" s="30"/>
      <c r="J13" s="30"/>
      <c r="K13" s="30"/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/>
      <c r="Y13" s="30"/>
      <c r="Z13" s="30"/>
      <c r="AA13" s="30"/>
      <c r="AB13" s="30"/>
      <c r="AC13" s="30"/>
      <c r="AD13" s="30"/>
      <c r="AE13" s="30"/>
      <c r="AF13" s="30"/>
      <c r="AG13" s="30"/>
      <c r="AH13" s="30"/>
      <c r="AI13" s="30"/>
      <c r="AJ13" s="30"/>
      <c r="AK13" s="30"/>
      <c r="AL13" s="30"/>
      <c r="AM13" s="30"/>
      <c r="AN13" s="30"/>
      <c r="AO13" s="30"/>
      <c r="AP13" s="30"/>
      <c r="AQ13" s="30"/>
      <c r="AR13" s="30"/>
      <c r="AS13" s="30"/>
      <c r="AT13" s="30"/>
      <c r="AU13" s="27"/>
      <c r="AV13" s="27"/>
      <c r="AW13" s="27"/>
      <c r="AX13" s="27"/>
      <c r="AY13" s="27"/>
      <c r="AZ13" s="27"/>
      <c r="BA13" s="27"/>
      <c r="BB13" s="27"/>
      <c r="BC13" s="27"/>
      <c r="BD13" s="27"/>
      <c r="BE13" s="27"/>
      <c r="BF13" s="27"/>
      <c r="BG13" s="27"/>
      <c r="BH13" s="27"/>
      <c r="BI13" s="27"/>
      <c r="BJ13" s="27"/>
      <c r="BK13" s="27"/>
      <c r="BL13" s="27"/>
      <c r="BM13" s="27"/>
      <c r="BN13" s="27"/>
    </row>
    <row r="14" spans="1:66" ht="15.75" customHeight="1" x14ac:dyDescent="0.25">
      <c r="A14" s="27"/>
      <c r="B14" s="34">
        <f>B15/2</f>
        <v>0</v>
      </c>
      <c r="C14" s="28"/>
      <c r="D14" s="27"/>
      <c r="E14" s="29"/>
      <c r="F14" s="30"/>
      <c r="G14" s="30"/>
      <c r="H14" s="6"/>
      <c r="I14" s="30">
        <f>SUM(L14:AT14)</f>
        <v>0</v>
      </c>
      <c r="J14" s="30"/>
      <c r="K14" s="35" t="s">
        <v>22</v>
      </c>
      <c r="L14" s="36">
        <f>IFERROR(HLOOKUP(L15,'DIN SORTIM'!4:5,2,0),0)</f>
        <v>0</v>
      </c>
      <c r="M14" s="36">
        <f>IFERROR(HLOOKUP(M15,'DIN SORTIM'!4:5,2,0),0)</f>
        <v>0</v>
      </c>
      <c r="N14" s="36">
        <f>IFERROR(HLOOKUP(N15,'DIN SORTIM'!4:5,2,0),0)</f>
        <v>0</v>
      </c>
      <c r="O14" s="36">
        <f>IFERROR(HLOOKUP(O15,'DIN SORTIM'!4:5,2,0),0)</f>
        <v>0</v>
      </c>
      <c r="P14" s="36">
        <f>IFERROR(HLOOKUP(P15,'DIN SORTIM'!4:5,2,0),0)</f>
        <v>0</v>
      </c>
      <c r="Q14" s="36">
        <f>IFERROR(HLOOKUP(Q15,'DIN SORTIM'!4:5,2,0),0)</f>
        <v>0</v>
      </c>
      <c r="R14" s="36">
        <f>IFERROR(HLOOKUP(R15,'DIN SORTIM'!4:5,2,0),0)</f>
        <v>0</v>
      </c>
      <c r="S14" s="36">
        <f>IFERROR(HLOOKUP(S15,'DIN SORTIM'!4:5,2,0),0)</f>
        <v>0</v>
      </c>
      <c r="T14" s="36">
        <f>IFERROR(HLOOKUP(T15,'DIN SORTIM'!4:5,2,0),0)</f>
        <v>0</v>
      </c>
      <c r="U14" s="36">
        <f>IFERROR(HLOOKUP(U15,'DIN SORTIM'!4:5,2,0),0)</f>
        <v>0</v>
      </c>
      <c r="V14" s="36">
        <f>IFERROR(HLOOKUP(V15,'DIN SORTIM'!4:5,2,0),0)</f>
        <v>0</v>
      </c>
      <c r="W14" s="36">
        <f>IFERROR(HLOOKUP(W15,'DIN SORTIM'!4:5,2,0),0)</f>
        <v>0</v>
      </c>
      <c r="X14" s="36">
        <f>IFERROR(HLOOKUP(X15,'DIN SORTIM'!4:5,2,0),0)</f>
        <v>0</v>
      </c>
      <c r="Y14" s="36">
        <f>IFERROR(HLOOKUP(Y15,'DIN SORTIM'!4:5,2,0),0)</f>
        <v>0</v>
      </c>
      <c r="Z14" s="36">
        <f>IFERROR(HLOOKUP(Z15,'DIN SORTIM'!4:5,2,0),0)</f>
        <v>0</v>
      </c>
      <c r="AA14" s="36">
        <f>IFERROR(HLOOKUP(AA15,'DIN SORTIM'!4:5,2,0),0)</f>
        <v>0</v>
      </c>
      <c r="AB14" s="36">
        <f>IFERROR(HLOOKUP(AB15,'DIN SORTIM'!4:5,2,0),0)</f>
        <v>0</v>
      </c>
      <c r="AC14" s="36">
        <f>IFERROR(HLOOKUP(AC15,'DIN SORTIM'!4:5,2,0),0)</f>
        <v>0</v>
      </c>
      <c r="AD14" s="36">
        <f>IFERROR(HLOOKUP(AD15,'DIN SORTIM'!4:5,2,0),0)</f>
        <v>0</v>
      </c>
      <c r="AE14" s="36">
        <f>IFERROR(HLOOKUP(AE15,'DIN SORTIM'!4:5,2,0),0)</f>
        <v>0</v>
      </c>
      <c r="AF14" s="36">
        <f>IFERROR(HLOOKUP(AF15,'DIN SORTIM'!$4:$5,2,0),0)</f>
        <v>0</v>
      </c>
      <c r="AG14" s="36">
        <f>IFERROR(HLOOKUP(AG15,'DIN SORTIM'!$4:$5,2,0),0)</f>
        <v>0</v>
      </c>
      <c r="AH14" s="36">
        <f>IFERROR(HLOOKUP(AH15,'DIN SORTIM'!$4:$5,2,0),0)</f>
        <v>0</v>
      </c>
      <c r="AI14" s="36">
        <f>IFERROR(HLOOKUP(AI15,'DIN SORTIM'!$4:$5,2,0),0)</f>
        <v>0</v>
      </c>
      <c r="AJ14" s="36">
        <f>IFERROR(HLOOKUP(AJ15,'DIN SORTIM'!$4:$5,2,0),0)</f>
        <v>0</v>
      </c>
      <c r="AK14" s="36">
        <f>IFERROR(HLOOKUP(AK15,'DIN SORTIM'!$4:$5,2,0),0)</f>
        <v>0</v>
      </c>
      <c r="AL14" s="36">
        <f>IFERROR(HLOOKUP(AL15,'DIN SORTIM'!$4:$5,2,0),0)</f>
        <v>0</v>
      </c>
      <c r="AM14" s="36">
        <f>IFERROR(HLOOKUP(AM15,'DIN SORTIM'!$4:$5,2,0),0)</f>
        <v>0</v>
      </c>
      <c r="AN14" s="36">
        <f>IFERROR(HLOOKUP(AN15,'DIN SORTIM'!$4:$5,2,0),0)</f>
        <v>0</v>
      </c>
      <c r="AO14" s="36">
        <f>IFERROR(HLOOKUP(AO15,'DIN SORTIM'!$4:$5,2,0),0)</f>
        <v>0</v>
      </c>
      <c r="AP14" s="36">
        <f>IFERROR(HLOOKUP(AP15,'DIN SORTIM'!$4:$5,2,0),0)</f>
        <v>0</v>
      </c>
      <c r="AQ14" s="36">
        <f>IFERROR(HLOOKUP(AQ15,'DIN SORTIM'!$4:$5,2,0),0)</f>
        <v>0</v>
      </c>
      <c r="AR14" s="36">
        <f>IFERROR(HLOOKUP(AR15,'DIN SORTIM'!$4:$5,2,0),0)</f>
        <v>0</v>
      </c>
      <c r="AS14" s="36">
        <f>IFERROR(HLOOKUP(AS15,'DIN SORTIM'!$4:$5,2,0),0)</f>
        <v>0</v>
      </c>
      <c r="AT14" s="36">
        <f>IFERROR(HLOOKUP(AT15,'DIN SORTIM'!$4:$5,2,0),0)</f>
        <v>0</v>
      </c>
      <c r="AU14" s="27"/>
      <c r="AV14" s="27"/>
      <c r="AW14" s="27"/>
      <c r="AX14" s="27"/>
      <c r="AY14" s="27"/>
      <c r="AZ14" s="27"/>
      <c r="BA14" s="27"/>
      <c r="BB14" s="27"/>
      <c r="BC14" s="27"/>
      <c r="BD14" s="27"/>
      <c r="BE14" s="27"/>
      <c r="BF14" s="27"/>
      <c r="BG14" s="27"/>
      <c r="BH14" s="27"/>
      <c r="BI14" s="27"/>
      <c r="BJ14" s="27"/>
      <c r="BK14" s="27"/>
      <c r="BL14" s="27"/>
      <c r="BM14" s="27"/>
      <c r="BN14" s="27"/>
    </row>
    <row r="15" spans="1:66" ht="19.5" customHeight="1" x14ac:dyDescent="0.25">
      <c r="A15" s="37"/>
      <c r="B15" s="38">
        <f>SUBTOTAL(3,B17:B1488)</f>
        <v>0</v>
      </c>
      <c r="C15" s="39"/>
      <c r="D15" s="37"/>
      <c r="E15" s="40"/>
      <c r="F15" s="41"/>
      <c r="G15" s="41"/>
      <c r="H15" s="41"/>
      <c r="I15" s="41"/>
      <c r="J15" s="41"/>
      <c r="K15" s="41"/>
      <c r="L15" s="41" t="str">
        <f t="shared" ref="L15:P15" si="3">$L$10&amp;"-"&amp;$L$11&amp;"-"&amp;L12</f>
        <v>CONVENCIONAL-PERFIL 1-PP</v>
      </c>
      <c r="M15" s="41" t="str">
        <f t="shared" si="3"/>
        <v>CONVENCIONAL-PERFIL 1-P</v>
      </c>
      <c r="N15" s="41" t="str">
        <f t="shared" si="3"/>
        <v>CONVENCIONAL-PERFIL 1-M</v>
      </c>
      <c r="O15" s="41" t="str">
        <f t="shared" si="3"/>
        <v>CONVENCIONAL-PERFIL 1-G</v>
      </c>
      <c r="P15" s="41" t="str">
        <f t="shared" si="3"/>
        <v>CONVENCIONAL-PERFIL 1-GG</v>
      </c>
      <c r="Q15" s="41" t="str">
        <f t="shared" ref="Q15:U15" si="4">$Q$10&amp;"-"&amp;$Q$11&amp;"-"&amp;Q12</f>
        <v>CONVENCIONAL-PERFIL 2-PP</v>
      </c>
      <c r="R15" s="41" t="str">
        <f t="shared" si="4"/>
        <v>CONVENCIONAL-PERFIL 2-P</v>
      </c>
      <c r="S15" s="41" t="str">
        <f t="shared" si="4"/>
        <v>CONVENCIONAL-PERFIL 2-M</v>
      </c>
      <c r="T15" s="41" t="str">
        <f t="shared" si="4"/>
        <v>CONVENCIONAL-PERFIL 2-G</v>
      </c>
      <c r="U15" s="41" t="str">
        <f t="shared" si="4"/>
        <v>CONVENCIONAL-PERFIL 2-GG</v>
      </c>
      <c r="V15" s="41" t="str">
        <f t="shared" ref="V15:Z15" si="5">$V$10&amp;"-"&amp;$V$11&amp;"-"&amp;V12</f>
        <v>CONVENCIONAL-PERFIL 3-PP</v>
      </c>
      <c r="W15" s="41" t="str">
        <f t="shared" si="5"/>
        <v>CONVENCIONAL-PERFIL 3-P</v>
      </c>
      <c r="X15" s="41" t="str">
        <f t="shared" si="5"/>
        <v>CONVENCIONAL-PERFIL 3-M</v>
      </c>
      <c r="Y15" s="41" t="str">
        <f t="shared" si="5"/>
        <v>CONVENCIONAL-PERFIL 3-G</v>
      </c>
      <c r="Z15" s="41" t="str">
        <f t="shared" si="5"/>
        <v>CONVENCIONAL-PERFIL 3-GG</v>
      </c>
      <c r="AA15" s="41" t="str">
        <f t="shared" ref="AA15:AE15" si="6">$AA$10&amp;"-"&amp;$AA$11&amp;"-"&amp;AA12</f>
        <v>CONVENCIONAL-PERFIL 4-PP</v>
      </c>
      <c r="AB15" s="41" t="str">
        <f t="shared" si="6"/>
        <v>CONVENCIONAL-PERFIL 4-P</v>
      </c>
      <c r="AC15" s="41" t="str">
        <f t="shared" si="6"/>
        <v>CONVENCIONAL-PERFIL 4-M</v>
      </c>
      <c r="AD15" s="41" t="str">
        <f t="shared" si="6"/>
        <v>CONVENCIONAL-PERFIL 4-G</v>
      </c>
      <c r="AE15" s="41" t="str">
        <f t="shared" si="6"/>
        <v>CONVENCIONAL-PERFIL 4-GG</v>
      </c>
      <c r="AF15" s="41" t="str">
        <f t="shared" ref="AF15:AK15" si="7">$AF$10&amp;"-"&amp;$AF$11&amp;"-"&amp;AF12</f>
        <v>CONVENCIONAL-PERFIL 5-PP</v>
      </c>
      <c r="AG15" s="41" t="str">
        <f t="shared" si="7"/>
        <v>CONVENCIONAL-PERFIL 5-P</v>
      </c>
      <c r="AH15" s="41" t="str">
        <f t="shared" si="7"/>
        <v>CONVENCIONAL-PERFIL 5-M</v>
      </c>
      <c r="AI15" s="41" t="str">
        <f t="shared" si="7"/>
        <v>CONVENCIONAL-PERFIL 5-G</v>
      </c>
      <c r="AJ15" s="41" t="str">
        <f t="shared" si="7"/>
        <v>CONVENCIONAL-PERFIL 5-GG</v>
      </c>
      <c r="AK15" s="41" t="str">
        <f t="shared" si="7"/>
        <v>CONVENCIONAL-PERFIL 5-MEGA</v>
      </c>
      <c r="AL15" s="41" t="str">
        <f t="shared" ref="AL15:AP15" si="8">$AL$10&amp;"-"&amp;$AL$11&amp;"-"&amp;AL12</f>
        <v>COMPACTA-PERFIL 4-PP</v>
      </c>
      <c r="AM15" s="41" t="str">
        <f t="shared" si="8"/>
        <v>COMPACTA-PERFIL 4-P</v>
      </c>
      <c r="AN15" s="41" t="str">
        <f t="shared" si="8"/>
        <v>COMPACTA-PERFIL 4-M</v>
      </c>
      <c r="AO15" s="41" t="str">
        <f t="shared" si="8"/>
        <v>COMPACTA-PERFIL 4-G</v>
      </c>
      <c r="AP15" s="41" t="str">
        <f t="shared" si="8"/>
        <v>COMPACTA-PERFIL 4-GG</v>
      </c>
      <c r="AQ15" s="41" t="str">
        <f>$AQ$10&amp;"-"&amp;$AQ$11&amp;"-"&amp;AQ12</f>
        <v>DIGITAL-PERFIL 1-P</v>
      </c>
      <c r="AR15" s="41" t="str">
        <f t="shared" ref="AR15:AT15" si="9">$AR$10&amp;"-"&amp;$AR$11&amp;"-"&amp;AR12</f>
        <v>QUIOSQUE-PERFIL 1-P</v>
      </c>
      <c r="AS15" s="41" t="str">
        <f t="shared" si="9"/>
        <v>QUIOSQUE-PERFIL 1-P</v>
      </c>
      <c r="AT15" s="41" t="str">
        <f t="shared" si="9"/>
        <v>QUIOSQUE-PERFIL 1-P</v>
      </c>
      <c r="AU15" s="37"/>
      <c r="AV15" s="37"/>
      <c r="AW15" s="37"/>
      <c r="AX15" s="37"/>
      <c r="AY15" s="37"/>
      <c r="AZ15" s="37"/>
      <c r="BA15" s="37"/>
      <c r="BB15" s="37"/>
      <c r="BC15" s="37"/>
      <c r="BD15" s="37"/>
      <c r="BE15" s="37"/>
      <c r="BF15" s="37"/>
      <c r="BG15" s="37"/>
      <c r="BH15" s="37"/>
      <c r="BI15" s="37"/>
      <c r="BJ15" s="37"/>
      <c r="BK15" s="37"/>
      <c r="BL15" s="37"/>
      <c r="BM15" s="37"/>
      <c r="BN15" s="37"/>
    </row>
    <row r="16" spans="1:66" ht="18" customHeight="1" x14ac:dyDescent="0.25">
      <c r="A16" s="24" t="s">
        <v>23</v>
      </c>
      <c r="B16" s="24" t="s">
        <v>24</v>
      </c>
      <c r="C16" s="24" t="s">
        <v>25</v>
      </c>
      <c r="D16" s="24" t="s">
        <v>26</v>
      </c>
      <c r="E16" s="42" t="s">
        <v>27</v>
      </c>
      <c r="F16" s="24" t="s">
        <v>28</v>
      </c>
      <c r="G16" s="24" t="s">
        <v>29</v>
      </c>
      <c r="H16" s="24" t="s">
        <v>30</v>
      </c>
      <c r="I16" s="24" t="s">
        <v>31</v>
      </c>
      <c r="J16" s="24" t="s">
        <v>32</v>
      </c>
      <c r="K16" s="24" t="s">
        <v>18</v>
      </c>
      <c r="L16" s="31" t="s">
        <v>10</v>
      </c>
      <c r="M16" s="31" t="s">
        <v>11</v>
      </c>
      <c r="N16" s="31" t="s">
        <v>12</v>
      </c>
      <c r="O16" s="31" t="s">
        <v>13</v>
      </c>
      <c r="P16" s="31" t="s">
        <v>14</v>
      </c>
      <c r="Q16" s="31" t="s">
        <v>10</v>
      </c>
      <c r="R16" s="31" t="s">
        <v>11</v>
      </c>
      <c r="S16" s="31" t="s">
        <v>12</v>
      </c>
      <c r="T16" s="31" t="s">
        <v>13</v>
      </c>
      <c r="U16" s="31" t="s">
        <v>14</v>
      </c>
      <c r="V16" s="31" t="s">
        <v>10</v>
      </c>
      <c r="W16" s="31" t="s">
        <v>11</v>
      </c>
      <c r="X16" s="31" t="s">
        <v>12</v>
      </c>
      <c r="Y16" s="31" t="s">
        <v>13</v>
      </c>
      <c r="Z16" s="31" t="s">
        <v>14</v>
      </c>
      <c r="AA16" s="31" t="s">
        <v>10</v>
      </c>
      <c r="AB16" s="31" t="s">
        <v>11</v>
      </c>
      <c r="AC16" s="31" t="s">
        <v>12</v>
      </c>
      <c r="AD16" s="31" t="s">
        <v>13</v>
      </c>
      <c r="AE16" s="31" t="s">
        <v>14</v>
      </c>
      <c r="AF16" s="31" t="s">
        <v>10</v>
      </c>
      <c r="AG16" s="31" t="s">
        <v>11</v>
      </c>
      <c r="AH16" s="31" t="s">
        <v>12</v>
      </c>
      <c r="AI16" s="31" t="s">
        <v>13</v>
      </c>
      <c r="AJ16" s="31" t="s">
        <v>14</v>
      </c>
      <c r="AK16" s="31" t="s">
        <v>15</v>
      </c>
      <c r="AL16" s="32" t="s">
        <v>10</v>
      </c>
      <c r="AM16" s="32" t="s">
        <v>11</v>
      </c>
      <c r="AN16" s="32" t="s">
        <v>12</v>
      </c>
      <c r="AO16" s="32" t="s">
        <v>13</v>
      </c>
      <c r="AP16" s="32" t="s">
        <v>14</v>
      </c>
      <c r="AQ16" s="33" t="s">
        <v>11</v>
      </c>
      <c r="AR16" s="13" t="s">
        <v>11</v>
      </c>
      <c r="AS16" s="13" t="s">
        <v>11</v>
      </c>
      <c r="AT16" s="13" t="s">
        <v>11</v>
      </c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</row>
    <row r="17" spans="1:66" ht="20.25" customHeight="1" x14ac:dyDescent="0.25">
      <c r="A17" s="43"/>
      <c r="B17" s="43"/>
      <c r="C17" s="44"/>
      <c r="D17" s="43"/>
      <c r="E17" s="43"/>
      <c r="F17" s="43"/>
      <c r="G17" s="44"/>
      <c r="H17" s="23"/>
      <c r="I17" s="43"/>
      <c r="J17" s="43"/>
      <c r="K17" s="45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7"/>
      <c r="AM17" s="47"/>
      <c r="AN17" s="47"/>
      <c r="AO17" s="47"/>
      <c r="AP17" s="47"/>
      <c r="AQ17" s="48"/>
      <c r="AR17" s="49"/>
      <c r="AS17" s="49"/>
      <c r="AT17" s="49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</row>
    <row r="18" spans="1:66" ht="20.25" customHeight="1" x14ac:dyDescent="0.25">
      <c r="A18" s="43"/>
      <c r="B18" s="43"/>
      <c r="C18" s="44"/>
      <c r="D18" s="43"/>
      <c r="E18" s="43"/>
      <c r="F18" s="43"/>
      <c r="G18" s="44"/>
      <c r="H18" s="23"/>
      <c r="I18" s="43"/>
      <c r="J18" s="43"/>
      <c r="K18" s="45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7"/>
      <c r="AM18" s="47"/>
      <c r="AN18" s="47"/>
      <c r="AO18" s="47"/>
      <c r="AP18" s="47"/>
      <c r="AQ18" s="48"/>
      <c r="AR18" s="49"/>
      <c r="AS18" s="49"/>
      <c r="AT18" s="49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</row>
    <row r="19" spans="1:66" ht="20.25" customHeight="1" x14ac:dyDescent="0.25">
      <c r="A19" s="43"/>
      <c r="B19" s="43"/>
      <c r="C19" s="44"/>
      <c r="D19" s="43"/>
      <c r="E19" s="43"/>
      <c r="F19" s="43"/>
      <c r="G19" s="44"/>
      <c r="H19" s="23"/>
      <c r="I19" s="43"/>
      <c r="J19" s="43"/>
      <c r="K19" s="45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7"/>
      <c r="AM19" s="47"/>
      <c r="AN19" s="47"/>
      <c r="AO19" s="47"/>
      <c r="AP19" s="47"/>
      <c r="AQ19" s="48"/>
      <c r="AR19" s="49"/>
      <c r="AS19" s="49"/>
      <c r="AT19" s="49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</row>
    <row r="20" spans="1:66" ht="20.25" customHeight="1" x14ac:dyDescent="0.25">
      <c r="A20" s="43"/>
      <c r="B20" s="43"/>
      <c r="C20" s="44"/>
      <c r="D20" s="43"/>
      <c r="E20" s="43"/>
      <c r="F20" s="43"/>
      <c r="G20" s="44"/>
      <c r="H20" s="23"/>
      <c r="I20" s="43"/>
      <c r="J20" s="43"/>
      <c r="K20" s="45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7"/>
      <c r="AM20" s="47"/>
      <c r="AN20" s="47"/>
      <c r="AO20" s="47"/>
      <c r="AP20" s="47"/>
      <c r="AQ20" s="48"/>
      <c r="AR20" s="49"/>
      <c r="AS20" s="49"/>
      <c r="AT20" s="49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</row>
    <row r="21" spans="1:66" ht="20.25" customHeight="1" x14ac:dyDescent="0.25">
      <c r="A21" s="43"/>
      <c r="B21" s="43"/>
      <c r="C21" s="44"/>
      <c r="D21" s="43"/>
      <c r="E21" s="43"/>
      <c r="F21" s="43"/>
      <c r="G21" s="44"/>
      <c r="H21" s="23"/>
      <c r="I21" s="43"/>
      <c r="J21" s="43"/>
      <c r="K21" s="45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B21" s="46"/>
      <c r="AC21" s="46"/>
      <c r="AD21" s="46"/>
      <c r="AE21" s="46"/>
      <c r="AF21" s="46"/>
      <c r="AG21" s="46"/>
      <c r="AH21" s="46"/>
      <c r="AI21" s="46"/>
      <c r="AJ21" s="46"/>
      <c r="AK21" s="46"/>
      <c r="AL21" s="47"/>
      <c r="AM21" s="47"/>
      <c r="AN21" s="47"/>
      <c r="AO21" s="47"/>
      <c r="AP21" s="47"/>
      <c r="AQ21" s="48"/>
      <c r="AR21" s="49"/>
      <c r="AS21" s="49"/>
      <c r="AT21" s="49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</row>
    <row r="22" spans="1:66" ht="20.25" customHeight="1" x14ac:dyDescent="0.25">
      <c r="A22" s="43"/>
      <c r="B22" s="43"/>
      <c r="C22" s="44"/>
      <c r="D22" s="43"/>
      <c r="E22" s="43"/>
      <c r="F22" s="43"/>
      <c r="G22" s="44"/>
      <c r="H22" s="23"/>
      <c r="I22" s="43"/>
      <c r="J22" s="43"/>
      <c r="K22" s="43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7"/>
      <c r="AM22" s="47"/>
      <c r="AN22" s="47"/>
      <c r="AO22" s="47"/>
      <c r="AP22" s="47"/>
      <c r="AQ22" s="48"/>
      <c r="AR22" s="49"/>
      <c r="AS22" s="49"/>
      <c r="AT22" s="49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</row>
    <row r="23" spans="1:66" ht="20.25" customHeight="1" x14ac:dyDescent="0.25">
      <c r="A23" s="43"/>
      <c r="B23" s="43"/>
      <c r="C23" s="44"/>
      <c r="D23" s="43"/>
      <c r="E23" s="43"/>
      <c r="F23" s="43"/>
      <c r="G23" s="44"/>
      <c r="H23" s="23"/>
      <c r="I23" s="43"/>
      <c r="J23" s="43"/>
      <c r="K23" s="45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7"/>
      <c r="AM23" s="47"/>
      <c r="AN23" s="47"/>
      <c r="AO23" s="47"/>
      <c r="AP23" s="47"/>
      <c r="AQ23" s="48"/>
      <c r="AR23" s="49"/>
      <c r="AS23" s="49"/>
      <c r="AT23" s="49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</row>
    <row r="24" spans="1:66" ht="20.25" customHeight="1" x14ac:dyDescent="0.25">
      <c r="A24" s="43"/>
      <c r="B24" s="43"/>
      <c r="C24" s="44"/>
      <c r="D24" s="43"/>
      <c r="E24" s="43"/>
      <c r="F24" s="43"/>
      <c r="G24" s="44"/>
      <c r="H24" s="23"/>
      <c r="I24" s="43"/>
      <c r="J24" s="43"/>
      <c r="K24" s="45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7"/>
      <c r="AM24" s="47"/>
      <c r="AN24" s="47"/>
      <c r="AO24" s="47"/>
      <c r="AP24" s="47"/>
      <c r="AQ24" s="48"/>
      <c r="AR24" s="49"/>
      <c r="AS24" s="49"/>
      <c r="AT24" s="49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</row>
    <row r="25" spans="1:66" ht="20.25" customHeight="1" x14ac:dyDescent="0.25">
      <c r="A25" s="43"/>
      <c r="B25" s="43"/>
      <c r="C25" s="44"/>
      <c r="D25" s="43"/>
      <c r="E25" s="43"/>
      <c r="F25" s="43"/>
      <c r="G25" s="44"/>
      <c r="H25" s="23"/>
      <c r="I25" s="43"/>
      <c r="J25" s="43"/>
      <c r="K25" s="45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  <c r="AD25" s="46"/>
      <c r="AE25" s="46"/>
      <c r="AF25" s="46"/>
      <c r="AG25" s="46"/>
      <c r="AH25" s="46"/>
      <c r="AI25" s="46"/>
      <c r="AJ25" s="46"/>
      <c r="AK25" s="46"/>
      <c r="AL25" s="47"/>
      <c r="AM25" s="47"/>
      <c r="AN25" s="47"/>
      <c r="AO25" s="47"/>
      <c r="AP25" s="47"/>
      <c r="AQ25" s="48"/>
      <c r="AR25" s="49"/>
      <c r="AS25" s="49"/>
      <c r="AT25" s="49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</row>
    <row r="26" spans="1:66" ht="20.25" customHeight="1" x14ac:dyDescent="0.25">
      <c r="A26" s="43"/>
      <c r="B26" s="43"/>
      <c r="C26" s="44"/>
      <c r="D26" s="43"/>
      <c r="E26" s="43"/>
      <c r="F26" s="43"/>
      <c r="G26" s="44"/>
      <c r="H26" s="23"/>
      <c r="I26" s="43"/>
      <c r="J26" s="43"/>
      <c r="K26" s="45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  <c r="AD26" s="46"/>
      <c r="AE26" s="46"/>
      <c r="AF26" s="46"/>
      <c r="AG26" s="46"/>
      <c r="AH26" s="46"/>
      <c r="AI26" s="46"/>
      <c r="AJ26" s="46"/>
      <c r="AK26" s="46"/>
      <c r="AL26" s="47"/>
      <c r="AM26" s="47"/>
      <c r="AN26" s="47"/>
      <c r="AO26" s="47"/>
      <c r="AP26" s="47"/>
      <c r="AQ26" s="48"/>
      <c r="AR26" s="49"/>
      <c r="AS26" s="49"/>
      <c r="AT26" s="49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</row>
    <row r="27" spans="1:66" ht="20.25" customHeight="1" x14ac:dyDescent="0.25">
      <c r="A27" s="43"/>
      <c r="B27" s="43"/>
      <c r="C27" s="44"/>
      <c r="D27" s="43"/>
      <c r="E27" s="43"/>
      <c r="F27" s="43"/>
      <c r="G27" s="44"/>
      <c r="H27" s="23"/>
      <c r="I27" s="43"/>
      <c r="J27" s="43"/>
      <c r="K27" s="45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46"/>
      <c r="AD27" s="46"/>
      <c r="AE27" s="46"/>
      <c r="AF27" s="46"/>
      <c r="AG27" s="46"/>
      <c r="AH27" s="46"/>
      <c r="AI27" s="46"/>
      <c r="AJ27" s="46"/>
      <c r="AK27" s="46"/>
      <c r="AL27" s="47"/>
      <c r="AM27" s="47"/>
      <c r="AN27" s="47"/>
      <c r="AO27" s="47"/>
      <c r="AP27" s="47"/>
      <c r="AQ27" s="48"/>
      <c r="AR27" s="49"/>
      <c r="AS27" s="49"/>
      <c r="AT27" s="49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</row>
    <row r="28" spans="1:66" ht="20.25" customHeight="1" x14ac:dyDescent="0.25">
      <c r="A28" s="43"/>
      <c r="B28" s="43"/>
      <c r="C28" s="44"/>
      <c r="D28" s="43"/>
      <c r="E28" s="43"/>
      <c r="F28" s="43"/>
      <c r="G28" s="44"/>
      <c r="H28" s="23"/>
      <c r="I28" s="43"/>
      <c r="J28" s="43"/>
      <c r="K28" s="45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46"/>
      <c r="AC28" s="46"/>
      <c r="AD28" s="46"/>
      <c r="AE28" s="46"/>
      <c r="AF28" s="46"/>
      <c r="AG28" s="46"/>
      <c r="AH28" s="46"/>
      <c r="AI28" s="46"/>
      <c r="AJ28" s="46"/>
      <c r="AK28" s="46"/>
      <c r="AL28" s="47"/>
      <c r="AM28" s="47"/>
      <c r="AN28" s="47"/>
      <c r="AO28" s="47"/>
      <c r="AP28" s="47"/>
      <c r="AQ28" s="48"/>
      <c r="AR28" s="49"/>
      <c r="AS28" s="49"/>
      <c r="AT28" s="49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</row>
    <row r="29" spans="1:66" ht="20.25" customHeight="1" x14ac:dyDescent="0.25">
      <c r="A29" s="43"/>
      <c r="B29" s="43"/>
      <c r="C29" s="44"/>
      <c r="D29" s="43"/>
      <c r="E29" s="43"/>
      <c r="F29" s="43"/>
      <c r="G29" s="44"/>
      <c r="H29" s="23"/>
      <c r="I29" s="43"/>
      <c r="J29" s="43"/>
      <c r="K29" s="45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46"/>
      <c r="AC29" s="46"/>
      <c r="AD29" s="46"/>
      <c r="AE29" s="46"/>
      <c r="AF29" s="46"/>
      <c r="AG29" s="46"/>
      <c r="AH29" s="46"/>
      <c r="AI29" s="46"/>
      <c r="AJ29" s="46"/>
      <c r="AK29" s="46"/>
      <c r="AL29" s="47"/>
      <c r="AM29" s="47"/>
      <c r="AN29" s="47"/>
      <c r="AO29" s="47"/>
      <c r="AP29" s="47"/>
      <c r="AQ29" s="48"/>
      <c r="AR29" s="49"/>
      <c r="AS29" s="49"/>
      <c r="AT29" s="49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</row>
    <row r="30" spans="1:66" ht="20.25" customHeight="1" x14ac:dyDescent="0.25">
      <c r="A30" s="43"/>
      <c r="B30" s="43"/>
      <c r="C30" s="44"/>
      <c r="D30" s="43"/>
      <c r="E30" s="43"/>
      <c r="F30" s="43"/>
      <c r="G30" s="44"/>
      <c r="H30" s="23"/>
      <c r="I30" s="43"/>
      <c r="J30" s="43"/>
      <c r="K30" s="45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  <c r="AG30" s="46"/>
      <c r="AH30" s="46"/>
      <c r="AI30" s="46"/>
      <c r="AJ30" s="46"/>
      <c r="AK30" s="46"/>
      <c r="AL30" s="47"/>
      <c r="AM30" s="47"/>
      <c r="AN30" s="47"/>
      <c r="AO30" s="47"/>
      <c r="AP30" s="47"/>
      <c r="AQ30" s="48"/>
      <c r="AR30" s="49"/>
      <c r="AS30" s="49"/>
      <c r="AT30" s="49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</row>
    <row r="31" spans="1:66" ht="20.25" customHeight="1" x14ac:dyDescent="0.25">
      <c r="A31" s="43"/>
      <c r="B31" s="43"/>
      <c r="C31" s="44"/>
      <c r="D31" s="43"/>
      <c r="E31" s="43"/>
      <c r="F31" s="43"/>
      <c r="G31" s="44"/>
      <c r="H31" s="23"/>
      <c r="I31" s="43"/>
      <c r="J31" s="43"/>
      <c r="K31" s="45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  <c r="AG31" s="46"/>
      <c r="AH31" s="46"/>
      <c r="AI31" s="46"/>
      <c r="AJ31" s="46"/>
      <c r="AK31" s="46"/>
      <c r="AL31" s="47"/>
      <c r="AM31" s="47"/>
      <c r="AN31" s="47"/>
      <c r="AO31" s="47"/>
      <c r="AP31" s="47"/>
      <c r="AQ31" s="48"/>
      <c r="AR31" s="49"/>
      <c r="AS31" s="49"/>
      <c r="AT31" s="49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</row>
    <row r="32" spans="1:66" ht="20.25" customHeight="1" x14ac:dyDescent="0.25">
      <c r="A32" s="43"/>
      <c r="B32" s="43"/>
      <c r="C32" s="44"/>
      <c r="D32" s="43"/>
      <c r="E32" s="43"/>
      <c r="F32" s="43"/>
      <c r="G32" s="44"/>
      <c r="H32" s="23"/>
      <c r="I32" s="43"/>
      <c r="J32" s="43"/>
      <c r="K32" s="45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  <c r="AG32" s="46"/>
      <c r="AH32" s="46"/>
      <c r="AI32" s="46"/>
      <c r="AJ32" s="46"/>
      <c r="AK32" s="46"/>
      <c r="AL32" s="47"/>
      <c r="AM32" s="47"/>
      <c r="AN32" s="47"/>
      <c r="AO32" s="47"/>
      <c r="AP32" s="47"/>
      <c r="AQ32" s="48"/>
      <c r="AR32" s="49"/>
      <c r="AS32" s="49"/>
      <c r="AT32" s="49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</row>
    <row r="33" spans="1:66" ht="20.25" customHeight="1" x14ac:dyDescent="0.25">
      <c r="A33" s="43"/>
      <c r="B33" s="43"/>
      <c r="C33" s="44"/>
      <c r="D33" s="43"/>
      <c r="E33" s="43"/>
      <c r="F33" s="43"/>
      <c r="G33" s="44"/>
      <c r="H33" s="23"/>
      <c r="I33" s="43"/>
      <c r="J33" s="43"/>
      <c r="K33" s="45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  <c r="AG33" s="46"/>
      <c r="AH33" s="46"/>
      <c r="AI33" s="46"/>
      <c r="AJ33" s="46"/>
      <c r="AK33" s="46"/>
      <c r="AL33" s="47"/>
      <c r="AM33" s="47"/>
      <c r="AN33" s="47"/>
      <c r="AO33" s="47"/>
      <c r="AP33" s="47"/>
      <c r="AQ33" s="48"/>
      <c r="AR33" s="49"/>
      <c r="AS33" s="49"/>
      <c r="AT33" s="49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</row>
    <row r="34" spans="1:66" ht="20.25" customHeight="1" x14ac:dyDescent="0.25">
      <c r="A34" s="43"/>
      <c r="B34" s="43"/>
      <c r="C34" s="44"/>
      <c r="D34" s="43"/>
      <c r="E34" s="43"/>
      <c r="F34" s="43"/>
      <c r="G34" s="44"/>
      <c r="H34" s="23"/>
      <c r="I34" s="43"/>
      <c r="J34" s="43"/>
      <c r="K34" s="45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  <c r="AG34" s="46"/>
      <c r="AH34" s="46"/>
      <c r="AI34" s="46"/>
      <c r="AJ34" s="46"/>
      <c r="AK34" s="46"/>
      <c r="AL34" s="47"/>
      <c r="AM34" s="47"/>
      <c r="AN34" s="47"/>
      <c r="AO34" s="47"/>
      <c r="AP34" s="47"/>
      <c r="AQ34" s="48"/>
      <c r="AR34" s="49"/>
      <c r="AS34" s="49"/>
      <c r="AT34" s="49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</row>
    <row r="35" spans="1:66" ht="20.25" customHeight="1" x14ac:dyDescent="0.25">
      <c r="A35" s="43"/>
      <c r="B35" s="43"/>
      <c r="C35" s="44"/>
      <c r="D35" s="43"/>
      <c r="E35" s="43"/>
      <c r="F35" s="43"/>
      <c r="G35" s="44"/>
      <c r="H35" s="23"/>
      <c r="I35" s="43"/>
      <c r="J35" s="43"/>
      <c r="K35" s="45"/>
      <c r="L35" s="46"/>
      <c r="M35" s="46"/>
      <c r="N35" s="46"/>
      <c r="O35" s="46"/>
      <c r="P35" s="46"/>
      <c r="Q35" s="46"/>
      <c r="R35" s="46"/>
      <c r="S35" s="46"/>
      <c r="T35" s="46"/>
      <c r="U35" s="46"/>
      <c r="V35" s="46"/>
      <c r="W35" s="46"/>
      <c r="X35" s="46"/>
      <c r="Y35" s="46"/>
      <c r="Z35" s="46"/>
      <c r="AA35" s="46"/>
      <c r="AB35" s="46"/>
      <c r="AC35" s="46"/>
      <c r="AD35" s="46"/>
      <c r="AE35" s="46"/>
      <c r="AF35" s="46"/>
      <c r="AG35" s="46"/>
      <c r="AH35" s="46"/>
      <c r="AI35" s="46"/>
      <c r="AJ35" s="46"/>
      <c r="AK35" s="46"/>
      <c r="AL35" s="47"/>
      <c r="AM35" s="47"/>
      <c r="AN35" s="47"/>
      <c r="AO35" s="47"/>
      <c r="AP35" s="47"/>
      <c r="AQ35" s="48"/>
      <c r="AR35" s="49"/>
      <c r="AS35" s="49"/>
      <c r="AT35" s="49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</row>
    <row r="36" spans="1:66" ht="20.25" customHeight="1" x14ac:dyDescent="0.25">
      <c r="A36" s="43"/>
      <c r="B36" s="43"/>
      <c r="C36" s="44"/>
      <c r="D36" s="43"/>
      <c r="E36" s="43"/>
      <c r="F36" s="43"/>
      <c r="G36" s="44"/>
      <c r="H36" s="23"/>
      <c r="I36" s="43"/>
      <c r="J36" s="43"/>
      <c r="K36" s="45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  <c r="AA36" s="46"/>
      <c r="AB36" s="46"/>
      <c r="AC36" s="46"/>
      <c r="AD36" s="46"/>
      <c r="AE36" s="46"/>
      <c r="AF36" s="46"/>
      <c r="AG36" s="46"/>
      <c r="AH36" s="46"/>
      <c r="AI36" s="46"/>
      <c r="AJ36" s="46"/>
      <c r="AK36" s="46"/>
      <c r="AL36" s="47"/>
      <c r="AM36" s="47"/>
      <c r="AN36" s="47"/>
      <c r="AO36" s="47"/>
      <c r="AP36" s="47"/>
      <c r="AQ36" s="48"/>
      <c r="AR36" s="49"/>
      <c r="AS36" s="49"/>
      <c r="AT36" s="49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</row>
    <row r="37" spans="1:66" ht="20.25" customHeight="1" x14ac:dyDescent="0.25">
      <c r="A37" s="43"/>
      <c r="B37" s="43"/>
      <c r="C37" s="44"/>
      <c r="D37" s="43"/>
      <c r="E37" s="43"/>
      <c r="F37" s="43"/>
      <c r="G37" s="44"/>
      <c r="H37" s="23"/>
      <c r="I37" s="43"/>
      <c r="J37" s="43"/>
      <c r="K37" s="45"/>
      <c r="L37" s="46"/>
      <c r="M37" s="46"/>
      <c r="N37" s="46"/>
      <c r="O37" s="46"/>
      <c r="P37" s="46"/>
      <c r="Q37" s="46"/>
      <c r="R37" s="46"/>
      <c r="S37" s="46"/>
      <c r="T37" s="46"/>
      <c r="U37" s="46"/>
      <c r="V37" s="46"/>
      <c r="W37" s="46"/>
      <c r="X37" s="46"/>
      <c r="Y37" s="46"/>
      <c r="Z37" s="46"/>
      <c r="AA37" s="46"/>
      <c r="AB37" s="46"/>
      <c r="AC37" s="46"/>
      <c r="AD37" s="46"/>
      <c r="AE37" s="46"/>
      <c r="AF37" s="46"/>
      <c r="AG37" s="46"/>
      <c r="AH37" s="46"/>
      <c r="AI37" s="46"/>
      <c r="AJ37" s="46"/>
      <c r="AK37" s="46"/>
      <c r="AL37" s="47"/>
      <c r="AM37" s="47"/>
      <c r="AN37" s="47"/>
      <c r="AO37" s="47"/>
      <c r="AP37" s="47"/>
      <c r="AQ37" s="48"/>
      <c r="AR37" s="49"/>
      <c r="AS37" s="49"/>
      <c r="AT37" s="49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</row>
    <row r="38" spans="1:66" ht="20.25" customHeight="1" x14ac:dyDescent="0.25">
      <c r="A38" s="43"/>
      <c r="B38" s="43"/>
      <c r="C38" s="44"/>
      <c r="D38" s="43"/>
      <c r="E38" s="43"/>
      <c r="F38" s="43"/>
      <c r="G38" s="44"/>
      <c r="H38" s="23"/>
      <c r="I38" s="43"/>
      <c r="J38" s="43"/>
      <c r="K38" s="45"/>
      <c r="L38" s="46"/>
      <c r="M38" s="46"/>
      <c r="N38" s="46"/>
      <c r="O38" s="46"/>
      <c r="P38" s="46"/>
      <c r="Q38" s="46"/>
      <c r="R38" s="46"/>
      <c r="S38" s="46"/>
      <c r="T38" s="46"/>
      <c r="U38" s="46"/>
      <c r="V38" s="46"/>
      <c r="W38" s="46"/>
      <c r="X38" s="46"/>
      <c r="Y38" s="46"/>
      <c r="Z38" s="46"/>
      <c r="AA38" s="46"/>
      <c r="AB38" s="46"/>
      <c r="AC38" s="46"/>
      <c r="AD38" s="46"/>
      <c r="AE38" s="46"/>
      <c r="AF38" s="46"/>
      <c r="AG38" s="46"/>
      <c r="AH38" s="46"/>
      <c r="AI38" s="46"/>
      <c r="AJ38" s="46"/>
      <c r="AK38" s="46"/>
      <c r="AL38" s="47"/>
      <c r="AM38" s="47"/>
      <c r="AN38" s="47"/>
      <c r="AO38" s="47"/>
      <c r="AP38" s="47"/>
      <c r="AQ38" s="48"/>
      <c r="AR38" s="49"/>
      <c r="AS38" s="49"/>
      <c r="AT38" s="49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</row>
    <row r="39" spans="1:66" ht="20.25" customHeight="1" x14ac:dyDescent="0.25">
      <c r="A39" s="43"/>
      <c r="B39" s="43"/>
      <c r="C39" s="44"/>
      <c r="D39" s="43"/>
      <c r="E39" s="43"/>
      <c r="F39" s="43"/>
      <c r="G39" s="44"/>
      <c r="H39" s="23"/>
      <c r="I39" s="43"/>
      <c r="J39" s="43"/>
      <c r="K39" s="45"/>
      <c r="L39" s="46"/>
      <c r="M39" s="46"/>
      <c r="N39" s="46"/>
      <c r="O39" s="46"/>
      <c r="P39" s="46"/>
      <c r="Q39" s="46"/>
      <c r="R39" s="46"/>
      <c r="S39" s="46"/>
      <c r="T39" s="46"/>
      <c r="U39" s="46"/>
      <c r="V39" s="46"/>
      <c r="W39" s="46"/>
      <c r="X39" s="46"/>
      <c r="Y39" s="46"/>
      <c r="Z39" s="46"/>
      <c r="AA39" s="46"/>
      <c r="AB39" s="46"/>
      <c r="AC39" s="46"/>
      <c r="AD39" s="46"/>
      <c r="AE39" s="46"/>
      <c r="AF39" s="46"/>
      <c r="AG39" s="46"/>
      <c r="AH39" s="46"/>
      <c r="AI39" s="46"/>
      <c r="AJ39" s="46"/>
      <c r="AK39" s="46"/>
      <c r="AL39" s="47"/>
      <c r="AM39" s="47"/>
      <c r="AN39" s="47"/>
      <c r="AO39" s="47"/>
      <c r="AP39" s="47"/>
      <c r="AQ39" s="48"/>
      <c r="AR39" s="49"/>
      <c r="AS39" s="49"/>
      <c r="AT39" s="49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</row>
    <row r="40" spans="1:66" ht="20.25" customHeight="1" x14ac:dyDescent="0.25">
      <c r="A40" s="43"/>
      <c r="B40" s="43"/>
      <c r="C40" s="44"/>
      <c r="D40" s="43"/>
      <c r="E40" s="43"/>
      <c r="F40" s="43"/>
      <c r="G40" s="44"/>
      <c r="H40" s="23"/>
      <c r="I40" s="43"/>
      <c r="J40" s="43"/>
      <c r="K40" s="45"/>
      <c r="L40" s="46"/>
      <c r="M40" s="46"/>
      <c r="N40" s="46"/>
      <c r="O40" s="46"/>
      <c r="P40" s="46"/>
      <c r="Q40" s="46"/>
      <c r="R40" s="46"/>
      <c r="S40" s="46"/>
      <c r="T40" s="46"/>
      <c r="U40" s="46"/>
      <c r="V40" s="46"/>
      <c r="W40" s="46"/>
      <c r="X40" s="46"/>
      <c r="Y40" s="46"/>
      <c r="Z40" s="46"/>
      <c r="AA40" s="46"/>
      <c r="AB40" s="46"/>
      <c r="AC40" s="46"/>
      <c r="AD40" s="46"/>
      <c r="AE40" s="46"/>
      <c r="AF40" s="46"/>
      <c r="AG40" s="46"/>
      <c r="AH40" s="46"/>
      <c r="AI40" s="46"/>
      <c r="AJ40" s="46"/>
      <c r="AK40" s="46"/>
      <c r="AL40" s="47"/>
      <c r="AM40" s="47"/>
      <c r="AN40" s="47"/>
      <c r="AO40" s="47"/>
      <c r="AP40" s="47"/>
      <c r="AQ40" s="48"/>
      <c r="AR40" s="49"/>
      <c r="AS40" s="49"/>
      <c r="AT40" s="49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</row>
    <row r="41" spans="1:66" ht="20.25" customHeight="1" x14ac:dyDescent="0.25">
      <c r="A41" s="43"/>
      <c r="B41" s="43"/>
      <c r="C41" s="44"/>
      <c r="D41" s="43"/>
      <c r="E41" s="43"/>
      <c r="F41" s="43"/>
      <c r="G41" s="44"/>
      <c r="H41" s="23"/>
      <c r="I41" s="43"/>
      <c r="J41" s="43"/>
      <c r="K41" s="45"/>
      <c r="L41" s="46"/>
      <c r="M41" s="46"/>
      <c r="N41" s="46"/>
      <c r="O41" s="46"/>
      <c r="P41" s="46"/>
      <c r="Q41" s="46"/>
      <c r="R41" s="46"/>
      <c r="S41" s="46"/>
      <c r="T41" s="46"/>
      <c r="U41" s="46"/>
      <c r="V41" s="46"/>
      <c r="W41" s="46"/>
      <c r="X41" s="46"/>
      <c r="Y41" s="46"/>
      <c r="Z41" s="46"/>
      <c r="AA41" s="46"/>
      <c r="AB41" s="46"/>
      <c r="AC41" s="46"/>
      <c r="AD41" s="46"/>
      <c r="AE41" s="46"/>
      <c r="AF41" s="46"/>
      <c r="AG41" s="46"/>
      <c r="AH41" s="46"/>
      <c r="AI41" s="46"/>
      <c r="AJ41" s="46"/>
      <c r="AK41" s="46"/>
      <c r="AL41" s="47"/>
      <c r="AM41" s="47"/>
      <c r="AN41" s="47"/>
      <c r="AO41" s="47"/>
      <c r="AP41" s="47"/>
      <c r="AQ41" s="48"/>
      <c r="AR41" s="49"/>
      <c r="AS41" s="49"/>
      <c r="AT41" s="49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</row>
    <row r="42" spans="1:66" ht="20.25" customHeight="1" x14ac:dyDescent="0.25">
      <c r="A42" s="43"/>
      <c r="B42" s="43"/>
      <c r="C42" s="44"/>
      <c r="D42" s="43"/>
      <c r="E42" s="43"/>
      <c r="F42" s="43"/>
      <c r="G42" s="44"/>
      <c r="H42" s="23"/>
      <c r="I42" s="43"/>
      <c r="J42" s="43"/>
      <c r="K42" s="45"/>
      <c r="L42" s="46"/>
      <c r="M42" s="46"/>
      <c r="N42" s="46"/>
      <c r="O42" s="46"/>
      <c r="P42" s="46"/>
      <c r="Q42" s="46"/>
      <c r="R42" s="46"/>
      <c r="S42" s="46"/>
      <c r="T42" s="46"/>
      <c r="U42" s="46"/>
      <c r="V42" s="46"/>
      <c r="W42" s="46"/>
      <c r="X42" s="46"/>
      <c r="Y42" s="46"/>
      <c r="Z42" s="46"/>
      <c r="AA42" s="46"/>
      <c r="AB42" s="46"/>
      <c r="AC42" s="46"/>
      <c r="AD42" s="46"/>
      <c r="AE42" s="46"/>
      <c r="AF42" s="46"/>
      <c r="AG42" s="46"/>
      <c r="AH42" s="46"/>
      <c r="AI42" s="46"/>
      <c r="AJ42" s="46"/>
      <c r="AK42" s="46"/>
      <c r="AL42" s="47"/>
      <c r="AM42" s="47"/>
      <c r="AN42" s="47"/>
      <c r="AO42" s="47"/>
      <c r="AP42" s="47"/>
      <c r="AQ42" s="48"/>
      <c r="AR42" s="49"/>
      <c r="AS42" s="49"/>
      <c r="AT42" s="49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</row>
    <row r="43" spans="1:66" ht="20.25" customHeight="1" x14ac:dyDescent="0.25">
      <c r="A43" s="43"/>
      <c r="B43" s="43"/>
      <c r="C43" s="44"/>
      <c r="D43" s="43"/>
      <c r="E43" s="43"/>
      <c r="F43" s="43"/>
      <c r="G43" s="44"/>
      <c r="H43" s="23"/>
      <c r="I43" s="43"/>
      <c r="J43" s="43"/>
      <c r="K43" s="45"/>
      <c r="L43" s="46"/>
      <c r="M43" s="46"/>
      <c r="N43" s="46"/>
      <c r="O43" s="46"/>
      <c r="P43" s="46"/>
      <c r="Q43" s="46"/>
      <c r="R43" s="46"/>
      <c r="S43" s="46"/>
      <c r="T43" s="46"/>
      <c r="U43" s="46"/>
      <c r="V43" s="46"/>
      <c r="W43" s="46"/>
      <c r="X43" s="46"/>
      <c r="Y43" s="46"/>
      <c r="Z43" s="46"/>
      <c r="AA43" s="46"/>
      <c r="AB43" s="46"/>
      <c r="AC43" s="46"/>
      <c r="AD43" s="46"/>
      <c r="AE43" s="46"/>
      <c r="AF43" s="46"/>
      <c r="AG43" s="46"/>
      <c r="AH43" s="46"/>
      <c r="AI43" s="46"/>
      <c r="AJ43" s="46"/>
      <c r="AK43" s="46"/>
      <c r="AL43" s="47"/>
      <c r="AM43" s="47"/>
      <c r="AN43" s="47"/>
      <c r="AO43" s="47"/>
      <c r="AP43" s="47"/>
      <c r="AQ43" s="48"/>
      <c r="AR43" s="49"/>
      <c r="AS43" s="49"/>
      <c r="AT43" s="49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</row>
    <row r="44" spans="1:66" ht="20.25" customHeight="1" x14ac:dyDescent="0.25">
      <c r="A44" s="43"/>
      <c r="B44" s="43"/>
      <c r="C44" s="44"/>
      <c r="D44" s="43"/>
      <c r="E44" s="43"/>
      <c r="F44" s="43"/>
      <c r="G44" s="44"/>
      <c r="H44" s="23"/>
      <c r="I44" s="43"/>
      <c r="J44" s="43"/>
      <c r="K44" s="45"/>
      <c r="L44" s="46"/>
      <c r="M44" s="46"/>
      <c r="N44" s="46"/>
      <c r="O44" s="46"/>
      <c r="P44" s="46"/>
      <c r="Q44" s="46"/>
      <c r="R44" s="46"/>
      <c r="S44" s="46"/>
      <c r="T44" s="46"/>
      <c r="U44" s="46"/>
      <c r="V44" s="46"/>
      <c r="W44" s="46"/>
      <c r="X44" s="46"/>
      <c r="Y44" s="46"/>
      <c r="Z44" s="46"/>
      <c r="AA44" s="46"/>
      <c r="AB44" s="46"/>
      <c r="AC44" s="46"/>
      <c r="AD44" s="46"/>
      <c r="AE44" s="46"/>
      <c r="AF44" s="46"/>
      <c r="AG44" s="46"/>
      <c r="AH44" s="46"/>
      <c r="AI44" s="46"/>
      <c r="AJ44" s="46"/>
      <c r="AK44" s="46"/>
      <c r="AL44" s="47"/>
      <c r="AM44" s="47"/>
      <c r="AN44" s="47"/>
      <c r="AO44" s="47"/>
      <c r="AP44" s="47"/>
      <c r="AQ44" s="48"/>
      <c r="AR44" s="49"/>
      <c r="AS44" s="49"/>
      <c r="AT44" s="49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</row>
    <row r="45" spans="1:66" ht="20.25" customHeight="1" x14ac:dyDescent="0.25">
      <c r="A45" s="43"/>
      <c r="B45" s="43"/>
      <c r="C45" s="44"/>
      <c r="D45" s="43"/>
      <c r="E45" s="43"/>
      <c r="F45" s="43"/>
      <c r="G45" s="44"/>
      <c r="H45" s="23"/>
      <c r="I45" s="43"/>
      <c r="J45" s="43"/>
      <c r="K45" s="45"/>
      <c r="L45" s="46"/>
      <c r="M45" s="46"/>
      <c r="N45" s="46"/>
      <c r="O45" s="46"/>
      <c r="P45" s="46"/>
      <c r="Q45" s="46"/>
      <c r="R45" s="46"/>
      <c r="S45" s="46"/>
      <c r="T45" s="46"/>
      <c r="U45" s="46"/>
      <c r="V45" s="46"/>
      <c r="W45" s="46"/>
      <c r="X45" s="46"/>
      <c r="Y45" s="46"/>
      <c r="Z45" s="46"/>
      <c r="AA45" s="46"/>
      <c r="AB45" s="46"/>
      <c r="AC45" s="46"/>
      <c r="AD45" s="46"/>
      <c r="AE45" s="46"/>
      <c r="AF45" s="46"/>
      <c r="AG45" s="46"/>
      <c r="AH45" s="46"/>
      <c r="AI45" s="46"/>
      <c r="AJ45" s="46"/>
      <c r="AK45" s="46"/>
      <c r="AL45" s="47"/>
      <c r="AM45" s="47"/>
      <c r="AN45" s="47"/>
      <c r="AO45" s="47"/>
      <c r="AP45" s="47"/>
      <c r="AQ45" s="48"/>
      <c r="AR45" s="49"/>
      <c r="AS45" s="49"/>
      <c r="AT45" s="49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</row>
    <row r="46" spans="1:66" ht="20.25" customHeight="1" x14ac:dyDescent="0.25">
      <c r="A46" s="43"/>
      <c r="B46" s="43"/>
      <c r="C46" s="44"/>
      <c r="D46" s="43"/>
      <c r="E46" s="43"/>
      <c r="F46" s="43"/>
      <c r="G46" s="44"/>
      <c r="H46" s="23"/>
      <c r="I46" s="43"/>
      <c r="J46" s="43"/>
      <c r="K46" s="45"/>
      <c r="L46" s="46"/>
      <c r="M46" s="46"/>
      <c r="N46" s="46"/>
      <c r="O46" s="46"/>
      <c r="P46" s="46"/>
      <c r="Q46" s="46"/>
      <c r="R46" s="46"/>
      <c r="S46" s="46"/>
      <c r="T46" s="46"/>
      <c r="U46" s="46"/>
      <c r="V46" s="46"/>
      <c r="W46" s="46"/>
      <c r="X46" s="46"/>
      <c r="Y46" s="46"/>
      <c r="Z46" s="46"/>
      <c r="AA46" s="46"/>
      <c r="AB46" s="46"/>
      <c r="AC46" s="46"/>
      <c r="AD46" s="46"/>
      <c r="AE46" s="46"/>
      <c r="AF46" s="46"/>
      <c r="AG46" s="46"/>
      <c r="AH46" s="46"/>
      <c r="AI46" s="46"/>
      <c r="AJ46" s="46"/>
      <c r="AK46" s="46"/>
      <c r="AL46" s="47"/>
      <c r="AM46" s="47"/>
      <c r="AN46" s="47"/>
      <c r="AO46" s="47"/>
      <c r="AP46" s="47"/>
      <c r="AQ46" s="48"/>
      <c r="AR46" s="49"/>
      <c r="AS46" s="49"/>
      <c r="AT46" s="49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</row>
    <row r="47" spans="1:66" ht="20.25" customHeight="1" x14ac:dyDescent="0.25">
      <c r="A47" s="43"/>
      <c r="B47" s="43"/>
      <c r="C47" s="44"/>
      <c r="D47" s="43"/>
      <c r="E47" s="43"/>
      <c r="F47" s="43"/>
      <c r="G47" s="44"/>
      <c r="H47" s="23"/>
      <c r="I47" s="43"/>
      <c r="J47" s="43"/>
      <c r="K47" s="45"/>
      <c r="L47" s="46"/>
      <c r="M47" s="46"/>
      <c r="N47" s="46"/>
      <c r="O47" s="46"/>
      <c r="P47" s="46"/>
      <c r="Q47" s="46"/>
      <c r="R47" s="46"/>
      <c r="S47" s="46"/>
      <c r="T47" s="46"/>
      <c r="U47" s="46"/>
      <c r="V47" s="46"/>
      <c r="W47" s="46"/>
      <c r="X47" s="46"/>
      <c r="Y47" s="46"/>
      <c r="Z47" s="46"/>
      <c r="AA47" s="46"/>
      <c r="AB47" s="46"/>
      <c r="AC47" s="46"/>
      <c r="AD47" s="46"/>
      <c r="AE47" s="46"/>
      <c r="AF47" s="46"/>
      <c r="AG47" s="46"/>
      <c r="AH47" s="46"/>
      <c r="AI47" s="46"/>
      <c r="AJ47" s="46"/>
      <c r="AK47" s="46"/>
      <c r="AL47" s="47"/>
      <c r="AM47" s="47"/>
      <c r="AN47" s="47"/>
      <c r="AO47" s="47"/>
      <c r="AP47" s="47"/>
      <c r="AQ47" s="48"/>
      <c r="AR47" s="49"/>
      <c r="AS47" s="49"/>
      <c r="AT47" s="49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</row>
    <row r="48" spans="1:66" ht="20.25" customHeight="1" x14ac:dyDescent="0.25">
      <c r="A48" s="43"/>
      <c r="B48" s="43"/>
      <c r="C48" s="44"/>
      <c r="D48" s="43"/>
      <c r="E48" s="43"/>
      <c r="F48" s="43"/>
      <c r="G48" s="44"/>
      <c r="H48" s="23"/>
      <c r="I48" s="43"/>
      <c r="J48" s="43"/>
      <c r="K48" s="45"/>
      <c r="L48" s="46"/>
      <c r="M48" s="46"/>
      <c r="N48" s="46"/>
      <c r="O48" s="46"/>
      <c r="P48" s="46"/>
      <c r="Q48" s="46"/>
      <c r="R48" s="46"/>
      <c r="S48" s="46"/>
      <c r="T48" s="46"/>
      <c r="U48" s="46"/>
      <c r="V48" s="46"/>
      <c r="W48" s="46"/>
      <c r="X48" s="46"/>
      <c r="Y48" s="46"/>
      <c r="Z48" s="46"/>
      <c r="AA48" s="46"/>
      <c r="AB48" s="46"/>
      <c r="AC48" s="46"/>
      <c r="AD48" s="46"/>
      <c r="AE48" s="46"/>
      <c r="AF48" s="46"/>
      <c r="AG48" s="46"/>
      <c r="AH48" s="46"/>
      <c r="AI48" s="46"/>
      <c r="AJ48" s="46"/>
      <c r="AK48" s="46"/>
      <c r="AL48" s="47"/>
      <c r="AM48" s="47"/>
      <c r="AN48" s="47"/>
      <c r="AO48" s="47"/>
      <c r="AP48" s="47"/>
      <c r="AQ48" s="48"/>
      <c r="AR48" s="49"/>
      <c r="AS48" s="49"/>
      <c r="AT48" s="49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</row>
    <row r="49" spans="1:66" ht="20.25" customHeight="1" x14ac:dyDescent="0.25">
      <c r="A49" s="43"/>
      <c r="B49" s="43"/>
      <c r="C49" s="44"/>
      <c r="D49" s="43"/>
      <c r="E49" s="43"/>
      <c r="F49" s="43"/>
      <c r="G49" s="44"/>
      <c r="H49" s="23"/>
      <c r="I49" s="43"/>
      <c r="J49" s="43"/>
      <c r="K49" s="45"/>
      <c r="L49" s="46"/>
      <c r="M49" s="46"/>
      <c r="N49" s="46"/>
      <c r="O49" s="46"/>
      <c r="P49" s="46"/>
      <c r="Q49" s="46"/>
      <c r="R49" s="46"/>
      <c r="S49" s="46"/>
      <c r="T49" s="46"/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6"/>
      <c r="AF49" s="46"/>
      <c r="AG49" s="46"/>
      <c r="AH49" s="46"/>
      <c r="AI49" s="46"/>
      <c r="AJ49" s="46"/>
      <c r="AK49" s="46"/>
      <c r="AL49" s="47"/>
      <c r="AM49" s="47"/>
      <c r="AN49" s="47"/>
      <c r="AO49" s="47"/>
      <c r="AP49" s="47"/>
      <c r="AQ49" s="48"/>
      <c r="AR49" s="49"/>
      <c r="AS49" s="49"/>
      <c r="AT49" s="49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</row>
    <row r="50" spans="1:66" ht="20.25" customHeight="1" x14ac:dyDescent="0.25">
      <c r="A50" s="43"/>
      <c r="B50" s="43"/>
      <c r="C50" s="44"/>
      <c r="D50" s="43"/>
      <c r="E50" s="43"/>
      <c r="F50" s="43"/>
      <c r="G50" s="44"/>
      <c r="H50" s="23"/>
      <c r="I50" s="43"/>
      <c r="J50" s="43"/>
      <c r="K50" s="45"/>
      <c r="L50" s="46"/>
      <c r="M50" s="46"/>
      <c r="N50" s="46"/>
      <c r="O50" s="46"/>
      <c r="P50" s="46"/>
      <c r="Q50" s="46"/>
      <c r="R50" s="46"/>
      <c r="S50" s="46"/>
      <c r="T50" s="46"/>
      <c r="U50" s="46"/>
      <c r="V50" s="46"/>
      <c r="W50" s="46"/>
      <c r="X50" s="46"/>
      <c r="Y50" s="46"/>
      <c r="Z50" s="46"/>
      <c r="AA50" s="46"/>
      <c r="AB50" s="46"/>
      <c r="AC50" s="46"/>
      <c r="AD50" s="46"/>
      <c r="AE50" s="46"/>
      <c r="AF50" s="46"/>
      <c r="AG50" s="46"/>
      <c r="AH50" s="46"/>
      <c r="AI50" s="46"/>
      <c r="AJ50" s="46"/>
      <c r="AK50" s="46"/>
      <c r="AL50" s="47"/>
      <c r="AM50" s="47"/>
      <c r="AN50" s="47"/>
      <c r="AO50" s="47"/>
      <c r="AP50" s="47"/>
      <c r="AQ50" s="48"/>
      <c r="AR50" s="49"/>
      <c r="AS50" s="49"/>
      <c r="AT50" s="49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</row>
    <row r="51" spans="1:66" ht="20.25" customHeight="1" x14ac:dyDescent="0.25">
      <c r="A51" s="43"/>
      <c r="B51" s="43"/>
      <c r="C51" s="44"/>
      <c r="D51" s="43"/>
      <c r="E51" s="43"/>
      <c r="F51" s="43"/>
      <c r="G51" s="44"/>
      <c r="H51" s="23"/>
      <c r="I51" s="43"/>
      <c r="J51" s="43"/>
      <c r="K51" s="45"/>
      <c r="L51" s="46"/>
      <c r="M51" s="46"/>
      <c r="N51" s="46"/>
      <c r="O51" s="46"/>
      <c r="P51" s="46"/>
      <c r="Q51" s="46"/>
      <c r="R51" s="46"/>
      <c r="S51" s="46"/>
      <c r="T51" s="46"/>
      <c r="U51" s="46"/>
      <c r="V51" s="46"/>
      <c r="W51" s="46"/>
      <c r="X51" s="46"/>
      <c r="Y51" s="46"/>
      <c r="Z51" s="46"/>
      <c r="AA51" s="46"/>
      <c r="AB51" s="46"/>
      <c r="AC51" s="46"/>
      <c r="AD51" s="46"/>
      <c r="AE51" s="46"/>
      <c r="AF51" s="46"/>
      <c r="AG51" s="46"/>
      <c r="AH51" s="46"/>
      <c r="AI51" s="46"/>
      <c r="AJ51" s="46"/>
      <c r="AK51" s="46"/>
      <c r="AL51" s="47"/>
      <c r="AM51" s="47"/>
      <c r="AN51" s="47"/>
      <c r="AO51" s="47"/>
      <c r="AP51" s="47"/>
      <c r="AQ51" s="48"/>
      <c r="AR51" s="49"/>
      <c r="AS51" s="49"/>
      <c r="AT51" s="49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</row>
    <row r="52" spans="1:66" ht="20.25" customHeight="1" x14ac:dyDescent="0.25">
      <c r="A52" s="43"/>
      <c r="B52" s="43"/>
      <c r="C52" s="44"/>
      <c r="D52" s="43"/>
      <c r="E52" s="43"/>
      <c r="F52" s="43"/>
      <c r="G52" s="44"/>
      <c r="H52" s="23"/>
      <c r="I52" s="43"/>
      <c r="J52" s="43"/>
      <c r="K52" s="45"/>
      <c r="L52" s="46"/>
      <c r="M52" s="46"/>
      <c r="N52" s="46"/>
      <c r="O52" s="46"/>
      <c r="P52" s="46"/>
      <c r="Q52" s="46"/>
      <c r="R52" s="46"/>
      <c r="S52" s="46"/>
      <c r="T52" s="46"/>
      <c r="U52" s="46"/>
      <c r="V52" s="46"/>
      <c r="W52" s="46"/>
      <c r="X52" s="46"/>
      <c r="Y52" s="46"/>
      <c r="Z52" s="46"/>
      <c r="AA52" s="46"/>
      <c r="AB52" s="46"/>
      <c r="AC52" s="46"/>
      <c r="AD52" s="46"/>
      <c r="AE52" s="46"/>
      <c r="AF52" s="46"/>
      <c r="AG52" s="46"/>
      <c r="AH52" s="46"/>
      <c r="AI52" s="46"/>
      <c r="AJ52" s="46"/>
      <c r="AK52" s="46"/>
      <c r="AL52" s="47"/>
      <c r="AM52" s="47"/>
      <c r="AN52" s="47"/>
      <c r="AO52" s="47"/>
      <c r="AP52" s="47"/>
      <c r="AQ52" s="48"/>
      <c r="AR52" s="49"/>
      <c r="AS52" s="49"/>
      <c r="AT52" s="49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</row>
    <row r="53" spans="1:66" ht="20.25" customHeight="1" x14ac:dyDescent="0.25">
      <c r="A53" s="43"/>
      <c r="B53" s="43"/>
      <c r="C53" s="44"/>
      <c r="D53" s="43"/>
      <c r="E53" s="43"/>
      <c r="F53" s="43"/>
      <c r="G53" s="44"/>
      <c r="H53" s="23"/>
      <c r="I53" s="43"/>
      <c r="J53" s="43"/>
      <c r="K53" s="45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46"/>
      <c r="AA53" s="46"/>
      <c r="AB53" s="46"/>
      <c r="AC53" s="46"/>
      <c r="AD53" s="46"/>
      <c r="AE53" s="46"/>
      <c r="AF53" s="46"/>
      <c r="AG53" s="46"/>
      <c r="AH53" s="46"/>
      <c r="AI53" s="46"/>
      <c r="AJ53" s="46"/>
      <c r="AK53" s="46"/>
      <c r="AL53" s="47"/>
      <c r="AM53" s="47"/>
      <c r="AN53" s="47"/>
      <c r="AO53" s="47"/>
      <c r="AP53" s="47"/>
      <c r="AQ53" s="48"/>
      <c r="AR53" s="49"/>
      <c r="AS53" s="49"/>
      <c r="AT53" s="49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</row>
    <row r="54" spans="1:66" ht="20.25" customHeight="1" x14ac:dyDescent="0.25">
      <c r="A54" s="43"/>
      <c r="B54" s="43"/>
      <c r="C54" s="44"/>
      <c r="D54" s="43"/>
      <c r="E54" s="43"/>
      <c r="F54" s="43"/>
      <c r="G54" s="44"/>
      <c r="H54" s="23"/>
      <c r="I54" s="43"/>
      <c r="J54" s="43"/>
      <c r="K54" s="45"/>
      <c r="L54" s="46"/>
      <c r="M54" s="46"/>
      <c r="N54" s="46"/>
      <c r="O54" s="46"/>
      <c r="P54" s="46"/>
      <c r="Q54" s="46"/>
      <c r="R54" s="46"/>
      <c r="S54" s="46"/>
      <c r="T54" s="46"/>
      <c r="U54" s="46"/>
      <c r="V54" s="46"/>
      <c r="W54" s="46"/>
      <c r="X54" s="46"/>
      <c r="Y54" s="46"/>
      <c r="Z54" s="46"/>
      <c r="AA54" s="46"/>
      <c r="AB54" s="46"/>
      <c r="AC54" s="46"/>
      <c r="AD54" s="46"/>
      <c r="AE54" s="46"/>
      <c r="AF54" s="46"/>
      <c r="AG54" s="46"/>
      <c r="AH54" s="46"/>
      <c r="AI54" s="46"/>
      <c r="AJ54" s="46"/>
      <c r="AK54" s="46"/>
      <c r="AL54" s="47"/>
      <c r="AM54" s="47"/>
      <c r="AN54" s="47"/>
      <c r="AO54" s="47"/>
      <c r="AP54" s="47"/>
      <c r="AQ54" s="48"/>
      <c r="AR54" s="49"/>
      <c r="AS54" s="49"/>
      <c r="AT54" s="49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</row>
    <row r="55" spans="1:66" ht="20.25" customHeight="1" x14ac:dyDescent="0.25">
      <c r="A55" s="43"/>
      <c r="B55" s="43"/>
      <c r="C55" s="44"/>
      <c r="D55" s="43"/>
      <c r="E55" s="43"/>
      <c r="F55" s="43"/>
      <c r="G55" s="44"/>
      <c r="H55" s="23"/>
      <c r="I55" s="43"/>
      <c r="J55" s="43"/>
      <c r="K55" s="45"/>
      <c r="L55" s="46"/>
      <c r="M55" s="46"/>
      <c r="N55" s="46"/>
      <c r="O55" s="46"/>
      <c r="P55" s="46"/>
      <c r="Q55" s="46"/>
      <c r="R55" s="46"/>
      <c r="S55" s="46"/>
      <c r="T55" s="46"/>
      <c r="U55" s="46"/>
      <c r="V55" s="46"/>
      <c r="W55" s="46"/>
      <c r="X55" s="46"/>
      <c r="Y55" s="46"/>
      <c r="Z55" s="46"/>
      <c r="AA55" s="46"/>
      <c r="AB55" s="46"/>
      <c r="AC55" s="46"/>
      <c r="AD55" s="46"/>
      <c r="AE55" s="46"/>
      <c r="AF55" s="46"/>
      <c r="AG55" s="46"/>
      <c r="AH55" s="46"/>
      <c r="AI55" s="46"/>
      <c r="AJ55" s="46"/>
      <c r="AK55" s="46"/>
      <c r="AL55" s="47"/>
      <c r="AM55" s="47"/>
      <c r="AN55" s="47"/>
      <c r="AO55" s="47"/>
      <c r="AP55" s="47"/>
      <c r="AQ55" s="48"/>
      <c r="AR55" s="49"/>
      <c r="AS55" s="49"/>
      <c r="AT55" s="49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</row>
    <row r="56" spans="1:66" ht="20.25" customHeight="1" x14ac:dyDescent="0.25">
      <c r="A56" s="43"/>
      <c r="B56" s="43"/>
      <c r="C56" s="44"/>
      <c r="D56" s="43"/>
      <c r="E56" s="43"/>
      <c r="F56" s="43"/>
      <c r="G56" s="44"/>
      <c r="H56" s="23"/>
      <c r="I56" s="43"/>
      <c r="J56" s="43"/>
      <c r="K56" s="45"/>
      <c r="L56" s="46"/>
      <c r="M56" s="46"/>
      <c r="N56" s="46"/>
      <c r="O56" s="46"/>
      <c r="P56" s="46"/>
      <c r="Q56" s="46"/>
      <c r="R56" s="46"/>
      <c r="S56" s="46"/>
      <c r="T56" s="46"/>
      <c r="U56" s="46"/>
      <c r="V56" s="46"/>
      <c r="W56" s="46"/>
      <c r="X56" s="46"/>
      <c r="Y56" s="46"/>
      <c r="Z56" s="46"/>
      <c r="AA56" s="46"/>
      <c r="AB56" s="46"/>
      <c r="AC56" s="46"/>
      <c r="AD56" s="46"/>
      <c r="AE56" s="46"/>
      <c r="AF56" s="46"/>
      <c r="AG56" s="46"/>
      <c r="AH56" s="46"/>
      <c r="AI56" s="46"/>
      <c r="AJ56" s="46"/>
      <c r="AK56" s="46"/>
      <c r="AL56" s="47"/>
      <c r="AM56" s="47"/>
      <c r="AN56" s="47"/>
      <c r="AO56" s="47"/>
      <c r="AP56" s="47"/>
      <c r="AQ56" s="48"/>
      <c r="AR56" s="49"/>
      <c r="AS56" s="49"/>
      <c r="AT56" s="49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</row>
    <row r="57" spans="1:66" ht="20.25" customHeight="1" x14ac:dyDescent="0.25">
      <c r="A57" s="43"/>
      <c r="B57" s="43"/>
      <c r="C57" s="44"/>
      <c r="D57" s="43"/>
      <c r="E57" s="43"/>
      <c r="F57" s="43"/>
      <c r="G57" s="44"/>
      <c r="H57" s="23"/>
      <c r="I57" s="43"/>
      <c r="J57" s="43"/>
      <c r="K57" s="45"/>
      <c r="L57" s="46"/>
      <c r="M57" s="46"/>
      <c r="N57" s="46"/>
      <c r="O57" s="46"/>
      <c r="P57" s="46"/>
      <c r="Q57" s="46"/>
      <c r="R57" s="46"/>
      <c r="S57" s="46"/>
      <c r="T57" s="46"/>
      <c r="U57" s="46"/>
      <c r="V57" s="46"/>
      <c r="W57" s="46"/>
      <c r="X57" s="46"/>
      <c r="Y57" s="46"/>
      <c r="Z57" s="46"/>
      <c r="AA57" s="46"/>
      <c r="AB57" s="46"/>
      <c r="AC57" s="46"/>
      <c r="AD57" s="46"/>
      <c r="AE57" s="46"/>
      <c r="AF57" s="46"/>
      <c r="AG57" s="46"/>
      <c r="AH57" s="46"/>
      <c r="AI57" s="46"/>
      <c r="AJ57" s="46"/>
      <c r="AK57" s="46"/>
      <c r="AL57" s="47"/>
      <c r="AM57" s="47"/>
      <c r="AN57" s="47"/>
      <c r="AO57" s="47"/>
      <c r="AP57" s="47"/>
      <c r="AQ57" s="48"/>
      <c r="AR57" s="49"/>
      <c r="AS57" s="49"/>
      <c r="AT57" s="49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</row>
    <row r="58" spans="1:66" ht="20.25" customHeight="1" x14ac:dyDescent="0.25">
      <c r="A58" s="43"/>
      <c r="B58" s="43"/>
      <c r="C58" s="44"/>
      <c r="D58" s="43"/>
      <c r="E58" s="43"/>
      <c r="F58" s="43"/>
      <c r="G58" s="44"/>
      <c r="H58" s="23"/>
      <c r="I58" s="43"/>
      <c r="J58" s="43"/>
      <c r="K58" s="45"/>
      <c r="L58" s="46"/>
      <c r="M58" s="46"/>
      <c r="N58" s="46"/>
      <c r="O58" s="46"/>
      <c r="P58" s="46"/>
      <c r="Q58" s="46"/>
      <c r="R58" s="46"/>
      <c r="S58" s="46"/>
      <c r="T58" s="46"/>
      <c r="U58" s="46"/>
      <c r="V58" s="46"/>
      <c r="W58" s="46"/>
      <c r="X58" s="46"/>
      <c r="Y58" s="46"/>
      <c r="Z58" s="46"/>
      <c r="AA58" s="46"/>
      <c r="AB58" s="46"/>
      <c r="AC58" s="46"/>
      <c r="AD58" s="46"/>
      <c r="AE58" s="46"/>
      <c r="AF58" s="46"/>
      <c r="AG58" s="46"/>
      <c r="AH58" s="46"/>
      <c r="AI58" s="46"/>
      <c r="AJ58" s="46"/>
      <c r="AK58" s="46"/>
      <c r="AL58" s="47"/>
      <c r="AM58" s="47"/>
      <c r="AN58" s="47"/>
      <c r="AO58" s="47"/>
      <c r="AP58" s="47"/>
      <c r="AQ58" s="48"/>
      <c r="AR58" s="49"/>
      <c r="AS58" s="49"/>
      <c r="AT58" s="49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</row>
    <row r="59" spans="1:66" ht="20.25" customHeight="1" x14ac:dyDescent="0.25">
      <c r="A59" s="43"/>
      <c r="B59" s="43"/>
      <c r="C59" s="44"/>
      <c r="D59" s="43"/>
      <c r="E59" s="43"/>
      <c r="F59" s="43"/>
      <c r="G59" s="44"/>
      <c r="H59" s="23"/>
      <c r="I59" s="43"/>
      <c r="J59" s="43"/>
      <c r="K59" s="45"/>
      <c r="L59" s="46"/>
      <c r="M59" s="46"/>
      <c r="N59" s="46"/>
      <c r="O59" s="46"/>
      <c r="P59" s="46"/>
      <c r="Q59" s="46"/>
      <c r="R59" s="46"/>
      <c r="S59" s="46"/>
      <c r="T59" s="46"/>
      <c r="U59" s="46"/>
      <c r="V59" s="46"/>
      <c r="W59" s="46"/>
      <c r="X59" s="46"/>
      <c r="Y59" s="46"/>
      <c r="Z59" s="46"/>
      <c r="AA59" s="46"/>
      <c r="AB59" s="46"/>
      <c r="AC59" s="46"/>
      <c r="AD59" s="46"/>
      <c r="AE59" s="46"/>
      <c r="AF59" s="46"/>
      <c r="AG59" s="46"/>
      <c r="AH59" s="46"/>
      <c r="AI59" s="46"/>
      <c r="AJ59" s="46"/>
      <c r="AK59" s="46"/>
      <c r="AL59" s="47"/>
      <c r="AM59" s="47"/>
      <c r="AN59" s="47"/>
      <c r="AO59" s="47"/>
      <c r="AP59" s="47"/>
      <c r="AQ59" s="48"/>
      <c r="AR59" s="49"/>
      <c r="AS59" s="49"/>
      <c r="AT59" s="49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</row>
    <row r="60" spans="1:66" ht="20.25" customHeight="1" x14ac:dyDescent="0.25">
      <c r="A60" s="43"/>
      <c r="B60" s="43"/>
      <c r="C60" s="44"/>
      <c r="D60" s="43"/>
      <c r="E60" s="43"/>
      <c r="F60" s="43"/>
      <c r="G60" s="44"/>
      <c r="H60" s="23"/>
      <c r="I60" s="43"/>
      <c r="J60" s="43"/>
      <c r="K60" s="45"/>
      <c r="L60" s="46"/>
      <c r="M60" s="46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46"/>
      <c r="AB60" s="46"/>
      <c r="AC60" s="46"/>
      <c r="AD60" s="46"/>
      <c r="AE60" s="46"/>
      <c r="AF60" s="46"/>
      <c r="AG60" s="46"/>
      <c r="AH60" s="46"/>
      <c r="AI60" s="46"/>
      <c r="AJ60" s="46"/>
      <c r="AK60" s="46"/>
      <c r="AL60" s="47"/>
      <c r="AM60" s="47"/>
      <c r="AN60" s="47"/>
      <c r="AO60" s="47"/>
      <c r="AP60" s="47"/>
      <c r="AQ60" s="48"/>
      <c r="AR60" s="49"/>
      <c r="AS60" s="49"/>
      <c r="AT60" s="49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</row>
    <row r="61" spans="1:66" ht="20.25" customHeight="1" x14ac:dyDescent="0.25">
      <c r="A61" s="43"/>
      <c r="B61" s="43"/>
      <c r="C61" s="44"/>
      <c r="D61" s="43"/>
      <c r="E61" s="43"/>
      <c r="F61" s="43"/>
      <c r="G61" s="44"/>
      <c r="H61" s="23"/>
      <c r="I61" s="43"/>
      <c r="J61" s="43"/>
      <c r="K61" s="45"/>
      <c r="L61" s="46"/>
      <c r="M61" s="46"/>
      <c r="N61" s="46"/>
      <c r="O61" s="46"/>
      <c r="P61" s="46"/>
      <c r="Q61" s="46"/>
      <c r="R61" s="46"/>
      <c r="S61" s="46"/>
      <c r="T61" s="46"/>
      <c r="U61" s="46"/>
      <c r="V61" s="46"/>
      <c r="W61" s="46"/>
      <c r="X61" s="46"/>
      <c r="Y61" s="46"/>
      <c r="Z61" s="46"/>
      <c r="AA61" s="46"/>
      <c r="AB61" s="46"/>
      <c r="AC61" s="46"/>
      <c r="AD61" s="46"/>
      <c r="AE61" s="46"/>
      <c r="AF61" s="46"/>
      <c r="AG61" s="46"/>
      <c r="AH61" s="46"/>
      <c r="AI61" s="46"/>
      <c r="AJ61" s="46"/>
      <c r="AK61" s="46"/>
      <c r="AL61" s="47"/>
      <c r="AM61" s="47"/>
      <c r="AN61" s="47"/>
      <c r="AO61" s="47"/>
      <c r="AP61" s="47"/>
      <c r="AQ61" s="48"/>
      <c r="AR61" s="49"/>
      <c r="AS61" s="49"/>
      <c r="AT61" s="49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</row>
    <row r="62" spans="1:66" ht="20.25" customHeight="1" x14ac:dyDescent="0.25">
      <c r="A62" s="43"/>
      <c r="B62" s="43"/>
      <c r="C62" s="44"/>
      <c r="D62" s="43"/>
      <c r="E62" s="43"/>
      <c r="F62" s="43"/>
      <c r="G62" s="44"/>
      <c r="H62" s="23"/>
      <c r="I62" s="43"/>
      <c r="J62" s="43"/>
      <c r="K62" s="45"/>
      <c r="L62" s="46"/>
      <c r="M62" s="46"/>
      <c r="N62" s="46"/>
      <c r="O62" s="46"/>
      <c r="P62" s="46"/>
      <c r="Q62" s="46"/>
      <c r="R62" s="46"/>
      <c r="S62" s="46"/>
      <c r="T62" s="46"/>
      <c r="U62" s="46"/>
      <c r="V62" s="46"/>
      <c r="W62" s="46"/>
      <c r="X62" s="46"/>
      <c r="Y62" s="46"/>
      <c r="Z62" s="46"/>
      <c r="AA62" s="46"/>
      <c r="AB62" s="46"/>
      <c r="AC62" s="46"/>
      <c r="AD62" s="46"/>
      <c r="AE62" s="46"/>
      <c r="AF62" s="46"/>
      <c r="AG62" s="46"/>
      <c r="AH62" s="46"/>
      <c r="AI62" s="46"/>
      <c r="AJ62" s="46"/>
      <c r="AK62" s="46"/>
      <c r="AL62" s="47"/>
      <c r="AM62" s="47"/>
      <c r="AN62" s="47"/>
      <c r="AO62" s="47"/>
      <c r="AP62" s="47"/>
      <c r="AQ62" s="48"/>
      <c r="AR62" s="49"/>
      <c r="AS62" s="49"/>
      <c r="AT62" s="49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</row>
    <row r="63" spans="1:66" ht="20.25" customHeight="1" x14ac:dyDescent="0.25">
      <c r="A63" s="43"/>
      <c r="B63" s="43"/>
      <c r="C63" s="44"/>
      <c r="D63" s="43"/>
      <c r="E63" s="43"/>
      <c r="F63" s="43"/>
      <c r="G63" s="44"/>
      <c r="H63" s="23"/>
      <c r="I63" s="43"/>
      <c r="J63" s="43"/>
      <c r="K63" s="45"/>
      <c r="L63" s="46"/>
      <c r="M63" s="46"/>
      <c r="N63" s="46"/>
      <c r="O63" s="46"/>
      <c r="P63" s="46"/>
      <c r="Q63" s="46"/>
      <c r="R63" s="46"/>
      <c r="S63" s="46"/>
      <c r="T63" s="46"/>
      <c r="U63" s="46"/>
      <c r="V63" s="46"/>
      <c r="W63" s="46"/>
      <c r="X63" s="46"/>
      <c r="Y63" s="46"/>
      <c r="Z63" s="46"/>
      <c r="AA63" s="46"/>
      <c r="AB63" s="46"/>
      <c r="AC63" s="46"/>
      <c r="AD63" s="46"/>
      <c r="AE63" s="46"/>
      <c r="AF63" s="46"/>
      <c r="AG63" s="46"/>
      <c r="AH63" s="46"/>
      <c r="AI63" s="46"/>
      <c r="AJ63" s="46"/>
      <c r="AK63" s="46"/>
      <c r="AL63" s="47"/>
      <c r="AM63" s="47"/>
      <c r="AN63" s="47"/>
      <c r="AO63" s="47"/>
      <c r="AP63" s="47"/>
      <c r="AQ63" s="48"/>
      <c r="AR63" s="49"/>
      <c r="AS63" s="49"/>
      <c r="AT63" s="49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</row>
    <row r="64" spans="1:66" ht="20.25" customHeight="1" x14ac:dyDescent="0.25">
      <c r="A64" s="43"/>
      <c r="B64" s="43"/>
      <c r="C64" s="44"/>
      <c r="D64" s="43"/>
      <c r="E64" s="43"/>
      <c r="F64" s="43"/>
      <c r="G64" s="44"/>
      <c r="H64" s="23"/>
      <c r="I64" s="43"/>
      <c r="J64" s="43"/>
      <c r="K64" s="45"/>
      <c r="L64" s="46"/>
      <c r="M64" s="46"/>
      <c r="N64" s="46"/>
      <c r="O64" s="46"/>
      <c r="P64" s="46"/>
      <c r="Q64" s="46"/>
      <c r="R64" s="46"/>
      <c r="S64" s="46"/>
      <c r="T64" s="46"/>
      <c r="U64" s="46"/>
      <c r="V64" s="46"/>
      <c r="W64" s="46"/>
      <c r="X64" s="46"/>
      <c r="Y64" s="46"/>
      <c r="Z64" s="46"/>
      <c r="AA64" s="46"/>
      <c r="AB64" s="46"/>
      <c r="AC64" s="46"/>
      <c r="AD64" s="46"/>
      <c r="AE64" s="46"/>
      <c r="AF64" s="46"/>
      <c r="AG64" s="46"/>
      <c r="AH64" s="46"/>
      <c r="AI64" s="46"/>
      <c r="AJ64" s="46"/>
      <c r="AK64" s="46"/>
      <c r="AL64" s="47"/>
      <c r="AM64" s="47"/>
      <c r="AN64" s="47"/>
      <c r="AO64" s="47"/>
      <c r="AP64" s="47"/>
      <c r="AQ64" s="48"/>
      <c r="AR64" s="49"/>
      <c r="AS64" s="49"/>
      <c r="AT64" s="49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</row>
    <row r="65" spans="1:66" ht="20.25" customHeight="1" x14ac:dyDescent="0.25">
      <c r="A65" s="43"/>
      <c r="B65" s="43"/>
      <c r="C65" s="44"/>
      <c r="D65" s="43"/>
      <c r="E65" s="43"/>
      <c r="F65" s="43"/>
      <c r="G65" s="44"/>
      <c r="H65" s="23"/>
      <c r="I65" s="43"/>
      <c r="J65" s="43"/>
      <c r="K65" s="45"/>
      <c r="L65" s="46"/>
      <c r="M65" s="46"/>
      <c r="N65" s="46"/>
      <c r="O65" s="46"/>
      <c r="P65" s="46"/>
      <c r="Q65" s="46"/>
      <c r="R65" s="46"/>
      <c r="S65" s="46"/>
      <c r="T65" s="46"/>
      <c r="U65" s="46"/>
      <c r="V65" s="46"/>
      <c r="W65" s="46"/>
      <c r="X65" s="46"/>
      <c r="Y65" s="46"/>
      <c r="Z65" s="46"/>
      <c r="AA65" s="46"/>
      <c r="AB65" s="46"/>
      <c r="AC65" s="46"/>
      <c r="AD65" s="46"/>
      <c r="AE65" s="46"/>
      <c r="AF65" s="46"/>
      <c r="AG65" s="46"/>
      <c r="AH65" s="46"/>
      <c r="AI65" s="46"/>
      <c r="AJ65" s="46"/>
      <c r="AK65" s="46"/>
      <c r="AL65" s="47"/>
      <c r="AM65" s="47"/>
      <c r="AN65" s="47"/>
      <c r="AO65" s="47"/>
      <c r="AP65" s="47"/>
      <c r="AQ65" s="48"/>
      <c r="AR65" s="49"/>
      <c r="AS65" s="49"/>
      <c r="AT65" s="49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</row>
    <row r="66" spans="1:66" ht="20.25" customHeight="1" x14ac:dyDescent="0.25">
      <c r="A66" s="43"/>
      <c r="B66" s="43"/>
      <c r="C66" s="44"/>
      <c r="D66" s="43"/>
      <c r="E66" s="43"/>
      <c r="F66" s="43"/>
      <c r="G66" s="44"/>
      <c r="H66" s="23"/>
      <c r="I66" s="43"/>
      <c r="J66" s="43"/>
      <c r="K66" s="45"/>
      <c r="L66" s="46"/>
      <c r="M66" s="46"/>
      <c r="N66" s="46"/>
      <c r="O66" s="46"/>
      <c r="P66" s="46"/>
      <c r="Q66" s="46"/>
      <c r="R66" s="46"/>
      <c r="S66" s="46"/>
      <c r="T66" s="46"/>
      <c r="U66" s="46"/>
      <c r="V66" s="46"/>
      <c r="W66" s="46"/>
      <c r="X66" s="46"/>
      <c r="Y66" s="46"/>
      <c r="Z66" s="46"/>
      <c r="AA66" s="46"/>
      <c r="AB66" s="46"/>
      <c r="AC66" s="46"/>
      <c r="AD66" s="46"/>
      <c r="AE66" s="46"/>
      <c r="AF66" s="46"/>
      <c r="AG66" s="46"/>
      <c r="AH66" s="46"/>
      <c r="AI66" s="46"/>
      <c r="AJ66" s="46"/>
      <c r="AK66" s="46"/>
      <c r="AL66" s="47"/>
      <c r="AM66" s="47"/>
      <c r="AN66" s="47"/>
      <c r="AO66" s="47"/>
      <c r="AP66" s="47"/>
      <c r="AQ66" s="48"/>
      <c r="AR66" s="49"/>
      <c r="AS66" s="49"/>
      <c r="AT66" s="49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</row>
    <row r="67" spans="1:66" ht="20.25" customHeight="1" x14ac:dyDescent="0.25">
      <c r="A67" s="43"/>
      <c r="B67" s="43"/>
      <c r="C67" s="44"/>
      <c r="D67" s="43"/>
      <c r="E67" s="43"/>
      <c r="F67" s="43"/>
      <c r="G67" s="44"/>
      <c r="H67" s="23"/>
      <c r="I67" s="43"/>
      <c r="J67" s="43"/>
      <c r="K67" s="45"/>
      <c r="L67" s="46"/>
      <c r="M67" s="46"/>
      <c r="N67" s="46"/>
      <c r="O67" s="46"/>
      <c r="P67" s="46"/>
      <c r="Q67" s="46"/>
      <c r="R67" s="46"/>
      <c r="S67" s="46"/>
      <c r="T67" s="46"/>
      <c r="U67" s="46"/>
      <c r="V67" s="46"/>
      <c r="W67" s="46"/>
      <c r="X67" s="46"/>
      <c r="Y67" s="46"/>
      <c r="Z67" s="46"/>
      <c r="AA67" s="46"/>
      <c r="AB67" s="46"/>
      <c r="AC67" s="46"/>
      <c r="AD67" s="46"/>
      <c r="AE67" s="46"/>
      <c r="AF67" s="46"/>
      <c r="AG67" s="46"/>
      <c r="AH67" s="46"/>
      <c r="AI67" s="46"/>
      <c r="AJ67" s="46"/>
      <c r="AK67" s="46"/>
      <c r="AL67" s="47"/>
      <c r="AM67" s="47"/>
      <c r="AN67" s="47"/>
      <c r="AO67" s="47"/>
      <c r="AP67" s="47"/>
      <c r="AQ67" s="48"/>
      <c r="AR67" s="49"/>
      <c r="AS67" s="49"/>
      <c r="AT67" s="49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</row>
    <row r="68" spans="1:66" ht="20.25" customHeight="1" x14ac:dyDescent="0.25">
      <c r="A68" s="43"/>
      <c r="B68" s="43"/>
      <c r="C68" s="44"/>
      <c r="D68" s="43"/>
      <c r="E68" s="43"/>
      <c r="F68" s="43"/>
      <c r="G68" s="44"/>
      <c r="H68" s="23"/>
      <c r="I68" s="43"/>
      <c r="J68" s="43"/>
      <c r="K68" s="45"/>
      <c r="L68" s="46"/>
      <c r="M68" s="46"/>
      <c r="N68" s="46"/>
      <c r="O68" s="46"/>
      <c r="P68" s="46"/>
      <c r="Q68" s="46"/>
      <c r="R68" s="46"/>
      <c r="S68" s="46"/>
      <c r="T68" s="46"/>
      <c r="U68" s="46"/>
      <c r="V68" s="46"/>
      <c r="W68" s="46"/>
      <c r="X68" s="46"/>
      <c r="Y68" s="46"/>
      <c r="Z68" s="46"/>
      <c r="AA68" s="46"/>
      <c r="AB68" s="46"/>
      <c r="AC68" s="46"/>
      <c r="AD68" s="46"/>
      <c r="AE68" s="46"/>
      <c r="AF68" s="46"/>
      <c r="AG68" s="46"/>
      <c r="AH68" s="46"/>
      <c r="AI68" s="46"/>
      <c r="AJ68" s="46"/>
      <c r="AK68" s="46"/>
      <c r="AL68" s="47"/>
      <c r="AM68" s="47"/>
      <c r="AN68" s="47"/>
      <c r="AO68" s="47"/>
      <c r="AP68" s="47"/>
      <c r="AQ68" s="48"/>
      <c r="AR68" s="49"/>
      <c r="AS68" s="49"/>
      <c r="AT68" s="49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</row>
    <row r="69" spans="1:66" ht="20.25" customHeight="1" x14ac:dyDescent="0.25">
      <c r="A69" s="43"/>
      <c r="B69" s="43"/>
      <c r="C69" s="44"/>
      <c r="D69" s="43"/>
      <c r="E69" s="43"/>
      <c r="F69" s="43"/>
      <c r="G69" s="44"/>
      <c r="H69" s="23"/>
      <c r="I69" s="43"/>
      <c r="J69" s="43"/>
      <c r="K69" s="45"/>
      <c r="L69" s="46"/>
      <c r="M69" s="46"/>
      <c r="N69" s="46"/>
      <c r="O69" s="46"/>
      <c r="P69" s="46"/>
      <c r="Q69" s="46"/>
      <c r="R69" s="46"/>
      <c r="S69" s="46"/>
      <c r="T69" s="46"/>
      <c r="U69" s="46"/>
      <c r="V69" s="46"/>
      <c r="W69" s="46"/>
      <c r="X69" s="46"/>
      <c r="Y69" s="46"/>
      <c r="Z69" s="46"/>
      <c r="AA69" s="46"/>
      <c r="AB69" s="46"/>
      <c r="AC69" s="46"/>
      <c r="AD69" s="46"/>
      <c r="AE69" s="46"/>
      <c r="AF69" s="46"/>
      <c r="AG69" s="46"/>
      <c r="AH69" s="46"/>
      <c r="AI69" s="46"/>
      <c r="AJ69" s="46"/>
      <c r="AK69" s="46"/>
      <c r="AL69" s="47"/>
      <c r="AM69" s="47"/>
      <c r="AN69" s="47"/>
      <c r="AO69" s="47"/>
      <c r="AP69" s="47"/>
      <c r="AQ69" s="48"/>
      <c r="AR69" s="49"/>
      <c r="AS69" s="49"/>
      <c r="AT69" s="49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</row>
    <row r="70" spans="1:66" ht="20.25" customHeight="1" x14ac:dyDescent="0.25">
      <c r="A70" s="43"/>
      <c r="B70" s="43"/>
      <c r="C70" s="44"/>
      <c r="D70" s="43"/>
      <c r="E70" s="43"/>
      <c r="F70" s="43"/>
      <c r="G70" s="44"/>
      <c r="H70" s="23"/>
      <c r="I70" s="43"/>
      <c r="J70" s="43"/>
      <c r="K70" s="45"/>
      <c r="L70" s="46"/>
      <c r="M70" s="46"/>
      <c r="N70" s="46"/>
      <c r="O70" s="46"/>
      <c r="P70" s="46"/>
      <c r="Q70" s="46"/>
      <c r="R70" s="46"/>
      <c r="S70" s="46"/>
      <c r="T70" s="46"/>
      <c r="U70" s="46"/>
      <c r="V70" s="46"/>
      <c r="W70" s="46"/>
      <c r="X70" s="46"/>
      <c r="Y70" s="46"/>
      <c r="Z70" s="46"/>
      <c r="AA70" s="46"/>
      <c r="AB70" s="46"/>
      <c r="AC70" s="46"/>
      <c r="AD70" s="46"/>
      <c r="AE70" s="46"/>
      <c r="AF70" s="46"/>
      <c r="AG70" s="46"/>
      <c r="AH70" s="46"/>
      <c r="AI70" s="46"/>
      <c r="AJ70" s="46"/>
      <c r="AK70" s="46"/>
      <c r="AL70" s="47"/>
      <c r="AM70" s="47"/>
      <c r="AN70" s="47"/>
      <c r="AO70" s="47"/>
      <c r="AP70" s="47"/>
      <c r="AQ70" s="48"/>
      <c r="AR70" s="49"/>
      <c r="AS70" s="49"/>
      <c r="AT70" s="49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</row>
    <row r="71" spans="1:66" ht="20.25" customHeight="1" x14ac:dyDescent="0.25">
      <c r="A71" s="43"/>
      <c r="B71" s="43"/>
      <c r="C71" s="44"/>
      <c r="D71" s="43"/>
      <c r="E71" s="43"/>
      <c r="F71" s="43"/>
      <c r="G71" s="44"/>
      <c r="H71" s="23"/>
      <c r="I71" s="43"/>
      <c r="J71" s="43"/>
      <c r="K71" s="45"/>
      <c r="L71" s="46"/>
      <c r="M71" s="46"/>
      <c r="N71" s="46"/>
      <c r="O71" s="46"/>
      <c r="P71" s="46"/>
      <c r="Q71" s="46"/>
      <c r="R71" s="46"/>
      <c r="S71" s="46"/>
      <c r="T71" s="46"/>
      <c r="U71" s="46"/>
      <c r="V71" s="46"/>
      <c r="W71" s="46"/>
      <c r="X71" s="46"/>
      <c r="Y71" s="46"/>
      <c r="Z71" s="46"/>
      <c r="AA71" s="46"/>
      <c r="AB71" s="46"/>
      <c r="AC71" s="46"/>
      <c r="AD71" s="46"/>
      <c r="AE71" s="46"/>
      <c r="AF71" s="46"/>
      <c r="AG71" s="46"/>
      <c r="AH71" s="46"/>
      <c r="AI71" s="46"/>
      <c r="AJ71" s="46"/>
      <c r="AK71" s="46"/>
      <c r="AL71" s="47"/>
      <c r="AM71" s="47"/>
      <c r="AN71" s="47"/>
      <c r="AO71" s="47"/>
      <c r="AP71" s="47"/>
      <c r="AQ71" s="48"/>
      <c r="AR71" s="49"/>
      <c r="AS71" s="49"/>
      <c r="AT71" s="49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</row>
    <row r="72" spans="1:66" ht="20.25" customHeight="1" x14ac:dyDescent="0.25">
      <c r="A72" s="43"/>
      <c r="B72" s="43"/>
      <c r="C72" s="44"/>
      <c r="D72" s="43"/>
      <c r="E72" s="43"/>
      <c r="F72" s="43"/>
      <c r="G72" s="44"/>
      <c r="H72" s="23"/>
      <c r="I72" s="43"/>
      <c r="J72" s="43"/>
      <c r="K72" s="45"/>
      <c r="L72" s="46"/>
      <c r="M72" s="46"/>
      <c r="N72" s="46"/>
      <c r="O72" s="46"/>
      <c r="P72" s="46"/>
      <c r="Q72" s="46"/>
      <c r="R72" s="46"/>
      <c r="S72" s="46"/>
      <c r="T72" s="46"/>
      <c r="U72" s="46"/>
      <c r="V72" s="46"/>
      <c r="W72" s="46"/>
      <c r="X72" s="46"/>
      <c r="Y72" s="46"/>
      <c r="Z72" s="46"/>
      <c r="AA72" s="46"/>
      <c r="AB72" s="46"/>
      <c r="AC72" s="46"/>
      <c r="AD72" s="46"/>
      <c r="AE72" s="46"/>
      <c r="AF72" s="46"/>
      <c r="AG72" s="46"/>
      <c r="AH72" s="46"/>
      <c r="AI72" s="46"/>
      <c r="AJ72" s="46"/>
      <c r="AK72" s="46"/>
      <c r="AL72" s="47"/>
      <c r="AM72" s="47"/>
      <c r="AN72" s="47"/>
      <c r="AO72" s="47"/>
      <c r="AP72" s="47"/>
      <c r="AQ72" s="48"/>
      <c r="AR72" s="49"/>
      <c r="AS72" s="49"/>
      <c r="AT72" s="49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</row>
    <row r="73" spans="1:66" ht="20.25" customHeight="1" x14ac:dyDescent="0.25">
      <c r="A73" s="43"/>
      <c r="B73" s="43"/>
      <c r="C73" s="44"/>
      <c r="D73" s="43"/>
      <c r="E73" s="43"/>
      <c r="F73" s="43"/>
      <c r="G73" s="44"/>
      <c r="H73" s="23"/>
      <c r="I73" s="43"/>
      <c r="J73" s="43"/>
      <c r="K73" s="45"/>
      <c r="L73" s="46"/>
      <c r="M73" s="46"/>
      <c r="N73" s="46"/>
      <c r="O73" s="46"/>
      <c r="P73" s="46"/>
      <c r="Q73" s="46"/>
      <c r="R73" s="46"/>
      <c r="S73" s="46"/>
      <c r="T73" s="46"/>
      <c r="U73" s="46"/>
      <c r="V73" s="46"/>
      <c r="W73" s="46"/>
      <c r="X73" s="46"/>
      <c r="Y73" s="46"/>
      <c r="Z73" s="46"/>
      <c r="AA73" s="46"/>
      <c r="AB73" s="46"/>
      <c r="AC73" s="46"/>
      <c r="AD73" s="46"/>
      <c r="AE73" s="46"/>
      <c r="AF73" s="46"/>
      <c r="AG73" s="46"/>
      <c r="AH73" s="46"/>
      <c r="AI73" s="46"/>
      <c r="AJ73" s="46"/>
      <c r="AK73" s="46"/>
      <c r="AL73" s="47"/>
      <c r="AM73" s="47"/>
      <c r="AN73" s="47"/>
      <c r="AO73" s="47"/>
      <c r="AP73" s="47"/>
      <c r="AQ73" s="48"/>
      <c r="AR73" s="49"/>
      <c r="AS73" s="49"/>
      <c r="AT73" s="49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</row>
    <row r="74" spans="1:66" ht="20.25" customHeight="1" x14ac:dyDescent="0.25">
      <c r="A74" s="43"/>
      <c r="B74" s="43"/>
      <c r="C74" s="44"/>
      <c r="D74" s="43"/>
      <c r="E74" s="43"/>
      <c r="F74" s="43"/>
      <c r="G74" s="44"/>
      <c r="H74" s="23"/>
      <c r="I74" s="43"/>
      <c r="J74" s="43"/>
      <c r="K74" s="45"/>
      <c r="L74" s="46"/>
      <c r="M74" s="46"/>
      <c r="N74" s="46"/>
      <c r="O74" s="46"/>
      <c r="P74" s="46"/>
      <c r="Q74" s="46"/>
      <c r="R74" s="46"/>
      <c r="S74" s="46"/>
      <c r="T74" s="46"/>
      <c r="U74" s="46"/>
      <c r="V74" s="46"/>
      <c r="W74" s="46"/>
      <c r="X74" s="46"/>
      <c r="Y74" s="46"/>
      <c r="Z74" s="46"/>
      <c r="AA74" s="46"/>
      <c r="AB74" s="46"/>
      <c r="AC74" s="46"/>
      <c r="AD74" s="46"/>
      <c r="AE74" s="46"/>
      <c r="AF74" s="46"/>
      <c r="AG74" s="46"/>
      <c r="AH74" s="46"/>
      <c r="AI74" s="46"/>
      <c r="AJ74" s="46"/>
      <c r="AK74" s="46"/>
      <c r="AL74" s="47"/>
      <c r="AM74" s="47"/>
      <c r="AN74" s="47"/>
      <c r="AO74" s="47"/>
      <c r="AP74" s="47"/>
      <c r="AQ74" s="48"/>
      <c r="AR74" s="49"/>
      <c r="AS74" s="49"/>
      <c r="AT74" s="49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</row>
    <row r="75" spans="1:66" ht="20.25" customHeight="1" x14ac:dyDescent="0.25">
      <c r="A75" s="43"/>
      <c r="B75" s="43"/>
      <c r="C75" s="44"/>
      <c r="D75" s="43"/>
      <c r="E75" s="43"/>
      <c r="F75" s="43"/>
      <c r="G75" s="44"/>
      <c r="H75" s="23"/>
      <c r="I75" s="43"/>
      <c r="J75" s="43"/>
      <c r="K75" s="45"/>
      <c r="L75" s="46"/>
      <c r="M75" s="46"/>
      <c r="N75" s="46"/>
      <c r="O75" s="46"/>
      <c r="P75" s="46"/>
      <c r="Q75" s="46"/>
      <c r="R75" s="46"/>
      <c r="S75" s="46"/>
      <c r="T75" s="46"/>
      <c r="U75" s="46"/>
      <c r="V75" s="46"/>
      <c r="W75" s="46"/>
      <c r="X75" s="46"/>
      <c r="Y75" s="46"/>
      <c r="Z75" s="46"/>
      <c r="AA75" s="46"/>
      <c r="AB75" s="46"/>
      <c r="AC75" s="46"/>
      <c r="AD75" s="46"/>
      <c r="AE75" s="46"/>
      <c r="AF75" s="46"/>
      <c r="AG75" s="46"/>
      <c r="AH75" s="46"/>
      <c r="AI75" s="46"/>
      <c r="AJ75" s="46"/>
      <c r="AK75" s="46"/>
      <c r="AL75" s="47"/>
      <c r="AM75" s="47"/>
      <c r="AN75" s="47"/>
      <c r="AO75" s="47"/>
      <c r="AP75" s="47"/>
      <c r="AQ75" s="48"/>
      <c r="AR75" s="49"/>
      <c r="AS75" s="49"/>
      <c r="AT75" s="49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</row>
    <row r="76" spans="1:66" ht="20.25" customHeight="1" x14ac:dyDescent="0.25">
      <c r="A76" s="43"/>
      <c r="B76" s="43"/>
      <c r="C76" s="44"/>
      <c r="D76" s="43"/>
      <c r="E76" s="43"/>
      <c r="F76" s="43"/>
      <c r="G76" s="44"/>
      <c r="H76" s="23"/>
      <c r="I76" s="43"/>
      <c r="J76" s="43"/>
      <c r="K76" s="45"/>
      <c r="L76" s="46"/>
      <c r="M76" s="46"/>
      <c r="N76" s="46"/>
      <c r="O76" s="46"/>
      <c r="P76" s="46"/>
      <c r="Q76" s="46"/>
      <c r="R76" s="46"/>
      <c r="S76" s="46"/>
      <c r="T76" s="46"/>
      <c r="U76" s="46"/>
      <c r="V76" s="46"/>
      <c r="W76" s="46"/>
      <c r="X76" s="46"/>
      <c r="Y76" s="46"/>
      <c r="Z76" s="46"/>
      <c r="AA76" s="46"/>
      <c r="AB76" s="46"/>
      <c r="AC76" s="46"/>
      <c r="AD76" s="46"/>
      <c r="AE76" s="46"/>
      <c r="AF76" s="46"/>
      <c r="AG76" s="46"/>
      <c r="AH76" s="46"/>
      <c r="AI76" s="46"/>
      <c r="AJ76" s="46"/>
      <c r="AK76" s="46"/>
      <c r="AL76" s="47"/>
      <c r="AM76" s="47"/>
      <c r="AN76" s="47"/>
      <c r="AO76" s="47"/>
      <c r="AP76" s="47"/>
      <c r="AQ76" s="48"/>
      <c r="AR76" s="49"/>
      <c r="AS76" s="49"/>
      <c r="AT76" s="49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</row>
    <row r="77" spans="1:66" ht="20.25" customHeight="1" x14ac:dyDescent="0.25">
      <c r="A77" s="43"/>
      <c r="B77" s="43"/>
      <c r="C77" s="44"/>
      <c r="D77" s="43"/>
      <c r="E77" s="43"/>
      <c r="F77" s="43"/>
      <c r="G77" s="44"/>
      <c r="H77" s="23"/>
      <c r="I77" s="43"/>
      <c r="J77" s="43"/>
      <c r="K77" s="45"/>
      <c r="L77" s="46"/>
      <c r="M77" s="46"/>
      <c r="N77" s="46"/>
      <c r="O77" s="46"/>
      <c r="P77" s="46"/>
      <c r="Q77" s="46"/>
      <c r="R77" s="46"/>
      <c r="S77" s="46"/>
      <c r="T77" s="46"/>
      <c r="U77" s="46"/>
      <c r="V77" s="46"/>
      <c r="W77" s="46"/>
      <c r="X77" s="46"/>
      <c r="Y77" s="46"/>
      <c r="Z77" s="46"/>
      <c r="AA77" s="46"/>
      <c r="AB77" s="46"/>
      <c r="AC77" s="46"/>
      <c r="AD77" s="46"/>
      <c r="AE77" s="46"/>
      <c r="AF77" s="46"/>
      <c r="AG77" s="46"/>
      <c r="AH77" s="46"/>
      <c r="AI77" s="46"/>
      <c r="AJ77" s="46"/>
      <c r="AK77" s="46"/>
      <c r="AL77" s="47"/>
      <c r="AM77" s="47"/>
      <c r="AN77" s="47"/>
      <c r="AO77" s="47"/>
      <c r="AP77" s="47"/>
      <c r="AQ77" s="48"/>
      <c r="AR77" s="49"/>
      <c r="AS77" s="49"/>
      <c r="AT77" s="49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</row>
    <row r="78" spans="1:66" ht="20.25" customHeight="1" x14ac:dyDescent="0.25">
      <c r="A78" s="43"/>
      <c r="B78" s="43"/>
      <c r="C78" s="44"/>
      <c r="D78" s="43"/>
      <c r="E78" s="43"/>
      <c r="F78" s="43"/>
      <c r="G78" s="44"/>
      <c r="H78" s="23"/>
      <c r="I78" s="43"/>
      <c r="J78" s="43"/>
      <c r="K78" s="45"/>
      <c r="L78" s="46"/>
      <c r="M78" s="46"/>
      <c r="N78" s="46"/>
      <c r="O78" s="46"/>
      <c r="P78" s="46"/>
      <c r="Q78" s="46"/>
      <c r="R78" s="46"/>
      <c r="S78" s="46"/>
      <c r="T78" s="46"/>
      <c r="U78" s="46"/>
      <c r="V78" s="46"/>
      <c r="W78" s="46"/>
      <c r="X78" s="46"/>
      <c r="Y78" s="46"/>
      <c r="Z78" s="46"/>
      <c r="AA78" s="46"/>
      <c r="AB78" s="46"/>
      <c r="AC78" s="46"/>
      <c r="AD78" s="46"/>
      <c r="AE78" s="46"/>
      <c r="AF78" s="46"/>
      <c r="AG78" s="46"/>
      <c r="AH78" s="46"/>
      <c r="AI78" s="46"/>
      <c r="AJ78" s="46"/>
      <c r="AK78" s="46"/>
      <c r="AL78" s="47"/>
      <c r="AM78" s="47"/>
      <c r="AN78" s="47"/>
      <c r="AO78" s="47"/>
      <c r="AP78" s="47"/>
      <c r="AQ78" s="48"/>
      <c r="AR78" s="49"/>
      <c r="AS78" s="49"/>
      <c r="AT78" s="49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</row>
    <row r="79" spans="1:66" ht="20.25" customHeight="1" x14ac:dyDescent="0.25">
      <c r="A79" s="43"/>
      <c r="B79" s="43"/>
      <c r="C79" s="44"/>
      <c r="D79" s="43"/>
      <c r="E79" s="43"/>
      <c r="F79" s="43"/>
      <c r="G79" s="44"/>
      <c r="H79" s="23"/>
      <c r="I79" s="43"/>
      <c r="J79" s="43"/>
      <c r="K79" s="45"/>
      <c r="L79" s="46"/>
      <c r="M79" s="46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46"/>
      <c r="AG79" s="46"/>
      <c r="AH79" s="46"/>
      <c r="AI79" s="46"/>
      <c r="AJ79" s="46"/>
      <c r="AK79" s="46"/>
      <c r="AL79" s="47"/>
      <c r="AM79" s="47"/>
      <c r="AN79" s="47"/>
      <c r="AO79" s="47"/>
      <c r="AP79" s="47"/>
      <c r="AQ79" s="48"/>
      <c r="AR79" s="49"/>
      <c r="AS79" s="49"/>
      <c r="AT79" s="49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</row>
    <row r="80" spans="1:66" ht="20.25" customHeight="1" x14ac:dyDescent="0.25">
      <c r="A80" s="43"/>
      <c r="B80" s="43"/>
      <c r="C80" s="44"/>
      <c r="D80" s="43"/>
      <c r="E80" s="43"/>
      <c r="F80" s="43"/>
      <c r="G80" s="44"/>
      <c r="H80" s="23"/>
      <c r="I80" s="43"/>
      <c r="J80" s="43"/>
      <c r="K80" s="45"/>
      <c r="L80" s="46"/>
      <c r="M80" s="46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46"/>
      <c r="AG80" s="46"/>
      <c r="AH80" s="46"/>
      <c r="AI80" s="46"/>
      <c r="AJ80" s="46"/>
      <c r="AK80" s="46"/>
      <c r="AL80" s="47"/>
      <c r="AM80" s="47"/>
      <c r="AN80" s="47"/>
      <c r="AO80" s="47"/>
      <c r="AP80" s="47"/>
      <c r="AQ80" s="48"/>
      <c r="AR80" s="49"/>
      <c r="AS80" s="49"/>
      <c r="AT80" s="49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</row>
    <row r="81" spans="1:66" ht="20.25" customHeight="1" x14ac:dyDescent="0.25">
      <c r="A81" s="43"/>
      <c r="B81" s="43"/>
      <c r="C81" s="44"/>
      <c r="D81" s="43"/>
      <c r="E81" s="43"/>
      <c r="F81" s="43"/>
      <c r="G81" s="44"/>
      <c r="H81" s="23"/>
      <c r="I81" s="43"/>
      <c r="J81" s="43"/>
      <c r="K81" s="45"/>
      <c r="L81" s="46"/>
      <c r="M81" s="46"/>
      <c r="N81" s="46"/>
      <c r="O81" s="46"/>
      <c r="P81" s="46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46"/>
      <c r="AG81" s="46"/>
      <c r="AH81" s="46"/>
      <c r="AI81" s="46"/>
      <c r="AJ81" s="46"/>
      <c r="AK81" s="46"/>
      <c r="AL81" s="47"/>
      <c r="AM81" s="47"/>
      <c r="AN81" s="47"/>
      <c r="AO81" s="47"/>
      <c r="AP81" s="47"/>
      <c r="AQ81" s="48"/>
      <c r="AR81" s="49"/>
      <c r="AS81" s="49"/>
      <c r="AT81" s="49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</row>
    <row r="82" spans="1:66" ht="20.25" customHeight="1" x14ac:dyDescent="0.25">
      <c r="A82" s="43"/>
      <c r="B82" s="43"/>
      <c r="C82" s="44"/>
      <c r="D82" s="43"/>
      <c r="E82" s="43"/>
      <c r="F82" s="43"/>
      <c r="G82" s="44"/>
      <c r="H82" s="23"/>
      <c r="I82" s="43"/>
      <c r="J82" s="43"/>
      <c r="K82" s="45"/>
      <c r="L82" s="46"/>
      <c r="M82" s="46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46"/>
      <c r="AG82" s="46"/>
      <c r="AH82" s="46"/>
      <c r="AI82" s="46"/>
      <c r="AJ82" s="46"/>
      <c r="AK82" s="46"/>
      <c r="AL82" s="47"/>
      <c r="AM82" s="47"/>
      <c r="AN82" s="47"/>
      <c r="AO82" s="47"/>
      <c r="AP82" s="47"/>
      <c r="AQ82" s="48"/>
      <c r="AR82" s="49"/>
      <c r="AS82" s="49"/>
      <c r="AT82" s="49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</row>
    <row r="83" spans="1:66" ht="20.25" customHeight="1" x14ac:dyDescent="0.25">
      <c r="A83" s="43"/>
      <c r="B83" s="43"/>
      <c r="C83" s="44"/>
      <c r="D83" s="43"/>
      <c r="E83" s="43"/>
      <c r="F83" s="43"/>
      <c r="G83" s="44"/>
      <c r="H83" s="23"/>
      <c r="I83" s="43"/>
      <c r="J83" s="43"/>
      <c r="K83" s="45"/>
      <c r="L83" s="46"/>
      <c r="M83" s="46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46"/>
      <c r="AG83" s="46"/>
      <c r="AH83" s="46"/>
      <c r="AI83" s="46"/>
      <c r="AJ83" s="46"/>
      <c r="AK83" s="46"/>
      <c r="AL83" s="47"/>
      <c r="AM83" s="47"/>
      <c r="AN83" s="47"/>
      <c r="AO83" s="47"/>
      <c r="AP83" s="47"/>
      <c r="AQ83" s="48"/>
      <c r="AR83" s="49"/>
      <c r="AS83" s="49"/>
      <c r="AT83" s="49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</row>
    <row r="84" spans="1:66" ht="20.25" customHeight="1" x14ac:dyDescent="0.25">
      <c r="A84" s="43"/>
      <c r="B84" s="43"/>
      <c r="C84" s="44"/>
      <c r="D84" s="43"/>
      <c r="E84" s="43"/>
      <c r="F84" s="43"/>
      <c r="G84" s="44"/>
      <c r="H84" s="23"/>
      <c r="I84" s="43"/>
      <c r="J84" s="43"/>
      <c r="K84" s="45"/>
      <c r="L84" s="46"/>
      <c r="M84" s="46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46"/>
      <c r="AG84" s="46"/>
      <c r="AH84" s="46"/>
      <c r="AI84" s="46"/>
      <c r="AJ84" s="46"/>
      <c r="AK84" s="46"/>
      <c r="AL84" s="47"/>
      <c r="AM84" s="47"/>
      <c r="AN84" s="47"/>
      <c r="AO84" s="47"/>
      <c r="AP84" s="47"/>
      <c r="AQ84" s="48"/>
      <c r="AR84" s="49"/>
      <c r="AS84" s="49"/>
      <c r="AT84" s="49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</row>
    <row r="85" spans="1:66" ht="20.25" customHeight="1" x14ac:dyDescent="0.25">
      <c r="A85" s="43"/>
      <c r="B85" s="43"/>
      <c r="C85" s="44"/>
      <c r="D85" s="43"/>
      <c r="E85" s="43"/>
      <c r="F85" s="43"/>
      <c r="G85" s="44"/>
      <c r="H85" s="23"/>
      <c r="I85" s="43"/>
      <c r="J85" s="43"/>
      <c r="K85" s="45"/>
      <c r="L85" s="46"/>
      <c r="M85" s="46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46"/>
      <c r="AG85" s="46"/>
      <c r="AH85" s="46"/>
      <c r="AI85" s="46"/>
      <c r="AJ85" s="46"/>
      <c r="AK85" s="46"/>
      <c r="AL85" s="47"/>
      <c r="AM85" s="47"/>
      <c r="AN85" s="47"/>
      <c r="AO85" s="47"/>
      <c r="AP85" s="47"/>
      <c r="AQ85" s="48"/>
      <c r="AR85" s="49"/>
      <c r="AS85" s="49"/>
      <c r="AT85" s="49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</row>
    <row r="86" spans="1:66" ht="20.25" customHeight="1" x14ac:dyDescent="0.25">
      <c r="A86" s="43"/>
      <c r="B86" s="43"/>
      <c r="C86" s="44"/>
      <c r="D86" s="43"/>
      <c r="E86" s="43"/>
      <c r="F86" s="43"/>
      <c r="G86" s="44"/>
      <c r="H86" s="23"/>
      <c r="I86" s="43"/>
      <c r="J86" s="43"/>
      <c r="K86" s="45"/>
      <c r="L86" s="46"/>
      <c r="M86" s="46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46"/>
      <c r="AG86" s="46"/>
      <c r="AH86" s="46"/>
      <c r="AI86" s="46"/>
      <c r="AJ86" s="46"/>
      <c r="AK86" s="46"/>
      <c r="AL86" s="47"/>
      <c r="AM86" s="47"/>
      <c r="AN86" s="47"/>
      <c r="AO86" s="47"/>
      <c r="AP86" s="47"/>
      <c r="AQ86" s="48"/>
      <c r="AR86" s="49"/>
      <c r="AS86" s="49"/>
      <c r="AT86" s="49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</row>
    <row r="87" spans="1:66" ht="20.25" customHeight="1" x14ac:dyDescent="0.25">
      <c r="A87" s="43"/>
      <c r="B87" s="43"/>
      <c r="C87" s="44"/>
      <c r="D87" s="43"/>
      <c r="E87" s="43"/>
      <c r="F87" s="43"/>
      <c r="G87" s="44"/>
      <c r="H87" s="23"/>
      <c r="I87" s="43"/>
      <c r="J87" s="43"/>
      <c r="K87" s="45"/>
      <c r="L87" s="46"/>
      <c r="M87" s="46"/>
      <c r="N87" s="46"/>
      <c r="O87" s="46"/>
      <c r="P87" s="46"/>
      <c r="Q87" s="46"/>
      <c r="R87" s="46"/>
      <c r="S87" s="46"/>
      <c r="T87" s="46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46"/>
      <c r="AG87" s="46"/>
      <c r="AH87" s="46"/>
      <c r="AI87" s="46"/>
      <c r="AJ87" s="46"/>
      <c r="AK87" s="46"/>
      <c r="AL87" s="47"/>
      <c r="AM87" s="47"/>
      <c r="AN87" s="47"/>
      <c r="AO87" s="47"/>
      <c r="AP87" s="47"/>
      <c r="AQ87" s="48"/>
      <c r="AR87" s="49"/>
      <c r="AS87" s="49"/>
      <c r="AT87" s="49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</row>
    <row r="88" spans="1:66" ht="20.25" customHeight="1" x14ac:dyDescent="0.25">
      <c r="A88" s="43"/>
      <c r="B88" s="43"/>
      <c r="C88" s="44"/>
      <c r="D88" s="43"/>
      <c r="E88" s="43"/>
      <c r="F88" s="43"/>
      <c r="G88" s="44"/>
      <c r="H88" s="23"/>
      <c r="I88" s="43"/>
      <c r="J88" s="43"/>
      <c r="K88" s="45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46"/>
      <c r="AG88" s="46"/>
      <c r="AH88" s="46"/>
      <c r="AI88" s="46"/>
      <c r="AJ88" s="46"/>
      <c r="AK88" s="46"/>
      <c r="AL88" s="47"/>
      <c r="AM88" s="47"/>
      <c r="AN88" s="47"/>
      <c r="AO88" s="47"/>
      <c r="AP88" s="47"/>
      <c r="AQ88" s="48"/>
      <c r="AR88" s="49"/>
      <c r="AS88" s="49"/>
      <c r="AT88" s="49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</row>
    <row r="89" spans="1:66" ht="20.25" customHeight="1" x14ac:dyDescent="0.25">
      <c r="A89" s="43"/>
      <c r="B89" s="43"/>
      <c r="C89" s="44"/>
      <c r="D89" s="43"/>
      <c r="E89" s="43"/>
      <c r="F89" s="43"/>
      <c r="G89" s="44"/>
      <c r="H89" s="23"/>
      <c r="I89" s="43"/>
      <c r="J89" s="43"/>
      <c r="K89" s="45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46"/>
      <c r="AG89" s="46"/>
      <c r="AH89" s="46"/>
      <c r="AI89" s="46"/>
      <c r="AJ89" s="46"/>
      <c r="AK89" s="46"/>
      <c r="AL89" s="47"/>
      <c r="AM89" s="47"/>
      <c r="AN89" s="47"/>
      <c r="AO89" s="47"/>
      <c r="AP89" s="47"/>
      <c r="AQ89" s="48"/>
      <c r="AR89" s="49"/>
      <c r="AS89" s="49"/>
      <c r="AT89" s="49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</row>
    <row r="90" spans="1:66" ht="20.25" customHeight="1" x14ac:dyDescent="0.25">
      <c r="A90" s="43"/>
      <c r="B90" s="43"/>
      <c r="C90" s="44"/>
      <c r="D90" s="43"/>
      <c r="E90" s="43"/>
      <c r="F90" s="43"/>
      <c r="G90" s="44"/>
      <c r="H90" s="23"/>
      <c r="I90" s="43"/>
      <c r="J90" s="43"/>
      <c r="K90" s="45"/>
      <c r="L90" s="46"/>
      <c r="M90" s="46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46"/>
      <c r="AG90" s="46"/>
      <c r="AH90" s="46"/>
      <c r="AI90" s="46"/>
      <c r="AJ90" s="46"/>
      <c r="AK90" s="46"/>
      <c r="AL90" s="47"/>
      <c r="AM90" s="47"/>
      <c r="AN90" s="47"/>
      <c r="AO90" s="47"/>
      <c r="AP90" s="47"/>
      <c r="AQ90" s="48"/>
      <c r="AR90" s="49"/>
      <c r="AS90" s="49"/>
      <c r="AT90" s="49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</row>
    <row r="91" spans="1:66" ht="20.25" customHeight="1" x14ac:dyDescent="0.25">
      <c r="A91" s="43"/>
      <c r="B91" s="43"/>
      <c r="C91" s="44"/>
      <c r="D91" s="43"/>
      <c r="E91" s="43"/>
      <c r="F91" s="43"/>
      <c r="G91" s="44"/>
      <c r="H91" s="23"/>
      <c r="I91" s="43"/>
      <c r="J91" s="43"/>
      <c r="K91" s="45"/>
      <c r="L91" s="46"/>
      <c r="M91" s="46"/>
      <c r="N91" s="46"/>
      <c r="O91" s="46"/>
      <c r="P91" s="46"/>
      <c r="Q91" s="46"/>
      <c r="R91" s="46"/>
      <c r="S91" s="46"/>
      <c r="T91" s="46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46"/>
      <c r="AG91" s="46"/>
      <c r="AH91" s="46"/>
      <c r="AI91" s="46"/>
      <c r="AJ91" s="46"/>
      <c r="AK91" s="46"/>
      <c r="AL91" s="47"/>
      <c r="AM91" s="47"/>
      <c r="AN91" s="47"/>
      <c r="AO91" s="47"/>
      <c r="AP91" s="47"/>
      <c r="AQ91" s="48"/>
      <c r="AR91" s="49"/>
      <c r="AS91" s="49"/>
      <c r="AT91" s="49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</row>
    <row r="92" spans="1:66" ht="20.25" customHeight="1" x14ac:dyDescent="0.25">
      <c r="A92" s="43"/>
      <c r="B92" s="43"/>
      <c r="C92" s="44"/>
      <c r="D92" s="43"/>
      <c r="E92" s="43"/>
      <c r="F92" s="43"/>
      <c r="G92" s="44"/>
      <c r="H92" s="23"/>
      <c r="I92" s="43"/>
      <c r="J92" s="43"/>
      <c r="K92" s="45"/>
      <c r="L92" s="46"/>
      <c r="M92" s="46"/>
      <c r="N92" s="46"/>
      <c r="O92" s="46"/>
      <c r="P92" s="46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46"/>
      <c r="AG92" s="46"/>
      <c r="AH92" s="46"/>
      <c r="AI92" s="46"/>
      <c r="AJ92" s="46"/>
      <c r="AK92" s="46"/>
      <c r="AL92" s="47"/>
      <c r="AM92" s="47"/>
      <c r="AN92" s="47"/>
      <c r="AO92" s="47"/>
      <c r="AP92" s="47"/>
      <c r="AQ92" s="48"/>
      <c r="AR92" s="49"/>
      <c r="AS92" s="49"/>
      <c r="AT92" s="49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</row>
    <row r="93" spans="1:66" ht="20.25" customHeight="1" x14ac:dyDescent="0.25">
      <c r="A93" s="43"/>
      <c r="B93" s="43"/>
      <c r="C93" s="44"/>
      <c r="D93" s="43"/>
      <c r="E93" s="43"/>
      <c r="F93" s="43"/>
      <c r="G93" s="44"/>
      <c r="H93" s="23"/>
      <c r="I93" s="43"/>
      <c r="J93" s="43"/>
      <c r="K93" s="45"/>
      <c r="L93" s="46"/>
      <c r="M93" s="46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46"/>
      <c r="AG93" s="46"/>
      <c r="AH93" s="46"/>
      <c r="AI93" s="46"/>
      <c r="AJ93" s="46"/>
      <c r="AK93" s="46"/>
      <c r="AL93" s="47"/>
      <c r="AM93" s="47"/>
      <c r="AN93" s="47"/>
      <c r="AO93" s="47"/>
      <c r="AP93" s="47"/>
      <c r="AQ93" s="48"/>
      <c r="AR93" s="49"/>
      <c r="AS93" s="49"/>
      <c r="AT93" s="49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</row>
    <row r="94" spans="1:66" ht="20.25" customHeight="1" x14ac:dyDescent="0.25">
      <c r="A94" s="43"/>
      <c r="B94" s="43"/>
      <c r="C94" s="44"/>
      <c r="D94" s="43"/>
      <c r="E94" s="43"/>
      <c r="F94" s="43"/>
      <c r="G94" s="44"/>
      <c r="H94" s="23"/>
      <c r="I94" s="43"/>
      <c r="J94" s="43"/>
      <c r="K94" s="45"/>
      <c r="L94" s="46"/>
      <c r="M94" s="46"/>
      <c r="N94" s="46"/>
      <c r="O94" s="46"/>
      <c r="P94" s="46"/>
      <c r="Q94" s="46"/>
      <c r="R94" s="46"/>
      <c r="S94" s="46"/>
      <c r="T94" s="46"/>
      <c r="U94" s="46"/>
      <c r="V94" s="46"/>
      <c r="W94" s="46"/>
      <c r="X94" s="46"/>
      <c r="Y94" s="46"/>
      <c r="Z94" s="46"/>
      <c r="AA94" s="46"/>
      <c r="AB94" s="46"/>
      <c r="AC94" s="46"/>
      <c r="AD94" s="46"/>
      <c r="AE94" s="46"/>
      <c r="AF94" s="46"/>
      <c r="AG94" s="46"/>
      <c r="AH94" s="46"/>
      <c r="AI94" s="46"/>
      <c r="AJ94" s="46"/>
      <c r="AK94" s="46"/>
      <c r="AL94" s="47"/>
      <c r="AM94" s="47"/>
      <c r="AN94" s="47"/>
      <c r="AO94" s="47"/>
      <c r="AP94" s="47"/>
      <c r="AQ94" s="48"/>
      <c r="AR94" s="49"/>
      <c r="AS94" s="49"/>
      <c r="AT94" s="49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</row>
    <row r="95" spans="1:66" ht="20.25" customHeight="1" x14ac:dyDescent="0.25">
      <c r="A95" s="43"/>
      <c r="B95" s="43"/>
      <c r="C95" s="44"/>
      <c r="D95" s="43"/>
      <c r="E95" s="43"/>
      <c r="F95" s="43"/>
      <c r="G95" s="44"/>
      <c r="H95" s="23"/>
      <c r="I95" s="43"/>
      <c r="J95" s="43"/>
      <c r="K95" s="45"/>
      <c r="L95" s="46"/>
      <c r="M95" s="46"/>
      <c r="N95" s="46"/>
      <c r="O95" s="46"/>
      <c r="P95" s="46"/>
      <c r="Q95" s="46"/>
      <c r="R95" s="46"/>
      <c r="S95" s="46"/>
      <c r="T95" s="46"/>
      <c r="U95" s="46"/>
      <c r="V95" s="46"/>
      <c r="W95" s="46"/>
      <c r="X95" s="46"/>
      <c r="Y95" s="46"/>
      <c r="Z95" s="46"/>
      <c r="AA95" s="46"/>
      <c r="AB95" s="46"/>
      <c r="AC95" s="46"/>
      <c r="AD95" s="46"/>
      <c r="AE95" s="46"/>
      <c r="AF95" s="46"/>
      <c r="AG95" s="46"/>
      <c r="AH95" s="46"/>
      <c r="AI95" s="46"/>
      <c r="AJ95" s="46"/>
      <c r="AK95" s="46"/>
      <c r="AL95" s="47"/>
      <c r="AM95" s="47"/>
      <c r="AN95" s="47"/>
      <c r="AO95" s="47"/>
      <c r="AP95" s="47"/>
      <c r="AQ95" s="48"/>
      <c r="AR95" s="49"/>
      <c r="AS95" s="49"/>
      <c r="AT95" s="49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</row>
    <row r="96" spans="1:66" ht="20.25" customHeight="1" x14ac:dyDescent="0.25">
      <c r="A96" s="43"/>
      <c r="B96" s="43"/>
      <c r="C96" s="44"/>
      <c r="D96" s="43"/>
      <c r="E96" s="43"/>
      <c r="F96" s="43"/>
      <c r="G96" s="44"/>
      <c r="H96" s="23"/>
      <c r="I96" s="43"/>
      <c r="J96" s="43"/>
      <c r="K96" s="45"/>
      <c r="L96" s="46"/>
      <c r="M96" s="46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46"/>
      <c r="Z96" s="46"/>
      <c r="AA96" s="46"/>
      <c r="AB96" s="46"/>
      <c r="AC96" s="46"/>
      <c r="AD96" s="46"/>
      <c r="AE96" s="46"/>
      <c r="AF96" s="46"/>
      <c r="AG96" s="46"/>
      <c r="AH96" s="46"/>
      <c r="AI96" s="46"/>
      <c r="AJ96" s="46"/>
      <c r="AK96" s="46"/>
      <c r="AL96" s="47"/>
      <c r="AM96" s="47"/>
      <c r="AN96" s="47"/>
      <c r="AO96" s="47"/>
      <c r="AP96" s="47"/>
      <c r="AQ96" s="48"/>
      <c r="AR96" s="49"/>
      <c r="AS96" s="49"/>
      <c r="AT96" s="49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</row>
    <row r="97" spans="1:66" ht="20.25" customHeight="1" x14ac:dyDescent="0.25">
      <c r="A97" s="43"/>
      <c r="B97" s="43"/>
      <c r="C97" s="44"/>
      <c r="D97" s="43"/>
      <c r="E97" s="43"/>
      <c r="F97" s="43"/>
      <c r="G97" s="44"/>
      <c r="H97" s="23"/>
      <c r="I97" s="43"/>
      <c r="J97" s="43"/>
      <c r="K97" s="45"/>
      <c r="L97" s="46"/>
      <c r="M97" s="46"/>
      <c r="N97" s="46"/>
      <c r="O97" s="46"/>
      <c r="P97" s="46"/>
      <c r="Q97" s="46"/>
      <c r="R97" s="46"/>
      <c r="S97" s="46"/>
      <c r="T97" s="46"/>
      <c r="U97" s="46"/>
      <c r="V97" s="46"/>
      <c r="W97" s="46"/>
      <c r="X97" s="46"/>
      <c r="Y97" s="46"/>
      <c r="Z97" s="46"/>
      <c r="AA97" s="46"/>
      <c r="AB97" s="46"/>
      <c r="AC97" s="46"/>
      <c r="AD97" s="46"/>
      <c r="AE97" s="46"/>
      <c r="AF97" s="46"/>
      <c r="AG97" s="46"/>
      <c r="AH97" s="46"/>
      <c r="AI97" s="46"/>
      <c r="AJ97" s="46"/>
      <c r="AK97" s="46"/>
      <c r="AL97" s="47"/>
      <c r="AM97" s="47"/>
      <c r="AN97" s="47"/>
      <c r="AO97" s="47"/>
      <c r="AP97" s="47"/>
      <c r="AQ97" s="48"/>
      <c r="AR97" s="49"/>
      <c r="AS97" s="49"/>
      <c r="AT97" s="49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</row>
    <row r="98" spans="1:66" ht="20.25" customHeight="1" x14ac:dyDescent="0.25">
      <c r="A98" s="43"/>
      <c r="B98" s="43"/>
      <c r="C98" s="44"/>
      <c r="D98" s="43"/>
      <c r="E98" s="43"/>
      <c r="F98" s="43"/>
      <c r="G98" s="44"/>
      <c r="H98" s="23"/>
      <c r="I98" s="43"/>
      <c r="J98" s="43"/>
      <c r="K98" s="45"/>
      <c r="L98" s="46"/>
      <c r="M98" s="46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  <c r="AA98" s="46"/>
      <c r="AB98" s="46"/>
      <c r="AC98" s="46"/>
      <c r="AD98" s="46"/>
      <c r="AE98" s="46"/>
      <c r="AF98" s="46"/>
      <c r="AG98" s="46"/>
      <c r="AH98" s="46"/>
      <c r="AI98" s="46"/>
      <c r="AJ98" s="46"/>
      <c r="AK98" s="46"/>
      <c r="AL98" s="47"/>
      <c r="AM98" s="47"/>
      <c r="AN98" s="47"/>
      <c r="AO98" s="47"/>
      <c r="AP98" s="47"/>
      <c r="AQ98" s="48"/>
      <c r="AR98" s="49"/>
      <c r="AS98" s="49"/>
      <c r="AT98" s="49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</row>
    <row r="99" spans="1:66" ht="20.25" customHeight="1" x14ac:dyDescent="0.25">
      <c r="A99" s="43"/>
      <c r="B99" s="43"/>
      <c r="C99" s="44"/>
      <c r="D99" s="43"/>
      <c r="E99" s="43"/>
      <c r="F99" s="43"/>
      <c r="G99" s="44"/>
      <c r="H99" s="23"/>
      <c r="I99" s="43"/>
      <c r="J99" s="43"/>
      <c r="K99" s="45"/>
      <c r="L99" s="46"/>
      <c r="M99" s="46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46"/>
      <c r="AG99" s="46"/>
      <c r="AH99" s="46"/>
      <c r="AI99" s="46"/>
      <c r="AJ99" s="46"/>
      <c r="AK99" s="46"/>
      <c r="AL99" s="47"/>
      <c r="AM99" s="47"/>
      <c r="AN99" s="47"/>
      <c r="AO99" s="47"/>
      <c r="AP99" s="47"/>
      <c r="AQ99" s="48"/>
      <c r="AR99" s="49"/>
      <c r="AS99" s="49"/>
      <c r="AT99" s="49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</row>
    <row r="100" spans="1:66" ht="20.25" customHeight="1" x14ac:dyDescent="0.25">
      <c r="A100" s="43"/>
      <c r="B100" s="43"/>
      <c r="C100" s="44"/>
      <c r="D100" s="43"/>
      <c r="E100" s="43"/>
      <c r="F100" s="43"/>
      <c r="G100" s="44"/>
      <c r="H100" s="23"/>
      <c r="I100" s="43"/>
      <c r="J100" s="43"/>
      <c r="K100" s="45"/>
      <c r="L100" s="46"/>
      <c r="M100" s="46"/>
      <c r="N100" s="46"/>
      <c r="O100" s="46"/>
      <c r="P100" s="46"/>
      <c r="Q100" s="46"/>
      <c r="R100" s="46"/>
      <c r="S100" s="46"/>
      <c r="T100" s="46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46"/>
      <c r="AG100" s="46"/>
      <c r="AH100" s="46"/>
      <c r="AI100" s="46"/>
      <c r="AJ100" s="46"/>
      <c r="AK100" s="46"/>
      <c r="AL100" s="47"/>
      <c r="AM100" s="47"/>
      <c r="AN100" s="47"/>
      <c r="AO100" s="47"/>
      <c r="AP100" s="47"/>
      <c r="AQ100" s="48"/>
      <c r="AR100" s="49"/>
      <c r="AS100" s="49"/>
      <c r="AT100" s="49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</row>
    <row r="101" spans="1:66" ht="18.75" customHeight="1" x14ac:dyDescent="0.25">
      <c r="A101" s="43"/>
      <c r="B101" s="43"/>
      <c r="C101" s="44"/>
      <c r="D101" s="43"/>
      <c r="E101" s="43"/>
      <c r="F101" s="43"/>
      <c r="G101" s="44"/>
      <c r="H101" s="23"/>
      <c r="I101" s="43"/>
      <c r="J101" s="43"/>
      <c r="K101" s="45"/>
      <c r="L101" s="46"/>
      <c r="M101" s="46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46"/>
      <c r="AG101" s="46"/>
      <c r="AH101" s="46"/>
      <c r="AI101" s="46"/>
      <c r="AJ101" s="46"/>
      <c r="AK101" s="46"/>
      <c r="AL101" s="47"/>
      <c r="AM101" s="47"/>
      <c r="AN101" s="47"/>
      <c r="AO101" s="47"/>
      <c r="AP101" s="47"/>
      <c r="AQ101" s="48"/>
      <c r="AR101" s="49"/>
      <c r="AS101" s="49"/>
      <c r="AT101" s="49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</row>
    <row r="102" spans="1:66" ht="18.75" customHeight="1" x14ac:dyDescent="0.25">
      <c r="A102" s="43"/>
      <c r="B102" s="43"/>
      <c r="C102" s="44"/>
      <c r="D102" s="43"/>
      <c r="E102" s="43"/>
      <c r="F102" s="43"/>
      <c r="G102" s="44"/>
      <c r="H102" s="23"/>
      <c r="I102" s="43"/>
      <c r="J102" s="43"/>
      <c r="K102" s="45"/>
      <c r="L102" s="46"/>
      <c r="M102" s="46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6"/>
      <c r="AF102" s="46"/>
      <c r="AG102" s="46"/>
      <c r="AH102" s="46"/>
      <c r="AI102" s="46"/>
      <c r="AJ102" s="46"/>
      <c r="AK102" s="46"/>
      <c r="AL102" s="47"/>
      <c r="AM102" s="47"/>
      <c r="AN102" s="47"/>
      <c r="AO102" s="47"/>
      <c r="AP102" s="47"/>
      <c r="AQ102" s="48"/>
      <c r="AR102" s="49"/>
      <c r="AS102" s="49"/>
      <c r="AT102" s="49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</row>
    <row r="103" spans="1:66" ht="18.75" customHeight="1" x14ac:dyDescent="0.25">
      <c r="A103" s="43"/>
      <c r="B103" s="43"/>
      <c r="C103" s="44"/>
      <c r="D103" s="43"/>
      <c r="E103" s="43"/>
      <c r="F103" s="43"/>
      <c r="G103" s="44"/>
      <c r="H103" s="23"/>
      <c r="I103" s="43"/>
      <c r="J103" s="43"/>
      <c r="K103" s="45"/>
      <c r="L103" s="46"/>
      <c r="M103" s="46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  <c r="AE103" s="46"/>
      <c r="AF103" s="46"/>
      <c r="AG103" s="46"/>
      <c r="AH103" s="46"/>
      <c r="AI103" s="46"/>
      <c r="AJ103" s="46"/>
      <c r="AK103" s="46"/>
      <c r="AL103" s="47"/>
      <c r="AM103" s="47"/>
      <c r="AN103" s="47"/>
      <c r="AO103" s="47"/>
      <c r="AP103" s="47"/>
      <c r="AQ103" s="48"/>
      <c r="AR103" s="49"/>
      <c r="AS103" s="49"/>
      <c r="AT103" s="49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</row>
    <row r="104" spans="1:66" ht="18.75" customHeight="1" x14ac:dyDescent="0.25">
      <c r="A104" s="43"/>
      <c r="B104" s="43"/>
      <c r="C104" s="44"/>
      <c r="D104" s="43"/>
      <c r="E104" s="43"/>
      <c r="F104" s="43"/>
      <c r="G104" s="44"/>
      <c r="H104" s="23"/>
      <c r="I104" s="43"/>
      <c r="J104" s="43"/>
      <c r="K104" s="45"/>
      <c r="L104" s="46"/>
      <c r="M104" s="46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  <c r="AE104" s="46"/>
      <c r="AF104" s="46"/>
      <c r="AG104" s="46"/>
      <c r="AH104" s="46"/>
      <c r="AI104" s="46"/>
      <c r="AJ104" s="46"/>
      <c r="AK104" s="46"/>
      <c r="AL104" s="47"/>
      <c r="AM104" s="47"/>
      <c r="AN104" s="47"/>
      <c r="AO104" s="47"/>
      <c r="AP104" s="47"/>
      <c r="AQ104" s="48"/>
      <c r="AR104" s="49"/>
      <c r="AS104" s="49"/>
      <c r="AT104" s="49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</row>
    <row r="105" spans="1:66" ht="18.75" customHeight="1" x14ac:dyDescent="0.25">
      <c r="A105" s="43"/>
      <c r="B105" s="43"/>
      <c r="C105" s="44"/>
      <c r="D105" s="43"/>
      <c r="E105" s="43"/>
      <c r="F105" s="43"/>
      <c r="G105" s="44"/>
      <c r="H105" s="23"/>
      <c r="I105" s="43"/>
      <c r="J105" s="43"/>
      <c r="K105" s="45"/>
      <c r="L105" s="46"/>
      <c r="M105" s="46"/>
      <c r="N105" s="46"/>
      <c r="O105" s="46"/>
      <c r="P105" s="46"/>
      <c r="Q105" s="46"/>
      <c r="R105" s="46"/>
      <c r="S105" s="46"/>
      <c r="T105" s="46"/>
      <c r="U105" s="46"/>
      <c r="V105" s="46"/>
      <c r="W105" s="46"/>
      <c r="X105" s="46"/>
      <c r="Y105" s="46"/>
      <c r="Z105" s="46"/>
      <c r="AA105" s="46"/>
      <c r="AB105" s="46"/>
      <c r="AC105" s="46"/>
      <c r="AD105" s="46"/>
      <c r="AE105" s="46"/>
      <c r="AF105" s="46"/>
      <c r="AG105" s="46"/>
      <c r="AH105" s="46"/>
      <c r="AI105" s="46"/>
      <c r="AJ105" s="46"/>
      <c r="AK105" s="46"/>
      <c r="AL105" s="47"/>
      <c r="AM105" s="47"/>
      <c r="AN105" s="47"/>
      <c r="AO105" s="47"/>
      <c r="AP105" s="47"/>
      <c r="AQ105" s="48"/>
      <c r="AR105" s="49"/>
      <c r="AS105" s="49"/>
      <c r="AT105" s="49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</row>
    <row r="106" spans="1:66" ht="18.75" customHeight="1" x14ac:dyDescent="0.25">
      <c r="A106" s="43"/>
      <c r="B106" s="43"/>
      <c r="C106" s="44"/>
      <c r="D106" s="43"/>
      <c r="E106" s="43"/>
      <c r="F106" s="43"/>
      <c r="G106" s="44"/>
      <c r="H106" s="23"/>
      <c r="I106" s="43"/>
      <c r="J106" s="43"/>
      <c r="K106" s="45"/>
      <c r="L106" s="46"/>
      <c r="M106" s="46"/>
      <c r="N106" s="46"/>
      <c r="O106" s="46"/>
      <c r="P106" s="46"/>
      <c r="Q106" s="46"/>
      <c r="R106" s="46"/>
      <c r="S106" s="46"/>
      <c r="T106" s="46"/>
      <c r="U106" s="46"/>
      <c r="V106" s="46"/>
      <c r="W106" s="46"/>
      <c r="X106" s="46"/>
      <c r="Y106" s="46"/>
      <c r="Z106" s="46"/>
      <c r="AA106" s="46"/>
      <c r="AB106" s="46"/>
      <c r="AC106" s="46"/>
      <c r="AD106" s="46"/>
      <c r="AE106" s="46"/>
      <c r="AF106" s="46"/>
      <c r="AG106" s="46"/>
      <c r="AH106" s="46"/>
      <c r="AI106" s="46"/>
      <c r="AJ106" s="46"/>
      <c r="AK106" s="46"/>
      <c r="AL106" s="47"/>
      <c r="AM106" s="47"/>
      <c r="AN106" s="47"/>
      <c r="AO106" s="47"/>
      <c r="AP106" s="47"/>
      <c r="AQ106" s="48"/>
      <c r="AR106" s="49"/>
      <c r="AS106" s="49"/>
      <c r="AT106" s="49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</row>
    <row r="107" spans="1:66" ht="18.75" customHeight="1" x14ac:dyDescent="0.25">
      <c r="A107" s="43"/>
      <c r="B107" s="43"/>
      <c r="C107" s="44"/>
      <c r="D107" s="43"/>
      <c r="E107" s="43"/>
      <c r="F107" s="43"/>
      <c r="G107" s="44"/>
      <c r="H107" s="23"/>
      <c r="I107" s="43"/>
      <c r="J107" s="43"/>
      <c r="K107" s="45"/>
      <c r="L107" s="46"/>
      <c r="M107" s="46"/>
      <c r="N107" s="46"/>
      <c r="O107" s="46"/>
      <c r="P107" s="46"/>
      <c r="Q107" s="46"/>
      <c r="R107" s="46"/>
      <c r="S107" s="46"/>
      <c r="T107" s="46"/>
      <c r="U107" s="46"/>
      <c r="V107" s="46"/>
      <c r="W107" s="46"/>
      <c r="X107" s="46"/>
      <c r="Y107" s="46"/>
      <c r="Z107" s="46"/>
      <c r="AA107" s="46"/>
      <c r="AB107" s="46"/>
      <c r="AC107" s="46"/>
      <c r="AD107" s="46"/>
      <c r="AE107" s="46"/>
      <c r="AF107" s="46"/>
      <c r="AG107" s="46"/>
      <c r="AH107" s="46"/>
      <c r="AI107" s="46"/>
      <c r="AJ107" s="46"/>
      <c r="AK107" s="46"/>
      <c r="AL107" s="47"/>
      <c r="AM107" s="47"/>
      <c r="AN107" s="47"/>
      <c r="AO107" s="47"/>
      <c r="AP107" s="47"/>
      <c r="AQ107" s="48"/>
      <c r="AR107" s="49"/>
      <c r="AS107" s="49"/>
      <c r="AT107" s="49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</row>
    <row r="108" spans="1:66" ht="18.75" customHeight="1" x14ac:dyDescent="0.25">
      <c r="A108" s="43"/>
      <c r="B108" s="43"/>
      <c r="C108" s="44"/>
      <c r="D108" s="43"/>
      <c r="E108" s="43"/>
      <c r="F108" s="43"/>
      <c r="G108" s="44"/>
      <c r="H108" s="23"/>
      <c r="I108" s="43"/>
      <c r="J108" s="43"/>
      <c r="K108" s="45"/>
      <c r="L108" s="46"/>
      <c r="M108" s="46"/>
      <c r="N108" s="46"/>
      <c r="O108" s="46"/>
      <c r="P108" s="46"/>
      <c r="Q108" s="46"/>
      <c r="R108" s="46"/>
      <c r="S108" s="46"/>
      <c r="T108" s="46"/>
      <c r="U108" s="46"/>
      <c r="V108" s="46"/>
      <c r="W108" s="46"/>
      <c r="X108" s="46"/>
      <c r="Y108" s="46"/>
      <c r="Z108" s="46"/>
      <c r="AA108" s="46"/>
      <c r="AB108" s="46"/>
      <c r="AC108" s="46"/>
      <c r="AD108" s="46"/>
      <c r="AE108" s="46"/>
      <c r="AF108" s="46"/>
      <c r="AG108" s="46"/>
      <c r="AH108" s="46"/>
      <c r="AI108" s="46"/>
      <c r="AJ108" s="46"/>
      <c r="AK108" s="46"/>
      <c r="AL108" s="47"/>
      <c r="AM108" s="47"/>
      <c r="AN108" s="47"/>
      <c r="AO108" s="47"/>
      <c r="AP108" s="47"/>
      <c r="AQ108" s="48"/>
      <c r="AR108" s="49"/>
      <c r="AS108" s="49"/>
      <c r="AT108" s="49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</row>
    <row r="109" spans="1:66" ht="18.75" customHeight="1" x14ac:dyDescent="0.25">
      <c r="A109" s="43"/>
      <c r="B109" s="43"/>
      <c r="C109" s="44"/>
      <c r="D109" s="43"/>
      <c r="E109" s="43"/>
      <c r="F109" s="43"/>
      <c r="G109" s="44"/>
      <c r="H109" s="23"/>
      <c r="I109" s="43"/>
      <c r="J109" s="43"/>
      <c r="K109" s="45"/>
      <c r="L109" s="46"/>
      <c r="M109" s="46"/>
      <c r="N109" s="46"/>
      <c r="O109" s="46"/>
      <c r="P109" s="46"/>
      <c r="Q109" s="46"/>
      <c r="R109" s="46"/>
      <c r="S109" s="46"/>
      <c r="T109" s="46"/>
      <c r="U109" s="46"/>
      <c r="V109" s="46"/>
      <c r="W109" s="46"/>
      <c r="X109" s="46"/>
      <c r="Y109" s="46"/>
      <c r="Z109" s="46"/>
      <c r="AA109" s="46"/>
      <c r="AB109" s="46"/>
      <c r="AC109" s="46"/>
      <c r="AD109" s="46"/>
      <c r="AE109" s="46"/>
      <c r="AF109" s="46"/>
      <c r="AG109" s="46"/>
      <c r="AH109" s="46"/>
      <c r="AI109" s="46"/>
      <c r="AJ109" s="46"/>
      <c r="AK109" s="46"/>
      <c r="AL109" s="47"/>
      <c r="AM109" s="47"/>
      <c r="AN109" s="47"/>
      <c r="AO109" s="47"/>
      <c r="AP109" s="47"/>
      <c r="AQ109" s="48"/>
      <c r="AR109" s="49"/>
      <c r="AS109" s="49"/>
      <c r="AT109" s="49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</row>
    <row r="110" spans="1:66" ht="18.75" customHeight="1" x14ac:dyDescent="0.25">
      <c r="A110" s="43"/>
      <c r="B110" s="43"/>
      <c r="C110" s="44"/>
      <c r="D110" s="43"/>
      <c r="E110" s="43"/>
      <c r="F110" s="43"/>
      <c r="G110" s="44"/>
      <c r="H110" s="23"/>
      <c r="I110" s="43"/>
      <c r="J110" s="43"/>
      <c r="K110" s="45"/>
      <c r="L110" s="46"/>
      <c r="M110" s="46"/>
      <c r="N110" s="46"/>
      <c r="O110" s="46"/>
      <c r="P110" s="46"/>
      <c r="Q110" s="46"/>
      <c r="R110" s="46"/>
      <c r="S110" s="46"/>
      <c r="T110" s="46"/>
      <c r="U110" s="46"/>
      <c r="V110" s="46"/>
      <c r="W110" s="46"/>
      <c r="X110" s="46"/>
      <c r="Y110" s="46"/>
      <c r="Z110" s="46"/>
      <c r="AA110" s="46"/>
      <c r="AB110" s="46"/>
      <c r="AC110" s="46"/>
      <c r="AD110" s="46"/>
      <c r="AE110" s="46"/>
      <c r="AF110" s="46"/>
      <c r="AG110" s="46"/>
      <c r="AH110" s="46"/>
      <c r="AI110" s="46"/>
      <c r="AJ110" s="46"/>
      <c r="AK110" s="46"/>
      <c r="AL110" s="47"/>
      <c r="AM110" s="47"/>
      <c r="AN110" s="47"/>
      <c r="AO110" s="47"/>
      <c r="AP110" s="47"/>
      <c r="AQ110" s="48"/>
      <c r="AR110" s="49"/>
      <c r="AS110" s="49"/>
      <c r="AT110" s="49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</row>
    <row r="111" spans="1:66" ht="18.75" customHeight="1" x14ac:dyDescent="0.25">
      <c r="A111" s="43"/>
      <c r="B111" s="43"/>
      <c r="C111" s="44"/>
      <c r="D111" s="43"/>
      <c r="E111" s="43"/>
      <c r="F111" s="43"/>
      <c r="G111" s="44"/>
      <c r="H111" s="23"/>
      <c r="I111" s="43"/>
      <c r="J111" s="43"/>
      <c r="K111" s="45"/>
      <c r="L111" s="46"/>
      <c r="M111" s="46"/>
      <c r="N111" s="46"/>
      <c r="O111" s="46"/>
      <c r="P111" s="46"/>
      <c r="Q111" s="46"/>
      <c r="R111" s="46"/>
      <c r="S111" s="46"/>
      <c r="T111" s="46"/>
      <c r="U111" s="46"/>
      <c r="V111" s="46"/>
      <c r="W111" s="46"/>
      <c r="X111" s="46"/>
      <c r="Y111" s="46"/>
      <c r="Z111" s="46"/>
      <c r="AA111" s="46"/>
      <c r="AB111" s="46"/>
      <c r="AC111" s="46"/>
      <c r="AD111" s="46"/>
      <c r="AE111" s="46"/>
      <c r="AF111" s="46"/>
      <c r="AG111" s="46"/>
      <c r="AH111" s="46"/>
      <c r="AI111" s="46"/>
      <c r="AJ111" s="46"/>
      <c r="AK111" s="46"/>
      <c r="AL111" s="47"/>
      <c r="AM111" s="47"/>
      <c r="AN111" s="47"/>
      <c r="AO111" s="47"/>
      <c r="AP111" s="47"/>
      <c r="AQ111" s="48"/>
      <c r="AR111" s="49"/>
      <c r="AS111" s="49"/>
      <c r="AT111" s="49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</row>
    <row r="112" spans="1:66" ht="18.75" customHeight="1" x14ac:dyDescent="0.25">
      <c r="A112" s="43"/>
      <c r="B112" s="43"/>
      <c r="C112" s="44"/>
      <c r="D112" s="43"/>
      <c r="E112" s="43"/>
      <c r="F112" s="43"/>
      <c r="G112" s="44"/>
      <c r="H112" s="23"/>
      <c r="I112" s="43"/>
      <c r="J112" s="43"/>
      <c r="K112" s="45"/>
      <c r="L112" s="46"/>
      <c r="M112" s="46"/>
      <c r="N112" s="46"/>
      <c r="O112" s="46"/>
      <c r="P112" s="46"/>
      <c r="Q112" s="46"/>
      <c r="R112" s="46"/>
      <c r="S112" s="46"/>
      <c r="T112" s="46"/>
      <c r="U112" s="46"/>
      <c r="V112" s="46"/>
      <c r="W112" s="46"/>
      <c r="X112" s="46"/>
      <c r="Y112" s="46"/>
      <c r="Z112" s="46"/>
      <c r="AA112" s="46"/>
      <c r="AB112" s="46"/>
      <c r="AC112" s="46"/>
      <c r="AD112" s="46"/>
      <c r="AE112" s="46"/>
      <c r="AF112" s="46"/>
      <c r="AG112" s="46"/>
      <c r="AH112" s="46"/>
      <c r="AI112" s="46"/>
      <c r="AJ112" s="46"/>
      <c r="AK112" s="46"/>
      <c r="AL112" s="47"/>
      <c r="AM112" s="47"/>
      <c r="AN112" s="47"/>
      <c r="AO112" s="47"/>
      <c r="AP112" s="47"/>
      <c r="AQ112" s="48"/>
      <c r="AR112" s="49"/>
      <c r="AS112" s="49"/>
      <c r="AT112" s="49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</row>
    <row r="113" spans="1:66" ht="18.75" customHeight="1" x14ac:dyDescent="0.25">
      <c r="A113" s="43"/>
      <c r="B113" s="43"/>
      <c r="C113" s="44"/>
      <c r="D113" s="43"/>
      <c r="E113" s="43"/>
      <c r="F113" s="43"/>
      <c r="G113" s="44"/>
      <c r="H113" s="23"/>
      <c r="I113" s="43"/>
      <c r="J113" s="43"/>
      <c r="K113" s="45"/>
      <c r="L113" s="46"/>
      <c r="M113" s="46"/>
      <c r="N113" s="46"/>
      <c r="O113" s="46"/>
      <c r="P113" s="46"/>
      <c r="Q113" s="46"/>
      <c r="R113" s="46"/>
      <c r="S113" s="46"/>
      <c r="T113" s="46"/>
      <c r="U113" s="46"/>
      <c r="V113" s="46"/>
      <c r="W113" s="46"/>
      <c r="X113" s="46"/>
      <c r="Y113" s="46"/>
      <c r="Z113" s="46"/>
      <c r="AA113" s="46"/>
      <c r="AB113" s="46"/>
      <c r="AC113" s="46"/>
      <c r="AD113" s="46"/>
      <c r="AE113" s="46"/>
      <c r="AF113" s="46"/>
      <c r="AG113" s="46"/>
      <c r="AH113" s="46"/>
      <c r="AI113" s="46"/>
      <c r="AJ113" s="46"/>
      <c r="AK113" s="46"/>
      <c r="AL113" s="47"/>
      <c r="AM113" s="47"/>
      <c r="AN113" s="47"/>
      <c r="AO113" s="47"/>
      <c r="AP113" s="47"/>
      <c r="AQ113" s="48"/>
      <c r="AR113" s="49"/>
      <c r="AS113" s="49"/>
      <c r="AT113" s="49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</row>
    <row r="114" spans="1:66" ht="18.75" customHeight="1" x14ac:dyDescent="0.25">
      <c r="A114" s="43"/>
      <c r="B114" s="43"/>
      <c r="C114" s="44"/>
      <c r="D114" s="43"/>
      <c r="E114" s="43"/>
      <c r="F114" s="43"/>
      <c r="G114" s="44"/>
      <c r="H114" s="23"/>
      <c r="I114" s="43"/>
      <c r="J114" s="43"/>
      <c r="K114" s="45"/>
      <c r="L114" s="46"/>
      <c r="M114" s="46"/>
      <c r="N114" s="46"/>
      <c r="O114" s="46"/>
      <c r="P114" s="46"/>
      <c r="Q114" s="46"/>
      <c r="R114" s="46"/>
      <c r="S114" s="46"/>
      <c r="T114" s="46"/>
      <c r="U114" s="46"/>
      <c r="V114" s="46"/>
      <c r="W114" s="46"/>
      <c r="X114" s="46"/>
      <c r="Y114" s="46"/>
      <c r="Z114" s="46"/>
      <c r="AA114" s="46"/>
      <c r="AB114" s="46"/>
      <c r="AC114" s="46"/>
      <c r="AD114" s="46"/>
      <c r="AE114" s="46"/>
      <c r="AF114" s="46"/>
      <c r="AG114" s="46"/>
      <c r="AH114" s="46"/>
      <c r="AI114" s="46"/>
      <c r="AJ114" s="46"/>
      <c r="AK114" s="46"/>
      <c r="AL114" s="47"/>
      <c r="AM114" s="47"/>
      <c r="AN114" s="47"/>
      <c r="AO114" s="47"/>
      <c r="AP114" s="47"/>
      <c r="AQ114" s="48"/>
      <c r="AR114" s="49"/>
      <c r="AS114" s="49"/>
      <c r="AT114" s="49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</row>
    <row r="115" spans="1:66" ht="18.75" customHeight="1" x14ac:dyDescent="0.25">
      <c r="A115" s="43"/>
      <c r="B115" s="43"/>
      <c r="C115" s="44"/>
      <c r="D115" s="43"/>
      <c r="E115" s="43"/>
      <c r="F115" s="43"/>
      <c r="G115" s="44"/>
      <c r="H115" s="23"/>
      <c r="I115" s="43"/>
      <c r="J115" s="43"/>
      <c r="K115" s="45"/>
      <c r="L115" s="46"/>
      <c r="M115" s="46"/>
      <c r="N115" s="46"/>
      <c r="O115" s="46"/>
      <c r="P115" s="46"/>
      <c r="Q115" s="46"/>
      <c r="R115" s="46"/>
      <c r="S115" s="46"/>
      <c r="T115" s="46"/>
      <c r="U115" s="46"/>
      <c r="V115" s="46"/>
      <c r="W115" s="46"/>
      <c r="X115" s="46"/>
      <c r="Y115" s="46"/>
      <c r="Z115" s="46"/>
      <c r="AA115" s="46"/>
      <c r="AB115" s="46"/>
      <c r="AC115" s="46"/>
      <c r="AD115" s="46"/>
      <c r="AE115" s="46"/>
      <c r="AF115" s="46"/>
      <c r="AG115" s="46"/>
      <c r="AH115" s="46"/>
      <c r="AI115" s="46"/>
      <c r="AJ115" s="46"/>
      <c r="AK115" s="46"/>
      <c r="AL115" s="47"/>
      <c r="AM115" s="47"/>
      <c r="AN115" s="47"/>
      <c r="AO115" s="47"/>
      <c r="AP115" s="47"/>
      <c r="AQ115" s="48"/>
      <c r="AR115" s="49"/>
      <c r="AS115" s="49"/>
      <c r="AT115" s="49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</row>
    <row r="116" spans="1:66" ht="18.75" customHeight="1" x14ac:dyDescent="0.25">
      <c r="A116" s="43"/>
      <c r="B116" s="43"/>
      <c r="C116" s="44"/>
      <c r="D116" s="43"/>
      <c r="E116" s="43"/>
      <c r="F116" s="43"/>
      <c r="G116" s="44"/>
      <c r="H116" s="23"/>
      <c r="I116" s="43"/>
      <c r="J116" s="43"/>
      <c r="K116" s="45"/>
      <c r="L116" s="46"/>
      <c r="M116" s="46"/>
      <c r="N116" s="46"/>
      <c r="O116" s="46"/>
      <c r="P116" s="46"/>
      <c r="Q116" s="46"/>
      <c r="R116" s="46"/>
      <c r="S116" s="46"/>
      <c r="T116" s="46"/>
      <c r="U116" s="46"/>
      <c r="V116" s="46"/>
      <c r="W116" s="46"/>
      <c r="X116" s="46"/>
      <c r="Y116" s="46"/>
      <c r="Z116" s="46"/>
      <c r="AA116" s="46"/>
      <c r="AB116" s="46"/>
      <c r="AC116" s="46"/>
      <c r="AD116" s="46"/>
      <c r="AE116" s="46"/>
      <c r="AF116" s="46"/>
      <c r="AG116" s="46"/>
      <c r="AH116" s="46"/>
      <c r="AI116" s="46"/>
      <c r="AJ116" s="46"/>
      <c r="AK116" s="46"/>
      <c r="AL116" s="47"/>
      <c r="AM116" s="47"/>
      <c r="AN116" s="47"/>
      <c r="AO116" s="47"/>
      <c r="AP116" s="47"/>
      <c r="AQ116" s="48"/>
      <c r="AR116" s="49"/>
      <c r="AS116" s="49"/>
      <c r="AT116" s="49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</row>
    <row r="117" spans="1:66" ht="18.75" customHeight="1" x14ac:dyDescent="0.25">
      <c r="A117" s="43"/>
      <c r="B117" s="43"/>
      <c r="C117" s="44"/>
      <c r="D117" s="43"/>
      <c r="E117" s="43"/>
      <c r="F117" s="43"/>
      <c r="G117" s="44"/>
      <c r="H117" s="23"/>
      <c r="I117" s="43"/>
      <c r="J117" s="43"/>
      <c r="K117" s="45"/>
      <c r="L117" s="46"/>
      <c r="M117" s="46"/>
      <c r="N117" s="46"/>
      <c r="O117" s="46"/>
      <c r="P117" s="46"/>
      <c r="Q117" s="46"/>
      <c r="R117" s="46"/>
      <c r="S117" s="46"/>
      <c r="T117" s="46"/>
      <c r="U117" s="46"/>
      <c r="V117" s="46"/>
      <c r="W117" s="46"/>
      <c r="X117" s="46"/>
      <c r="Y117" s="46"/>
      <c r="Z117" s="46"/>
      <c r="AA117" s="46"/>
      <c r="AB117" s="46"/>
      <c r="AC117" s="46"/>
      <c r="AD117" s="46"/>
      <c r="AE117" s="46"/>
      <c r="AF117" s="46"/>
      <c r="AG117" s="46"/>
      <c r="AH117" s="46"/>
      <c r="AI117" s="46"/>
      <c r="AJ117" s="46"/>
      <c r="AK117" s="46"/>
      <c r="AL117" s="47"/>
      <c r="AM117" s="47"/>
      <c r="AN117" s="47"/>
      <c r="AO117" s="47"/>
      <c r="AP117" s="47"/>
      <c r="AQ117" s="48"/>
      <c r="AR117" s="49"/>
      <c r="AS117" s="49"/>
      <c r="AT117" s="49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</row>
    <row r="118" spans="1:66" ht="15.75" customHeight="1" x14ac:dyDescent="0.25">
      <c r="A118" s="43"/>
      <c r="B118" s="43"/>
      <c r="C118" s="44"/>
      <c r="D118" s="43"/>
      <c r="E118" s="43"/>
      <c r="F118" s="43"/>
      <c r="G118" s="44"/>
      <c r="H118" s="23"/>
      <c r="I118" s="43"/>
      <c r="J118" s="43"/>
      <c r="K118" s="45"/>
      <c r="L118" s="46"/>
      <c r="M118" s="46"/>
      <c r="N118" s="46"/>
      <c r="O118" s="46"/>
      <c r="P118" s="46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B118" s="46"/>
      <c r="AC118" s="46"/>
      <c r="AD118" s="46"/>
      <c r="AE118" s="46"/>
      <c r="AF118" s="46"/>
      <c r="AG118" s="46"/>
      <c r="AH118" s="46"/>
      <c r="AI118" s="46"/>
      <c r="AJ118" s="46"/>
      <c r="AK118" s="46"/>
      <c r="AL118" s="47"/>
      <c r="AM118" s="47"/>
      <c r="AN118" s="47"/>
      <c r="AO118" s="47"/>
      <c r="AP118" s="47"/>
      <c r="AQ118" s="48"/>
      <c r="AR118" s="49"/>
      <c r="AS118" s="49"/>
      <c r="AT118" s="49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</row>
    <row r="119" spans="1:66" ht="15.75" customHeight="1" x14ac:dyDescent="0.25">
      <c r="A119" s="43"/>
      <c r="B119" s="50"/>
      <c r="C119" s="51"/>
      <c r="D119" s="43"/>
      <c r="E119" s="43"/>
      <c r="F119" s="43"/>
      <c r="G119" s="44"/>
      <c r="H119" s="23"/>
      <c r="I119" s="43"/>
      <c r="J119" s="43"/>
      <c r="K119" s="45"/>
      <c r="L119" s="46"/>
      <c r="M119" s="46"/>
      <c r="N119" s="46"/>
      <c r="O119" s="46"/>
      <c r="P119" s="46"/>
      <c r="Q119" s="46"/>
      <c r="R119" s="46"/>
      <c r="S119" s="46"/>
      <c r="T119" s="46"/>
      <c r="U119" s="46"/>
      <c r="V119" s="46"/>
      <c r="W119" s="46"/>
      <c r="X119" s="46"/>
      <c r="Y119" s="46"/>
      <c r="Z119" s="46"/>
      <c r="AA119" s="46"/>
      <c r="AB119" s="46"/>
      <c r="AC119" s="46"/>
      <c r="AD119" s="46"/>
      <c r="AE119" s="46"/>
      <c r="AF119" s="46"/>
      <c r="AG119" s="46"/>
      <c r="AH119" s="46"/>
      <c r="AI119" s="46"/>
      <c r="AJ119" s="46"/>
      <c r="AK119" s="46"/>
      <c r="AL119" s="47"/>
      <c r="AM119" s="47"/>
      <c r="AN119" s="47"/>
      <c r="AO119" s="47"/>
      <c r="AP119" s="47"/>
      <c r="AQ119" s="48"/>
      <c r="AR119" s="49"/>
      <c r="AS119" s="49"/>
      <c r="AT119" s="49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</row>
    <row r="120" spans="1:66" ht="15.75" customHeight="1" x14ac:dyDescent="0.25">
      <c r="A120" s="43"/>
      <c r="B120" s="50"/>
      <c r="C120" s="51"/>
      <c r="D120" s="43"/>
      <c r="E120" s="43"/>
      <c r="F120" s="43"/>
      <c r="G120" s="44"/>
      <c r="H120" s="23"/>
      <c r="I120" s="43"/>
      <c r="J120" s="43"/>
      <c r="K120" s="45"/>
      <c r="L120" s="46"/>
      <c r="M120" s="46"/>
      <c r="N120" s="46"/>
      <c r="O120" s="46"/>
      <c r="P120" s="46"/>
      <c r="Q120" s="46"/>
      <c r="R120" s="46"/>
      <c r="S120" s="46"/>
      <c r="T120" s="46"/>
      <c r="U120" s="46"/>
      <c r="V120" s="46"/>
      <c r="W120" s="46"/>
      <c r="X120" s="46"/>
      <c r="Y120" s="46"/>
      <c r="Z120" s="46"/>
      <c r="AA120" s="46"/>
      <c r="AB120" s="46"/>
      <c r="AC120" s="46"/>
      <c r="AD120" s="46"/>
      <c r="AE120" s="46"/>
      <c r="AF120" s="46"/>
      <c r="AG120" s="46"/>
      <c r="AH120" s="46"/>
      <c r="AI120" s="46"/>
      <c r="AJ120" s="46"/>
      <c r="AK120" s="46"/>
      <c r="AL120" s="47"/>
      <c r="AM120" s="47"/>
      <c r="AN120" s="47"/>
      <c r="AO120" s="47"/>
      <c r="AP120" s="47"/>
      <c r="AQ120" s="48"/>
      <c r="AR120" s="49"/>
      <c r="AS120" s="49"/>
      <c r="AT120" s="49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</row>
    <row r="121" spans="1:66" ht="15.75" customHeight="1" x14ac:dyDescent="0.25">
      <c r="A121" s="43"/>
      <c r="B121" s="50"/>
      <c r="C121" s="51"/>
      <c r="D121" s="43"/>
      <c r="E121" s="43"/>
      <c r="F121" s="43"/>
      <c r="G121" s="44"/>
      <c r="H121" s="23"/>
      <c r="I121" s="43"/>
      <c r="J121" s="43"/>
      <c r="K121" s="45"/>
      <c r="L121" s="46"/>
      <c r="M121" s="46"/>
      <c r="N121" s="46"/>
      <c r="O121" s="46"/>
      <c r="P121" s="46"/>
      <c r="Q121" s="46"/>
      <c r="R121" s="46"/>
      <c r="S121" s="46"/>
      <c r="T121" s="46"/>
      <c r="U121" s="46"/>
      <c r="V121" s="46"/>
      <c r="W121" s="46"/>
      <c r="X121" s="46"/>
      <c r="Y121" s="46"/>
      <c r="Z121" s="46"/>
      <c r="AA121" s="46"/>
      <c r="AB121" s="46"/>
      <c r="AC121" s="46"/>
      <c r="AD121" s="46"/>
      <c r="AE121" s="46"/>
      <c r="AF121" s="46"/>
      <c r="AG121" s="46"/>
      <c r="AH121" s="46"/>
      <c r="AI121" s="46"/>
      <c r="AJ121" s="46"/>
      <c r="AK121" s="46"/>
      <c r="AL121" s="47"/>
      <c r="AM121" s="47"/>
      <c r="AN121" s="47"/>
      <c r="AO121" s="47"/>
      <c r="AP121" s="47"/>
      <c r="AQ121" s="48"/>
      <c r="AR121" s="49"/>
      <c r="AS121" s="49"/>
      <c r="AT121" s="49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</row>
    <row r="122" spans="1:66" ht="15.75" customHeight="1" x14ac:dyDescent="0.25">
      <c r="A122" s="43"/>
      <c r="B122" s="50"/>
      <c r="C122" s="51"/>
      <c r="D122" s="43"/>
      <c r="E122" s="43"/>
      <c r="F122" s="43"/>
      <c r="G122" s="44"/>
      <c r="H122" s="23"/>
      <c r="I122" s="43"/>
      <c r="J122" s="43"/>
      <c r="K122" s="45"/>
      <c r="L122" s="46"/>
      <c r="M122" s="46"/>
      <c r="N122" s="46"/>
      <c r="O122" s="46"/>
      <c r="P122" s="46"/>
      <c r="Q122" s="46"/>
      <c r="R122" s="46"/>
      <c r="S122" s="46"/>
      <c r="T122" s="46"/>
      <c r="U122" s="46"/>
      <c r="V122" s="46"/>
      <c r="W122" s="46"/>
      <c r="X122" s="46"/>
      <c r="Y122" s="46"/>
      <c r="Z122" s="46"/>
      <c r="AA122" s="46"/>
      <c r="AB122" s="46"/>
      <c r="AC122" s="46"/>
      <c r="AD122" s="46"/>
      <c r="AE122" s="46"/>
      <c r="AF122" s="46"/>
      <c r="AG122" s="46"/>
      <c r="AH122" s="46"/>
      <c r="AI122" s="46"/>
      <c r="AJ122" s="46"/>
      <c r="AK122" s="46"/>
      <c r="AL122" s="47"/>
      <c r="AM122" s="47"/>
      <c r="AN122" s="47"/>
      <c r="AO122" s="47"/>
      <c r="AP122" s="47"/>
      <c r="AQ122" s="48"/>
      <c r="AR122" s="49"/>
      <c r="AS122" s="49"/>
      <c r="AT122" s="49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</row>
    <row r="123" spans="1:66" ht="15.75" customHeight="1" x14ac:dyDescent="0.25">
      <c r="A123" s="43"/>
      <c r="B123" s="50"/>
      <c r="C123" s="51"/>
      <c r="D123" s="43"/>
      <c r="E123" s="43"/>
      <c r="F123" s="43"/>
      <c r="G123" s="44"/>
      <c r="H123" s="23"/>
      <c r="I123" s="43"/>
      <c r="J123" s="43"/>
      <c r="K123" s="45"/>
      <c r="L123" s="46"/>
      <c r="M123" s="46"/>
      <c r="N123" s="46"/>
      <c r="O123" s="46"/>
      <c r="P123" s="46"/>
      <c r="Q123" s="46"/>
      <c r="R123" s="46"/>
      <c r="S123" s="46"/>
      <c r="T123" s="46"/>
      <c r="U123" s="46"/>
      <c r="V123" s="46"/>
      <c r="W123" s="46"/>
      <c r="X123" s="46"/>
      <c r="Y123" s="46"/>
      <c r="Z123" s="46"/>
      <c r="AA123" s="46"/>
      <c r="AB123" s="46"/>
      <c r="AC123" s="46"/>
      <c r="AD123" s="46"/>
      <c r="AE123" s="46"/>
      <c r="AF123" s="46"/>
      <c r="AG123" s="46"/>
      <c r="AH123" s="46"/>
      <c r="AI123" s="46"/>
      <c r="AJ123" s="46"/>
      <c r="AK123" s="46"/>
      <c r="AL123" s="47"/>
      <c r="AM123" s="47"/>
      <c r="AN123" s="47"/>
      <c r="AO123" s="47"/>
      <c r="AP123" s="47"/>
      <c r="AQ123" s="48"/>
      <c r="AR123" s="49"/>
      <c r="AS123" s="49"/>
      <c r="AT123" s="49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</row>
    <row r="124" spans="1:66" ht="15.75" customHeight="1" x14ac:dyDescent="0.25">
      <c r="A124" s="43"/>
      <c r="B124" s="50"/>
      <c r="C124" s="51"/>
      <c r="D124" s="43"/>
      <c r="E124" s="43"/>
      <c r="F124" s="43"/>
      <c r="G124" s="44"/>
      <c r="H124" s="23"/>
      <c r="I124" s="43"/>
      <c r="J124" s="43"/>
      <c r="K124" s="45"/>
      <c r="L124" s="46"/>
      <c r="M124" s="46"/>
      <c r="N124" s="46"/>
      <c r="O124" s="46"/>
      <c r="P124" s="46"/>
      <c r="Q124" s="46"/>
      <c r="R124" s="46"/>
      <c r="S124" s="46"/>
      <c r="T124" s="46"/>
      <c r="U124" s="46"/>
      <c r="V124" s="46"/>
      <c r="W124" s="46"/>
      <c r="X124" s="46"/>
      <c r="Y124" s="46"/>
      <c r="Z124" s="46"/>
      <c r="AA124" s="46"/>
      <c r="AB124" s="46"/>
      <c r="AC124" s="46"/>
      <c r="AD124" s="46"/>
      <c r="AE124" s="46"/>
      <c r="AF124" s="46"/>
      <c r="AG124" s="46"/>
      <c r="AH124" s="46"/>
      <c r="AI124" s="46"/>
      <c r="AJ124" s="46"/>
      <c r="AK124" s="46"/>
      <c r="AL124" s="47"/>
      <c r="AM124" s="47"/>
      <c r="AN124" s="47"/>
      <c r="AO124" s="47"/>
      <c r="AP124" s="47"/>
      <c r="AQ124" s="48"/>
      <c r="AR124" s="49"/>
      <c r="AS124" s="49"/>
      <c r="AT124" s="49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</row>
    <row r="125" spans="1:66" ht="15.75" customHeight="1" x14ac:dyDescent="0.25">
      <c r="A125" s="43"/>
      <c r="B125" s="50"/>
      <c r="C125" s="51"/>
      <c r="D125" s="43"/>
      <c r="E125" s="43"/>
      <c r="F125" s="43"/>
      <c r="G125" s="44"/>
      <c r="H125" s="23"/>
      <c r="I125" s="43"/>
      <c r="J125" s="43"/>
      <c r="K125" s="45"/>
      <c r="L125" s="46"/>
      <c r="M125" s="46"/>
      <c r="N125" s="46"/>
      <c r="O125" s="46"/>
      <c r="P125" s="46"/>
      <c r="Q125" s="46"/>
      <c r="R125" s="46"/>
      <c r="S125" s="46"/>
      <c r="T125" s="46"/>
      <c r="U125" s="46"/>
      <c r="V125" s="46"/>
      <c r="W125" s="46"/>
      <c r="X125" s="46"/>
      <c r="Y125" s="46"/>
      <c r="Z125" s="46"/>
      <c r="AA125" s="46"/>
      <c r="AB125" s="46"/>
      <c r="AC125" s="46"/>
      <c r="AD125" s="46"/>
      <c r="AE125" s="46"/>
      <c r="AF125" s="46"/>
      <c r="AG125" s="46"/>
      <c r="AH125" s="46"/>
      <c r="AI125" s="46"/>
      <c r="AJ125" s="46"/>
      <c r="AK125" s="46"/>
      <c r="AL125" s="47"/>
      <c r="AM125" s="47"/>
      <c r="AN125" s="47"/>
      <c r="AO125" s="47"/>
      <c r="AP125" s="47"/>
      <c r="AQ125" s="48"/>
      <c r="AR125" s="49"/>
      <c r="AS125" s="49"/>
      <c r="AT125" s="49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</row>
    <row r="126" spans="1:66" ht="15.75" customHeight="1" x14ac:dyDescent="0.25">
      <c r="A126" s="43"/>
      <c r="B126" s="50"/>
      <c r="C126" s="51"/>
      <c r="D126" s="43"/>
      <c r="E126" s="43"/>
      <c r="F126" s="43"/>
      <c r="G126" s="44"/>
      <c r="H126" s="23"/>
      <c r="I126" s="43"/>
      <c r="J126" s="43"/>
      <c r="K126" s="45"/>
      <c r="L126" s="46"/>
      <c r="M126" s="46"/>
      <c r="N126" s="46"/>
      <c r="O126" s="46"/>
      <c r="P126" s="46"/>
      <c r="Q126" s="46"/>
      <c r="R126" s="46"/>
      <c r="S126" s="46"/>
      <c r="T126" s="46"/>
      <c r="U126" s="46"/>
      <c r="V126" s="46"/>
      <c r="W126" s="46"/>
      <c r="X126" s="46"/>
      <c r="Y126" s="46"/>
      <c r="Z126" s="46"/>
      <c r="AA126" s="46"/>
      <c r="AB126" s="46"/>
      <c r="AC126" s="46"/>
      <c r="AD126" s="46"/>
      <c r="AE126" s="46"/>
      <c r="AF126" s="46"/>
      <c r="AG126" s="46"/>
      <c r="AH126" s="46"/>
      <c r="AI126" s="46"/>
      <c r="AJ126" s="46"/>
      <c r="AK126" s="46"/>
      <c r="AL126" s="47"/>
      <c r="AM126" s="47"/>
      <c r="AN126" s="47"/>
      <c r="AO126" s="47"/>
      <c r="AP126" s="47"/>
      <c r="AQ126" s="48"/>
      <c r="AR126" s="49"/>
      <c r="AS126" s="49"/>
      <c r="AT126" s="49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</row>
    <row r="127" spans="1:66" ht="15.75" customHeight="1" x14ac:dyDescent="0.25">
      <c r="A127" s="43"/>
      <c r="B127" s="50"/>
      <c r="C127" s="51"/>
      <c r="D127" s="43"/>
      <c r="E127" s="43"/>
      <c r="F127" s="43"/>
      <c r="G127" s="44"/>
      <c r="H127" s="23"/>
      <c r="I127" s="43"/>
      <c r="J127" s="43"/>
      <c r="K127" s="45"/>
      <c r="L127" s="46"/>
      <c r="M127" s="46"/>
      <c r="N127" s="46"/>
      <c r="O127" s="46"/>
      <c r="P127" s="46"/>
      <c r="Q127" s="46"/>
      <c r="R127" s="46"/>
      <c r="S127" s="46"/>
      <c r="T127" s="46"/>
      <c r="U127" s="46"/>
      <c r="V127" s="46"/>
      <c r="W127" s="46"/>
      <c r="X127" s="46"/>
      <c r="Y127" s="46"/>
      <c r="Z127" s="46"/>
      <c r="AA127" s="46"/>
      <c r="AB127" s="46"/>
      <c r="AC127" s="46"/>
      <c r="AD127" s="46"/>
      <c r="AE127" s="46"/>
      <c r="AF127" s="46"/>
      <c r="AG127" s="46"/>
      <c r="AH127" s="46"/>
      <c r="AI127" s="46"/>
      <c r="AJ127" s="46"/>
      <c r="AK127" s="46"/>
      <c r="AL127" s="47"/>
      <c r="AM127" s="47"/>
      <c r="AN127" s="47"/>
      <c r="AO127" s="47"/>
      <c r="AP127" s="47"/>
      <c r="AQ127" s="48"/>
      <c r="AR127" s="49"/>
      <c r="AS127" s="49"/>
      <c r="AT127" s="49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</row>
    <row r="128" spans="1:66" ht="15.75" customHeight="1" x14ac:dyDescent="0.25">
      <c r="A128" s="43"/>
      <c r="B128" s="50"/>
      <c r="C128" s="51"/>
      <c r="D128" s="43"/>
      <c r="E128" s="43"/>
      <c r="F128" s="43"/>
      <c r="G128" s="44"/>
      <c r="H128" s="23"/>
      <c r="I128" s="43"/>
      <c r="J128" s="43"/>
      <c r="K128" s="45"/>
      <c r="L128" s="46"/>
      <c r="M128" s="46"/>
      <c r="N128" s="46"/>
      <c r="O128" s="46"/>
      <c r="P128" s="46"/>
      <c r="Q128" s="46"/>
      <c r="R128" s="46"/>
      <c r="S128" s="46"/>
      <c r="T128" s="46"/>
      <c r="U128" s="46"/>
      <c r="V128" s="46"/>
      <c r="W128" s="46"/>
      <c r="X128" s="46"/>
      <c r="Y128" s="46"/>
      <c r="Z128" s="46"/>
      <c r="AA128" s="46"/>
      <c r="AB128" s="46"/>
      <c r="AC128" s="46"/>
      <c r="AD128" s="46"/>
      <c r="AE128" s="46"/>
      <c r="AF128" s="46"/>
      <c r="AG128" s="46"/>
      <c r="AH128" s="46"/>
      <c r="AI128" s="46"/>
      <c r="AJ128" s="46"/>
      <c r="AK128" s="46"/>
      <c r="AL128" s="47"/>
      <c r="AM128" s="47"/>
      <c r="AN128" s="47"/>
      <c r="AO128" s="47"/>
      <c r="AP128" s="47"/>
      <c r="AQ128" s="48"/>
      <c r="AR128" s="49"/>
      <c r="AS128" s="49"/>
      <c r="AT128" s="49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</row>
    <row r="129" spans="1:66" ht="15.75" customHeight="1" x14ac:dyDescent="0.25">
      <c r="A129" s="43"/>
      <c r="B129" s="50"/>
      <c r="C129" s="51"/>
      <c r="D129" s="43"/>
      <c r="E129" s="43"/>
      <c r="F129" s="43"/>
      <c r="G129" s="44"/>
      <c r="H129" s="23"/>
      <c r="I129" s="43"/>
      <c r="J129" s="43"/>
      <c r="K129" s="45"/>
      <c r="L129" s="46"/>
      <c r="M129" s="46"/>
      <c r="N129" s="46"/>
      <c r="O129" s="46"/>
      <c r="P129" s="46"/>
      <c r="Q129" s="46"/>
      <c r="R129" s="46"/>
      <c r="S129" s="46"/>
      <c r="T129" s="46"/>
      <c r="U129" s="46"/>
      <c r="V129" s="46"/>
      <c r="W129" s="46"/>
      <c r="X129" s="46"/>
      <c r="Y129" s="46"/>
      <c r="Z129" s="46"/>
      <c r="AA129" s="46"/>
      <c r="AB129" s="46"/>
      <c r="AC129" s="46"/>
      <c r="AD129" s="46"/>
      <c r="AE129" s="46"/>
      <c r="AF129" s="46"/>
      <c r="AG129" s="46"/>
      <c r="AH129" s="46"/>
      <c r="AI129" s="46"/>
      <c r="AJ129" s="46"/>
      <c r="AK129" s="46"/>
      <c r="AL129" s="47"/>
      <c r="AM129" s="47"/>
      <c r="AN129" s="47"/>
      <c r="AO129" s="47"/>
      <c r="AP129" s="47"/>
      <c r="AQ129" s="48"/>
      <c r="AR129" s="49"/>
      <c r="AS129" s="49"/>
      <c r="AT129" s="49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</row>
    <row r="130" spans="1:66" ht="15.75" customHeight="1" x14ac:dyDescent="0.25">
      <c r="A130" s="43"/>
      <c r="B130" s="50"/>
      <c r="C130" s="51"/>
      <c r="D130" s="43"/>
      <c r="E130" s="43"/>
      <c r="F130" s="43"/>
      <c r="G130" s="44"/>
      <c r="H130" s="23"/>
      <c r="I130" s="43"/>
      <c r="J130" s="43"/>
      <c r="K130" s="45"/>
      <c r="L130" s="46"/>
      <c r="M130" s="46"/>
      <c r="N130" s="46"/>
      <c r="O130" s="46"/>
      <c r="P130" s="46"/>
      <c r="Q130" s="46"/>
      <c r="R130" s="46"/>
      <c r="S130" s="46"/>
      <c r="T130" s="46"/>
      <c r="U130" s="46"/>
      <c r="V130" s="46"/>
      <c r="W130" s="46"/>
      <c r="X130" s="46"/>
      <c r="Y130" s="46"/>
      <c r="Z130" s="46"/>
      <c r="AA130" s="46"/>
      <c r="AB130" s="46"/>
      <c r="AC130" s="46"/>
      <c r="AD130" s="46"/>
      <c r="AE130" s="46"/>
      <c r="AF130" s="46"/>
      <c r="AG130" s="46"/>
      <c r="AH130" s="46"/>
      <c r="AI130" s="46"/>
      <c r="AJ130" s="46"/>
      <c r="AK130" s="46"/>
      <c r="AL130" s="47"/>
      <c r="AM130" s="47"/>
      <c r="AN130" s="47"/>
      <c r="AO130" s="47"/>
      <c r="AP130" s="47"/>
      <c r="AQ130" s="48"/>
      <c r="AR130" s="49"/>
      <c r="AS130" s="49"/>
      <c r="AT130" s="49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</row>
    <row r="131" spans="1:66" ht="15.75" customHeight="1" x14ac:dyDescent="0.25">
      <c r="A131" s="43"/>
      <c r="B131" s="50"/>
      <c r="C131" s="51"/>
      <c r="D131" s="43"/>
      <c r="E131" s="43"/>
      <c r="F131" s="43"/>
      <c r="G131" s="44"/>
      <c r="H131" s="23"/>
      <c r="I131" s="43"/>
      <c r="J131" s="43"/>
      <c r="K131" s="45"/>
      <c r="L131" s="46"/>
      <c r="M131" s="46"/>
      <c r="N131" s="46"/>
      <c r="O131" s="46"/>
      <c r="P131" s="46"/>
      <c r="Q131" s="46"/>
      <c r="R131" s="46"/>
      <c r="S131" s="46"/>
      <c r="T131" s="46"/>
      <c r="U131" s="46"/>
      <c r="V131" s="46"/>
      <c r="W131" s="46"/>
      <c r="X131" s="46"/>
      <c r="Y131" s="46"/>
      <c r="Z131" s="46"/>
      <c r="AA131" s="46"/>
      <c r="AB131" s="46"/>
      <c r="AC131" s="46"/>
      <c r="AD131" s="46"/>
      <c r="AE131" s="46"/>
      <c r="AF131" s="46"/>
      <c r="AG131" s="46"/>
      <c r="AH131" s="46"/>
      <c r="AI131" s="46"/>
      <c r="AJ131" s="46"/>
      <c r="AK131" s="46"/>
      <c r="AL131" s="47"/>
      <c r="AM131" s="47"/>
      <c r="AN131" s="47"/>
      <c r="AO131" s="47"/>
      <c r="AP131" s="47"/>
      <c r="AQ131" s="48"/>
      <c r="AR131" s="49"/>
      <c r="AS131" s="49"/>
      <c r="AT131" s="49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</row>
    <row r="132" spans="1:66" ht="15.75" customHeight="1" x14ac:dyDescent="0.25">
      <c r="A132" s="43"/>
      <c r="B132" s="50"/>
      <c r="C132" s="51"/>
      <c r="D132" s="43"/>
      <c r="E132" s="43"/>
      <c r="F132" s="43"/>
      <c r="G132" s="44"/>
      <c r="H132" s="23"/>
      <c r="I132" s="43"/>
      <c r="J132" s="43"/>
      <c r="K132" s="45"/>
      <c r="L132" s="46"/>
      <c r="M132" s="46"/>
      <c r="N132" s="46"/>
      <c r="O132" s="46"/>
      <c r="P132" s="46"/>
      <c r="Q132" s="46"/>
      <c r="R132" s="46"/>
      <c r="S132" s="46"/>
      <c r="T132" s="46"/>
      <c r="U132" s="46"/>
      <c r="V132" s="46"/>
      <c r="W132" s="46"/>
      <c r="X132" s="46"/>
      <c r="Y132" s="46"/>
      <c r="Z132" s="46"/>
      <c r="AA132" s="46"/>
      <c r="AB132" s="46"/>
      <c r="AC132" s="46"/>
      <c r="AD132" s="46"/>
      <c r="AE132" s="46"/>
      <c r="AF132" s="46"/>
      <c r="AG132" s="46"/>
      <c r="AH132" s="46"/>
      <c r="AI132" s="46"/>
      <c r="AJ132" s="46"/>
      <c r="AK132" s="46"/>
      <c r="AL132" s="47"/>
      <c r="AM132" s="47"/>
      <c r="AN132" s="47"/>
      <c r="AO132" s="47"/>
      <c r="AP132" s="47"/>
      <c r="AQ132" s="48"/>
      <c r="AR132" s="49"/>
      <c r="AS132" s="49"/>
      <c r="AT132" s="49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</row>
    <row r="133" spans="1:66" ht="15.75" customHeight="1" x14ac:dyDescent="0.25">
      <c r="A133" s="43"/>
      <c r="B133" s="50"/>
      <c r="C133" s="51"/>
      <c r="D133" s="43"/>
      <c r="E133" s="43"/>
      <c r="F133" s="43"/>
      <c r="G133" s="44"/>
      <c r="H133" s="23"/>
      <c r="I133" s="43"/>
      <c r="J133" s="43"/>
      <c r="K133" s="45"/>
      <c r="L133" s="46"/>
      <c r="M133" s="46"/>
      <c r="N133" s="46"/>
      <c r="O133" s="46"/>
      <c r="P133" s="46"/>
      <c r="Q133" s="46"/>
      <c r="R133" s="46"/>
      <c r="S133" s="46"/>
      <c r="T133" s="46"/>
      <c r="U133" s="46"/>
      <c r="V133" s="46"/>
      <c r="W133" s="46"/>
      <c r="X133" s="46"/>
      <c r="Y133" s="46"/>
      <c r="Z133" s="46"/>
      <c r="AA133" s="46"/>
      <c r="AB133" s="46"/>
      <c r="AC133" s="46"/>
      <c r="AD133" s="46"/>
      <c r="AE133" s="46"/>
      <c r="AF133" s="46"/>
      <c r="AG133" s="46"/>
      <c r="AH133" s="46"/>
      <c r="AI133" s="46"/>
      <c r="AJ133" s="46"/>
      <c r="AK133" s="46"/>
      <c r="AL133" s="47"/>
      <c r="AM133" s="47"/>
      <c r="AN133" s="47"/>
      <c r="AO133" s="47"/>
      <c r="AP133" s="47"/>
      <c r="AQ133" s="48"/>
      <c r="AR133" s="49"/>
      <c r="AS133" s="49"/>
      <c r="AT133" s="49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</row>
    <row r="134" spans="1:66" ht="15.75" customHeight="1" x14ac:dyDescent="0.25">
      <c r="A134" s="43"/>
      <c r="B134" s="50"/>
      <c r="C134" s="51"/>
      <c r="D134" s="43"/>
      <c r="E134" s="43"/>
      <c r="F134" s="43"/>
      <c r="G134" s="44"/>
      <c r="H134" s="23"/>
      <c r="I134" s="43"/>
      <c r="J134" s="43"/>
      <c r="K134" s="45"/>
      <c r="L134" s="46"/>
      <c r="M134" s="46"/>
      <c r="N134" s="46"/>
      <c r="O134" s="46"/>
      <c r="P134" s="46"/>
      <c r="Q134" s="46"/>
      <c r="R134" s="46"/>
      <c r="S134" s="46"/>
      <c r="T134" s="46"/>
      <c r="U134" s="46"/>
      <c r="V134" s="46"/>
      <c r="W134" s="46"/>
      <c r="X134" s="46"/>
      <c r="Y134" s="46"/>
      <c r="Z134" s="46"/>
      <c r="AA134" s="46"/>
      <c r="AB134" s="46"/>
      <c r="AC134" s="46"/>
      <c r="AD134" s="46"/>
      <c r="AE134" s="46"/>
      <c r="AF134" s="46"/>
      <c r="AG134" s="46"/>
      <c r="AH134" s="46"/>
      <c r="AI134" s="46"/>
      <c r="AJ134" s="46"/>
      <c r="AK134" s="46"/>
      <c r="AL134" s="47"/>
      <c r="AM134" s="47"/>
      <c r="AN134" s="47"/>
      <c r="AO134" s="47"/>
      <c r="AP134" s="47"/>
      <c r="AQ134" s="48"/>
      <c r="AR134" s="49"/>
      <c r="AS134" s="49"/>
      <c r="AT134" s="49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</row>
    <row r="135" spans="1:66" ht="15.75" customHeight="1" x14ac:dyDescent="0.25">
      <c r="A135" s="43"/>
      <c r="B135" s="50"/>
      <c r="C135" s="51"/>
      <c r="D135" s="43"/>
      <c r="E135" s="43"/>
      <c r="F135" s="43"/>
      <c r="G135" s="44"/>
      <c r="H135" s="23"/>
      <c r="I135" s="43"/>
      <c r="J135" s="43"/>
      <c r="K135" s="45"/>
      <c r="L135" s="46"/>
      <c r="M135" s="46"/>
      <c r="N135" s="46"/>
      <c r="O135" s="46"/>
      <c r="P135" s="46"/>
      <c r="Q135" s="46"/>
      <c r="R135" s="46"/>
      <c r="S135" s="46"/>
      <c r="T135" s="46"/>
      <c r="U135" s="46"/>
      <c r="V135" s="46"/>
      <c r="W135" s="46"/>
      <c r="X135" s="46"/>
      <c r="Y135" s="46"/>
      <c r="Z135" s="46"/>
      <c r="AA135" s="46"/>
      <c r="AB135" s="46"/>
      <c r="AC135" s="46"/>
      <c r="AD135" s="46"/>
      <c r="AE135" s="46"/>
      <c r="AF135" s="46"/>
      <c r="AG135" s="46"/>
      <c r="AH135" s="46"/>
      <c r="AI135" s="46"/>
      <c r="AJ135" s="46"/>
      <c r="AK135" s="46"/>
      <c r="AL135" s="47"/>
      <c r="AM135" s="47"/>
      <c r="AN135" s="47"/>
      <c r="AO135" s="47"/>
      <c r="AP135" s="47"/>
      <c r="AQ135" s="48"/>
      <c r="AR135" s="49"/>
      <c r="AS135" s="49"/>
      <c r="AT135" s="49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</row>
    <row r="136" spans="1:66" ht="15.75" customHeight="1" x14ac:dyDescent="0.25">
      <c r="A136" s="43"/>
      <c r="B136" s="50"/>
      <c r="C136" s="51"/>
      <c r="D136" s="43"/>
      <c r="E136" s="43"/>
      <c r="F136" s="43"/>
      <c r="G136" s="44"/>
      <c r="H136" s="23"/>
      <c r="I136" s="43"/>
      <c r="J136" s="43"/>
      <c r="K136" s="45"/>
      <c r="L136" s="46"/>
      <c r="M136" s="46"/>
      <c r="N136" s="46"/>
      <c r="O136" s="46"/>
      <c r="P136" s="46"/>
      <c r="Q136" s="46"/>
      <c r="R136" s="46"/>
      <c r="S136" s="46"/>
      <c r="T136" s="46"/>
      <c r="U136" s="46"/>
      <c r="V136" s="46"/>
      <c r="W136" s="46"/>
      <c r="X136" s="46"/>
      <c r="Y136" s="46"/>
      <c r="Z136" s="46"/>
      <c r="AA136" s="46"/>
      <c r="AB136" s="46"/>
      <c r="AC136" s="46"/>
      <c r="AD136" s="46"/>
      <c r="AE136" s="46"/>
      <c r="AF136" s="46"/>
      <c r="AG136" s="46"/>
      <c r="AH136" s="46"/>
      <c r="AI136" s="46"/>
      <c r="AJ136" s="46"/>
      <c r="AK136" s="46"/>
      <c r="AL136" s="47"/>
      <c r="AM136" s="47"/>
      <c r="AN136" s="47"/>
      <c r="AO136" s="47"/>
      <c r="AP136" s="47"/>
      <c r="AQ136" s="48"/>
      <c r="AR136" s="49"/>
      <c r="AS136" s="49"/>
      <c r="AT136" s="49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</row>
    <row r="137" spans="1:66" ht="15.75" customHeight="1" x14ac:dyDescent="0.25">
      <c r="A137" s="43"/>
      <c r="B137" s="50"/>
      <c r="C137" s="51"/>
      <c r="D137" s="43"/>
      <c r="E137" s="43"/>
      <c r="F137" s="43"/>
      <c r="G137" s="44"/>
      <c r="H137" s="23"/>
      <c r="I137" s="43"/>
      <c r="J137" s="43"/>
      <c r="K137" s="45"/>
      <c r="L137" s="46"/>
      <c r="M137" s="46"/>
      <c r="N137" s="46"/>
      <c r="O137" s="46"/>
      <c r="P137" s="46"/>
      <c r="Q137" s="46"/>
      <c r="R137" s="46"/>
      <c r="S137" s="46"/>
      <c r="T137" s="46"/>
      <c r="U137" s="46"/>
      <c r="V137" s="46"/>
      <c r="W137" s="46"/>
      <c r="X137" s="46"/>
      <c r="Y137" s="46"/>
      <c r="Z137" s="46"/>
      <c r="AA137" s="46"/>
      <c r="AB137" s="46"/>
      <c r="AC137" s="46"/>
      <c r="AD137" s="46"/>
      <c r="AE137" s="46"/>
      <c r="AF137" s="46"/>
      <c r="AG137" s="46"/>
      <c r="AH137" s="46"/>
      <c r="AI137" s="46"/>
      <c r="AJ137" s="46"/>
      <c r="AK137" s="46"/>
      <c r="AL137" s="47"/>
      <c r="AM137" s="47"/>
      <c r="AN137" s="47"/>
      <c r="AO137" s="47"/>
      <c r="AP137" s="47"/>
      <c r="AQ137" s="48"/>
      <c r="AR137" s="49"/>
      <c r="AS137" s="49"/>
      <c r="AT137" s="49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</row>
    <row r="138" spans="1:66" ht="15.75" customHeight="1" x14ac:dyDescent="0.25">
      <c r="A138" s="43"/>
      <c r="B138" s="50"/>
      <c r="C138" s="51"/>
      <c r="D138" s="43"/>
      <c r="E138" s="43"/>
      <c r="F138" s="43"/>
      <c r="G138" s="44"/>
      <c r="H138" s="23"/>
      <c r="I138" s="43"/>
      <c r="J138" s="43"/>
      <c r="K138" s="45"/>
      <c r="L138" s="46"/>
      <c r="M138" s="46"/>
      <c r="N138" s="46"/>
      <c r="O138" s="46"/>
      <c r="P138" s="46"/>
      <c r="Q138" s="46"/>
      <c r="R138" s="46"/>
      <c r="S138" s="46"/>
      <c r="T138" s="46"/>
      <c r="U138" s="46"/>
      <c r="V138" s="46"/>
      <c r="W138" s="46"/>
      <c r="X138" s="46"/>
      <c r="Y138" s="46"/>
      <c r="Z138" s="46"/>
      <c r="AA138" s="46"/>
      <c r="AB138" s="46"/>
      <c r="AC138" s="46"/>
      <c r="AD138" s="46"/>
      <c r="AE138" s="46"/>
      <c r="AF138" s="46"/>
      <c r="AG138" s="46"/>
      <c r="AH138" s="46"/>
      <c r="AI138" s="46"/>
      <c r="AJ138" s="46"/>
      <c r="AK138" s="46"/>
      <c r="AL138" s="47"/>
      <c r="AM138" s="47"/>
      <c r="AN138" s="47"/>
      <c r="AO138" s="47"/>
      <c r="AP138" s="47"/>
      <c r="AQ138" s="48"/>
      <c r="AR138" s="49"/>
      <c r="AS138" s="49"/>
      <c r="AT138" s="49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</row>
    <row r="139" spans="1:66" ht="15.75" customHeight="1" x14ac:dyDescent="0.25">
      <c r="A139" s="43"/>
      <c r="B139" s="50"/>
      <c r="C139" s="51"/>
      <c r="D139" s="43"/>
      <c r="E139" s="43"/>
      <c r="F139" s="43"/>
      <c r="G139" s="44"/>
      <c r="H139" s="23"/>
      <c r="I139" s="43"/>
      <c r="J139" s="43"/>
      <c r="K139" s="45"/>
      <c r="L139" s="46"/>
      <c r="M139" s="46"/>
      <c r="N139" s="46"/>
      <c r="O139" s="46"/>
      <c r="P139" s="46"/>
      <c r="Q139" s="46"/>
      <c r="R139" s="46"/>
      <c r="S139" s="46"/>
      <c r="T139" s="46"/>
      <c r="U139" s="46"/>
      <c r="V139" s="46"/>
      <c r="W139" s="46"/>
      <c r="X139" s="46"/>
      <c r="Y139" s="46"/>
      <c r="Z139" s="46"/>
      <c r="AA139" s="46"/>
      <c r="AB139" s="46"/>
      <c r="AC139" s="46"/>
      <c r="AD139" s="46"/>
      <c r="AE139" s="46"/>
      <c r="AF139" s="46"/>
      <c r="AG139" s="46"/>
      <c r="AH139" s="46"/>
      <c r="AI139" s="46"/>
      <c r="AJ139" s="46"/>
      <c r="AK139" s="46"/>
      <c r="AL139" s="47"/>
      <c r="AM139" s="47"/>
      <c r="AN139" s="47"/>
      <c r="AO139" s="47"/>
      <c r="AP139" s="47"/>
      <c r="AQ139" s="48"/>
      <c r="AR139" s="49"/>
      <c r="AS139" s="49"/>
      <c r="AT139" s="49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</row>
    <row r="140" spans="1:66" ht="15.75" customHeight="1" x14ac:dyDescent="0.25">
      <c r="A140" s="43"/>
      <c r="B140" s="50"/>
      <c r="C140" s="51"/>
      <c r="D140" s="43"/>
      <c r="E140" s="43"/>
      <c r="F140" s="43"/>
      <c r="G140" s="44"/>
      <c r="H140" s="23"/>
      <c r="I140" s="43"/>
      <c r="J140" s="43"/>
      <c r="K140" s="45"/>
      <c r="L140" s="46"/>
      <c r="M140" s="46"/>
      <c r="N140" s="46"/>
      <c r="O140" s="46"/>
      <c r="P140" s="46"/>
      <c r="Q140" s="46"/>
      <c r="R140" s="46"/>
      <c r="S140" s="46"/>
      <c r="T140" s="46"/>
      <c r="U140" s="46"/>
      <c r="V140" s="46"/>
      <c r="W140" s="46"/>
      <c r="X140" s="46"/>
      <c r="Y140" s="46"/>
      <c r="Z140" s="46"/>
      <c r="AA140" s="46"/>
      <c r="AB140" s="46"/>
      <c r="AC140" s="46"/>
      <c r="AD140" s="46"/>
      <c r="AE140" s="46"/>
      <c r="AF140" s="46"/>
      <c r="AG140" s="46"/>
      <c r="AH140" s="46"/>
      <c r="AI140" s="46"/>
      <c r="AJ140" s="46"/>
      <c r="AK140" s="46"/>
      <c r="AL140" s="47"/>
      <c r="AM140" s="47"/>
      <c r="AN140" s="47"/>
      <c r="AO140" s="47"/>
      <c r="AP140" s="47"/>
      <c r="AQ140" s="48"/>
      <c r="AR140" s="49"/>
      <c r="AS140" s="49"/>
      <c r="AT140" s="49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</row>
    <row r="141" spans="1:66" ht="15.75" customHeight="1" x14ac:dyDescent="0.25">
      <c r="A141" s="43"/>
      <c r="B141" s="50"/>
      <c r="C141" s="51"/>
      <c r="D141" s="43"/>
      <c r="E141" s="43"/>
      <c r="F141" s="43"/>
      <c r="G141" s="44"/>
      <c r="H141" s="23"/>
      <c r="I141" s="43"/>
      <c r="J141" s="43"/>
      <c r="K141" s="45"/>
      <c r="L141" s="46"/>
      <c r="M141" s="46"/>
      <c r="N141" s="46"/>
      <c r="O141" s="46"/>
      <c r="P141" s="46"/>
      <c r="Q141" s="46"/>
      <c r="R141" s="46"/>
      <c r="S141" s="46"/>
      <c r="T141" s="46"/>
      <c r="U141" s="46"/>
      <c r="V141" s="46"/>
      <c r="W141" s="46"/>
      <c r="X141" s="46"/>
      <c r="Y141" s="46"/>
      <c r="Z141" s="46"/>
      <c r="AA141" s="46"/>
      <c r="AB141" s="46"/>
      <c r="AC141" s="46"/>
      <c r="AD141" s="46"/>
      <c r="AE141" s="46"/>
      <c r="AF141" s="46"/>
      <c r="AG141" s="46"/>
      <c r="AH141" s="46"/>
      <c r="AI141" s="46"/>
      <c r="AJ141" s="46"/>
      <c r="AK141" s="46"/>
      <c r="AL141" s="47"/>
      <c r="AM141" s="47"/>
      <c r="AN141" s="47"/>
      <c r="AO141" s="47"/>
      <c r="AP141" s="47"/>
      <c r="AQ141" s="48"/>
      <c r="AR141" s="49"/>
      <c r="AS141" s="49"/>
      <c r="AT141" s="49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</row>
    <row r="142" spans="1:66" ht="15.75" customHeight="1" x14ac:dyDescent="0.25">
      <c r="A142" s="43"/>
      <c r="B142" s="50"/>
      <c r="C142" s="51"/>
      <c r="D142" s="43"/>
      <c r="E142" s="43"/>
      <c r="F142" s="43"/>
      <c r="G142" s="44"/>
      <c r="H142" s="23"/>
      <c r="I142" s="43"/>
      <c r="J142" s="43"/>
      <c r="K142" s="45"/>
      <c r="L142" s="46"/>
      <c r="M142" s="46"/>
      <c r="N142" s="46"/>
      <c r="O142" s="46"/>
      <c r="P142" s="46"/>
      <c r="Q142" s="46"/>
      <c r="R142" s="46"/>
      <c r="S142" s="46"/>
      <c r="T142" s="46"/>
      <c r="U142" s="46"/>
      <c r="V142" s="46"/>
      <c r="W142" s="46"/>
      <c r="X142" s="46"/>
      <c r="Y142" s="46"/>
      <c r="Z142" s="46"/>
      <c r="AA142" s="46"/>
      <c r="AB142" s="46"/>
      <c r="AC142" s="46"/>
      <c r="AD142" s="46"/>
      <c r="AE142" s="46"/>
      <c r="AF142" s="46"/>
      <c r="AG142" s="46"/>
      <c r="AH142" s="46"/>
      <c r="AI142" s="46"/>
      <c r="AJ142" s="46"/>
      <c r="AK142" s="46"/>
      <c r="AL142" s="47"/>
      <c r="AM142" s="47"/>
      <c r="AN142" s="47"/>
      <c r="AO142" s="47"/>
      <c r="AP142" s="47"/>
      <c r="AQ142" s="48"/>
      <c r="AR142" s="49"/>
      <c r="AS142" s="49"/>
      <c r="AT142" s="49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</row>
    <row r="143" spans="1:66" ht="15.75" customHeight="1" x14ac:dyDescent="0.25">
      <c r="A143" s="43"/>
      <c r="B143" s="50"/>
      <c r="C143" s="51"/>
      <c r="D143" s="43"/>
      <c r="E143" s="43"/>
      <c r="F143" s="43"/>
      <c r="G143" s="44"/>
      <c r="H143" s="23"/>
      <c r="I143" s="43"/>
      <c r="J143" s="43"/>
      <c r="K143" s="45"/>
      <c r="L143" s="46"/>
      <c r="M143" s="46"/>
      <c r="N143" s="46"/>
      <c r="O143" s="46"/>
      <c r="P143" s="46"/>
      <c r="Q143" s="46"/>
      <c r="R143" s="46"/>
      <c r="S143" s="46"/>
      <c r="T143" s="46"/>
      <c r="U143" s="46"/>
      <c r="V143" s="46"/>
      <c r="W143" s="46"/>
      <c r="X143" s="46"/>
      <c r="Y143" s="46"/>
      <c r="Z143" s="46"/>
      <c r="AA143" s="46"/>
      <c r="AB143" s="46"/>
      <c r="AC143" s="46"/>
      <c r="AD143" s="46"/>
      <c r="AE143" s="46"/>
      <c r="AF143" s="46"/>
      <c r="AG143" s="46"/>
      <c r="AH143" s="46"/>
      <c r="AI143" s="46"/>
      <c r="AJ143" s="46"/>
      <c r="AK143" s="46"/>
      <c r="AL143" s="47"/>
      <c r="AM143" s="47"/>
      <c r="AN143" s="47"/>
      <c r="AO143" s="47"/>
      <c r="AP143" s="47"/>
      <c r="AQ143" s="48"/>
      <c r="AR143" s="49"/>
      <c r="AS143" s="49"/>
      <c r="AT143" s="49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</row>
    <row r="144" spans="1:66" ht="15.75" customHeight="1" x14ac:dyDescent="0.25">
      <c r="A144" s="43"/>
      <c r="B144" s="50"/>
      <c r="C144" s="51"/>
      <c r="D144" s="43"/>
      <c r="E144" s="43"/>
      <c r="F144" s="43"/>
      <c r="G144" s="44"/>
      <c r="H144" s="23"/>
      <c r="I144" s="43"/>
      <c r="J144" s="43"/>
      <c r="K144" s="45"/>
      <c r="L144" s="46"/>
      <c r="M144" s="46"/>
      <c r="N144" s="46"/>
      <c r="O144" s="46"/>
      <c r="P144" s="46"/>
      <c r="Q144" s="46"/>
      <c r="R144" s="46"/>
      <c r="S144" s="46"/>
      <c r="T144" s="46"/>
      <c r="U144" s="46"/>
      <c r="V144" s="46"/>
      <c r="W144" s="46"/>
      <c r="X144" s="46"/>
      <c r="Y144" s="46"/>
      <c r="Z144" s="46"/>
      <c r="AA144" s="46"/>
      <c r="AB144" s="46"/>
      <c r="AC144" s="46"/>
      <c r="AD144" s="46"/>
      <c r="AE144" s="46"/>
      <c r="AF144" s="46"/>
      <c r="AG144" s="46"/>
      <c r="AH144" s="46"/>
      <c r="AI144" s="46"/>
      <c r="AJ144" s="46"/>
      <c r="AK144" s="46"/>
      <c r="AL144" s="47"/>
      <c r="AM144" s="47"/>
      <c r="AN144" s="47"/>
      <c r="AO144" s="47"/>
      <c r="AP144" s="47"/>
      <c r="AQ144" s="48"/>
      <c r="AR144" s="49"/>
      <c r="AS144" s="49"/>
      <c r="AT144" s="49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</row>
    <row r="145" spans="1:66" ht="15.75" customHeight="1" x14ac:dyDescent="0.25">
      <c r="A145" s="43"/>
      <c r="B145" s="50"/>
      <c r="C145" s="51"/>
      <c r="D145" s="43"/>
      <c r="E145" s="43"/>
      <c r="F145" s="43"/>
      <c r="G145" s="44"/>
      <c r="H145" s="23"/>
      <c r="I145" s="43"/>
      <c r="J145" s="43"/>
      <c r="K145" s="45"/>
      <c r="L145" s="46"/>
      <c r="M145" s="46"/>
      <c r="N145" s="46"/>
      <c r="O145" s="46"/>
      <c r="P145" s="46"/>
      <c r="Q145" s="46"/>
      <c r="R145" s="46"/>
      <c r="S145" s="46"/>
      <c r="T145" s="46"/>
      <c r="U145" s="46"/>
      <c r="V145" s="46"/>
      <c r="W145" s="46"/>
      <c r="X145" s="46"/>
      <c r="Y145" s="46"/>
      <c r="Z145" s="46"/>
      <c r="AA145" s="46"/>
      <c r="AB145" s="46"/>
      <c r="AC145" s="46"/>
      <c r="AD145" s="46"/>
      <c r="AE145" s="46"/>
      <c r="AF145" s="46"/>
      <c r="AG145" s="46"/>
      <c r="AH145" s="46"/>
      <c r="AI145" s="46"/>
      <c r="AJ145" s="46"/>
      <c r="AK145" s="46"/>
      <c r="AL145" s="47"/>
      <c r="AM145" s="47"/>
      <c r="AN145" s="47"/>
      <c r="AO145" s="47"/>
      <c r="AP145" s="47"/>
      <c r="AQ145" s="48"/>
      <c r="AR145" s="49"/>
      <c r="AS145" s="49"/>
      <c r="AT145" s="49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</row>
    <row r="146" spans="1:66" ht="15.75" customHeight="1" x14ac:dyDescent="0.25">
      <c r="A146" s="43"/>
      <c r="B146" s="50"/>
      <c r="C146" s="51"/>
      <c r="D146" s="43"/>
      <c r="E146" s="43"/>
      <c r="F146" s="43"/>
      <c r="G146" s="44"/>
      <c r="H146" s="23"/>
      <c r="I146" s="43"/>
      <c r="J146" s="43"/>
      <c r="K146" s="45"/>
      <c r="L146" s="46"/>
      <c r="M146" s="46"/>
      <c r="N146" s="46"/>
      <c r="O146" s="46"/>
      <c r="P146" s="46"/>
      <c r="Q146" s="46"/>
      <c r="R146" s="46"/>
      <c r="S146" s="46"/>
      <c r="T146" s="46"/>
      <c r="U146" s="46"/>
      <c r="V146" s="46"/>
      <c r="W146" s="46"/>
      <c r="X146" s="46"/>
      <c r="Y146" s="46"/>
      <c r="Z146" s="46"/>
      <c r="AA146" s="46"/>
      <c r="AB146" s="46"/>
      <c r="AC146" s="46"/>
      <c r="AD146" s="46"/>
      <c r="AE146" s="46"/>
      <c r="AF146" s="46"/>
      <c r="AG146" s="46"/>
      <c r="AH146" s="46"/>
      <c r="AI146" s="46"/>
      <c r="AJ146" s="46"/>
      <c r="AK146" s="46"/>
      <c r="AL146" s="47"/>
      <c r="AM146" s="47"/>
      <c r="AN146" s="47"/>
      <c r="AO146" s="47"/>
      <c r="AP146" s="47"/>
      <c r="AQ146" s="48"/>
      <c r="AR146" s="49"/>
      <c r="AS146" s="49"/>
      <c r="AT146" s="49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</row>
    <row r="147" spans="1:66" ht="15.75" customHeight="1" x14ac:dyDescent="0.25">
      <c r="A147" s="43"/>
      <c r="B147" s="50"/>
      <c r="C147" s="51"/>
      <c r="D147" s="43"/>
      <c r="E147" s="43"/>
      <c r="F147" s="43"/>
      <c r="G147" s="44"/>
      <c r="H147" s="23"/>
      <c r="I147" s="43"/>
      <c r="J147" s="43"/>
      <c r="K147" s="45"/>
      <c r="L147" s="46"/>
      <c r="M147" s="46"/>
      <c r="N147" s="46"/>
      <c r="O147" s="46"/>
      <c r="P147" s="46"/>
      <c r="Q147" s="46"/>
      <c r="R147" s="46"/>
      <c r="S147" s="46"/>
      <c r="T147" s="46"/>
      <c r="U147" s="46"/>
      <c r="V147" s="46"/>
      <c r="W147" s="46"/>
      <c r="X147" s="46"/>
      <c r="Y147" s="46"/>
      <c r="Z147" s="46"/>
      <c r="AA147" s="46"/>
      <c r="AB147" s="46"/>
      <c r="AC147" s="46"/>
      <c r="AD147" s="46"/>
      <c r="AE147" s="46"/>
      <c r="AF147" s="46"/>
      <c r="AG147" s="46"/>
      <c r="AH147" s="46"/>
      <c r="AI147" s="46"/>
      <c r="AJ147" s="46"/>
      <c r="AK147" s="46"/>
      <c r="AL147" s="47"/>
      <c r="AM147" s="47"/>
      <c r="AN147" s="47"/>
      <c r="AO147" s="47"/>
      <c r="AP147" s="47"/>
      <c r="AQ147" s="48"/>
      <c r="AR147" s="49"/>
      <c r="AS147" s="49"/>
      <c r="AT147" s="49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</row>
    <row r="148" spans="1:66" ht="15.75" customHeight="1" x14ac:dyDescent="0.25">
      <c r="A148" s="43"/>
      <c r="B148" s="50"/>
      <c r="C148" s="51"/>
      <c r="D148" s="43"/>
      <c r="E148" s="43"/>
      <c r="F148" s="43"/>
      <c r="G148" s="44"/>
      <c r="H148" s="23"/>
      <c r="I148" s="43"/>
      <c r="J148" s="43"/>
      <c r="K148" s="45"/>
      <c r="L148" s="46"/>
      <c r="M148" s="46"/>
      <c r="N148" s="46"/>
      <c r="O148" s="46"/>
      <c r="P148" s="46"/>
      <c r="Q148" s="46"/>
      <c r="R148" s="46"/>
      <c r="S148" s="46"/>
      <c r="T148" s="46"/>
      <c r="U148" s="46"/>
      <c r="V148" s="46"/>
      <c r="W148" s="46"/>
      <c r="X148" s="46"/>
      <c r="Y148" s="46"/>
      <c r="Z148" s="46"/>
      <c r="AA148" s="46"/>
      <c r="AB148" s="46"/>
      <c r="AC148" s="46"/>
      <c r="AD148" s="46"/>
      <c r="AE148" s="46"/>
      <c r="AF148" s="46"/>
      <c r="AG148" s="46"/>
      <c r="AH148" s="46"/>
      <c r="AI148" s="46"/>
      <c r="AJ148" s="46"/>
      <c r="AK148" s="46"/>
      <c r="AL148" s="47"/>
      <c r="AM148" s="47"/>
      <c r="AN148" s="47"/>
      <c r="AO148" s="47"/>
      <c r="AP148" s="47"/>
      <c r="AQ148" s="48"/>
      <c r="AR148" s="49"/>
      <c r="AS148" s="49"/>
      <c r="AT148" s="49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</row>
    <row r="149" spans="1:66" ht="15.75" customHeight="1" x14ac:dyDescent="0.25">
      <c r="A149" s="43"/>
      <c r="B149" s="50"/>
      <c r="C149" s="51"/>
      <c r="D149" s="43"/>
      <c r="E149" s="43"/>
      <c r="F149" s="43"/>
      <c r="G149" s="44"/>
      <c r="H149" s="23"/>
      <c r="I149" s="43"/>
      <c r="J149" s="43"/>
      <c r="K149" s="45"/>
      <c r="L149" s="46"/>
      <c r="M149" s="46"/>
      <c r="N149" s="46"/>
      <c r="O149" s="46"/>
      <c r="P149" s="46"/>
      <c r="Q149" s="46"/>
      <c r="R149" s="46"/>
      <c r="S149" s="46"/>
      <c r="T149" s="46"/>
      <c r="U149" s="46"/>
      <c r="V149" s="46"/>
      <c r="W149" s="46"/>
      <c r="X149" s="46"/>
      <c r="Y149" s="46"/>
      <c r="Z149" s="46"/>
      <c r="AA149" s="46"/>
      <c r="AB149" s="46"/>
      <c r="AC149" s="46"/>
      <c r="AD149" s="46"/>
      <c r="AE149" s="46"/>
      <c r="AF149" s="46"/>
      <c r="AG149" s="46"/>
      <c r="AH149" s="46"/>
      <c r="AI149" s="46"/>
      <c r="AJ149" s="46"/>
      <c r="AK149" s="46"/>
      <c r="AL149" s="47"/>
      <c r="AM149" s="47"/>
      <c r="AN149" s="47"/>
      <c r="AO149" s="47"/>
      <c r="AP149" s="47"/>
      <c r="AQ149" s="48"/>
      <c r="AR149" s="49"/>
      <c r="AS149" s="49"/>
      <c r="AT149" s="49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</row>
    <row r="150" spans="1:66" ht="15.75" customHeight="1" x14ac:dyDescent="0.25">
      <c r="A150" s="43"/>
      <c r="B150" s="50"/>
      <c r="C150" s="51"/>
      <c r="D150" s="43"/>
      <c r="E150" s="43"/>
      <c r="F150" s="43"/>
      <c r="G150" s="44"/>
      <c r="H150" s="23"/>
      <c r="I150" s="43"/>
      <c r="J150" s="43"/>
      <c r="K150" s="45"/>
      <c r="L150" s="46"/>
      <c r="M150" s="46"/>
      <c r="N150" s="46"/>
      <c r="O150" s="46"/>
      <c r="P150" s="46"/>
      <c r="Q150" s="46"/>
      <c r="R150" s="46"/>
      <c r="S150" s="46"/>
      <c r="T150" s="46"/>
      <c r="U150" s="46"/>
      <c r="V150" s="46"/>
      <c r="W150" s="46"/>
      <c r="X150" s="46"/>
      <c r="Y150" s="46"/>
      <c r="Z150" s="46"/>
      <c r="AA150" s="46"/>
      <c r="AB150" s="46"/>
      <c r="AC150" s="46"/>
      <c r="AD150" s="46"/>
      <c r="AE150" s="46"/>
      <c r="AF150" s="46"/>
      <c r="AG150" s="46"/>
      <c r="AH150" s="46"/>
      <c r="AI150" s="46"/>
      <c r="AJ150" s="46"/>
      <c r="AK150" s="46"/>
      <c r="AL150" s="47"/>
      <c r="AM150" s="47"/>
      <c r="AN150" s="47"/>
      <c r="AO150" s="47"/>
      <c r="AP150" s="47"/>
      <c r="AQ150" s="48"/>
      <c r="AR150" s="49"/>
      <c r="AS150" s="49"/>
      <c r="AT150" s="49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</row>
    <row r="151" spans="1:66" ht="15.75" customHeight="1" x14ac:dyDescent="0.25">
      <c r="A151" s="43"/>
      <c r="B151" s="50"/>
      <c r="C151" s="51"/>
      <c r="D151" s="43"/>
      <c r="E151" s="43"/>
      <c r="F151" s="43"/>
      <c r="G151" s="44"/>
      <c r="H151" s="23"/>
      <c r="I151" s="43"/>
      <c r="J151" s="43"/>
      <c r="K151" s="45"/>
      <c r="L151" s="46"/>
      <c r="M151" s="46"/>
      <c r="N151" s="46"/>
      <c r="O151" s="46"/>
      <c r="P151" s="46"/>
      <c r="Q151" s="46"/>
      <c r="R151" s="46"/>
      <c r="S151" s="46"/>
      <c r="T151" s="46"/>
      <c r="U151" s="46"/>
      <c r="V151" s="46"/>
      <c r="W151" s="46"/>
      <c r="X151" s="46"/>
      <c r="Y151" s="46"/>
      <c r="Z151" s="46"/>
      <c r="AA151" s="46"/>
      <c r="AB151" s="46"/>
      <c r="AC151" s="46"/>
      <c r="AD151" s="46"/>
      <c r="AE151" s="46"/>
      <c r="AF151" s="46"/>
      <c r="AG151" s="46"/>
      <c r="AH151" s="46"/>
      <c r="AI151" s="46"/>
      <c r="AJ151" s="46"/>
      <c r="AK151" s="46"/>
      <c r="AL151" s="47"/>
      <c r="AM151" s="47"/>
      <c r="AN151" s="47"/>
      <c r="AO151" s="47"/>
      <c r="AP151" s="47"/>
      <c r="AQ151" s="48"/>
      <c r="AR151" s="49"/>
      <c r="AS151" s="49"/>
      <c r="AT151" s="49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</row>
    <row r="152" spans="1:66" ht="15.75" customHeight="1" x14ac:dyDescent="0.25">
      <c r="A152" s="43"/>
      <c r="B152" s="50"/>
      <c r="C152" s="51"/>
      <c r="D152" s="43"/>
      <c r="E152" s="43"/>
      <c r="F152" s="43"/>
      <c r="G152" s="44"/>
      <c r="H152" s="23"/>
      <c r="I152" s="43"/>
      <c r="J152" s="43"/>
      <c r="K152" s="45"/>
      <c r="L152" s="46"/>
      <c r="M152" s="46"/>
      <c r="N152" s="46"/>
      <c r="O152" s="46"/>
      <c r="P152" s="46"/>
      <c r="Q152" s="46"/>
      <c r="R152" s="46"/>
      <c r="S152" s="46"/>
      <c r="T152" s="46"/>
      <c r="U152" s="46"/>
      <c r="V152" s="46"/>
      <c r="W152" s="46"/>
      <c r="X152" s="46"/>
      <c r="Y152" s="46"/>
      <c r="Z152" s="46"/>
      <c r="AA152" s="46"/>
      <c r="AB152" s="46"/>
      <c r="AC152" s="46"/>
      <c r="AD152" s="46"/>
      <c r="AE152" s="46"/>
      <c r="AF152" s="46"/>
      <c r="AG152" s="46"/>
      <c r="AH152" s="46"/>
      <c r="AI152" s="46"/>
      <c r="AJ152" s="46"/>
      <c r="AK152" s="46"/>
      <c r="AL152" s="47"/>
      <c r="AM152" s="47"/>
      <c r="AN152" s="47"/>
      <c r="AO152" s="47"/>
      <c r="AP152" s="47"/>
      <c r="AQ152" s="48"/>
      <c r="AR152" s="49"/>
      <c r="AS152" s="49"/>
      <c r="AT152" s="49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</row>
    <row r="153" spans="1:66" ht="15.75" customHeight="1" x14ac:dyDescent="0.25">
      <c r="A153" s="43"/>
      <c r="B153" s="50"/>
      <c r="C153" s="51"/>
      <c r="D153" s="43"/>
      <c r="E153" s="43"/>
      <c r="F153" s="43"/>
      <c r="G153" s="44"/>
      <c r="H153" s="23"/>
      <c r="I153" s="43"/>
      <c r="J153" s="43"/>
      <c r="K153" s="45"/>
      <c r="L153" s="46"/>
      <c r="M153" s="46"/>
      <c r="N153" s="46"/>
      <c r="O153" s="46"/>
      <c r="P153" s="46"/>
      <c r="Q153" s="46"/>
      <c r="R153" s="46"/>
      <c r="S153" s="46"/>
      <c r="T153" s="46"/>
      <c r="U153" s="46"/>
      <c r="V153" s="46"/>
      <c r="W153" s="46"/>
      <c r="X153" s="46"/>
      <c r="Y153" s="46"/>
      <c r="Z153" s="46"/>
      <c r="AA153" s="46"/>
      <c r="AB153" s="46"/>
      <c r="AC153" s="46"/>
      <c r="AD153" s="46"/>
      <c r="AE153" s="46"/>
      <c r="AF153" s="46"/>
      <c r="AG153" s="46"/>
      <c r="AH153" s="46"/>
      <c r="AI153" s="46"/>
      <c r="AJ153" s="46"/>
      <c r="AK153" s="46"/>
      <c r="AL153" s="47"/>
      <c r="AM153" s="47"/>
      <c r="AN153" s="47"/>
      <c r="AO153" s="47"/>
      <c r="AP153" s="47"/>
      <c r="AQ153" s="48"/>
      <c r="AR153" s="49"/>
      <c r="AS153" s="49"/>
      <c r="AT153" s="49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</row>
    <row r="154" spans="1:66" ht="15.75" customHeight="1" x14ac:dyDescent="0.25">
      <c r="A154" s="43"/>
      <c r="B154" s="50"/>
      <c r="C154" s="51"/>
      <c r="D154" s="43"/>
      <c r="E154" s="43"/>
      <c r="F154" s="43"/>
      <c r="G154" s="44"/>
      <c r="H154" s="23"/>
      <c r="I154" s="43"/>
      <c r="J154" s="43"/>
      <c r="K154" s="45"/>
      <c r="L154" s="46"/>
      <c r="M154" s="46"/>
      <c r="N154" s="46"/>
      <c r="O154" s="46"/>
      <c r="P154" s="46"/>
      <c r="Q154" s="46"/>
      <c r="R154" s="46"/>
      <c r="S154" s="46"/>
      <c r="T154" s="46"/>
      <c r="U154" s="46"/>
      <c r="V154" s="46"/>
      <c r="W154" s="46"/>
      <c r="X154" s="46"/>
      <c r="Y154" s="46"/>
      <c r="Z154" s="46"/>
      <c r="AA154" s="46"/>
      <c r="AB154" s="46"/>
      <c r="AC154" s="46"/>
      <c r="AD154" s="46"/>
      <c r="AE154" s="46"/>
      <c r="AF154" s="46"/>
      <c r="AG154" s="46"/>
      <c r="AH154" s="46"/>
      <c r="AI154" s="46"/>
      <c r="AJ154" s="46"/>
      <c r="AK154" s="46"/>
      <c r="AL154" s="47"/>
      <c r="AM154" s="47"/>
      <c r="AN154" s="47"/>
      <c r="AO154" s="47"/>
      <c r="AP154" s="47"/>
      <c r="AQ154" s="48"/>
      <c r="AR154" s="49"/>
      <c r="AS154" s="49"/>
      <c r="AT154" s="49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</row>
    <row r="155" spans="1:66" ht="15.75" customHeight="1" x14ac:dyDescent="0.25">
      <c r="A155" s="43"/>
      <c r="B155" s="50"/>
      <c r="C155" s="51"/>
      <c r="D155" s="43"/>
      <c r="E155" s="43"/>
      <c r="F155" s="43"/>
      <c r="G155" s="44"/>
      <c r="H155" s="23"/>
      <c r="I155" s="43"/>
      <c r="J155" s="43"/>
      <c r="K155" s="45"/>
      <c r="L155" s="46"/>
      <c r="M155" s="46"/>
      <c r="N155" s="46"/>
      <c r="O155" s="46"/>
      <c r="P155" s="46"/>
      <c r="Q155" s="46"/>
      <c r="R155" s="46"/>
      <c r="S155" s="46"/>
      <c r="T155" s="46"/>
      <c r="U155" s="46"/>
      <c r="V155" s="46"/>
      <c r="W155" s="46"/>
      <c r="X155" s="46"/>
      <c r="Y155" s="46"/>
      <c r="Z155" s="46"/>
      <c r="AA155" s="46"/>
      <c r="AB155" s="46"/>
      <c r="AC155" s="46"/>
      <c r="AD155" s="46"/>
      <c r="AE155" s="46"/>
      <c r="AF155" s="46"/>
      <c r="AG155" s="46"/>
      <c r="AH155" s="46"/>
      <c r="AI155" s="46"/>
      <c r="AJ155" s="46"/>
      <c r="AK155" s="46"/>
      <c r="AL155" s="47"/>
      <c r="AM155" s="47"/>
      <c r="AN155" s="47"/>
      <c r="AO155" s="47"/>
      <c r="AP155" s="47"/>
      <c r="AQ155" s="48"/>
      <c r="AR155" s="49"/>
      <c r="AS155" s="49"/>
      <c r="AT155" s="49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</row>
    <row r="156" spans="1:66" ht="15.75" customHeight="1" x14ac:dyDescent="0.25">
      <c r="A156" s="43"/>
      <c r="B156" s="50"/>
      <c r="C156" s="51"/>
      <c r="D156" s="43"/>
      <c r="E156" s="43"/>
      <c r="F156" s="43"/>
      <c r="G156" s="44"/>
      <c r="H156" s="23"/>
      <c r="I156" s="43"/>
      <c r="J156" s="43"/>
      <c r="K156" s="45"/>
      <c r="L156" s="46"/>
      <c r="M156" s="46"/>
      <c r="N156" s="46"/>
      <c r="O156" s="46"/>
      <c r="P156" s="46"/>
      <c r="Q156" s="46"/>
      <c r="R156" s="46"/>
      <c r="S156" s="46"/>
      <c r="T156" s="46"/>
      <c r="U156" s="46"/>
      <c r="V156" s="46"/>
      <c r="W156" s="46"/>
      <c r="X156" s="46"/>
      <c r="Y156" s="46"/>
      <c r="Z156" s="46"/>
      <c r="AA156" s="46"/>
      <c r="AB156" s="46"/>
      <c r="AC156" s="46"/>
      <c r="AD156" s="46"/>
      <c r="AE156" s="46"/>
      <c r="AF156" s="46"/>
      <c r="AG156" s="46"/>
      <c r="AH156" s="46"/>
      <c r="AI156" s="46"/>
      <c r="AJ156" s="46"/>
      <c r="AK156" s="46"/>
      <c r="AL156" s="47"/>
      <c r="AM156" s="47"/>
      <c r="AN156" s="47"/>
      <c r="AO156" s="47"/>
      <c r="AP156" s="47"/>
      <c r="AQ156" s="48"/>
      <c r="AR156" s="49"/>
      <c r="AS156" s="49"/>
      <c r="AT156" s="49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</row>
    <row r="157" spans="1:66" ht="15.75" customHeight="1" x14ac:dyDescent="0.25">
      <c r="A157" s="43"/>
      <c r="B157" s="50"/>
      <c r="C157" s="51"/>
      <c r="D157" s="43"/>
      <c r="E157" s="43"/>
      <c r="F157" s="43"/>
      <c r="G157" s="44"/>
      <c r="H157" s="23"/>
      <c r="I157" s="43"/>
      <c r="J157" s="43"/>
      <c r="K157" s="45"/>
      <c r="L157" s="46"/>
      <c r="M157" s="46"/>
      <c r="N157" s="46"/>
      <c r="O157" s="46"/>
      <c r="P157" s="46"/>
      <c r="Q157" s="46"/>
      <c r="R157" s="46"/>
      <c r="S157" s="46"/>
      <c r="T157" s="46"/>
      <c r="U157" s="46"/>
      <c r="V157" s="46"/>
      <c r="W157" s="46"/>
      <c r="X157" s="46"/>
      <c r="Y157" s="46"/>
      <c r="Z157" s="46"/>
      <c r="AA157" s="46"/>
      <c r="AB157" s="46"/>
      <c r="AC157" s="46"/>
      <c r="AD157" s="46"/>
      <c r="AE157" s="46"/>
      <c r="AF157" s="46"/>
      <c r="AG157" s="46"/>
      <c r="AH157" s="46"/>
      <c r="AI157" s="46"/>
      <c r="AJ157" s="46"/>
      <c r="AK157" s="46"/>
      <c r="AL157" s="47"/>
      <c r="AM157" s="47"/>
      <c r="AN157" s="47"/>
      <c r="AO157" s="47"/>
      <c r="AP157" s="47"/>
      <c r="AQ157" s="48"/>
      <c r="AR157" s="49"/>
      <c r="AS157" s="49"/>
      <c r="AT157" s="49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</row>
    <row r="158" spans="1:66" ht="15.75" customHeight="1" x14ac:dyDescent="0.25">
      <c r="A158" s="43"/>
      <c r="B158" s="50"/>
      <c r="C158" s="51"/>
      <c r="D158" s="43"/>
      <c r="E158" s="43"/>
      <c r="F158" s="43"/>
      <c r="G158" s="44"/>
      <c r="H158" s="23"/>
      <c r="I158" s="43"/>
      <c r="J158" s="43"/>
      <c r="K158" s="45"/>
      <c r="L158" s="46"/>
      <c r="M158" s="46"/>
      <c r="N158" s="46"/>
      <c r="O158" s="46"/>
      <c r="P158" s="46"/>
      <c r="Q158" s="46"/>
      <c r="R158" s="46"/>
      <c r="S158" s="46"/>
      <c r="T158" s="46"/>
      <c r="U158" s="46"/>
      <c r="V158" s="46"/>
      <c r="W158" s="46"/>
      <c r="X158" s="46"/>
      <c r="Y158" s="46"/>
      <c r="Z158" s="46"/>
      <c r="AA158" s="46"/>
      <c r="AB158" s="46"/>
      <c r="AC158" s="46"/>
      <c r="AD158" s="46"/>
      <c r="AE158" s="46"/>
      <c r="AF158" s="46"/>
      <c r="AG158" s="46"/>
      <c r="AH158" s="46"/>
      <c r="AI158" s="46"/>
      <c r="AJ158" s="46"/>
      <c r="AK158" s="46"/>
      <c r="AL158" s="47"/>
      <c r="AM158" s="47"/>
      <c r="AN158" s="47"/>
      <c r="AO158" s="47"/>
      <c r="AP158" s="47"/>
      <c r="AQ158" s="48"/>
      <c r="AR158" s="49"/>
      <c r="AS158" s="49"/>
      <c r="AT158" s="49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</row>
    <row r="159" spans="1:66" ht="15.75" customHeight="1" x14ac:dyDescent="0.25">
      <c r="A159" s="43"/>
      <c r="B159" s="50"/>
      <c r="C159" s="51"/>
      <c r="D159" s="43"/>
      <c r="E159" s="43"/>
      <c r="F159" s="43"/>
      <c r="G159" s="44"/>
      <c r="H159" s="23"/>
      <c r="I159" s="43"/>
      <c r="J159" s="43"/>
      <c r="K159" s="45"/>
      <c r="L159" s="46"/>
      <c r="M159" s="46"/>
      <c r="N159" s="46"/>
      <c r="O159" s="46"/>
      <c r="P159" s="46"/>
      <c r="Q159" s="46"/>
      <c r="R159" s="46"/>
      <c r="S159" s="46"/>
      <c r="T159" s="46"/>
      <c r="U159" s="46"/>
      <c r="V159" s="46"/>
      <c r="W159" s="46"/>
      <c r="X159" s="46"/>
      <c r="Y159" s="46"/>
      <c r="Z159" s="46"/>
      <c r="AA159" s="46"/>
      <c r="AB159" s="46"/>
      <c r="AC159" s="46"/>
      <c r="AD159" s="46"/>
      <c r="AE159" s="46"/>
      <c r="AF159" s="46"/>
      <c r="AG159" s="46"/>
      <c r="AH159" s="46"/>
      <c r="AI159" s="46"/>
      <c r="AJ159" s="46"/>
      <c r="AK159" s="46"/>
      <c r="AL159" s="47"/>
      <c r="AM159" s="47"/>
      <c r="AN159" s="47"/>
      <c r="AO159" s="47"/>
      <c r="AP159" s="47"/>
      <c r="AQ159" s="48"/>
      <c r="AR159" s="49"/>
      <c r="AS159" s="49"/>
      <c r="AT159" s="49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</row>
    <row r="160" spans="1:66" ht="15.75" customHeight="1" x14ac:dyDescent="0.25">
      <c r="A160" s="43"/>
      <c r="B160" s="50"/>
      <c r="C160" s="51"/>
      <c r="D160" s="43"/>
      <c r="E160" s="43"/>
      <c r="F160" s="43"/>
      <c r="G160" s="44"/>
      <c r="H160" s="23"/>
      <c r="I160" s="43"/>
      <c r="J160" s="43"/>
      <c r="K160" s="45"/>
      <c r="L160" s="46"/>
      <c r="M160" s="46"/>
      <c r="N160" s="46"/>
      <c r="O160" s="46"/>
      <c r="P160" s="46"/>
      <c r="Q160" s="46"/>
      <c r="R160" s="46"/>
      <c r="S160" s="46"/>
      <c r="T160" s="46"/>
      <c r="U160" s="46"/>
      <c r="V160" s="46"/>
      <c r="W160" s="46"/>
      <c r="X160" s="46"/>
      <c r="Y160" s="46"/>
      <c r="Z160" s="46"/>
      <c r="AA160" s="46"/>
      <c r="AB160" s="46"/>
      <c r="AC160" s="46"/>
      <c r="AD160" s="46"/>
      <c r="AE160" s="46"/>
      <c r="AF160" s="46"/>
      <c r="AG160" s="46"/>
      <c r="AH160" s="46"/>
      <c r="AI160" s="46"/>
      <c r="AJ160" s="46"/>
      <c r="AK160" s="46"/>
      <c r="AL160" s="47"/>
      <c r="AM160" s="47"/>
      <c r="AN160" s="47"/>
      <c r="AO160" s="47"/>
      <c r="AP160" s="47"/>
      <c r="AQ160" s="48"/>
      <c r="AR160" s="49"/>
      <c r="AS160" s="49"/>
      <c r="AT160" s="49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</row>
    <row r="161" spans="1:66" ht="15.75" customHeight="1" x14ac:dyDescent="0.25">
      <c r="A161" s="43"/>
      <c r="B161" s="50"/>
      <c r="C161" s="51"/>
      <c r="D161" s="43"/>
      <c r="E161" s="43"/>
      <c r="F161" s="43"/>
      <c r="G161" s="44"/>
      <c r="H161" s="23"/>
      <c r="I161" s="43"/>
      <c r="J161" s="43"/>
      <c r="K161" s="45"/>
      <c r="L161" s="46"/>
      <c r="M161" s="46"/>
      <c r="N161" s="46"/>
      <c r="O161" s="46"/>
      <c r="P161" s="46"/>
      <c r="Q161" s="46"/>
      <c r="R161" s="46"/>
      <c r="S161" s="46"/>
      <c r="T161" s="46"/>
      <c r="U161" s="46"/>
      <c r="V161" s="46"/>
      <c r="W161" s="46"/>
      <c r="X161" s="46"/>
      <c r="Y161" s="46"/>
      <c r="Z161" s="46"/>
      <c r="AA161" s="46"/>
      <c r="AB161" s="46"/>
      <c r="AC161" s="46"/>
      <c r="AD161" s="46"/>
      <c r="AE161" s="46"/>
      <c r="AF161" s="46"/>
      <c r="AG161" s="46"/>
      <c r="AH161" s="46"/>
      <c r="AI161" s="46"/>
      <c r="AJ161" s="46"/>
      <c r="AK161" s="46"/>
      <c r="AL161" s="47"/>
      <c r="AM161" s="47"/>
      <c r="AN161" s="47"/>
      <c r="AO161" s="47"/>
      <c r="AP161" s="47"/>
      <c r="AQ161" s="48"/>
      <c r="AR161" s="49"/>
      <c r="AS161" s="49"/>
      <c r="AT161" s="49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</row>
    <row r="162" spans="1:66" ht="15.75" customHeight="1" x14ac:dyDescent="0.25">
      <c r="A162" s="43"/>
      <c r="B162" s="50"/>
      <c r="C162" s="51"/>
      <c r="D162" s="43"/>
      <c r="E162" s="43"/>
      <c r="F162" s="43"/>
      <c r="G162" s="44"/>
      <c r="H162" s="23"/>
      <c r="I162" s="43"/>
      <c r="J162" s="43"/>
      <c r="K162" s="45"/>
      <c r="L162" s="46"/>
      <c r="M162" s="46"/>
      <c r="N162" s="46"/>
      <c r="O162" s="46"/>
      <c r="P162" s="46"/>
      <c r="Q162" s="46"/>
      <c r="R162" s="46"/>
      <c r="S162" s="46"/>
      <c r="T162" s="46"/>
      <c r="U162" s="46"/>
      <c r="V162" s="46"/>
      <c r="W162" s="46"/>
      <c r="X162" s="46"/>
      <c r="Y162" s="46"/>
      <c r="Z162" s="46"/>
      <c r="AA162" s="46"/>
      <c r="AB162" s="46"/>
      <c r="AC162" s="46"/>
      <c r="AD162" s="46"/>
      <c r="AE162" s="46"/>
      <c r="AF162" s="46"/>
      <c r="AG162" s="46"/>
      <c r="AH162" s="46"/>
      <c r="AI162" s="46"/>
      <c r="AJ162" s="46"/>
      <c r="AK162" s="46"/>
      <c r="AL162" s="47"/>
      <c r="AM162" s="47"/>
      <c r="AN162" s="47"/>
      <c r="AO162" s="47"/>
      <c r="AP162" s="47"/>
      <c r="AQ162" s="48"/>
      <c r="AR162" s="49"/>
      <c r="AS162" s="49"/>
      <c r="AT162" s="49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</row>
    <row r="163" spans="1:66" ht="15.75" customHeight="1" x14ac:dyDescent="0.25">
      <c r="A163" s="43"/>
      <c r="B163" s="50"/>
      <c r="C163" s="51"/>
      <c r="D163" s="43"/>
      <c r="E163" s="43"/>
      <c r="F163" s="43"/>
      <c r="G163" s="44"/>
      <c r="H163" s="23"/>
      <c r="I163" s="43"/>
      <c r="J163" s="43"/>
      <c r="K163" s="45"/>
      <c r="L163" s="46"/>
      <c r="M163" s="46"/>
      <c r="N163" s="46"/>
      <c r="O163" s="46"/>
      <c r="P163" s="46"/>
      <c r="Q163" s="46"/>
      <c r="R163" s="46"/>
      <c r="S163" s="46"/>
      <c r="T163" s="46"/>
      <c r="U163" s="46"/>
      <c r="V163" s="46"/>
      <c r="W163" s="46"/>
      <c r="X163" s="46"/>
      <c r="Y163" s="46"/>
      <c r="Z163" s="46"/>
      <c r="AA163" s="46"/>
      <c r="AB163" s="46"/>
      <c r="AC163" s="46"/>
      <c r="AD163" s="46"/>
      <c r="AE163" s="46"/>
      <c r="AF163" s="46"/>
      <c r="AG163" s="46"/>
      <c r="AH163" s="46"/>
      <c r="AI163" s="46"/>
      <c r="AJ163" s="46"/>
      <c r="AK163" s="46"/>
      <c r="AL163" s="47"/>
      <c r="AM163" s="47"/>
      <c r="AN163" s="47"/>
      <c r="AO163" s="47"/>
      <c r="AP163" s="47"/>
      <c r="AQ163" s="48"/>
      <c r="AR163" s="49"/>
      <c r="AS163" s="49"/>
      <c r="AT163" s="49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</row>
    <row r="164" spans="1:66" ht="15.75" customHeight="1" x14ac:dyDescent="0.25">
      <c r="A164" s="43"/>
      <c r="B164" s="50"/>
      <c r="C164" s="51"/>
      <c r="D164" s="43"/>
      <c r="E164" s="43"/>
      <c r="F164" s="43"/>
      <c r="G164" s="44"/>
      <c r="H164" s="23"/>
      <c r="I164" s="43"/>
      <c r="J164" s="43"/>
      <c r="K164" s="45"/>
      <c r="L164" s="46"/>
      <c r="M164" s="46"/>
      <c r="N164" s="46"/>
      <c r="O164" s="46"/>
      <c r="P164" s="46"/>
      <c r="Q164" s="46"/>
      <c r="R164" s="46"/>
      <c r="S164" s="46"/>
      <c r="T164" s="46"/>
      <c r="U164" s="46"/>
      <c r="V164" s="46"/>
      <c r="W164" s="46"/>
      <c r="X164" s="46"/>
      <c r="Y164" s="46"/>
      <c r="Z164" s="46"/>
      <c r="AA164" s="46"/>
      <c r="AB164" s="46"/>
      <c r="AC164" s="46"/>
      <c r="AD164" s="46"/>
      <c r="AE164" s="46"/>
      <c r="AF164" s="46"/>
      <c r="AG164" s="46"/>
      <c r="AH164" s="46"/>
      <c r="AI164" s="46"/>
      <c r="AJ164" s="46"/>
      <c r="AK164" s="46"/>
      <c r="AL164" s="47"/>
      <c r="AM164" s="47"/>
      <c r="AN164" s="47"/>
      <c r="AO164" s="47"/>
      <c r="AP164" s="47"/>
      <c r="AQ164" s="48"/>
      <c r="AR164" s="49"/>
      <c r="AS164" s="49"/>
      <c r="AT164" s="49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</row>
    <row r="165" spans="1:66" ht="15.75" customHeight="1" x14ac:dyDescent="0.25">
      <c r="A165" s="43"/>
      <c r="B165" s="50"/>
      <c r="C165" s="51"/>
      <c r="D165" s="43"/>
      <c r="E165" s="43"/>
      <c r="F165" s="43"/>
      <c r="G165" s="44"/>
      <c r="H165" s="23"/>
      <c r="I165" s="43"/>
      <c r="J165" s="43"/>
      <c r="K165" s="45"/>
      <c r="L165" s="46"/>
      <c r="M165" s="46"/>
      <c r="N165" s="46"/>
      <c r="O165" s="46"/>
      <c r="P165" s="46"/>
      <c r="Q165" s="46"/>
      <c r="R165" s="46"/>
      <c r="S165" s="46"/>
      <c r="T165" s="46"/>
      <c r="U165" s="46"/>
      <c r="V165" s="46"/>
      <c r="W165" s="46"/>
      <c r="X165" s="46"/>
      <c r="Y165" s="46"/>
      <c r="Z165" s="46"/>
      <c r="AA165" s="46"/>
      <c r="AB165" s="46"/>
      <c r="AC165" s="46"/>
      <c r="AD165" s="46"/>
      <c r="AE165" s="46"/>
      <c r="AF165" s="46"/>
      <c r="AG165" s="46"/>
      <c r="AH165" s="46"/>
      <c r="AI165" s="46"/>
      <c r="AJ165" s="46"/>
      <c r="AK165" s="46"/>
      <c r="AL165" s="47"/>
      <c r="AM165" s="47"/>
      <c r="AN165" s="47"/>
      <c r="AO165" s="47"/>
      <c r="AP165" s="47"/>
      <c r="AQ165" s="48"/>
      <c r="AR165" s="49"/>
      <c r="AS165" s="49"/>
      <c r="AT165" s="49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</row>
    <row r="166" spans="1:66" ht="15.75" customHeight="1" x14ac:dyDescent="0.25">
      <c r="A166" s="43"/>
      <c r="B166" s="50"/>
      <c r="C166" s="51"/>
      <c r="D166" s="43"/>
      <c r="E166" s="43"/>
      <c r="F166" s="43"/>
      <c r="G166" s="44"/>
      <c r="H166" s="23"/>
      <c r="I166" s="43"/>
      <c r="J166" s="43"/>
      <c r="K166" s="45"/>
      <c r="L166" s="46"/>
      <c r="M166" s="46"/>
      <c r="N166" s="46"/>
      <c r="O166" s="46"/>
      <c r="P166" s="46"/>
      <c r="Q166" s="46"/>
      <c r="R166" s="46"/>
      <c r="S166" s="46"/>
      <c r="T166" s="46"/>
      <c r="U166" s="46"/>
      <c r="V166" s="46"/>
      <c r="W166" s="46"/>
      <c r="X166" s="46"/>
      <c r="Y166" s="46"/>
      <c r="Z166" s="46"/>
      <c r="AA166" s="46"/>
      <c r="AB166" s="46"/>
      <c r="AC166" s="46"/>
      <c r="AD166" s="46"/>
      <c r="AE166" s="46"/>
      <c r="AF166" s="46"/>
      <c r="AG166" s="46"/>
      <c r="AH166" s="46"/>
      <c r="AI166" s="46"/>
      <c r="AJ166" s="46"/>
      <c r="AK166" s="46"/>
      <c r="AL166" s="47"/>
      <c r="AM166" s="47"/>
      <c r="AN166" s="47"/>
      <c r="AO166" s="47"/>
      <c r="AP166" s="47"/>
      <c r="AQ166" s="48"/>
      <c r="AR166" s="49"/>
      <c r="AS166" s="49"/>
      <c r="AT166" s="49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</row>
    <row r="167" spans="1:66" ht="15.75" customHeight="1" x14ac:dyDescent="0.25">
      <c r="A167" s="43"/>
      <c r="B167" s="50"/>
      <c r="C167" s="51"/>
      <c r="D167" s="43"/>
      <c r="E167" s="43"/>
      <c r="F167" s="43"/>
      <c r="G167" s="44"/>
      <c r="H167" s="23"/>
      <c r="I167" s="43"/>
      <c r="J167" s="43"/>
      <c r="K167" s="45"/>
      <c r="L167" s="46"/>
      <c r="M167" s="46"/>
      <c r="N167" s="46"/>
      <c r="O167" s="46"/>
      <c r="P167" s="46"/>
      <c r="Q167" s="46"/>
      <c r="R167" s="46"/>
      <c r="S167" s="46"/>
      <c r="T167" s="46"/>
      <c r="U167" s="46"/>
      <c r="V167" s="46"/>
      <c r="W167" s="46"/>
      <c r="X167" s="46"/>
      <c r="Y167" s="46"/>
      <c r="Z167" s="46"/>
      <c r="AA167" s="46"/>
      <c r="AB167" s="46"/>
      <c r="AC167" s="46"/>
      <c r="AD167" s="46"/>
      <c r="AE167" s="46"/>
      <c r="AF167" s="46"/>
      <c r="AG167" s="46"/>
      <c r="AH167" s="46"/>
      <c r="AI167" s="46"/>
      <c r="AJ167" s="46"/>
      <c r="AK167" s="46"/>
      <c r="AL167" s="47"/>
      <c r="AM167" s="47"/>
      <c r="AN167" s="47"/>
      <c r="AO167" s="47"/>
      <c r="AP167" s="47"/>
      <c r="AQ167" s="48"/>
      <c r="AR167" s="49"/>
      <c r="AS167" s="49"/>
      <c r="AT167" s="49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</row>
    <row r="168" spans="1:66" ht="15.75" customHeight="1" x14ac:dyDescent="0.25">
      <c r="A168" s="43"/>
      <c r="B168" s="50"/>
      <c r="C168" s="51"/>
      <c r="D168" s="43"/>
      <c r="E168" s="43"/>
      <c r="F168" s="43"/>
      <c r="G168" s="44"/>
      <c r="H168" s="23"/>
      <c r="I168" s="43"/>
      <c r="J168" s="43"/>
      <c r="K168" s="45"/>
      <c r="L168" s="46"/>
      <c r="M168" s="46"/>
      <c r="N168" s="46"/>
      <c r="O168" s="46"/>
      <c r="P168" s="46"/>
      <c r="Q168" s="46"/>
      <c r="R168" s="46"/>
      <c r="S168" s="46"/>
      <c r="T168" s="46"/>
      <c r="U168" s="46"/>
      <c r="V168" s="46"/>
      <c r="W168" s="46"/>
      <c r="X168" s="46"/>
      <c r="Y168" s="46"/>
      <c r="Z168" s="46"/>
      <c r="AA168" s="46"/>
      <c r="AB168" s="46"/>
      <c r="AC168" s="46"/>
      <c r="AD168" s="46"/>
      <c r="AE168" s="46"/>
      <c r="AF168" s="46"/>
      <c r="AG168" s="46"/>
      <c r="AH168" s="46"/>
      <c r="AI168" s="46"/>
      <c r="AJ168" s="46"/>
      <c r="AK168" s="46"/>
      <c r="AL168" s="47"/>
      <c r="AM168" s="47"/>
      <c r="AN168" s="47"/>
      <c r="AO168" s="47"/>
      <c r="AP168" s="47"/>
      <c r="AQ168" s="48"/>
      <c r="AR168" s="49"/>
      <c r="AS168" s="49"/>
      <c r="AT168" s="49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</row>
    <row r="169" spans="1:66" ht="15.75" customHeight="1" x14ac:dyDescent="0.25">
      <c r="A169" s="43"/>
      <c r="B169" s="50"/>
      <c r="C169" s="51"/>
      <c r="D169" s="43"/>
      <c r="E169" s="43"/>
      <c r="F169" s="43"/>
      <c r="G169" s="44"/>
      <c r="H169" s="23"/>
      <c r="I169" s="43"/>
      <c r="J169" s="43"/>
      <c r="K169" s="45"/>
      <c r="L169" s="46"/>
      <c r="M169" s="46"/>
      <c r="N169" s="46"/>
      <c r="O169" s="46"/>
      <c r="P169" s="46"/>
      <c r="Q169" s="46"/>
      <c r="R169" s="46"/>
      <c r="S169" s="46"/>
      <c r="T169" s="46"/>
      <c r="U169" s="46"/>
      <c r="V169" s="46"/>
      <c r="W169" s="46"/>
      <c r="X169" s="46"/>
      <c r="Y169" s="46"/>
      <c r="Z169" s="46"/>
      <c r="AA169" s="46"/>
      <c r="AB169" s="46"/>
      <c r="AC169" s="46"/>
      <c r="AD169" s="46"/>
      <c r="AE169" s="46"/>
      <c r="AF169" s="46"/>
      <c r="AG169" s="46"/>
      <c r="AH169" s="46"/>
      <c r="AI169" s="46"/>
      <c r="AJ169" s="46"/>
      <c r="AK169" s="46"/>
      <c r="AL169" s="47"/>
      <c r="AM169" s="47"/>
      <c r="AN169" s="47"/>
      <c r="AO169" s="47"/>
      <c r="AP169" s="47"/>
      <c r="AQ169" s="48"/>
      <c r="AR169" s="49"/>
      <c r="AS169" s="49"/>
      <c r="AT169" s="49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</row>
    <row r="170" spans="1:66" ht="15.75" customHeight="1" x14ac:dyDescent="0.25">
      <c r="A170" s="43"/>
      <c r="B170" s="50"/>
      <c r="C170" s="51"/>
      <c r="D170" s="43"/>
      <c r="E170" s="43"/>
      <c r="F170" s="43"/>
      <c r="G170" s="44"/>
      <c r="H170" s="23"/>
      <c r="I170" s="43"/>
      <c r="J170" s="43"/>
      <c r="K170" s="45"/>
      <c r="L170" s="46"/>
      <c r="M170" s="46"/>
      <c r="N170" s="46"/>
      <c r="O170" s="46"/>
      <c r="P170" s="46"/>
      <c r="Q170" s="46"/>
      <c r="R170" s="46"/>
      <c r="S170" s="46"/>
      <c r="T170" s="46"/>
      <c r="U170" s="46"/>
      <c r="V170" s="46"/>
      <c r="W170" s="46"/>
      <c r="X170" s="46"/>
      <c r="Y170" s="46"/>
      <c r="Z170" s="46"/>
      <c r="AA170" s="46"/>
      <c r="AB170" s="46"/>
      <c r="AC170" s="46"/>
      <c r="AD170" s="46"/>
      <c r="AE170" s="46"/>
      <c r="AF170" s="46"/>
      <c r="AG170" s="46"/>
      <c r="AH170" s="46"/>
      <c r="AI170" s="46"/>
      <c r="AJ170" s="46"/>
      <c r="AK170" s="46"/>
      <c r="AL170" s="47"/>
      <c r="AM170" s="47"/>
      <c r="AN170" s="47"/>
      <c r="AO170" s="47"/>
      <c r="AP170" s="47"/>
      <c r="AQ170" s="48"/>
      <c r="AR170" s="49"/>
      <c r="AS170" s="49"/>
      <c r="AT170" s="49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</row>
    <row r="171" spans="1:66" ht="15.75" customHeight="1" x14ac:dyDescent="0.25">
      <c r="A171" s="43"/>
      <c r="B171" s="50"/>
      <c r="C171" s="51"/>
      <c r="D171" s="43"/>
      <c r="E171" s="43"/>
      <c r="F171" s="43"/>
      <c r="G171" s="44"/>
      <c r="H171" s="23"/>
      <c r="I171" s="43"/>
      <c r="J171" s="43"/>
      <c r="K171" s="45"/>
      <c r="L171" s="46"/>
      <c r="M171" s="46"/>
      <c r="N171" s="46"/>
      <c r="O171" s="46"/>
      <c r="P171" s="46"/>
      <c r="Q171" s="46"/>
      <c r="R171" s="46"/>
      <c r="S171" s="46"/>
      <c r="T171" s="46"/>
      <c r="U171" s="46"/>
      <c r="V171" s="46"/>
      <c r="W171" s="46"/>
      <c r="X171" s="46"/>
      <c r="Y171" s="46"/>
      <c r="Z171" s="46"/>
      <c r="AA171" s="46"/>
      <c r="AB171" s="46"/>
      <c r="AC171" s="46"/>
      <c r="AD171" s="46"/>
      <c r="AE171" s="46"/>
      <c r="AF171" s="46"/>
      <c r="AG171" s="46"/>
      <c r="AH171" s="46"/>
      <c r="AI171" s="46"/>
      <c r="AJ171" s="46"/>
      <c r="AK171" s="46"/>
      <c r="AL171" s="47"/>
      <c r="AM171" s="47"/>
      <c r="AN171" s="47"/>
      <c r="AO171" s="47"/>
      <c r="AP171" s="47"/>
      <c r="AQ171" s="48"/>
      <c r="AR171" s="49"/>
      <c r="AS171" s="49"/>
      <c r="AT171" s="49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</row>
    <row r="172" spans="1:66" ht="15.75" customHeight="1" x14ac:dyDescent="0.25">
      <c r="A172" s="43"/>
      <c r="B172" s="50"/>
      <c r="C172" s="51"/>
      <c r="D172" s="43"/>
      <c r="E172" s="43"/>
      <c r="F172" s="43"/>
      <c r="G172" s="44"/>
      <c r="H172" s="23"/>
      <c r="I172" s="43"/>
      <c r="J172" s="43"/>
      <c r="K172" s="45"/>
      <c r="L172" s="46"/>
      <c r="M172" s="46"/>
      <c r="N172" s="46"/>
      <c r="O172" s="46"/>
      <c r="P172" s="46"/>
      <c r="Q172" s="46"/>
      <c r="R172" s="46"/>
      <c r="S172" s="46"/>
      <c r="T172" s="46"/>
      <c r="U172" s="46"/>
      <c r="V172" s="46"/>
      <c r="W172" s="46"/>
      <c r="X172" s="46"/>
      <c r="Y172" s="46"/>
      <c r="Z172" s="46"/>
      <c r="AA172" s="46"/>
      <c r="AB172" s="46"/>
      <c r="AC172" s="46"/>
      <c r="AD172" s="46"/>
      <c r="AE172" s="46"/>
      <c r="AF172" s="46"/>
      <c r="AG172" s="46"/>
      <c r="AH172" s="46"/>
      <c r="AI172" s="46"/>
      <c r="AJ172" s="46"/>
      <c r="AK172" s="46"/>
      <c r="AL172" s="47"/>
      <c r="AM172" s="47"/>
      <c r="AN172" s="47"/>
      <c r="AO172" s="47"/>
      <c r="AP172" s="47"/>
      <c r="AQ172" s="48"/>
      <c r="AR172" s="49"/>
      <c r="AS172" s="49"/>
      <c r="AT172" s="49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</row>
    <row r="173" spans="1:66" ht="15.75" customHeight="1" x14ac:dyDescent="0.25">
      <c r="A173" s="43"/>
      <c r="B173" s="50"/>
      <c r="C173" s="51"/>
      <c r="D173" s="43"/>
      <c r="E173" s="43"/>
      <c r="F173" s="43"/>
      <c r="G173" s="44"/>
      <c r="H173" s="23"/>
      <c r="I173" s="43"/>
      <c r="J173" s="43"/>
      <c r="K173" s="45"/>
      <c r="L173" s="46"/>
      <c r="M173" s="46"/>
      <c r="N173" s="46"/>
      <c r="O173" s="46"/>
      <c r="P173" s="46"/>
      <c r="Q173" s="46"/>
      <c r="R173" s="46"/>
      <c r="S173" s="46"/>
      <c r="T173" s="46"/>
      <c r="U173" s="46"/>
      <c r="V173" s="46"/>
      <c r="W173" s="46"/>
      <c r="X173" s="46"/>
      <c r="Y173" s="46"/>
      <c r="Z173" s="46"/>
      <c r="AA173" s="46"/>
      <c r="AB173" s="46"/>
      <c r="AC173" s="46"/>
      <c r="AD173" s="46"/>
      <c r="AE173" s="46"/>
      <c r="AF173" s="46"/>
      <c r="AG173" s="46"/>
      <c r="AH173" s="46"/>
      <c r="AI173" s="46"/>
      <c r="AJ173" s="46"/>
      <c r="AK173" s="46"/>
      <c r="AL173" s="47"/>
      <c r="AM173" s="47"/>
      <c r="AN173" s="47"/>
      <c r="AO173" s="47"/>
      <c r="AP173" s="47"/>
      <c r="AQ173" s="48"/>
      <c r="AR173" s="49"/>
      <c r="AS173" s="49"/>
      <c r="AT173" s="49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</row>
    <row r="174" spans="1:66" ht="15.75" customHeight="1" x14ac:dyDescent="0.25">
      <c r="A174" s="43"/>
      <c r="B174" s="50"/>
      <c r="C174" s="51"/>
      <c r="D174" s="43"/>
      <c r="E174" s="43"/>
      <c r="F174" s="43"/>
      <c r="G174" s="44"/>
      <c r="H174" s="23"/>
      <c r="I174" s="43"/>
      <c r="J174" s="43"/>
      <c r="K174" s="45"/>
      <c r="L174" s="46"/>
      <c r="M174" s="46"/>
      <c r="N174" s="46"/>
      <c r="O174" s="46"/>
      <c r="P174" s="46"/>
      <c r="Q174" s="46"/>
      <c r="R174" s="46"/>
      <c r="S174" s="46"/>
      <c r="T174" s="46"/>
      <c r="U174" s="46"/>
      <c r="V174" s="46"/>
      <c r="W174" s="46"/>
      <c r="X174" s="46"/>
      <c r="Y174" s="46"/>
      <c r="Z174" s="46"/>
      <c r="AA174" s="46"/>
      <c r="AB174" s="46"/>
      <c r="AC174" s="46"/>
      <c r="AD174" s="46"/>
      <c r="AE174" s="46"/>
      <c r="AF174" s="46"/>
      <c r="AG174" s="46"/>
      <c r="AH174" s="46"/>
      <c r="AI174" s="46"/>
      <c r="AJ174" s="46"/>
      <c r="AK174" s="46"/>
      <c r="AL174" s="47"/>
      <c r="AM174" s="47"/>
      <c r="AN174" s="47"/>
      <c r="AO174" s="47"/>
      <c r="AP174" s="47"/>
      <c r="AQ174" s="48"/>
      <c r="AR174" s="49"/>
      <c r="AS174" s="49"/>
      <c r="AT174" s="49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</row>
    <row r="175" spans="1:66" ht="15.75" customHeight="1" x14ac:dyDescent="0.25">
      <c r="A175" s="43"/>
      <c r="B175" s="50"/>
      <c r="C175" s="51"/>
      <c r="D175" s="43"/>
      <c r="E175" s="43"/>
      <c r="F175" s="43"/>
      <c r="G175" s="44"/>
      <c r="H175" s="23"/>
      <c r="I175" s="43"/>
      <c r="J175" s="43"/>
      <c r="K175" s="45"/>
      <c r="L175" s="46"/>
      <c r="M175" s="46"/>
      <c r="N175" s="46"/>
      <c r="O175" s="46"/>
      <c r="P175" s="46"/>
      <c r="Q175" s="46"/>
      <c r="R175" s="46"/>
      <c r="S175" s="46"/>
      <c r="T175" s="46"/>
      <c r="U175" s="46"/>
      <c r="V175" s="46"/>
      <c r="W175" s="46"/>
      <c r="X175" s="46"/>
      <c r="Y175" s="46"/>
      <c r="Z175" s="46"/>
      <c r="AA175" s="46"/>
      <c r="AB175" s="46"/>
      <c r="AC175" s="46"/>
      <c r="AD175" s="46"/>
      <c r="AE175" s="46"/>
      <c r="AF175" s="46"/>
      <c r="AG175" s="46"/>
      <c r="AH175" s="46"/>
      <c r="AI175" s="46"/>
      <c r="AJ175" s="46"/>
      <c r="AK175" s="46"/>
      <c r="AL175" s="47"/>
      <c r="AM175" s="47"/>
      <c r="AN175" s="47"/>
      <c r="AO175" s="47"/>
      <c r="AP175" s="47"/>
      <c r="AQ175" s="48"/>
      <c r="AR175" s="49"/>
      <c r="AS175" s="49"/>
      <c r="AT175" s="49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</row>
    <row r="176" spans="1:66" ht="15.75" customHeight="1" x14ac:dyDescent="0.25">
      <c r="A176" s="43"/>
      <c r="B176" s="50"/>
      <c r="C176" s="51"/>
      <c r="D176" s="43"/>
      <c r="E176" s="43"/>
      <c r="F176" s="43"/>
      <c r="G176" s="44"/>
      <c r="H176" s="23"/>
      <c r="I176" s="43"/>
      <c r="J176" s="43"/>
      <c r="K176" s="45"/>
      <c r="L176" s="46"/>
      <c r="M176" s="46"/>
      <c r="N176" s="46"/>
      <c r="O176" s="46"/>
      <c r="P176" s="46"/>
      <c r="Q176" s="46"/>
      <c r="R176" s="46"/>
      <c r="S176" s="46"/>
      <c r="T176" s="46"/>
      <c r="U176" s="46"/>
      <c r="V176" s="46"/>
      <c r="W176" s="46"/>
      <c r="X176" s="46"/>
      <c r="Y176" s="46"/>
      <c r="Z176" s="46"/>
      <c r="AA176" s="46"/>
      <c r="AB176" s="46"/>
      <c r="AC176" s="46"/>
      <c r="AD176" s="46"/>
      <c r="AE176" s="46"/>
      <c r="AF176" s="46"/>
      <c r="AG176" s="46"/>
      <c r="AH176" s="46"/>
      <c r="AI176" s="46"/>
      <c r="AJ176" s="46"/>
      <c r="AK176" s="46"/>
      <c r="AL176" s="47"/>
      <c r="AM176" s="47"/>
      <c r="AN176" s="47"/>
      <c r="AO176" s="47"/>
      <c r="AP176" s="47"/>
      <c r="AQ176" s="48"/>
      <c r="AR176" s="49"/>
      <c r="AS176" s="49"/>
      <c r="AT176" s="49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</row>
    <row r="177" spans="1:66" ht="15.75" customHeight="1" x14ac:dyDescent="0.25">
      <c r="A177" s="43"/>
      <c r="B177" s="50"/>
      <c r="C177" s="51"/>
      <c r="D177" s="43"/>
      <c r="E177" s="43"/>
      <c r="F177" s="43"/>
      <c r="G177" s="44"/>
      <c r="H177" s="23"/>
      <c r="I177" s="43"/>
      <c r="J177" s="43"/>
      <c r="K177" s="45"/>
      <c r="L177" s="46"/>
      <c r="M177" s="46"/>
      <c r="N177" s="46"/>
      <c r="O177" s="46"/>
      <c r="P177" s="46"/>
      <c r="Q177" s="46"/>
      <c r="R177" s="46"/>
      <c r="S177" s="46"/>
      <c r="T177" s="46"/>
      <c r="U177" s="46"/>
      <c r="V177" s="46"/>
      <c r="W177" s="46"/>
      <c r="X177" s="46"/>
      <c r="Y177" s="46"/>
      <c r="Z177" s="46"/>
      <c r="AA177" s="46"/>
      <c r="AB177" s="46"/>
      <c r="AC177" s="46"/>
      <c r="AD177" s="46"/>
      <c r="AE177" s="46"/>
      <c r="AF177" s="46"/>
      <c r="AG177" s="46"/>
      <c r="AH177" s="46"/>
      <c r="AI177" s="46"/>
      <c r="AJ177" s="46"/>
      <c r="AK177" s="46"/>
      <c r="AL177" s="47"/>
      <c r="AM177" s="47"/>
      <c r="AN177" s="47"/>
      <c r="AO177" s="47"/>
      <c r="AP177" s="47"/>
      <c r="AQ177" s="48"/>
      <c r="AR177" s="49"/>
      <c r="AS177" s="49"/>
      <c r="AT177" s="49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</row>
    <row r="178" spans="1:66" ht="15.75" customHeight="1" x14ac:dyDescent="0.25">
      <c r="A178" s="43"/>
      <c r="B178" s="50"/>
      <c r="C178" s="51"/>
      <c r="D178" s="43"/>
      <c r="E178" s="43"/>
      <c r="F178" s="43"/>
      <c r="G178" s="44"/>
      <c r="H178" s="23"/>
      <c r="I178" s="43"/>
      <c r="J178" s="43"/>
      <c r="K178" s="45"/>
      <c r="L178" s="46"/>
      <c r="M178" s="46"/>
      <c r="N178" s="46"/>
      <c r="O178" s="46"/>
      <c r="P178" s="46"/>
      <c r="Q178" s="46"/>
      <c r="R178" s="46"/>
      <c r="S178" s="46"/>
      <c r="T178" s="46"/>
      <c r="U178" s="46"/>
      <c r="V178" s="46"/>
      <c r="W178" s="46"/>
      <c r="X178" s="46"/>
      <c r="Y178" s="46"/>
      <c r="Z178" s="46"/>
      <c r="AA178" s="46"/>
      <c r="AB178" s="46"/>
      <c r="AC178" s="46"/>
      <c r="AD178" s="46"/>
      <c r="AE178" s="46"/>
      <c r="AF178" s="46"/>
      <c r="AG178" s="46"/>
      <c r="AH178" s="46"/>
      <c r="AI178" s="46"/>
      <c r="AJ178" s="46"/>
      <c r="AK178" s="46"/>
      <c r="AL178" s="47"/>
      <c r="AM178" s="47"/>
      <c r="AN178" s="47"/>
      <c r="AO178" s="47"/>
      <c r="AP178" s="47"/>
      <c r="AQ178" s="48"/>
      <c r="AR178" s="49"/>
      <c r="AS178" s="49"/>
      <c r="AT178" s="49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</row>
    <row r="179" spans="1:66" ht="15.75" customHeight="1" x14ac:dyDescent="0.25">
      <c r="A179" s="43"/>
      <c r="B179" s="50"/>
      <c r="C179" s="51"/>
      <c r="D179" s="43"/>
      <c r="E179" s="43"/>
      <c r="F179" s="43"/>
      <c r="G179" s="44"/>
      <c r="H179" s="23"/>
      <c r="I179" s="43"/>
      <c r="J179" s="43"/>
      <c r="K179" s="45"/>
      <c r="L179" s="46"/>
      <c r="M179" s="46"/>
      <c r="N179" s="46"/>
      <c r="O179" s="46"/>
      <c r="P179" s="46"/>
      <c r="Q179" s="46"/>
      <c r="R179" s="46"/>
      <c r="S179" s="46"/>
      <c r="T179" s="46"/>
      <c r="U179" s="46"/>
      <c r="V179" s="46"/>
      <c r="W179" s="46"/>
      <c r="X179" s="46"/>
      <c r="Y179" s="46"/>
      <c r="Z179" s="46"/>
      <c r="AA179" s="46"/>
      <c r="AB179" s="46"/>
      <c r="AC179" s="46"/>
      <c r="AD179" s="46"/>
      <c r="AE179" s="46"/>
      <c r="AF179" s="46"/>
      <c r="AG179" s="46"/>
      <c r="AH179" s="46"/>
      <c r="AI179" s="46"/>
      <c r="AJ179" s="46"/>
      <c r="AK179" s="46"/>
      <c r="AL179" s="47"/>
      <c r="AM179" s="47"/>
      <c r="AN179" s="47"/>
      <c r="AO179" s="47"/>
      <c r="AP179" s="47"/>
      <c r="AQ179" s="48"/>
      <c r="AR179" s="49"/>
      <c r="AS179" s="49"/>
      <c r="AT179" s="49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</row>
    <row r="180" spans="1:66" ht="15.75" customHeight="1" x14ac:dyDescent="0.25">
      <c r="A180" s="43"/>
      <c r="B180" s="50"/>
      <c r="C180" s="51"/>
      <c r="D180" s="43"/>
      <c r="E180" s="43"/>
      <c r="F180" s="43"/>
      <c r="G180" s="44"/>
      <c r="H180" s="23"/>
      <c r="I180" s="43"/>
      <c r="J180" s="43"/>
      <c r="K180" s="45"/>
      <c r="L180" s="46"/>
      <c r="M180" s="46"/>
      <c r="N180" s="46"/>
      <c r="O180" s="46"/>
      <c r="P180" s="46"/>
      <c r="Q180" s="46"/>
      <c r="R180" s="46"/>
      <c r="S180" s="46"/>
      <c r="T180" s="46"/>
      <c r="U180" s="46"/>
      <c r="V180" s="46"/>
      <c r="W180" s="46"/>
      <c r="X180" s="46"/>
      <c r="Y180" s="46"/>
      <c r="Z180" s="46"/>
      <c r="AA180" s="46"/>
      <c r="AB180" s="46"/>
      <c r="AC180" s="46"/>
      <c r="AD180" s="46"/>
      <c r="AE180" s="46"/>
      <c r="AF180" s="46"/>
      <c r="AG180" s="46"/>
      <c r="AH180" s="46"/>
      <c r="AI180" s="46"/>
      <c r="AJ180" s="46"/>
      <c r="AK180" s="46"/>
      <c r="AL180" s="47"/>
      <c r="AM180" s="47"/>
      <c r="AN180" s="47"/>
      <c r="AO180" s="47"/>
      <c r="AP180" s="47"/>
      <c r="AQ180" s="48"/>
      <c r="AR180" s="49"/>
      <c r="AS180" s="49"/>
      <c r="AT180" s="49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</row>
    <row r="181" spans="1:66" ht="15.75" customHeight="1" x14ac:dyDescent="0.25">
      <c r="A181" s="43"/>
      <c r="B181" s="50"/>
      <c r="C181" s="51"/>
      <c r="D181" s="43"/>
      <c r="E181" s="43"/>
      <c r="F181" s="43"/>
      <c r="G181" s="44"/>
      <c r="H181" s="23"/>
      <c r="I181" s="43"/>
      <c r="J181" s="43"/>
      <c r="K181" s="45"/>
      <c r="L181" s="46"/>
      <c r="M181" s="46"/>
      <c r="N181" s="46"/>
      <c r="O181" s="46"/>
      <c r="P181" s="46"/>
      <c r="Q181" s="46"/>
      <c r="R181" s="46"/>
      <c r="S181" s="46"/>
      <c r="T181" s="46"/>
      <c r="U181" s="46"/>
      <c r="V181" s="46"/>
      <c r="W181" s="46"/>
      <c r="X181" s="46"/>
      <c r="Y181" s="46"/>
      <c r="Z181" s="46"/>
      <c r="AA181" s="46"/>
      <c r="AB181" s="46"/>
      <c r="AC181" s="46"/>
      <c r="AD181" s="46"/>
      <c r="AE181" s="46"/>
      <c r="AF181" s="46"/>
      <c r="AG181" s="46"/>
      <c r="AH181" s="46"/>
      <c r="AI181" s="46"/>
      <c r="AJ181" s="46"/>
      <c r="AK181" s="46"/>
      <c r="AL181" s="47"/>
      <c r="AM181" s="47"/>
      <c r="AN181" s="47"/>
      <c r="AO181" s="47"/>
      <c r="AP181" s="47"/>
      <c r="AQ181" s="48"/>
      <c r="AR181" s="49"/>
      <c r="AS181" s="49"/>
      <c r="AT181" s="49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</row>
    <row r="182" spans="1:66" ht="15.75" customHeight="1" x14ac:dyDescent="0.25">
      <c r="A182" s="43"/>
      <c r="B182" s="50"/>
      <c r="C182" s="51"/>
      <c r="D182" s="43"/>
      <c r="E182" s="43"/>
      <c r="F182" s="43"/>
      <c r="G182" s="44"/>
      <c r="H182" s="23"/>
      <c r="I182" s="43"/>
      <c r="J182" s="43"/>
      <c r="K182" s="45"/>
      <c r="L182" s="46"/>
      <c r="M182" s="46"/>
      <c r="N182" s="46"/>
      <c r="O182" s="46"/>
      <c r="P182" s="46"/>
      <c r="Q182" s="46"/>
      <c r="R182" s="46"/>
      <c r="S182" s="46"/>
      <c r="T182" s="46"/>
      <c r="U182" s="46"/>
      <c r="V182" s="46"/>
      <c r="W182" s="46"/>
      <c r="X182" s="46"/>
      <c r="Y182" s="46"/>
      <c r="Z182" s="46"/>
      <c r="AA182" s="46"/>
      <c r="AB182" s="46"/>
      <c r="AC182" s="46"/>
      <c r="AD182" s="46"/>
      <c r="AE182" s="46"/>
      <c r="AF182" s="46"/>
      <c r="AG182" s="46"/>
      <c r="AH182" s="46"/>
      <c r="AI182" s="46"/>
      <c r="AJ182" s="46"/>
      <c r="AK182" s="46"/>
      <c r="AL182" s="47"/>
      <c r="AM182" s="47"/>
      <c r="AN182" s="47"/>
      <c r="AO182" s="47"/>
      <c r="AP182" s="47"/>
      <c r="AQ182" s="48"/>
      <c r="AR182" s="49"/>
      <c r="AS182" s="49"/>
      <c r="AT182" s="49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</row>
    <row r="183" spans="1:66" ht="15.75" customHeight="1" x14ac:dyDescent="0.25">
      <c r="A183" s="43"/>
      <c r="B183" s="50"/>
      <c r="C183" s="51"/>
      <c r="D183" s="43"/>
      <c r="E183" s="43"/>
      <c r="F183" s="43"/>
      <c r="G183" s="44"/>
      <c r="H183" s="23"/>
      <c r="I183" s="43"/>
      <c r="J183" s="43"/>
      <c r="K183" s="45"/>
      <c r="L183" s="46"/>
      <c r="M183" s="46"/>
      <c r="N183" s="46"/>
      <c r="O183" s="46"/>
      <c r="P183" s="46"/>
      <c r="Q183" s="46"/>
      <c r="R183" s="46"/>
      <c r="S183" s="46"/>
      <c r="T183" s="46"/>
      <c r="U183" s="46"/>
      <c r="V183" s="46"/>
      <c r="W183" s="46"/>
      <c r="X183" s="46"/>
      <c r="Y183" s="46"/>
      <c r="Z183" s="46"/>
      <c r="AA183" s="46"/>
      <c r="AB183" s="46"/>
      <c r="AC183" s="46"/>
      <c r="AD183" s="46"/>
      <c r="AE183" s="46"/>
      <c r="AF183" s="46"/>
      <c r="AG183" s="46"/>
      <c r="AH183" s="46"/>
      <c r="AI183" s="46"/>
      <c r="AJ183" s="46"/>
      <c r="AK183" s="46"/>
      <c r="AL183" s="47"/>
      <c r="AM183" s="47"/>
      <c r="AN183" s="47"/>
      <c r="AO183" s="47"/>
      <c r="AP183" s="47"/>
      <c r="AQ183" s="48"/>
      <c r="AR183" s="49"/>
      <c r="AS183" s="49"/>
      <c r="AT183" s="49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</row>
    <row r="184" spans="1:66" ht="15.75" customHeight="1" x14ac:dyDescent="0.25">
      <c r="A184" s="43"/>
      <c r="B184" s="50"/>
      <c r="C184" s="51"/>
      <c r="D184" s="43"/>
      <c r="E184" s="43"/>
      <c r="F184" s="43"/>
      <c r="G184" s="44"/>
      <c r="H184" s="23"/>
      <c r="I184" s="43"/>
      <c r="J184" s="43"/>
      <c r="K184" s="45"/>
      <c r="L184" s="46"/>
      <c r="M184" s="46"/>
      <c r="N184" s="46"/>
      <c r="O184" s="46"/>
      <c r="P184" s="46"/>
      <c r="Q184" s="46"/>
      <c r="R184" s="46"/>
      <c r="S184" s="46"/>
      <c r="T184" s="46"/>
      <c r="U184" s="46"/>
      <c r="V184" s="46"/>
      <c r="W184" s="46"/>
      <c r="X184" s="46"/>
      <c r="Y184" s="46"/>
      <c r="Z184" s="46"/>
      <c r="AA184" s="46"/>
      <c r="AB184" s="46"/>
      <c r="AC184" s="46"/>
      <c r="AD184" s="46"/>
      <c r="AE184" s="46"/>
      <c r="AF184" s="46"/>
      <c r="AG184" s="46"/>
      <c r="AH184" s="46"/>
      <c r="AI184" s="46"/>
      <c r="AJ184" s="46"/>
      <c r="AK184" s="46"/>
      <c r="AL184" s="47"/>
      <c r="AM184" s="47"/>
      <c r="AN184" s="47"/>
      <c r="AO184" s="47"/>
      <c r="AP184" s="47"/>
      <c r="AQ184" s="48"/>
      <c r="AR184" s="49"/>
      <c r="AS184" s="49"/>
      <c r="AT184" s="49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</row>
    <row r="185" spans="1:66" ht="15.75" customHeight="1" x14ac:dyDescent="0.25">
      <c r="A185" s="43"/>
      <c r="B185" s="50"/>
      <c r="C185" s="51"/>
      <c r="D185" s="43"/>
      <c r="E185" s="43"/>
      <c r="F185" s="43"/>
      <c r="G185" s="44"/>
      <c r="H185" s="23"/>
      <c r="I185" s="43"/>
      <c r="J185" s="43"/>
      <c r="K185" s="45"/>
      <c r="L185" s="46"/>
      <c r="M185" s="46"/>
      <c r="N185" s="46"/>
      <c r="O185" s="46"/>
      <c r="P185" s="46"/>
      <c r="Q185" s="46"/>
      <c r="R185" s="46"/>
      <c r="S185" s="46"/>
      <c r="T185" s="46"/>
      <c r="U185" s="46"/>
      <c r="V185" s="46"/>
      <c r="W185" s="46"/>
      <c r="X185" s="46"/>
      <c r="Y185" s="46"/>
      <c r="Z185" s="46"/>
      <c r="AA185" s="46"/>
      <c r="AB185" s="46"/>
      <c r="AC185" s="46"/>
      <c r="AD185" s="46"/>
      <c r="AE185" s="46"/>
      <c r="AF185" s="46"/>
      <c r="AG185" s="46"/>
      <c r="AH185" s="46"/>
      <c r="AI185" s="46"/>
      <c r="AJ185" s="46"/>
      <c r="AK185" s="46"/>
      <c r="AL185" s="47"/>
      <c r="AM185" s="47"/>
      <c r="AN185" s="47"/>
      <c r="AO185" s="47"/>
      <c r="AP185" s="47"/>
      <c r="AQ185" s="48"/>
      <c r="AR185" s="49"/>
      <c r="AS185" s="49"/>
      <c r="AT185" s="49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</row>
    <row r="186" spans="1:66" ht="15.75" customHeight="1" x14ac:dyDescent="0.25">
      <c r="A186" s="43"/>
      <c r="B186" s="50"/>
      <c r="C186" s="51"/>
      <c r="D186" s="43"/>
      <c r="E186" s="43"/>
      <c r="F186" s="43"/>
      <c r="G186" s="44"/>
      <c r="H186" s="23"/>
      <c r="I186" s="43"/>
      <c r="J186" s="43"/>
      <c r="K186" s="45"/>
      <c r="L186" s="46"/>
      <c r="M186" s="46"/>
      <c r="N186" s="46"/>
      <c r="O186" s="46"/>
      <c r="P186" s="46"/>
      <c r="Q186" s="46"/>
      <c r="R186" s="46"/>
      <c r="S186" s="46"/>
      <c r="T186" s="46"/>
      <c r="U186" s="46"/>
      <c r="V186" s="46"/>
      <c r="W186" s="46"/>
      <c r="X186" s="46"/>
      <c r="Y186" s="46"/>
      <c r="Z186" s="46"/>
      <c r="AA186" s="46"/>
      <c r="AB186" s="46"/>
      <c r="AC186" s="46"/>
      <c r="AD186" s="46"/>
      <c r="AE186" s="46"/>
      <c r="AF186" s="46"/>
      <c r="AG186" s="46"/>
      <c r="AH186" s="46"/>
      <c r="AI186" s="46"/>
      <c r="AJ186" s="46"/>
      <c r="AK186" s="46"/>
      <c r="AL186" s="47"/>
      <c r="AM186" s="47"/>
      <c r="AN186" s="47"/>
      <c r="AO186" s="47"/>
      <c r="AP186" s="47"/>
      <c r="AQ186" s="48"/>
      <c r="AR186" s="49"/>
      <c r="AS186" s="49"/>
      <c r="AT186" s="49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</row>
    <row r="187" spans="1:66" ht="15.75" customHeight="1" x14ac:dyDescent="0.25">
      <c r="A187" s="43"/>
      <c r="B187" s="50"/>
      <c r="C187" s="51"/>
      <c r="D187" s="43"/>
      <c r="E187" s="43"/>
      <c r="F187" s="43"/>
      <c r="G187" s="44"/>
      <c r="H187" s="23"/>
      <c r="I187" s="43"/>
      <c r="J187" s="43"/>
      <c r="K187" s="45"/>
      <c r="L187" s="46"/>
      <c r="M187" s="46"/>
      <c r="N187" s="46"/>
      <c r="O187" s="46"/>
      <c r="P187" s="46"/>
      <c r="Q187" s="46"/>
      <c r="R187" s="46"/>
      <c r="S187" s="46"/>
      <c r="T187" s="46"/>
      <c r="U187" s="46"/>
      <c r="V187" s="46"/>
      <c r="W187" s="46"/>
      <c r="X187" s="46"/>
      <c r="Y187" s="46"/>
      <c r="Z187" s="46"/>
      <c r="AA187" s="46"/>
      <c r="AB187" s="46"/>
      <c r="AC187" s="46"/>
      <c r="AD187" s="46"/>
      <c r="AE187" s="46"/>
      <c r="AF187" s="46"/>
      <c r="AG187" s="46"/>
      <c r="AH187" s="46"/>
      <c r="AI187" s="46"/>
      <c r="AJ187" s="46"/>
      <c r="AK187" s="46"/>
      <c r="AL187" s="47"/>
      <c r="AM187" s="47"/>
      <c r="AN187" s="47"/>
      <c r="AO187" s="47"/>
      <c r="AP187" s="47"/>
      <c r="AQ187" s="48"/>
      <c r="AR187" s="49"/>
      <c r="AS187" s="49"/>
      <c r="AT187" s="49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</row>
    <row r="188" spans="1:66" ht="15.75" customHeight="1" x14ac:dyDescent="0.25">
      <c r="A188" s="43"/>
      <c r="B188" s="50"/>
      <c r="C188" s="51"/>
      <c r="D188" s="43"/>
      <c r="E188" s="43"/>
      <c r="F188" s="43"/>
      <c r="G188" s="44"/>
      <c r="H188" s="23"/>
      <c r="I188" s="43"/>
      <c r="J188" s="43"/>
      <c r="K188" s="45"/>
      <c r="L188" s="46"/>
      <c r="M188" s="46"/>
      <c r="N188" s="46"/>
      <c r="O188" s="46"/>
      <c r="P188" s="46"/>
      <c r="Q188" s="46"/>
      <c r="R188" s="46"/>
      <c r="S188" s="46"/>
      <c r="T188" s="46"/>
      <c r="U188" s="46"/>
      <c r="V188" s="46"/>
      <c r="W188" s="46"/>
      <c r="X188" s="46"/>
      <c r="Y188" s="46"/>
      <c r="Z188" s="46"/>
      <c r="AA188" s="46"/>
      <c r="AB188" s="46"/>
      <c r="AC188" s="46"/>
      <c r="AD188" s="46"/>
      <c r="AE188" s="46"/>
      <c r="AF188" s="46"/>
      <c r="AG188" s="46"/>
      <c r="AH188" s="46"/>
      <c r="AI188" s="46"/>
      <c r="AJ188" s="46"/>
      <c r="AK188" s="46"/>
      <c r="AL188" s="47"/>
      <c r="AM188" s="47"/>
      <c r="AN188" s="47"/>
      <c r="AO188" s="47"/>
      <c r="AP188" s="47"/>
      <c r="AQ188" s="48"/>
      <c r="AR188" s="49"/>
      <c r="AS188" s="49"/>
      <c r="AT188" s="49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</row>
    <row r="189" spans="1:66" ht="15.75" customHeight="1" x14ac:dyDescent="0.25">
      <c r="A189" s="43"/>
      <c r="B189" s="50"/>
      <c r="C189" s="51"/>
      <c r="D189" s="43"/>
      <c r="E189" s="43"/>
      <c r="F189" s="43"/>
      <c r="G189" s="44"/>
      <c r="H189" s="23"/>
      <c r="I189" s="43"/>
      <c r="J189" s="43"/>
      <c r="K189" s="45"/>
      <c r="L189" s="46"/>
      <c r="M189" s="46"/>
      <c r="N189" s="46"/>
      <c r="O189" s="46"/>
      <c r="P189" s="46"/>
      <c r="Q189" s="46"/>
      <c r="R189" s="46"/>
      <c r="S189" s="46"/>
      <c r="T189" s="46"/>
      <c r="U189" s="46"/>
      <c r="V189" s="46"/>
      <c r="W189" s="46"/>
      <c r="X189" s="46"/>
      <c r="Y189" s="46"/>
      <c r="Z189" s="46"/>
      <c r="AA189" s="46"/>
      <c r="AB189" s="46"/>
      <c r="AC189" s="46"/>
      <c r="AD189" s="46"/>
      <c r="AE189" s="46"/>
      <c r="AF189" s="46"/>
      <c r="AG189" s="46"/>
      <c r="AH189" s="46"/>
      <c r="AI189" s="46"/>
      <c r="AJ189" s="46"/>
      <c r="AK189" s="46"/>
      <c r="AL189" s="47"/>
      <c r="AM189" s="47"/>
      <c r="AN189" s="47"/>
      <c r="AO189" s="47"/>
      <c r="AP189" s="47"/>
      <c r="AQ189" s="48"/>
      <c r="AR189" s="49"/>
      <c r="AS189" s="49"/>
      <c r="AT189" s="49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</row>
    <row r="190" spans="1:66" ht="15.75" customHeight="1" x14ac:dyDescent="0.25">
      <c r="A190" s="43"/>
      <c r="B190" s="50"/>
      <c r="C190" s="51"/>
      <c r="D190" s="43"/>
      <c r="E190" s="43"/>
      <c r="F190" s="43"/>
      <c r="G190" s="44"/>
      <c r="H190" s="23"/>
      <c r="I190" s="43"/>
      <c r="J190" s="43"/>
      <c r="K190" s="45"/>
      <c r="L190" s="46"/>
      <c r="M190" s="46"/>
      <c r="N190" s="46"/>
      <c r="O190" s="46"/>
      <c r="P190" s="46"/>
      <c r="Q190" s="46"/>
      <c r="R190" s="46"/>
      <c r="S190" s="46"/>
      <c r="T190" s="46"/>
      <c r="U190" s="46"/>
      <c r="V190" s="46"/>
      <c r="W190" s="46"/>
      <c r="X190" s="46"/>
      <c r="Y190" s="46"/>
      <c r="Z190" s="46"/>
      <c r="AA190" s="46"/>
      <c r="AB190" s="46"/>
      <c r="AC190" s="46"/>
      <c r="AD190" s="46"/>
      <c r="AE190" s="46"/>
      <c r="AF190" s="46"/>
      <c r="AG190" s="46"/>
      <c r="AH190" s="46"/>
      <c r="AI190" s="46"/>
      <c r="AJ190" s="46"/>
      <c r="AK190" s="46"/>
      <c r="AL190" s="47"/>
      <c r="AM190" s="47"/>
      <c r="AN190" s="47"/>
      <c r="AO190" s="47"/>
      <c r="AP190" s="47"/>
      <c r="AQ190" s="48"/>
      <c r="AR190" s="49"/>
      <c r="AS190" s="49"/>
      <c r="AT190" s="49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</row>
    <row r="191" spans="1:66" ht="15.75" customHeight="1" x14ac:dyDescent="0.25">
      <c r="A191" s="43"/>
      <c r="B191" s="50"/>
      <c r="C191" s="51"/>
      <c r="D191" s="43"/>
      <c r="E191" s="43"/>
      <c r="F191" s="43"/>
      <c r="G191" s="44"/>
      <c r="H191" s="23"/>
      <c r="I191" s="43"/>
      <c r="J191" s="43"/>
      <c r="K191" s="45"/>
      <c r="L191" s="46"/>
      <c r="M191" s="46"/>
      <c r="N191" s="46"/>
      <c r="O191" s="46"/>
      <c r="P191" s="46"/>
      <c r="Q191" s="46"/>
      <c r="R191" s="46"/>
      <c r="S191" s="46"/>
      <c r="T191" s="46"/>
      <c r="U191" s="46"/>
      <c r="V191" s="46"/>
      <c r="W191" s="46"/>
      <c r="X191" s="46"/>
      <c r="Y191" s="46"/>
      <c r="Z191" s="46"/>
      <c r="AA191" s="46"/>
      <c r="AB191" s="46"/>
      <c r="AC191" s="46"/>
      <c r="AD191" s="46"/>
      <c r="AE191" s="46"/>
      <c r="AF191" s="46"/>
      <c r="AG191" s="46"/>
      <c r="AH191" s="46"/>
      <c r="AI191" s="46"/>
      <c r="AJ191" s="46"/>
      <c r="AK191" s="46"/>
      <c r="AL191" s="47"/>
      <c r="AM191" s="47"/>
      <c r="AN191" s="47"/>
      <c r="AO191" s="47"/>
      <c r="AP191" s="47"/>
      <c r="AQ191" s="48"/>
      <c r="AR191" s="49"/>
      <c r="AS191" s="49"/>
      <c r="AT191" s="49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</row>
    <row r="192" spans="1:66" ht="15.75" customHeight="1" x14ac:dyDescent="0.25">
      <c r="A192" s="43"/>
      <c r="B192" s="50"/>
      <c r="C192" s="51"/>
      <c r="D192" s="43"/>
      <c r="E192" s="43"/>
      <c r="F192" s="43"/>
      <c r="G192" s="44"/>
      <c r="H192" s="23"/>
      <c r="I192" s="43"/>
      <c r="J192" s="43"/>
      <c r="K192" s="45"/>
      <c r="L192" s="46"/>
      <c r="M192" s="46"/>
      <c r="N192" s="46"/>
      <c r="O192" s="46"/>
      <c r="P192" s="46"/>
      <c r="Q192" s="46"/>
      <c r="R192" s="46"/>
      <c r="S192" s="46"/>
      <c r="T192" s="46"/>
      <c r="U192" s="46"/>
      <c r="V192" s="46"/>
      <c r="W192" s="46"/>
      <c r="X192" s="46"/>
      <c r="Y192" s="46"/>
      <c r="Z192" s="46"/>
      <c r="AA192" s="46"/>
      <c r="AB192" s="46"/>
      <c r="AC192" s="46"/>
      <c r="AD192" s="46"/>
      <c r="AE192" s="46"/>
      <c r="AF192" s="46"/>
      <c r="AG192" s="46"/>
      <c r="AH192" s="46"/>
      <c r="AI192" s="46"/>
      <c r="AJ192" s="46"/>
      <c r="AK192" s="46"/>
      <c r="AL192" s="47"/>
      <c r="AM192" s="47"/>
      <c r="AN192" s="47"/>
      <c r="AO192" s="47"/>
      <c r="AP192" s="47"/>
      <c r="AQ192" s="48"/>
      <c r="AR192" s="49"/>
      <c r="AS192" s="49"/>
      <c r="AT192" s="49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</row>
    <row r="193" spans="1:66" ht="15.75" customHeight="1" x14ac:dyDescent="0.25">
      <c r="A193" s="43"/>
      <c r="B193" s="50"/>
      <c r="C193" s="51"/>
      <c r="D193" s="43"/>
      <c r="E193" s="43"/>
      <c r="F193" s="43"/>
      <c r="G193" s="44"/>
      <c r="H193" s="23"/>
      <c r="I193" s="43"/>
      <c r="J193" s="43"/>
      <c r="K193" s="45"/>
      <c r="L193" s="46"/>
      <c r="M193" s="46"/>
      <c r="N193" s="46"/>
      <c r="O193" s="46"/>
      <c r="P193" s="46"/>
      <c r="Q193" s="46"/>
      <c r="R193" s="46"/>
      <c r="S193" s="46"/>
      <c r="T193" s="46"/>
      <c r="U193" s="46"/>
      <c r="V193" s="46"/>
      <c r="W193" s="46"/>
      <c r="X193" s="46"/>
      <c r="Y193" s="46"/>
      <c r="Z193" s="46"/>
      <c r="AA193" s="46"/>
      <c r="AB193" s="46"/>
      <c r="AC193" s="46"/>
      <c r="AD193" s="46"/>
      <c r="AE193" s="46"/>
      <c r="AF193" s="46"/>
      <c r="AG193" s="46"/>
      <c r="AH193" s="46"/>
      <c r="AI193" s="46"/>
      <c r="AJ193" s="46"/>
      <c r="AK193" s="46"/>
      <c r="AL193" s="47"/>
      <c r="AM193" s="47"/>
      <c r="AN193" s="47"/>
      <c r="AO193" s="47"/>
      <c r="AP193" s="47"/>
      <c r="AQ193" s="48"/>
      <c r="AR193" s="49"/>
      <c r="AS193" s="49"/>
      <c r="AT193" s="49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</row>
    <row r="194" spans="1:66" ht="15.75" customHeight="1" x14ac:dyDescent="0.25">
      <c r="A194" s="43"/>
      <c r="B194" s="50"/>
      <c r="C194" s="51"/>
      <c r="D194" s="43"/>
      <c r="E194" s="43"/>
      <c r="F194" s="43"/>
      <c r="G194" s="44"/>
      <c r="H194" s="23"/>
      <c r="I194" s="43"/>
      <c r="J194" s="43"/>
      <c r="K194" s="45"/>
      <c r="L194" s="46"/>
      <c r="M194" s="46"/>
      <c r="N194" s="46"/>
      <c r="O194" s="46"/>
      <c r="P194" s="46"/>
      <c r="Q194" s="46"/>
      <c r="R194" s="46"/>
      <c r="S194" s="46"/>
      <c r="T194" s="46"/>
      <c r="U194" s="46"/>
      <c r="V194" s="46"/>
      <c r="W194" s="46"/>
      <c r="X194" s="46"/>
      <c r="Y194" s="46"/>
      <c r="Z194" s="46"/>
      <c r="AA194" s="46"/>
      <c r="AB194" s="46"/>
      <c r="AC194" s="46"/>
      <c r="AD194" s="46"/>
      <c r="AE194" s="46"/>
      <c r="AF194" s="46"/>
      <c r="AG194" s="46"/>
      <c r="AH194" s="46"/>
      <c r="AI194" s="46"/>
      <c r="AJ194" s="46"/>
      <c r="AK194" s="46"/>
      <c r="AL194" s="47"/>
      <c r="AM194" s="47"/>
      <c r="AN194" s="47"/>
      <c r="AO194" s="47"/>
      <c r="AP194" s="47"/>
      <c r="AQ194" s="48"/>
      <c r="AR194" s="49"/>
      <c r="AS194" s="49"/>
      <c r="AT194" s="49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</row>
    <row r="195" spans="1:66" ht="15.75" customHeight="1" x14ac:dyDescent="0.25">
      <c r="A195" s="43"/>
      <c r="B195" s="50"/>
      <c r="C195" s="51"/>
      <c r="D195" s="43"/>
      <c r="E195" s="43"/>
      <c r="F195" s="43"/>
      <c r="G195" s="44"/>
      <c r="H195" s="23"/>
      <c r="I195" s="43"/>
      <c r="J195" s="43"/>
      <c r="K195" s="45"/>
      <c r="L195" s="46"/>
      <c r="M195" s="46"/>
      <c r="N195" s="46"/>
      <c r="O195" s="46"/>
      <c r="P195" s="46"/>
      <c r="Q195" s="46"/>
      <c r="R195" s="46"/>
      <c r="S195" s="46"/>
      <c r="T195" s="46"/>
      <c r="U195" s="46"/>
      <c r="V195" s="46"/>
      <c r="W195" s="46"/>
      <c r="X195" s="46"/>
      <c r="Y195" s="46"/>
      <c r="Z195" s="46"/>
      <c r="AA195" s="46"/>
      <c r="AB195" s="46"/>
      <c r="AC195" s="46"/>
      <c r="AD195" s="46"/>
      <c r="AE195" s="46"/>
      <c r="AF195" s="46"/>
      <c r="AG195" s="46"/>
      <c r="AH195" s="46"/>
      <c r="AI195" s="46"/>
      <c r="AJ195" s="46"/>
      <c r="AK195" s="46"/>
      <c r="AL195" s="47"/>
      <c r="AM195" s="47"/>
      <c r="AN195" s="47"/>
      <c r="AO195" s="47"/>
      <c r="AP195" s="47"/>
      <c r="AQ195" s="48"/>
      <c r="AR195" s="49"/>
      <c r="AS195" s="49"/>
      <c r="AT195" s="49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</row>
    <row r="196" spans="1:66" ht="15.75" customHeight="1" x14ac:dyDescent="0.25">
      <c r="A196" s="43"/>
      <c r="B196" s="50"/>
      <c r="C196" s="51"/>
      <c r="D196" s="43"/>
      <c r="E196" s="43"/>
      <c r="F196" s="43"/>
      <c r="G196" s="44"/>
      <c r="H196" s="23"/>
      <c r="I196" s="43"/>
      <c r="J196" s="43"/>
      <c r="K196" s="45"/>
      <c r="L196" s="46"/>
      <c r="M196" s="46"/>
      <c r="N196" s="46"/>
      <c r="O196" s="46"/>
      <c r="P196" s="46"/>
      <c r="Q196" s="46"/>
      <c r="R196" s="46"/>
      <c r="S196" s="46"/>
      <c r="T196" s="46"/>
      <c r="U196" s="46"/>
      <c r="V196" s="46"/>
      <c r="W196" s="46"/>
      <c r="X196" s="46"/>
      <c r="Y196" s="46"/>
      <c r="Z196" s="46"/>
      <c r="AA196" s="46"/>
      <c r="AB196" s="46"/>
      <c r="AC196" s="46"/>
      <c r="AD196" s="46"/>
      <c r="AE196" s="46"/>
      <c r="AF196" s="46"/>
      <c r="AG196" s="46"/>
      <c r="AH196" s="46"/>
      <c r="AI196" s="46"/>
      <c r="AJ196" s="46"/>
      <c r="AK196" s="46"/>
      <c r="AL196" s="47"/>
      <c r="AM196" s="47"/>
      <c r="AN196" s="47"/>
      <c r="AO196" s="47"/>
      <c r="AP196" s="47"/>
      <c r="AQ196" s="48"/>
      <c r="AR196" s="49"/>
      <c r="AS196" s="49"/>
      <c r="AT196" s="49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</row>
    <row r="197" spans="1:66" ht="15.75" customHeight="1" x14ac:dyDescent="0.25">
      <c r="A197" s="43"/>
      <c r="B197" s="50"/>
      <c r="C197" s="51"/>
      <c r="D197" s="43"/>
      <c r="E197" s="43"/>
      <c r="F197" s="43"/>
      <c r="G197" s="44"/>
      <c r="H197" s="23"/>
      <c r="I197" s="43"/>
      <c r="J197" s="43"/>
      <c r="K197" s="45"/>
      <c r="L197" s="46"/>
      <c r="M197" s="46"/>
      <c r="N197" s="46"/>
      <c r="O197" s="46"/>
      <c r="P197" s="46"/>
      <c r="Q197" s="46"/>
      <c r="R197" s="46"/>
      <c r="S197" s="46"/>
      <c r="T197" s="46"/>
      <c r="U197" s="46"/>
      <c r="V197" s="46"/>
      <c r="W197" s="46"/>
      <c r="X197" s="46"/>
      <c r="Y197" s="46"/>
      <c r="Z197" s="46"/>
      <c r="AA197" s="46"/>
      <c r="AB197" s="46"/>
      <c r="AC197" s="46"/>
      <c r="AD197" s="46"/>
      <c r="AE197" s="46"/>
      <c r="AF197" s="46"/>
      <c r="AG197" s="46"/>
      <c r="AH197" s="46"/>
      <c r="AI197" s="46"/>
      <c r="AJ197" s="46"/>
      <c r="AK197" s="46"/>
      <c r="AL197" s="47"/>
      <c r="AM197" s="47"/>
      <c r="AN197" s="47"/>
      <c r="AO197" s="47"/>
      <c r="AP197" s="47"/>
      <c r="AQ197" s="48"/>
      <c r="AR197" s="49"/>
      <c r="AS197" s="49"/>
      <c r="AT197" s="49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</row>
    <row r="198" spans="1:66" ht="15.75" customHeight="1" x14ac:dyDescent="0.25">
      <c r="A198" s="43"/>
      <c r="B198" s="50"/>
      <c r="C198" s="51"/>
      <c r="D198" s="43"/>
      <c r="E198" s="43"/>
      <c r="F198" s="43"/>
      <c r="G198" s="44"/>
      <c r="H198" s="23"/>
      <c r="I198" s="43"/>
      <c r="J198" s="43"/>
      <c r="K198" s="45"/>
      <c r="L198" s="46"/>
      <c r="M198" s="46"/>
      <c r="N198" s="46"/>
      <c r="O198" s="46"/>
      <c r="P198" s="46"/>
      <c r="Q198" s="46"/>
      <c r="R198" s="46"/>
      <c r="S198" s="46"/>
      <c r="T198" s="46"/>
      <c r="U198" s="46"/>
      <c r="V198" s="46"/>
      <c r="W198" s="46"/>
      <c r="X198" s="46"/>
      <c r="Y198" s="46"/>
      <c r="Z198" s="46"/>
      <c r="AA198" s="46"/>
      <c r="AB198" s="46"/>
      <c r="AC198" s="46"/>
      <c r="AD198" s="46"/>
      <c r="AE198" s="46"/>
      <c r="AF198" s="46"/>
      <c r="AG198" s="46"/>
      <c r="AH198" s="46"/>
      <c r="AI198" s="46"/>
      <c r="AJ198" s="46"/>
      <c r="AK198" s="46"/>
      <c r="AL198" s="47"/>
      <c r="AM198" s="47"/>
      <c r="AN198" s="47"/>
      <c r="AO198" s="47"/>
      <c r="AP198" s="47"/>
      <c r="AQ198" s="48"/>
      <c r="AR198" s="49"/>
      <c r="AS198" s="49"/>
      <c r="AT198" s="49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</row>
    <row r="199" spans="1:66" ht="15.75" customHeight="1" x14ac:dyDescent="0.25">
      <c r="A199" s="43"/>
      <c r="B199" s="50"/>
      <c r="C199" s="51"/>
      <c r="D199" s="43"/>
      <c r="E199" s="43"/>
      <c r="F199" s="43"/>
      <c r="G199" s="44"/>
      <c r="H199" s="23"/>
      <c r="I199" s="43"/>
      <c r="J199" s="43"/>
      <c r="K199" s="45"/>
      <c r="L199" s="46"/>
      <c r="M199" s="46"/>
      <c r="N199" s="46"/>
      <c r="O199" s="46"/>
      <c r="P199" s="46"/>
      <c r="Q199" s="46"/>
      <c r="R199" s="46"/>
      <c r="S199" s="46"/>
      <c r="T199" s="46"/>
      <c r="U199" s="46"/>
      <c r="V199" s="46"/>
      <c r="W199" s="46"/>
      <c r="X199" s="46"/>
      <c r="Y199" s="46"/>
      <c r="Z199" s="46"/>
      <c r="AA199" s="46"/>
      <c r="AB199" s="46"/>
      <c r="AC199" s="46"/>
      <c r="AD199" s="46"/>
      <c r="AE199" s="46"/>
      <c r="AF199" s="46"/>
      <c r="AG199" s="46"/>
      <c r="AH199" s="46"/>
      <c r="AI199" s="46"/>
      <c r="AJ199" s="46"/>
      <c r="AK199" s="46"/>
      <c r="AL199" s="47"/>
      <c r="AM199" s="47"/>
      <c r="AN199" s="47"/>
      <c r="AO199" s="47"/>
      <c r="AP199" s="47"/>
      <c r="AQ199" s="48"/>
      <c r="AR199" s="49"/>
      <c r="AS199" s="49"/>
      <c r="AT199" s="49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</row>
    <row r="200" spans="1:66" ht="15.75" customHeight="1" x14ac:dyDescent="0.25">
      <c r="A200" s="43"/>
      <c r="B200" s="50"/>
      <c r="C200" s="51"/>
      <c r="D200" s="43"/>
      <c r="E200" s="43"/>
      <c r="F200" s="43"/>
      <c r="G200" s="44"/>
      <c r="H200" s="23"/>
      <c r="I200" s="43"/>
      <c r="J200" s="43"/>
      <c r="K200" s="45"/>
      <c r="L200" s="46"/>
      <c r="M200" s="46"/>
      <c r="N200" s="46"/>
      <c r="O200" s="46"/>
      <c r="P200" s="46"/>
      <c r="Q200" s="46"/>
      <c r="R200" s="46"/>
      <c r="S200" s="46"/>
      <c r="T200" s="46"/>
      <c r="U200" s="46"/>
      <c r="V200" s="46"/>
      <c r="W200" s="46"/>
      <c r="X200" s="46"/>
      <c r="Y200" s="46"/>
      <c r="Z200" s="46"/>
      <c r="AA200" s="46"/>
      <c r="AB200" s="46"/>
      <c r="AC200" s="46"/>
      <c r="AD200" s="46"/>
      <c r="AE200" s="46"/>
      <c r="AF200" s="46"/>
      <c r="AG200" s="46"/>
      <c r="AH200" s="46"/>
      <c r="AI200" s="46"/>
      <c r="AJ200" s="46"/>
      <c r="AK200" s="46"/>
      <c r="AL200" s="47"/>
      <c r="AM200" s="47"/>
      <c r="AN200" s="47"/>
      <c r="AO200" s="47"/>
      <c r="AP200" s="47"/>
      <c r="AQ200" s="48"/>
      <c r="AR200" s="49"/>
      <c r="AS200" s="49"/>
      <c r="AT200" s="49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</row>
    <row r="201" spans="1:66" ht="15.75" customHeight="1" x14ac:dyDescent="0.25">
      <c r="A201" s="43"/>
      <c r="B201" s="50"/>
      <c r="C201" s="51"/>
      <c r="D201" s="43"/>
      <c r="E201" s="43"/>
      <c r="F201" s="43"/>
      <c r="G201" s="44"/>
      <c r="H201" s="23"/>
      <c r="I201" s="43"/>
      <c r="J201" s="43"/>
      <c r="K201" s="45"/>
      <c r="L201" s="46"/>
      <c r="M201" s="46"/>
      <c r="N201" s="46"/>
      <c r="O201" s="46"/>
      <c r="P201" s="46"/>
      <c r="Q201" s="46"/>
      <c r="R201" s="46"/>
      <c r="S201" s="46"/>
      <c r="T201" s="46"/>
      <c r="U201" s="46"/>
      <c r="V201" s="46"/>
      <c r="W201" s="46"/>
      <c r="X201" s="46"/>
      <c r="Y201" s="46"/>
      <c r="Z201" s="46"/>
      <c r="AA201" s="46"/>
      <c r="AB201" s="46"/>
      <c r="AC201" s="46"/>
      <c r="AD201" s="46"/>
      <c r="AE201" s="46"/>
      <c r="AF201" s="46"/>
      <c r="AG201" s="46"/>
      <c r="AH201" s="46"/>
      <c r="AI201" s="46"/>
      <c r="AJ201" s="46"/>
      <c r="AK201" s="46"/>
      <c r="AL201" s="47"/>
      <c r="AM201" s="47"/>
      <c r="AN201" s="47"/>
      <c r="AO201" s="47"/>
      <c r="AP201" s="47"/>
      <c r="AQ201" s="48"/>
      <c r="AR201" s="49"/>
      <c r="AS201" s="49"/>
      <c r="AT201" s="49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</row>
    <row r="202" spans="1:66" ht="15.75" customHeight="1" x14ac:dyDescent="0.25">
      <c r="A202" s="43"/>
      <c r="B202" s="50"/>
      <c r="C202" s="51"/>
      <c r="D202" s="43"/>
      <c r="E202" s="43"/>
      <c r="F202" s="43"/>
      <c r="G202" s="44"/>
      <c r="H202" s="23"/>
      <c r="I202" s="43"/>
      <c r="J202" s="43"/>
      <c r="K202" s="45"/>
      <c r="L202" s="46"/>
      <c r="M202" s="46"/>
      <c r="N202" s="46"/>
      <c r="O202" s="46"/>
      <c r="P202" s="46"/>
      <c r="Q202" s="46"/>
      <c r="R202" s="46"/>
      <c r="S202" s="46"/>
      <c r="T202" s="46"/>
      <c r="U202" s="46"/>
      <c r="V202" s="46"/>
      <c r="W202" s="46"/>
      <c r="X202" s="46"/>
      <c r="Y202" s="46"/>
      <c r="Z202" s="46"/>
      <c r="AA202" s="46"/>
      <c r="AB202" s="46"/>
      <c r="AC202" s="46"/>
      <c r="AD202" s="46"/>
      <c r="AE202" s="46"/>
      <c r="AF202" s="46"/>
      <c r="AG202" s="46"/>
      <c r="AH202" s="46"/>
      <c r="AI202" s="46"/>
      <c r="AJ202" s="46"/>
      <c r="AK202" s="46"/>
      <c r="AL202" s="47"/>
      <c r="AM202" s="47"/>
      <c r="AN202" s="47"/>
      <c r="AO202" s="47"/>
      <c r="AP202" s="47"/>
      <c r="AQ202" s="48"/>
      <c r="AR202" s="49"/>
      <c r="AS202" s="49"/>
      <c r="AT202" s="49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</row>
    <row r="203" spans="1:66" ht="15.75" customHeight="1" x14ac:dyDescent="0.25">
      <c r="A203" s="43"/>
      <c r="B203" s="50"/>
      <c r="C203" s="51"/>
      <c r="D203" s="43"/>
      <c r="E203" s="43"/>
      <c r="F203" s="43"/>
      <c r="G203" s="44"/>
      <c r="H203" s="23"/>
      <c r="I203" s="43"/>
      <c r="J203" s="43"/>
      <c r="K203" s="45"/>
      <c r="L203" s="46"/>
      <c r="M203" s="46"/>
      <c r="N203" s="46"/>
      <c r="O203" s="46"/>
      <c r="P203" s="46"/>
      <c r="Q203" s="46"/>
      <c r="R203" s="46"/>
      <c r="S203" s="46"/>
      <c r="T203" s="46"/>
      <c r="U203" s="46"/>
      <c r="V203" s="46"/>
      <c r="W203" s="46"/>
      <c r="X203" s="46"/>
      <c r="Y203" s="46"/>
      <c r="Z203" s="46"/>
      <c r="AA203" s="46"/>
      <c r="AB203" s="46"/>
      <c r="AC203" s="46"/>
      <c r="AD203" s="46"/>
      <c r="AE203" s="46"/>
      <c r="AF203" s="46"/>
      <c r="AG203" s="46"/>
      <c r="AH203" s="46"/>
      <c r="AI203" s="46"/>
      <c r="AJ203" s="46"/>
      <c r="AK203" s="46"/>
      <c r="AL203" s="47"/>
      <c r="AM203" s="47"/>
      <c r="AN203" s="47"/>
      <c r="AO203" s="47"/>
      <c r="AP203" s="47"/>
      <c r="AQ203" s="48"/>
      <c r="AR203" s="49"/>
      <c r="AS203" s="49"/>
      <c r="AT203" s="49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</row>
    <row r="204" spans="1:66" ht="15.75" customHeight="1" x14ac:dyDescent="0.25">
      <c r="A204" s="43"/>
      <c r="B204" s="50"/>
      <c r="C204" s="51"/>
      <c r="D204" s="43"/>
      <c r="E204" s="43"/>
      <c r="F204" s="43"/>
      <c r="G204" s="44"/>
      <c r="H204" s="23"/>
      <c r="I204" s="43"/>
      <c r="J204" s="43"/>
      <c r="K204" s="45"/>
      <c r="L204" s="46"/>
      <c r="M204" s="46"/>
      <c r="N204" s="46"/>
      <c r="O204" s="46"/>
      <c r="P204" s="46"/>
      <c r="Q204" s="46"/>
      <c r="R204" s="46"/>
      <c r="S204" s="46"/>
      <c r="T204" s="46"/>
      <c r="U204" s="46"/>
      <c r="V204" s="46"/>
      <c r="W204" s="46"/>
      <c r="X204" s="46"/>
      <c r="Y204" s="46"/>
      <c r="Z204" s="46"/>
      <c r="AA204" s="46"/>
      <c r="AB204" s="46"/>
      <c r="AC204" s="46"/>
      <c r="AD204" s="46"/>
      <c r="AE204" s="46"/>
      <c r="AF204" s="46"/>
      <c r="AG204" s="46"/>
      <c r="AH204" s="46"/>
      <c r="AI204" s="46"/>
      <c r="AJ204" s="46"/>
      <c r="AK204" s="46"/>
      <c r="AL204" s="47"/>
      <c r="AM204" s="47"/>
      <c r="AN204" s="47"/>
      <c r="AO204" s="47"/>
      <c r="AP204" s="47"/>
      <c r="AQ204" s="48"/>
      <c r="AR204" s="49"/>
      <c r="AS204" s="49"/>
      <c r="AT204" s="49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</row>
    <row r="205" spans="1:66" ht="15.75" customHeight="1" x14ac:dyDescent="0.25">
      <c r="A205" s="43"/>
      <c r="B205" s="50"/>
      <c r="C205" s="51"/>
      <c r="D205" s="43"/>
      <c r="E205" s="43"/>
      <c r="F205" s="43"/>
      <c r="G205" s="44"/>
      <c r="H205" s="23"/>
      <c r="I205" s="43"/>
      <c r="J205" s="43"/>
      <c r="K205" s="45"/>
      <c r="L205" s="46"/>
      <c r="M205" s="46"/>
      <c r="N205" s="46"/>
      <c r="O205" s="46"/>
      <c r="P205" s="46"/>
      <c r="Q205" s="46"/>
      <c r="R205" s="46"/>
      <c r="S205" s="46"/>
      <c r="T205" s="46"/>
      <c r="U205" s="46"/>
      <c r="V205" s="46"/>
      <c r="W205" s="46"/>
      <c r="X205" s="46"/>
      <c r="Y205" s="46"/>
      <c r="Z205" s="46"/>
      <c r="AA205" s="46"/>
      <c r="AB205" s="46"/>
      <c r="AC205" s="46"/>
      <c r="AD205" s="46"/>
      <c r="AE205" s="46"/>
      <c r="AF205" s="46"/>
      <c r="AG205" s="46"/>
      <c r="AH205" s="46"/>
      <c r="AI205" s="46"/>
      <c r="AJ205" s="46"/>
      <c r="AK205" s="46"/>
      <c r="AL205" s="47"/>
      <c r="AM205" s="47"/>
      <c r="AN205" s="47"/>
      <c r="AO205" s="47"/>
      <c r="AP205" s="47"/>
      <c r="AQ205" s="48"/>
      <c r="AR205" s="49"/>
      <c r="AS205" s="49"/>
      <c r="AT205" s="49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</row>
    <row r="206" spans="1:66" ht="15.75" customHeight="1" x14ac:dyDescent="0.25">
      <c r="A206" s="43"/>
      <c r="B206" s="50"/>
      <c r="C206" s="51"/>
      <c r="D206" s="43"/>
      <c r="E206" s="43"/>
      <c r="F206" s="43"/>
      <c r="G206" s="44"/>
      <c r="H206" s="23"/>
      <c r="I206" s="43"/>
      <c r="J206" s="43"/>
      <c r="K206" s="45"/>
      <c r="L206" s="46"/>
      <c r="M206" s="46"/>
      <c r="N206" s="46"/>
      <c r="O206" s="46"/>
      <c r="P206" s="46"/>
      <c r="Q206" s="46"/>
      <c r="R206" s="46"/>
      <c r="S206" s="46"/>
      <c r="T206" s="46"/>
      <c r="U206" s="46"/>
      <c r="V206" s="46"/>
      <c r="W206" s="46"/>
      <c r="X206" s="46"/>
      <c r="Y206" s="46"/>
      <c r="Z206" s="46"/>
      <c r="AA206" s="46"/>
      <c r="AB206" s="46"/>
      <c r="AC206" s="46"/>
      <c r="AD206" s="46"/>
      <c r="AE206" s="46"/>
      <c r="AF206" s="46"/>
      <c r="AG206" s="46"/>
      <c r="AH206" s="46"/>
      <c r="AI206" s="46"/>
      <c r="AJ206" s="46"/>
      <c r="AK206" s="46"/>
      <c r="AL206" s="47"/>
      <c r="AM206" s="47"/>
      <c r="AN206" s="47"/>
      <c r="AO206" s="47"/>
      <c r="AP206" s="47"/>
      <c r="AQ206" s="48"/>
      <c r="AR206" s="49"/>
      <c r="AS206" s="49"/>
      <c r="AT206" s="49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</row>
    <row r="207" spans="1:66" ht="15.75" customHeight="1" x14ac:dyDescent="0.25">
      <c r="A207" s="43"/>
      <c r="B207" s="50"/>
      <c r="C207" s="51"/>
      <c r="D207" s="43"/>
      <c r="E207" s="43"/>
      <c r="F207" s="43"/>
      <c r="G207" s="44"/>
      <c r="H207" s="23"/>
      <c r="I207" s="43"/>
      <c r="J207" s="43"/>
      <c r="K207" s="45"/>
      <c r="L207" s="46"/>
      <c r="M207" s="46"/>
      <c r="N207" s="46"/>
      <c r="O207" s="46"/>
      <c r="P207" s="46"/>
      <c r="Q207" s="46"/>
      <c r="R207" s="46"/>
      <c r="S207" s="46"/>
      <c r="T207" s="46"/>
      <c r="U207" s="46"/>
      <c r="V207" s="46"/>
      <c r="W207" s="46"/>
      <c r="X207" s="46"/>
      <c r="Y207" s="46"/>
      <c r="Z207" s="46"/>
      <c r="AA207" s="46"/>
      <c r="AB207" s="46"/>
      <c r="AC207" s="46"/>
      <c r="AD207" s="46"/>
      <c r="AE207" s="46"/>
      <c r="AF207" s="46"/>
      <c r="AG207" s="46"/>
      <c r="AH207" s="46"/>
      <c r="AI207" s="46"/>
      <c r="AJ207" s="46"/>
      <c r="AK207" s="46"/>
      <c r="AL207" s="47"/>
      <c r="AM207" s="47"/>
      <c r="AN207" s="47"/>
      <c r="AO207" s="47"/>
      <c r="AP207" s="47"/>
      <c r="AQ207" s="48"/>
      <c r="AR207" s="49"/>
      <c r="AS207" s="49"/>
      <c r="AT207" s="49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</row>
    <row r="208" spans="1:66" ht="15.75" customHeight="1" x14ac:dyDescent="0.25">
      <c r="A208" s="43"/>
      <c r="B208" s="50"/>
      <c r="C208" s="51"/>
      <c r="D208" s="43"/>
      <c r="E208" s="43"/>
      <c r="F208" s="43"/>
      <c r="G208" s="44"/>
      <c r="H208" s="23"/>
      <c r="I208" s="43"/>
      <c r="J208" s="43"/>
      <c r="K208" s="45"/>
      <c r="L208" s="46"/>
      <c r="M208" s="46"/>
      <c r="N208" s="46"/>
      <c r="O208" s="46"/>
      <c r="P208" s="46"/>
      <c r="Q208" s="46"/>
      <c r="R208" s="46"/>
      <c r="S208" s="46"/>
      <c r="T208" s="46"/>
      <c r="U208" s="46"/>
      <c r="V208" s="46"/>
      <c r="W208" s="46"/>
      <c r="X208" s="46"/>
      <c r="Y208" s="46"/>
      <c r="Z208" s="46"/>
      <c r="AA208" s="46"/>
      <c r="AB208" s="46"/>
      <c r="AC208" s="46"/>
      <c r="AD208" s="46"/>
      <c r="AE208" s="46"/>
      <c r="AF208" s="46"/>
      <c r="AG208" s="46"/>
      <c r="AH208" s="46"/>
      <c r="AI208" s="46"/>
      <c r="AJ208" s="46"/>
      <c r="AK208" s="46"/>
      <c r="AL208" s="47"/>
      <c r="AM208" s="47"/>
      <c r="AN208" s="47"/>
      <c r="AO208" s="47"/>
      <c r="AP208" s="47"/>
      <c r="AQ208" s="48"/>
      <c r="AR208" s="49"/>
      <c r="AS208" s="49"/>
      <c r="AT208" s="49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</row>
    <row r="209" spans="1:66" ht="15.75" customHeight="1" x14ac:dyDescent="0.25">
      <c r="A209" s="43"/>
      <c r="B209" s="50"/>
      <c r="C209" s="51"/>
      <c r="D209" s="43"/>
      <c r="E209" s="43"/>
      <c r="F209" s="43"/>
      <c r="G209" s="44"/>
      <c r="H209" s="23"/>
      <c r="I209" s="43"/>
      <c r="J209" s="43"/>
      <c r="K209" s="45"/>
      <c r="L209" s="46"/>
      <c r="M209" s="46"/>
      <c r="N209" s="46"/>
      <c r="O209" s="46"/>
      <c r="P209" s="46"/>
      <c r="Q209" s="46"/>
      <c r="R209" s="46"/>
      <c r="S209" s="46"/>
      <c r="T209" s="46"/>
      <c r="U209" s="46"/>
      <c r="V209" s="46"/>
      <c r="W209" s="46"/>
      <c r="X209" s="46"/>
      <c r="Y209" s="46"/>
      <c r="Z209" s="46"/>
      <c r="AA209" s="46"/>
      <c r="AB209" s="46"/>
      <c r="AC209" s="46"/>
      <c r="AD209" s="46"/>
      <c r="AE209" s="46"/>
      <c r="AF209" s="46"/>
      <c r="AG209" s="46"/>
      <c r="AH209" s="46"/>
      <c r="AI209" s="46"/>
      <c r="AJ209" s="46"/>
      <c r="AK209" s="46"/>
      <c r="AL209" s="47"/>
      <c r="AM209" s="47"/>
      <c r="AN209" s="47"/>
      <c r="AO209" s="47"/>
      <c r="AP209" s="47"/>
      <c r="AQ209" s="48"/>
      <c r="AR209" s="49"/>
      <c r="AS209" s="49"/>
      <c r="AT209" s="49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</row>
    <row r="210" spans="1:66" ht="15.75" customHeight="1" x14ac:dyDescent="0.25">
      <c r="A210" s="43"/>
      <c r="B210" s="50"/>
      <c r="C210" s="51"/>
      <c r="D210" s="43"/>
      <c r="E210" s="43"/>
      <c r="F210" s="43"/>
      <c r="G210" s="44"/>
      <c r="H210" s="23"/>
      <c r="I210" s="43"/>
      <c r="J210" s="43"/>
      <c r="K210" s="45"/>
      <c r="L210" s="46"/>
      <c r="M210" s="46"/>
      <c r="N210" s="46"/>
      <c r="O210" s="46"/>
      <c r="P210" s="46"/>
      <c r="Q210" s="46"/>
      <c r="R210" s="46"/>
      <c r="S210" s="46"/>
      <c r="T210" s="46"/>
      <c r="U210" s="46"/>
      <c r="V210" s="46"/>
      <c r="W210" s="46"/>
      <c r="X210" s="46"/>
      <c r="Y210" s="46"/>
      <c r="Z210" s="46"/>
      <c r="AA210" s="46"/>
      <c r="AB210" s="46"/>
      <c r="AC210" s="46"/>
      <c r="AD210" s="46"/>
      <c r="AE210" s="46"/>
      <c r="AF210" s="46"/>
      <c r="AG210" s="46"/>
      <c r="AH210" s="46"/>
      <c r="AI210" s="46"/>
      <c r="AJ210" s="46"/>
      <c r="AK210" s="46"/>
      <c r="AL210" s="47"/>
      <c r="AM210" s="47"/>
      <c r="AN210" s="47"/>
      <c r="AO210" s="47"/>
      <c r="AP210" s="47"/>
      <c r="AQ210" s="48"/>
      <c r="AR210" s="49"/>
      <c r="AS210" s="49"/>
      <c r="AT210" s="49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</row>
    <row r="211" spans="1:66" ht="15.75" customHeight="1" x14ac:dyDescent="0.25">
      <c r="A211" s="43"/>
      <c r="B211" s="50"/>
      <c r="C211" s="51"/>
      <c r="D211" s="43"/>
      <c r="E211" s="43"/>
      <c r="F211" s="43"/>
      <c r="G211" s="44"/>
      <c r="H211" s="23"/>
      <c r="I211" s="43"/>
      <c r="J211" s="43"/>
      <c r="K211" s="45"/>
      <c r="L211" s="46"/>
      <c r="M211" s="46"/>
      <c r="N211" s="46"/>
      <c r="O211" s="46"/>
      <c r="P211" s="46"/>
      <c r="Q211" s="46"/>
      <c r="R211" s="46"/>
      <c r="S211" s="46"/>
      <c r="T211" s="46"/>
      <c r="U211" s="46"/>
      <c r="V211" s="46"/>
      <c r="W211" s="46"/>
      <c r="X211" s="46"/>
      <c r="Y211" s="46"/>
      <c r="Z211" s="46"/>
      <c r="AA211" s="46"/>
      <c r="AB211" s="46"/>
      <c r="AC211" s="46"/>
      <c r="AD211" s="46"/>
      <c r="AE211" s="46"/>
      <c r="AF211" s="46"/>
      <c r="AG211" s="46"/>
      <c r="AH211" s="46"/>
      <c r="AI211" s="46"/>
      <c r="AJ211" s="46"/>
      <c r="AK211" s="46"/>
      <c r="AL211" s="47"/>
      <c r="AM211" s="47"/>
      <c r="AN211" s="47"/>
      <c r="AO211" s="47"/>
      <c r="AP211" s="47"/>
      <c r="AQ211" s="48"/>
      <c r="AR211" s="49"/>
      <c r="AS211" s="49"/>
      <c r="AT211" s="49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</row>
    <row r="212" spans="1:66" ht="15.75" customHeight="1" x14ac:dyDescent="0.25">
      <c r="A212" s="43"/>
      <c r="B212" s="50"/>
      <c r="C212" s="51"/>
      <c r="D212" s="43"/>
      <c r="E212" s="43"/>
      <c r="F212" s="43"/>
      <c r="G212" s="44"/>
      <c r="H212" s="23"/>
      <c r="I212" s="43"/>
      <c r="J212" s="43"/>
      <c r="K212" s="45"/>
      <c r="L212" s="46"/>
      <c r="M212" s="46"/>
      <c r="N212" s="46"/>
      <c r="O212" s="46"/>
      <c r="P212" s="46"/>
      <c r="Q212" s="46"/>
      <c r="R212" s="46"/>
      <c r="S212" s="46"/>
      <c r="T212" s="46"/>
      <c r="U212" s="46"/>
      <c r="V212" s="46"/>
      <c r="W212" s="46"/>
      <c r="X212" s="46"/>
      <c r="Y212" s="46"/>
      <c r="Z212" s="46"/>
      <c r="AA212" s="46"/>
      <c r="AB212" s="46"/>
      <c r="AC212" s="46"/>
      <c r="AD212" s="46"/>
      <c r="AE212" s="46"/>
      <c r="AF212" s="46"/>
      <c r="AG212" s="46"/>
      <c r="AH212" s="46"/>
      <c r="AI212" s="46"/>
      <c r="AJ212" s="46"/>
      <c r="AK212" s="46"/>
      <c r="AL212" s="47"/>
      <c r="AM212" s="47"/>
      <c r="AN212" s="47"/>
      <c r="AO212" s="47"/>
      <c r="AP212" s="47"/>
      <c r="AQ212" s="48"/>
      <c r="AR212" s="49"/>
      <c r="AS212" s="49"/>
      <c r="AT212" s="49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</row>
    <row r="213" spans="1:66" ht="15.75" customHeight="1" x14ac:dyDescent="0.25">
      <c r="A213" s="43"/>
      <c r="B213" s="50"/>
      <c r="C213" s="51"/>
      <c r="D213" s="43"/>
      <c r="E213" s="43"/>
      <c r="F213" s="43"/>
      <c r="G213" s="44"/>
      <c r="H213" s="23"/>
      <c r="I213" s="43"/>
      <c r="J213" s="43"/>
      <c r="K213" s="45"/>
      <c r="L213" s="46"/>
      <c r="M213" s="46"/>
      <c r="N213" s="46"/>
      <c r="O213" s="46"/>
      <c r="P213" s="46"/>
      <c r="Q213" s="46"/>
      <c r="R213" s="46"/>
      <c r="S213" s="46"/>
      <c r="T213" s="46"/>
      <c r="U213" s="46"/>
      <c r="V213" s="46"/>
      <c r="W213" s="46"/>
      <c r="X213" s="46"/>
      <c r="Y213" s="46"/>
      <c r="Z213" s="46"/>
      <c r="AA213" s="46"/>
      <c r="AB213" s="46"/>
      <c r="AC213" s="46"/>
      <c r="AD213" s="46"/>
      <c r="AE213" s="46"/>
      <c r="AF213" s="46"/>
      <c r="AG213" s="46"/>
      <c r="AH213" s="46"/>
      <c r="AI213" s="46"/>
      <c r="AJ213" s="46"/>
      <c r="AK213" s="46"/>
      <c r="AL213" s="47"/>
      <c r="AM213" s="47"/>
      <c r="AN213" s="47"/>
      <c r="AO213" s="47"/>
      <c r="AP213" s="47"/>
      <c r="AQ213" s="48"/>
      <c r="AR213" s="49"/>
      <c r="AS213" s="49"/>
      <c r="AT213" s="49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</row>
    <row r="214" spans="1:66" ht="15.75" customHeight="1" x14ac:dyDescent="0.25">
      <c r="A214" s="43"/>
      <c r="B214" s="50"/>
      <c r="C214" s="51"/>
      <c r="D214" s="43"/>
      <c r="E214" s="43"/>
      <c r="F214" s="43"/>
      <c r="G214" s="44"/>
      <c r="H214" s="23"/>
      <c r="I214" s="43"/>
      <c r="J214" s="43"/>
      <c r="K214" s="45"/>
      <c r="L214" s="46"/>
      <c r="M214" s="46"/>
      <c r="N214" s="46"/>
      <c r="O214" s="46"/>
      <c r="P214" s="46"/>
      <c r="Q214" s="46"/>
      <c r="R214" s="46"/>
      <c r="S214" s="46"/>
      <c r="T214" s="46"/>
      <c r="U214" s="46"/>
      <c r="V214" s="46"/>
      <c r="W214" s="46"/>
      <c r="X214" s="46"/>
      <c r="Y214" s="46"/>
      <c r="Z214" s="46"/>
      <c r="AA214" s="46"/>
      <c r="AB214" s="46"/>
      <c r="AC214" s="46"/>
      <c r="AD214" s="46"/>
      <c r="AE214" s="46"/>
      <c r="AF214" s="46"/>
      <c r="AG214" s="46"/>
      <c r="AH214" s="46"/>
      <c r="AI214" s="46"/>
      <c r="AJ214" s="46"/>
      <c r="AK214" s="46"/>
      <c r="AL214" s="47"/>
      <c r="AM214" s="47"/>
      <c r="AN214" s="47"/>
      <c r="AO214" s="47"/>
      <c r="AP214" s="47"/>
      <c r="AQ214" s="48"/>
      <c r="AR214" s="49"/>
      <c r="AS214" s="49"/>
      <c r="AT214" s="49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</row>
    <row r="215" spans="1:66" ht="15.75" customHeight="1" x14ac:dyDescent="0.25">
      <c r="A215" s="43"/>
      <c r="B215" s="50"/>
      <c r="C215" s="51"/>
      <c r="D215" s="43"/>
      <c r="E215" s="43"/>
      <c r="F215" s="43"/>
      <c r="G215" s="44"/>
      <c r="H215" s="23"/>
      <c r="I215" s="43"/>
      <c r="J215" s="43"/>
      <c r="K215" s="45"/>
      <c r="L215" s="46"/>
      <c r="M215" s="46"/>
      <c r="N215" s="46"/>
      <c r="O215" s="46"/>
      <c r="P215" s="46"/>
      <c r="Q215" s="46"/>
      <c r="R215" s="46"/>
      <c r="S215" s="46"/>
      <c r="T215" s="46"/>
      <c r="U215" s="46"/>
      <c r="V215" s="46"/>
      <c r="W215" s="46"/>
      <c r="X215" s="46"/>
      <c r="Y215" s="46"/>
      <c r="Z215" s="46"/>
      <c r="AA215" s="46"/>
      <c r="AB215" s="46"/>
      <c r="AC215" s="46"/>
      <c r="AD215" s="46"/>
      <c r="AE215" s="46"/>
      <c r="AF215" s="46"/>
      <c r="AG215" s="46"/>
      <c r="AH215" s="46"/>
      <c r="AI215" s="46"/>
      <c r="AJ215" s="46"/>
      <c r="AK215" s="46"/>
      <c r="AL215" s="47"/>
      <c r="AM215" s="47"/>
      <c r="AN215" s="47"/>
      <c r="AO215" s="47"/>
      <c r="AP215" s="47"/>
      <c r="AQ215" s="48"/>
      <c r="AR215" s="49"/>
      <c r="AS215" s="49"/>
      <c r="AT215" s="49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</row>
    <row r="216" spans="1:66" ht="15.75" customHeight="1" x14ac:dyDescent="0.25">
      <c r="A216" s="43"/>
      <c r="B216" s="50"/>
      <c r="C216" s="51"/>
      <c r="D216" s="43"/>
      <c r="E216" s="43"/>
      <c r="F216" s="43"/>
      <c r="G216" s="44"/>
      <c r="H216" s="23"/>
      <c r="I216" s="43"/>
      <c r="J216" s="43"/>
      <c r="K216" s="45"/>
      <c r="L216" s="46"/>
      <c r="M216" s="46"/>
      <c r="N216" s="46"/>
      <c r="O216" s="46"/>
      <c r="P216" s="46"/>
      <c r="Q216" s="46"/>
      <c r="R216" s="46"/>
      <c r="S216" s="46"/>
      <c r="T216" s="46"/>
      <c r="U216" s="46"/>
      <c r="V216" s="46"/>
      <c r="W216" s="46"/>
      <c r="X216" s="46"/>
      <c r="Y216" s="46"/>
      <c r="Z216" s="46"/>
      <c r="AA216" s="46"/>
      <c r="AB216" s="46"/>
      <c r="AC216" s="46"/>
      <c r="AD216" s="46"/>
      <c r="AE216" s="46"/>
      <c r="AF216" s="46"/>
      <c r="AG216" s="46"/>
      <c r="AH216" s="46"/>
      <c r="AI216" s="46"/>
      <c r="AJ216" s="46"/>
      <c r="AK216" s="46"/>
      <c r="AL216" s="47"/>
      <c r="AM216" s="47"/>
      <c r="AN216" s="47"/>
      <c r="AO216" s="47"/>
      <c r="AP216" s="47"/>
      <c r="AQ216" s="48"/>
      <c r="AR216" s="49"/>
      <c r="AS216" s="49"/>
      <c r="AT216" s="49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</row>
    <row r="217" spans="1:66" ht="15.75" customHeight="1" x14ac:dyDescent="0.25">
      <c r="A217" s="43"/>
      <c r="B217" s="50"/>
      <c r="C217" s="51"/>
      <c r="D217" s="43"/>
      <c r="E217" s="43"/>
      <c r="F217" s="43"/>
      <c r="G217" s="44"/>
      <c r="H217" s="23"/>
      <c r="I217" s="43"/>
      <c r="J217" s="43"/>
      <c r="K217" s="45"/>
      <c r="L217" s="46"/>
      <c r="M217" s="46"/>
      <c r="N217" s="46"/>
      <c r="O217" s="46"/>
      <c r="P217" s="46"/>
      <c r="Q217" s="46"/>
      <c r="R217" s="46"/>
      <c r="S217" s="46"/>
      <c r="T217" s="46"/>
      <c r="U217" s="46"/>
      <c r="V217" s="46"/>
      <c r="W217" s="46"/>
      <c r="X217" s="46"/>
      <c r="Y217" s="46"/>
      <c r="Z217" s="46"/>
      <c r="AA217" s="46"/>
      <c r="AB217" s="46"/>
      <c r="AC217" s="46"/>
      <c r="AD217" s="46"/>
      <c r="AE217" s="46"/>
      <c r="AF217" s="46"/>
      <c r="AG217" s="46"/>
      <c r="AH217" s="46"/>
      <c r="AI217" s="46"/>
      <c r="AJ217" s="46"/>
      <c r="AK217" s="46"/>
      <c r="AL217" s="47"/>
      <c r="AM217" s="47"/>
      <c r="AN217" s="47"/>
      <c r="AO217" s="47"/>
      <c r="AP217" s="47"/>
      <c r="AQ217" s="48"/>
      <c r="AR217" s="49"/>
      <c r="AS217" s="49"/>
      <c r="AT217" s="49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</row>
    <row r="218" spans="1:66" ht="15.75" customHeight="1" x14ac:dyDescent="0.25">
      <c r="A218" s="43"/>
      <c r="B218" s="50"/>
      <c r="C218" s="51"/>
      <c r="D218" s="43"/>
      <c r="E218" s="43"/>
      <c r="F218" s="43"/>
      <c r="G218" s="44"/>
      <c r="H218" s="23"/>
      <c r="I218" s="43"/>
      <c r="J218" s="43"/>
      <c r="K218" s="45"/>
      <c r="L218" s="46"/>
      <c r="M218" s="46"/>
      <c r="N218" s="46"/>
      <c r="O218" s="46"/>
      <c r="P218" s="46"/>
      <c r="Q218" s="46"/>
      <c r="R218" s="46"/>
      <c r="S218" s="46"/>
      <c r="T218" s="46"/>
      <c r="U218" s="46"/>
      <c r="V218" s="46"/>
      <c r="W218" s="46"/>
      <c r="X218" s="46"/>
      <c r="Y218" s="46"/>
      <c r="Z218" s="46"/>
      <c r="AA218" s="46"/>
      <c r="AB218" s="46"/>
      <c r="AC218" s="46"/>
      <c r="AD218" s="46"/>
      <c r="AE218" s="46"/>
      <c r="AF218" s="46"/>
      <c r="AG218" s="46"/>
      <c r="AH218" s="46"/>
      <c r="AI218" s="46"/>
      <c r="AJ218" s="46"/>
      <c r="AK218" s="46"/>
      <c r="AL218" s="47"/>
      <c r="AM218" s="47"/>
      <c r="AN218" s="47"/>
      <c r="AO218" s="47"/>
      <c r="AP218" s="47"/>
      <c r="AQ218" s="48"/>
      <c r="AR218" s="49"/>
      <c r="AS218" s="49"/>
      <c r="AT218" s="49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</row>
    <row r="219" spans="1:66" ht="15.75" customHeight="1" x14ac:dyDescent="0.25">
      <c r="A219" s="43"/>
      <c r="B219" s="50"/>
      <c r="C219" s="51"/>
      <c r="D219" s="43"/>
      <c r="E219" s="43"/>
      <c r="F219" s="43"/>
      <c r="G219" s="44"/>
      <c r="H219" s="23"/>
      <c r="I219" s="43"/>
      <c r="J219" s="43"/>
      <c r="K219" s="45"/>
      <c r="L219" s="46"/>
      <c r="M219" s="46"/>
      <c r="N219" s="46"/>
      <c r="O219" s="46"/>
      <c r="P219" s="46"/>
      <c r="Q219" s="46"/>
      <c r="R219" s="46"/>
      <c r="S219" s="46"/>
      <c r="T219" s="46"/>
      <c r="U219" s="46"/>
      <c r="V219" s="46"/>
      <c r="W219" s="46"/>
      <c r="X219" s="46"/>
      <c r="Y219" s="46"/>
      <c r="Z219" s="46"/>
      <c r="AA219" s="46"/>
      <c r="AB219" s="46"/>
      <c r="AC219" s="46"/>
      <c r="AD219" s="46"/>
      <c r="AE219" s="46"/>
      <c r="AF219" s="46"/>
      <c r="AG219" s="46"/>
      <c r="AH219" s="46"/>
      <c r="AI219" s="46"/>
      <c r="AJ219" s="46"/>
      <c r="AK219" s="46"/>
      <c r="AL219" s="47"/>
      <c r="AM219" s="47"/>
      <c r="AN219" s="47"/>
      <c r="AO219" s="47"/>
      <c r="AP219" s="47"/>
      <c r="AQ219" s="48"/>
      <c r="AR219" s="49"/>
      <c r="AS219" s="49"/>
      <c r="AT219" s="49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</row>
    <row r="220" spans="1:66" ht="15.75" customHeight="1" x14ac:dyDescent="0.25">
      <c r="A220" s="43"/>
      <c r="B220" s="50"/>
      <c r="C220" s="51"/>
      <c r="D220" s="43"/>
      <c r="E220" s="43"/>
      <c r="F220" s="43"/>
      <c r="G220" s="44"/>
      <c r="H220" s="23"/>
      <c r="I220" s="43"/>
      <c r="J220" s="43"/>
      <c r="K220" s="45"/>
      <c r="L220" s="46"/>
      <c r="M220" s="46"/>
      <c r="N220" s="46"/>
      <c r="O220" s="46"/>
      <c r="P220" s="46"/>
      <c r="Q220" s="46"/>
      <c r="R220" s="46"/>
      <c r="S220" s="46"/>
      <c r="T220" s="46"/>
      <c r="U220" s="46"/>
      <c r="V220" s="46"/>
      <c r="W220" s="46"/>
      <c r="X220" s="46"/>
      <c r="Y220" s="46"/>
      <c r="Z220" s="46"/>
      <c r="AA220" s="46"/>
      <c r="AB220" s="46"/>
      <c r="AC220" s="46"/>
      <c r="AD220" s="46"/>
      <c r="AE220" s="46"/>
      <c r="AF220" s="46"/>
      <c r="AG220" s="46"/>
      <c r="AH220" s="46"/>
      <c r="AI220" s="46"/>
      <c r="AJ220" s="46"/>
      <c r="AK220" s="46"/>
      <c r="AL220" s="47"/>
      <c r="AM220" s="47"/>
      <c r="AN220" s="47"/>
      <c r="AO220" s="47"/>
      <c r="AP220" s="47"/>
      <c r="AQ220" s="48"/>
      <c r="AR220" s="49"/>
      <c r="AS220" s="49"/>
      <c r="AT220" s="49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</row>
    <row r="221" spans="1:66" ht="15.75" customHeight="1" x14ac:dyDescent="0.25">
      <c r="A221" s="43"/>
      <c r="B221" s="50"/>
      <c r="C221" s="51"/>
      <c r="D221" s="43"/>
      <c r="E221" s="43"/>
      <c r="F221" s="43"/>
      <c r="G221" s="44"/>
      <c r="H221" s="23"/>
      <c r="I221" s="43"/>
      <c r="J221" s="43"/>
      <c r="K221" s="45"/>
      <c r="L221" s="46"/>
      <c r="M221" s="46"/>
      <c r="N221" s="46"/>
      <c r="O221" s="46"/>
      <c r="P221" s="46"/>
      <c r="Q221" s="46"/>
      <c r="R221" s="46"/>
      <c r="S221" s="46"/>
      <c r="T221" s="46"/>
      <c r="U221" s="46"/>
      <c r="V221" s="46"/>
      <c r="W221" s="46"/>
      <c r="X221" s="46"/>
      <c r="Y221" s="46"/>
      <c r="Z221" s="46"/>
      <c r="AA221" s="46"/>
      <c r="AB221" s="46"/>
      <c r="AC221" s="46"/>
      <c r="AD221" s="46"/>
      <c r="AE221" s="46"/>
      <c r="AF221" s="46"/>
      <c r="AG221" s="46"/>
      <c r="AH221" s="46"/>
      <c r="AI221" s="46"/>
      <c r="AJ221" s="46"/>
      <c r="AK221" s="46"/>
      <c r="AL221" s="47"/>
      <c r="AM221" s="47"/>
      <c r="AN221" s="47"/>
      <c r="AO221" s="47"/>
      <c r="AP221" s="47"/>
      <c r="AQ221" s="48"/>
      <c r="AR221" s="49"/>
      <c r="AS221" s="49"/>
      <c r="AT221" s="49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</row>
    <row r="222" spans="1:66" ht="15.75" customHeight="1" x14ac:dyDescent="0.25">
      <c r="A222" s="43"/>
      <c r="B222" s="50"/>
      <c r="C222" s="51"/>
      <c r="D222" s="43"/>
      <c r="E222" s="43"/>
      <c r="F222" s="43"/>
      <c r="G222" s="44"/>
      <c r="H222" s="23"/>
      <c r="I222" s="43"/>
      <c r="J222" s="43"/>
      <c r="K222" s="45"/>
      <c r="L222" s="46"/>
      <c r="M222" s="46"/>
      <c r="N222" s="46"/>
      <c r="O222" s="46"/>
      <c r="P222" s="46"/>
      <c r="Q222" s="46"/>
      <c r="R222" s="46"/>
      <c r="S222" s="46"/>
      <c r="T222" s="46"/>
      <c r="U222" s="46"/>
      <c r="V222" s="46"/>
      <c r="W222" s="46"/>
      <c r="X222" s="46"/>
      <c r="Y222" s="46"/>
      <c r="Z222" s="46"/>
      <c r="AA222" s="46"/>
      <c r="AB222" s="46"/>
      <c r="AC222" s="46"/>
      <c r="AD222" s="46"/>
      <c r="AE222" s="46"/>
      <c r="AF222" s="46"/>
      <c r="AG222" s="46"/>
      <c r="AH222" s="46"/>
      <c r="AI222" s="46"/>
      <c r="AJ222" s="46"/>
      <c r="AK222" s="46"/>
      <c r="AL222" s="47"/>
      <c r="AM222" s="47"/>
      <c r="AN222" s="47"/>
      <c r="AO222" s="47"/>
      <c r="AP222" s="47"/>
      <c r="AQ222" s="48"/>
      <c r="AR222" s="49"/>
      <c r="AS222" s="49"/>
      <c r="AT222" s="49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</row>
    <row r="223" spans="1:66" ht="15.75" customHeight="1" x14ac:dyDescent="0.25">
      <c r="A223" s="43"/>
      <c r="B223" s="50"/>
      <c r="C223" s="51"/>
      <c r="D223" s="43"/>
      <c r="E223" s="43"/>
      <c r="F223" s="43"/>
      <c r="G223" s="44"/>
      <c r="H223" s="23"/>
      <c r="I223" s="43"/>
      <c r="J223" s="43"/>
      <c r="K223" s="45"/>
      <c r="L223" s="46"/>
      <c r="M223" s="46"/>
      <c r="N223" s="46"/>
      <c r="O223" s="46"/>
      <c r="P223" s="46"/>
      <c r="Q223" s="46"/>
      <c r="R223" s="46"/>
      <c r="S223" s="46"/>
      <c r="T223" s="46"/>
      <c r="U223" s="46"/>
      <c r="V223" s="46"/>
      <c r="W223" s="46"/>
      <c r="X223" s="46"/>
      <c r="Y223" s="46"/>
      <c r="Z223" s="46"/>
      <c r="AA223" s="46"/>
      <c r="AB223" s="46"/>
      <c r="AC223" s="46"/>
      <c r="AD223" s="46"/>
      <c r="AE223" s="46"/>
      <c r="AF223" s="46"/>
      <c r="AG223" s="46"/>
      <c r="AH223" s="46"/>
      <c r="AI223" s="46"/>
      <c r="AJ223" s="46"/>
      <c r="AK223" s="46"/>
      <c r="AL223" s="47"/>
      <c r="AM223" s="47"/>
      <c r="AN223" s="47"/>
      <c r="AO223" s="47"/>
      <c r="AP223" s="47"/>
      <c r="AQ223" s="48"/>
      <c r="AR223" s="49"/>
      <c r="AS223" s="49"/>
      <c r="AT223" s="49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</row>
    <row r="224" spans="1:66" ht="15.75" customHeight="1" x14ac:dyDescent="0.25">
      <c r="A224" s="43"/>
      <c r="B224" s="50"/>
      <c r="C224" s="51"/>
      <c r="D224" s="43"/>
      <c r="E224" s="43"/>
      <c r="F224" s="43"/>
      <c r="G224" s="44"/>
      <c r="H224" s="23"/>
      <c r="I224" s="43"/>
      <c r="J224" s="43"/>
      <c r="K224" s="45"/>
      <c r="L224" s="46"/>
      <c r="M224" s="46"/>
      <c r="N224" s="46"/>
      <c r="O224" s="46"/>
      <c r="P224" s="46"/>
      <c r="Q224" s="46"/>
      <c r="R224" s="46"/>
      <c r="S224" s="46"/>
      <c r="T224" s="46"/>
      <c r="U224" s="46"/>
      <c r="V224" s="46"/>
      <c r="W224" s="46"/>
      <c r="X224" s="46"/>
      <c r="Y224" s="46"/>
      <c r="Z224" s="46"/>
      <c r="AA224" s="46"/>
      <c r="AB224" s="46"/>
      <c r="AC224" s="46"/>
      <c r="AD224" s="46"/>
      <c r="AE224" s="46"/>
      <c r="AF224" s="46"/>
      <c r="AG224" s="46"/>
      <c r="AH224" s="46"/>
      <c r="AI224" s="46"/>
      <c r="AJ224" s="46"/>
      <c r="AK224" s="46"/>
      <c r="AL224" s="47"/>
      <c r="AM224" s="47"/>
      <c r="AN224" s="47"/>
      <c r="AO224" s="47"/>
      <c r="AP224" s="47"/>
      <c r="AQ224" s="48"/>
      <c r="AR224" s="49"/>
      <c r="AS224" s="49"/>
      <c r="AT224" s="49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</row>
    <row r="225" spans="1:66" ht="15.75" customHeight="1" x14ac:dyDescent="0.25">
      <c r="A225" s="43"/>
      <c r="B225" s="50"/>
      <c r="C225" s="51"/>
      <c r="D225" s="43"/>
      <c r="E225" s="43"/>
      <c r="F225" s="43"/>
      <c r="G225" s="44"/>
      <c r="H225" s="23"/>
      <c r="I225" s="43"/>
      <c r="J225" s="43"/>
      <c r="K225" s="45"/>
      <c r="L225" s="46"/>
      <c r="M225" s="46"/>
      <c r="N225" s="46"/>
      <c r="O225" s="46"/>
      <c r="P225" s="46"/>
      <c r="Q225" s="46"/>
      <c r="R225" s="46"/>
      <c r="S225" s="46"/>
      <c r="T225" s="46"/>
      <c r="U225" s="46"/>
      <c r="V225" s="46"/>
      <c r="W225" s="46"/>
      <c r="X225" s="46"/>
      <c r="Y225" s="46"/>
      <c r="Z225" s="46"/>
      <c r="AA225" s="46"/>
      <c r="AB225" s="46"/>
      <c r="AC225" s="46"/>
      <c r="AD225" s="46"/>
      <c r="AE225" s="46"/>
      <c r="AF225" s="46"/>
      <c r="AG225" s="46"/>
      <c r="AH225" s="46"/>
      <c r="AI225" s="46"/>
      <c r="AJ225" s="46"/>
      <c r="AK225" s="46"/>
      <c r="AL225" s="47"/>
      <c r="AM225" s="47"/>
      <c r="AN225" s="47"/>
      <c r="AO225" s="47"/>
      <c r="AP225" s="47"/>
      <c r="AQ225" s="48"/>
      <c r="AR225" s="49"/>
      <c r="AS225" s="49"/>
      <c r="AT225" s="49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</row>
    <row r="226" spans="1:66" ht="15.75" customHeight="1" x14ac:dyDescent="0.25">
      <c r="A226" s="43"/>
      <c r="B226" s="50"/>
      <c r="C226" s="51"/>
      <c r="D226" s="43"/>
      <c r="E226" s="43"/>
      <c r="F226" s="43"/>
      <c r="G226" s="44"/>
      <c r="H226" s="23"/>
      <c r="I226" s="43"/>
      <c r="J226" s="43"/>
      <c r="K226" s="45"/>
      <c r="L226" s="46"/>
      <c r="M226" s="46"/>
      <c r="N226" s="46"/>
      <c r="O226" s="46"/>
      <c r="P226" s="46"/>
      <c r="Q226" s="46"/>
      <c r="R226" s="46"/>
      <c r="S226" s="46"/>
      <c r="T226" s="46"/>
      <c r="U226" s="46"/>
      <c r="V226" s="46"/>
      <c r="W226" s="46"/>
      <c r="X226" s="46"/>
      <c r="Y226" s="46"/>
      <c r="Z226" s="46"/>
      <c r="AA226" s="46"/>
      <c r="AB226" s="46"/>
      <c r="AC226" s="46"/>
      <c r="AD226" s="46"/>
      <c r="AE226" s="46"/>
      <c r="AF226" s="46"/>
      <c r="AG226" s="46"/>
      <c r="AH226" s="46"/>
      <c r="AI226" s="46"/>
      <c r="AJ226" s="46"/>
      <c r="AK226" s="46"/>
      <c r="AL226" s="47"/>
      <c r="AM226" s="47"/>
      <c r="AN226" s="47"/>
      <c r="AO226" s="47"/>
      <c r="AP226" s="47"/>
      <c r="AQ226" s="48"/>
      <c r="AR226" s="49"/>
      <c r="AS226" s="49"/>
      <c r="AT226" s="49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</row>
    <row r="227" spans="1:66" ht="15.75" customHeight="1" x14ac:dyDescent="0.25">
      <c r="A227" s="43"/>
      <c r="B227" s="50"/>
      <c r="C227" s="51"/>
      <c r="D227" s="43"/>
      <c r="E227" s="43"/>
      <c r="F227" s="43"/>
      <c r="G227" s="44"/>
      <c r="H227" s="23"/>
      <c r="I227" s="43"/>
      <c r="J227" s="43"/>
      <c r="K227" s="45"/>
      <c r="L227" s="46"/>
      <c r="M227" s="46"/>
      <c r="N227" s="46"/>
      <c r="O227" s="46"/>
      <c r="P227" s="46"/>
      <c r="Q227" s="46"/>
      <c r="R227" s="46"/>
      <c r="S227" s="46"/>
      <c r="T227" s="46"/>
      <c r="U227" s="46"/>
      <c r="V227" s="46"/>
      <c r="W227" s="46"/>
      <c r="X227" s="46"/>
      <c r="Y227" s="46"/>
      <c r="Z227" s="46"/>
      <c r="AA227" s="46"/>
      <c r="AB227" s="46"/>
      <c r="AC227" s="46"/>
      <c r="AD227" s="46"/>
      <c r="AE227" s="46"/>
      <c r="AF227" s="46"/>
      <c r="AG227" s="46"/>
      <c r="AH227" s="46"/>
      <c r="AI227" s="46"/>
      <c r="AJ227" s="46"/>
      <c r="AK227" s="46"/>
      <c r="AL227" s="47"/>
      <c r="AM227" s="47"/>
      <c r="AN227" s="47"/>
      <c r="AO227" s="47"/>
      <c r="AP227" s="47"/>
      <c r="AQ227" s="48"/>
      <c r="AR227" s="49"/>
      <c r="AS227" s="49"/>
      <c r="AT227" s="49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</row>
    <row r="228" spans="1:66" ht="15.75" customHeight="1" x14ac:dyDescent="0.25">
      <c r="A228" s="43"/>
      <c r="B228" s="50"/>
      <c r="C228" s="51"/>
      <c r="D228" s="43"/>
      <c r="E228" s="43"/>
      <c r="F228" s="43"/>
      <c r="G228" s="44"/>
      <c r="H228" s="23"/>
      <c r="I228" s="43"/>
      <c r="J228" s="43"/>
      <c r="K228" s="45"/>
      <c r="L228" s="46"/>
      <c r="M228" s="46"/>
      <c r="N228" s="46"/>
      <c r="O228" s="46"/>
      <c r="P228" s="46"/>
      <c r="Q228" s="46"/>
      <c r="R228" s="46"/>
      <c r="S228" s="46"/>
      <c r="T228" s="46"/>
      <c r="U228" s="46"/>
      <c r="V228" s="46"/>
      <c r="W228" s="46"/>
      <c r="X228" s="46"/>
      <c r="Y228" s="46"/>
      <c r="Z228" s="46"/>
      <c r="AA228" s="46"/>
      <c r="AB228" s="46"/>
      <c r="AC228" s="46"/>
      <c r="AD228" s="46"/>
      <c r="AE228" s="46"/>
      <c r="AF228" s="46"/>
      <c r="AG228" s="46"/>
      <c r="AH228" s="46"/>
      <c r="AI228" s="46"/>
      <c r="AJ228" s="46"/>
      <c r="AK228" s="46"/>
      <c r="AL228" s="47"/>
      <c r="AM228" s="47"/>
      <c r="AN228" s="47"/>
      <c r="AO228" s="47"/>
      <c r="AP228" s="47"/>
      <c r="AQ228" s="48"/>
      <c r="AR228" s="49"/>
      <c r="AS228" s="49"/>
      <c r="AT228" s="49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</row>
    <row r="229" spans="1:66" ht="15.75" customHeight="1" x14ac:dyDescent="0.25">
      <c r="A229" s="43"/>
      <c r="B229" s="50"/>
      <c r="C229" s="51"/>
      <c r="D229" s="43"/>
      <c r="E229" s="43"/>
      <c r="F229" s="43"/>
      <c r="G229" s="44"/>
      <c r="H229" s="23"/>
      <c r="I229" s="43"/>
      <c r="J229" s="43"/>
      <c r="K229" s="45"/>
      <c r="L229" s="46"/>
      <c r="M229" s="46"/>
      <c r="N229" s="46"/>
      <c r="O229" s="46"/>
      <c r="P229" s="46"/>
      <c r="Q229" s="46"/>
      <c r="R229" s="46"/>
      <c r="S229" s="46"/>
      <c r="T229" s="46"/>
      <c r="U229" s="46"/>
      <c r="V229" s="46"/>
      <c r="W229" s="46"/>
      <c r="X229" s="46"/>
      <c r="Y229" s="46"/>
      <c r="Z229" s="46"/>
      <c r="AA229" s="46"/>
      <c r="AB229" s="46"/>
      <c r="AC229" s="46"/>
      <c r="AD229" s="46"/>
      <c r="AE229" s="46"/>
      <c r="AF229" s="46"/>
      <c r="AG229" s="46"/>
      <c r="AH229" s="46"/>
      <c r="AI229" s="46"/>
      <c r="AJ229" s="46"/>
      <c r="AK229" s="46"/>
      <c r="AL229" s="47"/>
      <c r="AM229" s="47"/>
      <c r="AN229" s="47"/>
      <c r="AO229" s="47"/>
      <c r="AP229" s="47"/>
      <c r="AQ229" s="48"/>
      <c r="AR229" s="49"/>
      <c r="AS229" s="49"/>
      <c r="AT229" s="49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</row>
    <row r="230" spans="1:66" ht="15.75" customHeight="1" x14ac:dyDescent="0.25">
      <c r="A230" s="43"/>
      <c r="B230" s="50"/>
      <c r="C230" s="51"/>
      <c r="D230" s="43"/>
      <c r="E230" s="43"/>
      <c r="F230" s="43"/>
      <c r="G230" s="44"/>
      <c r="H230" s="23"/>
      <c r="I230" s="43"/>
      <c r="J230" s="43"/>
      <c r="K230" s="45"/>
      <c r="L230" s="46"/>
      <c r="M230" s="46"/>
      <c r="N230" s="46"/>
      <c r="O230" s="46"/>
      <c r="P230" s="46"/>
      <c r="Q230" s="46"/>
      <c r="R230" s="46"/>
      <c r="S230" s="46"/>
      <c r="T230" s="46"/>
      <c r="U230" s="46"/>
      <c r="V230" s="46"/>
      <c r="W230" s="46"/>
      <c r="X230" s="46"/>
      <c r="Y230" s="46"/>
      <c r="Z230" s="46"/>
      <c r="AA230" s="46"/>
      <c r="AB230" s="46"/>
      <c r="AC230" s="46"/>
      <c r="AD230" s="46"/>
      <c r="AE230" s="46"/>
      <c r="AF230" s="46"/>
      <c r="AG230" s="46"/>
      <c r="AH230" s="46"/>
      <c r="AI230" s="46"/>
      <c r="AJ230" s="46"/>
      <c r="AK230" s="46"/>
      <c r="AL230" s="47"/>
      <c r="AM230" s="47"/>
      <c r="AN230" s="47"/>
      <c r="AO230" s="47"/>
      <c r="AP230" s="47"/>
      <c r="AQ230" s="48"/>
      <c r="AR230" s="49"/>
      <c r="AS230" s="49"/>
      <c r="AT230" s="49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</row>
    <row r="231" spans="1:66" ht="15.75" customHeight="1" x14ac:dyDescent="0.25">
      <c r="A231" s="43"/>
      <c r="B231" s="50"/>
      <c r="C231" s="51"/>
      <c r="D231" s="43"/>
      <c r="E231" s="43"/>
      <c r="F231" s="43"/>
      <c r="G231" s="44"/>
      <c r="H231" s="23"/>
      <c r="I231" s="43"/>
      <c r="J231" s="43"/>
      <c r="K231" s="45"/>
      <c r="L231" s="46"/>
      <c r="M231" s="46"/>
      <c r="N231" s="46"/>
      <c r="O231" s="46"/>
      <c r="P231" s="46"/>
      <c r="Q231" s="46"/>
      <c r="R231" s="46"/>
      <c r="S231" s="46"/>
      <c r="T231" s="46"/>
      <c r="U231" s="46"/>
      <c r="V231" s="46"/>
      <c r="W231" s="46"/>
      <c r="X231" s="46"/>
      <c r="Y231" s="46"/>
      <c r="Z231" s="46"/>
      <c r="AA231" s="46"/>
      <c r="AB231" s="46"/>
      <c r="AC231" s="46"/>
      <c r="AD231" s="46"/>
      <c r="AE231" s="46"/>
      <c r="AF231" s="46"/>
      <c r="AG231" s="46"/>
      <c r="AH231" s="46"/>
      <c r="AI231" s="46"/>
      <c r="AJ231" s="46"/>
      <c r="AK231" s="46"/>
      <c r="AL231" s="47"/>
      <c r="AM231" s="47"/>
      <c r="AN231" s="47"/>
      <c r="AO231" s="47"/>
      <c r="AP231" s="47"/>
      <c r="AQ231" s="48"/>
      <c r="AR231" s="49"/>
      <c r="AS231" s="49"/>
      <c r="AT231" s="49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</row>
    <row r="232" spans="1:66" ht="15.75" customHeight="1" x14ac:dyDescent="0.25">
      <c r="A232" s="43"/>
      <c r="B232" s="50"/>
      <c r="C232" s="51"/>
      <c r="D232" s="43"/>
      <c r="E232" s="43"/>
      <c r="F232" s="43"/>
      <c r="G232" s="44"/>
      <c r="H232" s="23"/>
      <c r="I232" s="43"/>
      <c r="J232" s="43"/>
      <c r="K232" s="45"/>
      <c r="L232" s="46"/>
      <c r="M232" s="46"/>
      <c r="N232" s="46"/>
      <c r="O232" s="46"/>
      <c r="P232" s="46"/>
      <c r="Q232" s="46"/>
      <c r="R232" s="46"/>
      <c r="S232" s="46"/>
      <c r="T232" s="46"/>
      <c r="U232" s="46"/>
      <c r="V232" s="46"/>
      <c r="W232" s="46"/>
      <c r="X232" s="46"/>
      <c r="Y232" s="46"/>
      <c r="Z232" s="46"/>
      <c r="AA232" s="46"/>
      <c r="AB232" s="46"/>
      <c r="AC232" s="46"/>
      <c r="AD232" s="46"/>
      <c r="AE232" s="46"/>
      <c r="AF232" s="46"/>
      <c r="AG232" s="46"/>
      <c r="AH232" s="46"/>
      <c r="AI232" s="46"/>
      <c r="AJ232" s="46"/>
      <c r="AK232" s="46"/>
      <c r="AL232" s="47"/>
      <c r="AM232" s="47"/>
      <c r="AN232" s="47"/>
      <c r="AO232" s="47"/>
      <c r="AP232" s="47"/>
      <c r="AQ232" s="48"/>
      <c r="AR232" s="49"/>
      <c r="AS232" s="49"/>
      <c r="AT232" s="49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</row>
    <row r="233" spans="1:66" ht="15.75" customHeight="1" x14ac:dyDescent="0.25">
      <c r="A233" s="43"/>
      <c r="B233" s="50"/>
      <c r="C233" s="51"/>
      <c r="D233" s="43"/>
      <c r="E233" s="43"/>
      <c r="F233" s="43"/>
      <c r="G233" s="44"/>
      <c r="H233" s="23"/>
      <c r="I233" s="43"/>
      <c r="J233" s="43"/>
      <c r="K233" s="45"/>
      <c r="L233" s="46"/>
      <c r="M233" s="46"/>
      <c r="N233" s="46"/>
      <c r="O233" s="46"/>
      <c r="P233" s="46"/>
      <c r="Q233" s="46"/>
      <c r="R233" s="46"/>
      <c r="S233" s="46"/>
      <c r="T233" s="46"/>
      <c r="U233" s="46"/>
      <c r="V233" s="46"/>
      <c r="W233" s="46"/>
      <c r="X233" s="46"/>
      <c r="Y233" s="46"/>
      <c r="Z233" s="46"/>
      <c r="AA233" s="46"/>
      <c r="AB233" s="46"/>
      <c r="AC233" s="46"/>
      <c r="AD233" s="46"/>
      <c r="AE233" s="46"/>
      <c r="AF233" s="46"/>
      <c r="AG233" s="46"/>
      <c r="AH233" s="46"/>
      <c r="AI233" s="46"/>
      <c r="AJ233" s="46"/>
      <c r="AK233" s="46"/>
      <c r="AL233" s="47"/>
      <c r="AM233" s="47"/>
      <c r="AN233" s="47"/>
      <c r="AO233" s="47"/>
      <c r="AP233" s="47"/>
      <c r="AQ233" s="48"/>
      <c r="AR233" s="49"/>
      <c r="AS233" s="49"/>
      <c r="AT233" s="49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</row>
    <row r="234" spans="1:66" ht="15.75" customHeight="1" x14ac:dyDescent="0.25">
      <c r="A234" s="43"/>
      <c r="B234" s="50"/>
      <c r="C234" s="51"/>
      <c r="D234" s="43"/>
      <c r="E234" s="43"/>
      <c r="F234" s="43"/>
      <c r="G234" s="44"/>
      <c r="H234" s="23"/>
      <c r="I234" s="43"/>
      <c r="J234" s="43"/>
      <c r="K234" s="45"/>
      <c r="L234" s="46"/>
      <c r="M234" s="46"/>
      <c r="N234" s="46"/>
      <c r="O234" s="46"/>
      <c r="P234" s="46"/>
      <c r="Q234" s="46"/>
      <c r="R234" s="46"/>
      <c r="S234" s="46"/>
      <c r="T234" s="46"/>
      <c r="U234" s="46"/>
      <c r="V234" s="46"/>
      <c r="W234" s="46"/>
      <c r="X234" s="46"/>
      <c r="Y234" s="46"/>
      <c r="Z234" s="46"/>
      <c r="AA234" s="46"/>
      <c r="AB234" s="46"/>
      <c r="AC234" s="46"/>
      <c r="AD234" s="46"/>
      <c r="AE234" s="46"/>
      <c r="AF234" s="46"/>
      <c r="AG234" s="46"/>
      <c r="AH234" s="46"/>
      <c r="AI234" s="46"/>
      <c r="AJ234" s="46"/>
      <c r="AK234" s="46"/>
      <c r="AL234" s="47"/>
      <c r="AM234" s="47"/>
      <c r="AN234" s="47"/>
      <c r="AO234" s="47"/>
      <c r="AP234" s="47"/>
      <c r="AQ234" s="48"/>
      <c r="AR234" s="49"/>
      <c r="AS234" s="49"/>
      <c r="AT234" s="49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</row>
    <row r="235" spans="1:66" ht="15.75" customHeight="1" x14ac:dyDescent="0.25">
      <c r="A235" s="43"/>
      <c r="B235" s="50"/>
      <c r="C235" s="51"/>
      <c r="D235" s="43"/>
      <c r="E235" s="43"/>
      <c r="F235" s="43"/>
      <c r="G235" s="44"/>
      <c r="H235" s="23"/>
      <c r="I235" s="43"/>
      <c r="J235" s="43"/>
      <c r="K235" s="45"/>
      <c r="L235" s="46"/>
      <c r="M235" s="46"/>
      <c r="N235" s="46"/>
      <c r="O235" s="46"/>
      <c r="P235" s="46"/>
      <c r="Q235" s="46"/>
      <c r="R235" s="46"/>
      <c r="S235" s="46"/>
      <c r="T235" s="46"/>
      <c r="U235" s="46"/>
      <c r="V235" s="46"/>
      <c r="W235" s="46"/>
      <c r="X235" s="46"/>
      <c r="Y235" s="46"/>
      <c r="Z235" s="46"/>
      <c r="AA235" s="46"/>
      <c r="AB235" s="46"/>
      <c r="AC235" s="46"/>
      <c r="AD235" s="46"/>
      <c r="AE235" s="46"/>
      <c r="AF235" s="46"/>
      <c r="AG235" s="46"/>
      <c r="AH235" s="46"/>
      <c r="AI235" s="46"/>
      <c r="AJ235" s="46"/>
      <c r="AK235" s="46"/>
      <c r="AL235" s="47"/>
      <c r="AM235" s="47"/>
      <c r="AN235" s="47"/>
      <c r="AO235" s="47"/>
      <c r="AP235" s="47"/>
      <c r="AQ235" s="48"/>
      <c r="AR235" s="49"/>
      <c r="AS235" s="49"/>
      <c r="AT235" s="49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</row>
    <row r="236" spans="1:66" ht="15.75" customHeight="1" x14ac:dyDescent="0.25">
      <c r="A236" s="43"/>
      <c r="B236" s="50"/>
      <c r="C236" s="51"/>
      <c r="D236" s="43"/>
      <c r="E236" s="43"/>
      <c r="F236" s="43"/>
      <c r="G236" s="44"/>
      <c r="H236" s="23"/>
      <c r="I236" s="43"/>
      <c r="J236" s="43"/>
      <c r="K236" s="45"/>
      <c r="L236" s="46"/>
      <c r="M236" s="46"/>
      <c r="N236" s="46"/>
      <c r="O236" s="46"/>
      <c r="P236" s="46"/>
      <c r="Q236" s="46"/>
      <c r="R236" s="46"/>
      <c r="S236" s="46"/>
      <c r="T236" s="46"/>
      <c r="U236" s="46"/>
      <c r="V236" s="46"/>
      <c r="W236" s="46"/>
      <c r="X236" s="46"/>
      <c r="Y236" s="46"/>
      <c r="Z236" s="46"/>
      <c r="AA236" s="46"/>
      <c r="AB236" s="46"/>
      <c r="AC236" s="46"/>
      <c r="AD236" s="46"/>
      <c r="AE236" s="46"/>
      <c r="AF236" s="46"/>
      <c r="AG236" s="46"/>
      <c r="AH236" s="46"/>
      <c r="AI236" s="46"/>
      <c r="AJ236" s="46"/>
      <c r="AK236" s="46"/>
      <c r="AL236" s="47"/>
      <c r="AM236" s="47"/>
      <c r="AN236" s="47"/>
      <c r="AO236" s="47"/>
      <c r="AP236" s="47"/>
      <c r="AQ236" s="48"/>
      <c r="AR236" s="49"/>
      <c r="AS236" s="49"/>
      <c r="AT236" s="49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</row>
    <row r="237" spans="1:66" ht="15.75" customHeight="1" x14ac:dyDescent="0.25">
      <c r="A237" s="43"/>
      <c r="B237" s="50"/>
      <c r="C237" s="51"/>
      <c r="D237" s="43"/>
      <c r="E237" s="43"/>
      <c r="F237" s="43"/>
      <c r="G237" s="44"/>
      <c r="H237" s="23"/>
      <c r="I237" s="43"/>
      <c r="J237" s="43"/>
      <c r="K237" s="45"/>
      <c r="L237" s="46"/>
      <c r="M237" s="46"/>
      <c r="N237" s="46"/>
      <c r="O237" s="46"/>
      <c r="P237" s="46"/>
      <c r="Q237" s="46"/>
      <c r="R237" s="46"/>
      <c r="S237" s="46"/>
      <c r="T237" s="46"/>
      <c r="U237" s="46"/>
      <c r="V237" s="46"/>
      <c r="W237" s="46"/>
      <c r="X237" s="46"/>
      <c r="Y237" s="46"/>
      <c r="Z237" s="46"/>
      <c r="AA237" s="46"/>
      <c r="AB237" s="46"/>
      <c r="AC237" s="46"/>
      <c r="AD237" s="46"/>
      <c r="AE237" s="46"/>
      <c r="AF237" s="46"/>
      <c r="AG237" s="46"/>
      <c r="AH237" s="46"/>
      <c r="AI237" s="46"/>
      <c r="AJ237" s="46"/>
      <c r="AK237" s="46"/>
      <c r="AL237" s="47"/>
      <c r="AM237" s="47"/>
      <c r="AN237" s="47"/>
      <c r="AO237" s="47"/>
      <c r="AP237" s="47"/>
      <c r="AQ237" s="48"/>
      <c r="AR237" s="49"/>
      <c r="AS237" s="49"/>
      <c r="AT237" s="49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</row>
    <row r="238" spans="1:66" ht="15.75" customHeight="1" x14ac:dyDescent="0.25">
      <c r="A238" s="43"/>
      <c r="B238" s="50"/>
      <c r="C238" s="51"/>
      <c r="D238" s="43"/>
      <c r="E238" s="43"/>
      <c r="F238" s="43"/>
      <c r="G238" s="44"/>
      <c r="H238" s="23"/>
      <c r="I238" s="43"/>
      <c r="J238" s="43"/>
      <c r="K238" s="45"/>
      <c r="L238" s="46"/>
      <c r="M238" s="46"/>
      <c r="N238" s="46"/>
      <c r="O238" s="46"/>
      <c r="P238" s="46"/>
      <c r="Q238" s="46"/>
      <c r="R238" s="46"/>
      <c r="S238" s="46"/>
      <c r="T238" s="46"/>
      <c r="U238" s="46"/>
      <c r="V238" s="46"/>
      <c r="W238" s="46"/>
      <c r="X238" s="46"/>
      <c r="Y238" s="46"/>
      <c r="Z238" s="46"/>
      <c r="AA238" s="46"/>
      <c r="AB238" s="46"/>
      <c r="AC238" s="46"/>
      <c r="AD238" s="46"/>
      <c r="AE238" s="46"/>
      <c r="AF238" s="46"/>
      <c r="AG238" s="46"/>
      <c r="AH238" s="46"/>
      <c r="AI238" s="46"/>
      <c r="AJ238" s="46"/>
      <c r="AK238" s="46"/>
      <c r="AL238" s="47"/>
      <c r="AM238" s="47"/>
      <c r="AN238" s="47"/>
      <c r="AO238" s="47"/>
      <c r="AP238" s="47"/>
      <c r="AQ238" s="48"/>
      <c r="AR238" s="49"/>
      <c r="AS238" s="49"/>
      <c r="AT238" s="49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</row>
    <row r="239" spans="1:66" ht="15.75" customHeight="1" x14ac:dyDescent="0.25">
      <c r="A239" s="43"/>
      <c r="B239" s="50"/>
      <c r="C239" s="51"/>
      <c r="D239" s="43"/>
      <c r="E239" s="43"/>
      <c r="F239" s="43"/>
      <c r="G239" s="44"/>
      <c r="H239" s="23"/>
      <c r="I239" s="43"/>
      <c r="J239" s="43"/>
      <c r="K239" s="45"/>
      <c r="L239" s="46"/>
      <c r="M239" s="46"/>
      <c r="N239" s="46"/>
      <c r="O239" s="46"/>
      <c r="P239" s="46"/>
      <c r="Q239" s="46"/>
      <c r="R239" s="46"/>
      <c r="S239" s="46"/>
      <c r="T239" s="46"/>
      <c r="U239" s="46"/>
      <c r="V239" s="46"/>
      <c r="W239" s="46"/>
      <c r="X239" s="46"/>
      <c r="Y239" s="46"/>
      <c r="Z239" s="46"/>
      <c r="AA239" s="46"/>
      <c r="AB239" s="46"/>
      <c r="AC239" s="46"/>
      <c r="AD239" s="46"/>
      <c r="AE239" s="46"/>
      <c r="AF239" s="46"/>
      <c r="AG239" s="46"/>
      <c r="AH239" s="46"/>
      <c r="AI239" s="46"/>
      <c r="AJ239" s="46"/>
      <c r="AK239" s="46"/>
      <c r="AL239" s="47"/>
      <c r="AM239" s="47"/>
      <c r="AN239" s="47"/>
      <c r="AO239" s="47"/>
      <c r="AP239" s="47"/>
      <c r="AQ239" s="48"/>
      <c r="AR239" s="49"/>
      <c r="AS239" s="49"/>
      <c r="AT239" s="49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</row>
    <row r="240" spans="1:66" ht="15.75" customHeight="1" x14ac:dyDescent="0.25">
      <c r="A240" s="43"/>
      <c r="B240" s="50"/>
      <c r="C240" s="51"/>
      <c r="D240" s="43"/>
      <c r="E240" s="43"/>
      <c r="F240" s="43"/>
      <c r="G240" s="44"/>
      <c r="H240" s="23"/>
      <c r="I240" s="43"/>
      <c r="J240" s="43"/>
      <c r="K240" s="45"/>
      <c r="L240" s="46"/>
      <c r="M240" s="46"/>
      <c r="N240" s="46"/>
      <c r="O240" s="46"/>
      <c r="P240" s="46"/>
      <c r="Q240" s="46"/>
      <c r="R240" s="46"/>
      <c r="S240" s="46"/>
      <c r="T240" s="46"/>
      <c r="U240" s="46"/>
      <c r="V240" s="46"/>
      <c r="W240" s="46"/>
      <c r="X240" s="46"/>
      <c r="Y240" s="46"/>
      <c r="Z240" s="46"/>
      <c r="AA240" s="46"/>
      <c r="AB240" s="46"/>
      <c r="AC240" s="46"/>
      <c r="AD240" s="46"/>
      <c r="AE240" s="46"/>
      <c r="AF240" s="46"/>
      <c r="AG240" s="46"/>
      <c r="AH240" s="46"/>
      <c r="AI240" s="46"/>
      <c r="AJ240" s="46"/>
      <c r="AK240" s="46"/>
      <c r="AL240" s="47"/>
      <c r="AM240" s="47"/>
      <c r="AN240" s="47"/>
      <c r="AO240" s="47"/>
      <c r="AP240" s="47"/>
      <c r="AQ240" s="48"/>
      <c r="AR240" s="49"/>
      <c r="AS240" s="49"/>
      <c r="AT240" s="49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</row>
    <row r="241" spans="1:66" ht="15.75" customHeight="1" x14ac:dyDescent="0.25">
      <c r="A241" s="43"/>
      <c r="B241" s="50"/>
      <c r="C241" s="51"/>
      <c r="D241" s="43"/>
      <c r="E241" s="43"/>
      <c r="F241" s="43"/>
      <c r="G241" s="44"/>
      <c r="H241" s="23"/>
      <c r="I241" s="43"/>
      <c r="J241" s="43"/>
      <c r="K241" s="45"/>
      <c r="L241" s="46"/>
      <c r="M241" s="46"/>
      <c r="N241" s="46"/>
      <c r="O241" s="46"/>
      <c r="P241" s="46"/>
      <c r="Q241" s="46"/>
      <c r="R241" s="46"/>
      <c r="S241" s="46"/>
      <c r="T241" s="46"/>
      <c r="U241" s="46"/>
      <c r="V241" s="46"/>
      <c r="W241" s="46"/>
      <c r="X241" s="46"/>
      <c r="Y241" s="46"/>
      <c r="Z241" s="46"/>
      <c r="AA241" s="46"/>
      <c r="AB241" s="46"/>
      <c r="AC241" s="46"/>
      <c r="AD241" s="46"/>
      <c r="AE241" s="46"/>
      <c r="AF241" s="46"/>
      <c r="AG241" s="46"/>
      <c r="AH241" s="46"/>
      <c r="AI241" s="46"/>
      <c r="AJ241" s="46"/>
      <c r="AK241" s="46"/>
      <c r="AL241" s="47"/>
      <c r="AM241" s="47"/>
      <c r="AN241" s="47"/>
      <c r="AO241" s="47"/>
      <c r="AP241" s="47"/>
      <c r="AQ241" s="48"/>
      <c r="AR241" s="49"/>
      <c r="AS241" s="49"/>
      <c r="AT241" s="49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</row>
    <row r="242" spans="1:66" ht="15.75" customHeight="1" x14ac:dyDescent="0.25">
      <c r="A242" s="43"/>
      <c r="B242" s="50"/>
      <c r="C242" s="51"/>
      <c r="D242" s="43"/>
      <c r="E242" s="43"/>
      <c r="F242" s="43"/>
      <c r="G242" s="44"/>
      <c r="H242" s="23"/>
      <c r="I242" s="43"/>
      <c r="J242" s="43"/>
      <c r="K242" s="45"/>
      <c r="L242" s="46"/>
      <c r="M242" s="46"/>
      <c r="N242" s="46"/>
      <c r="O242" s="46"/>
      <c r="P242" s="46"/>
      <c r="Q242" s="46"/>
      <c r="R242" s="46"/>
      <c r="S242" s="46"/>
      <c r="T242" s="46"/>
      <c r="U242" s="46"/>
      <c r="V242" s="46"/>
      <c r="W242" s="46"/>
      <c r="X242" s="46"/>
      <c r="Y242" s="46"/>
      <c r="Z242" s="46"/>
      <c r="AA242" s="46"/>
      <c r="AB242" s="46"/>
      <c r="AC242" s="46"/>
      <c r="AD242" s="46"/>
      <c r="AE242" s="46"/>
      <c r="AF242" s="46"/>
      <c r="AG242" s="46"/>
      <c r="AH242" s="46"/>
      <c r="AI242" s="46"/>
      <c r="AJ242" s="46"/>
      <c r="AK242" s="46"/>
      <c r="AL242" s="47"/>
      <c r="AM242" s="47"/>
      <c r="AN242" s="47"/>
      <c r="AO242" s="47"/>
      <c r="AP242" s="47"/>
      <c r="AQ242" s="48"/>
      <c r="AR242" s="49"/>
      <c r="AS242" s="49"/>
      <c r="AT242" s="49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</row>
    <row r="243" spans="1:66" ht="15.75" customHeight="1" x14ac:dyDescent="0.25">
      <c r="A243" s="43"/>
      <c r="B243" s="50"/>
      <c r="C243" s="51"/>
      <c r="D243" s="43"/>
      <c r="E243" s="43"/>
      <c r="F243" s="43"/>
      <c r="G243" s="44"/>
      <c r="H243" s="23"/>
      <c r="I243" s="43"/>
      <c r="J243" s="43"/>
      <c r="K243" s="45"/>
      <c r="L243" s="46"/>
      <c r="M243" s="46"/>
      <c r="N243" s="46"/>
      <c r="O243" s="46"/>
      <c r="P243" s="46"/>
      <c r="Q243" s="46"/>
      <c r="R243" s="46"/>
      <c r="S243" s="46"/>
      <c r="T243" s="46"/>
      <c r="U243" s="46"/>
      <c r="V243" s="46"/>
      <c r="W243" s="46"/>
      <c r="X243" s="46"/>
      <c r="Y243" s="46"/>
      <c r="Z243" s="46"/>
      <c r="AA243" s="46"/>
      <c r="AB243" s="46"/>
      <c r="AC243" s="46"/>
      <c r="AD243" s="46"/>
      <c r="AE243" s="46"/>
      <c r="AF243" s="46"/>
      <c r="AG243" s="46"/>
      <c r="AH243" s="46"/>
      <c r="AI243" s="46"/>
      <c r="AJ243" s="46"/>
      <c r="AK243" s="46"/>
      <c r="AL243" s="47"/>
      <c r="AM243" s="47"/>
      <c r="AN243" s="47"/>
      <c r="AO243" s="47"/>
      <c r="AP243" s="47"/>
      <c r="AQ243" s="48"/>
      <c r="AR243" s="49"/>
      <c r="AS243" s="49"/>
      <c r="AT243" s="49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</row>
    <row r="244" spans="1:66" ht="15.75" customHeight="1" x14ac:dyDescent="0.25">
      <c r="A244" s="43"/>
      <c r="B244" s="50"/>
      <c r="C244" s="51"/>
      <c r="D244" s="43"/>
      <c r="E244" s="43"/>
      <c r="F244" s="43"/>
      <c r="G244" s="44"/>
      <c r="H244" s="23"/>
      <c r="I244" s="43"/>
      <c r="J244" s="43"/>
      <c r="K244" s="45"/>
      <c r="L244" s="46"/>
      <c r="M244" s="46"/>
      <c r="N244" s="46"/>
      <c r="O244" s="46"/>
      <c r="P244" s="46"/>
      <c r="Q244" s="46"/>
      <c r="R244" s="46"/>
      <c r="S244" s="46"/>
      <c r="T244" s="46"/>
      <c r="U244" s="46"/>
      <c r="V244" s="46"/>
      <c r="W244" s="46"/>
      <c r="X244" s="46"/>
      <c r="Y244" s="46"/>
      <c r="Z244" s="46"/>
      <c r="AA244" s="46"/>
      <c r="AB244" s="46"/>
      <c r="AC244" s="46"/>
      <c r="AD244" s="46"/>
      <c r="AE244" s="46"/>
      <c r="AF244" s="46"/>
      <c r="AG244" s="46"/>
      <c r="AH244" s="46"/>
      <c r="AI244" s="46"/>
      <c r="AJ244" s="46"/>
      <c r="AK244" s="46"/>
      <c r="AL244" s="47"/>
      <c r="AM244" s="47"/>
      <c r="AN244" s="47"/>
      <c r="AO244" s="47"/>
      <c r="AP244" s="47"/>
      <c r="AQ244" s="48"/>
      <c r="AR244" s="49"/>
      <c r="AS244" s="49"/>
      <c r="AT244" s="49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</row>
    <row r="245" spans="1:66" ht="15.75" customHeight="1" x14ac:dyDescent="0.25">
      <c r="A245" s="43"/>
      <c r="B245" s="50"/>
      <c r="C245" s="51"/>
      <c r="D245" s="43"/>
      <c r="E245" s="43"/>
      <c r="F245" s="43"/>
      <c r="G245" s="44"/>
      <c r="H245" s="23"/>
      <c r="I245" s="43"/>
      <c r="J245" s="43"/>
      <c r="K245" s="45"/>
      <c r="L245" s="46"/>
      <c r="M245" s="46"/>
      <c r="N245" s="46"/>
      <c r="O245" s="46"/>
      <c r="P245" s="46"/>
      <c r="Q245" s="46"/>
      <c r="R245" s="46"/>
      <c r="S245" s="46"/>
      <c r="T245" s="46"/>
      <c r="U245" s="46"/>
      <c r="V245" s="46"/>
      <c r="W245" s="46"/>
      <c r="X245" s="46"/>
      <c r="Y245" s="46"/>
      <c r="Z245" s="46"/>
      <c r="AA245" s="46"/>
      <c r="AB245" s="46"/>
      <c r="AC245" s="46"/>
      <c r="AD245" s="46"/>
      <c r="AE245" s="46"/>
      <c r="AF245" s="46"/>
      <c r="AG245" s="46"/>
      <c r="AH245" s="46"/>
      <c r="AI245" s="46"/>
      <c r="AJ245" s="46"/>
      <c r="AK245" s="46"/>
      <c r="AL245" s="47"/>
      <c r="AM245" s="47"/>
      <c r="AN245" s="47"/>
      <c r="AO245" s="47"/>
      <c r="AP245" s="47"/>
      <c r="AQ245" s="48"/>
      <c r="AR245" s="49"/>
      <c r="AS245" s="49"/>
      <c r="AT245" s="49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</row>
    <row r="246" spans="1:66" ht="15.75" customHeight="1" x14ac:dyDescent="0.25">
      <c r="A246" s="43"/>
      <c r="B246" s="50"/>
      <c r="C246" s="51"/>
      <c r="D246" s="43"/>
      <c r="E246" s="43"/>
      <c r="F246" s="43"/>
      <c r="G246" s="44"/>
      <c r="H246" s="23"/>
      <c r="I246" s="43"/>
      <c r="J246" s="43"/>
      <c r="K246" s="45"/>
      <c r="L246" s="46"/>
      <c r="M246" s="46"/>
      <c r="N246" s="46"/>
      <c r="O246" s="46"/>
      <c r="P246" s="46"/>
      <c r="Q246" s="46"/>
      <c r="R246" s="46"/>
      <c r="S246" s="46"/>
      <c r="T246" s="46"/>
      <c r="U246" s="46"/>
      <c r="V246" s="46"/>
      <c r="W246" s="46"/>
      <c r="X246" s="46"/>
      <c r="Y246" s="46"/>
      <c r="Z246" s="46"/>
      <c r="AA246" s="46"/>
      <c r="AB246" s="46"/>
      <c r="AC246" s="46"/>
      <c r="AD246" s="46"/>
      <c r="AE246" s="46"/>
      <c r="AF246" s="46"/>
      <c r="AG246" s="46"/>
      <c r="AH246" s="46"/>
      <c r="AI246" s="46"/>
      <c r="AJ246" s="46"/>
      <c r="AK246" s="46"/>
      <c r="AL246" s="47"/>
      <c r="AM246" s="47"/>
      <c r="AN246" s="47"/>
      <c r="AO246" s="47"/>
      <c r="AP246" s="47"/>
      <c r="AQ246" s="48"/>
      <c r="AR246" s="49"/>
      <c r="AS246" s="49"/>
      <c r="AT246" s="49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</row>
    <row r="247" spans="1:66" ht="15.75" customHeight="1" x14ac:dyDescent="0.25">
      <c r="A247" s="43"/>
      <c r="B247" s="50"/>
      <c r="C247" s="51"/>
      <c r="D247" s="43"/>
      <c r="E247" s="43"/>
      <c r="F247" s="43"/>
      <c r="G247" s="44"/>
      <c r="H247" s="23"/>
      <c r="I247" s="43"/>
      <c r="J247" s="43"/>
      <c r="K247" s="45"/>
      <c r="L247" s="46"/>
      <c r="M247" s="46"/>
      <c r="N247" s="46"/>
      <c r="O247" s="46"/>
      <c r="P247" s="46"/>
      <c r="Q247" s="46"/>
      <c r="R247" s="46"/>
      <c r="S247" s="46"/>
      <c r="T247" s="46"/>
      <c r="U247" s="46"/>
      <c r="V247" s="46"/>
      <c r="W247" s="46"/>
      <c r="X247" s="46"/>
      <c r="Y247" s="46"/>
      <c r="Z247" s="46"/>
      <c r="AA247" s="46"/>
      <c r="AB247" s="46"/>
      <c r="AC247" s="46"/>
      <c r="AD247" s="46"/>
      <c r="AE247" s="46"/>
      <c r="AF247" s="46"/>
      <c r="AG247" s="46"/>
      <c r="AH247" s="46"/>
      <c r="AI247" s="46"/>
      <c r="AJ247" s="46"/>
      <c r="AK247" s="46"/>
      <c r="AL247" s="47"/>
      <c r="AM247" s="47"/>
      <c r="AN247" s="47"/>
      <c r="AO247" s="47"/>
      <c r="AP247" s="47"/>
      <c r="AQ247" s="48"/>
      <c r="AR247" s="49"/>
      <c r="AS247" s="49"/>
      <c r="AT247" s="49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</row>
    <row r="248" spans="1:66" ht="15.75" customHeight="1" x14ac:dyDescent="0.25">
      <c r="A248" s="43"/>
      <c r="B248" s="50"/>
      <c r="C248" s="51"/>
      <c r="D248" s="43"/>
      <c r="E248" s="43"/>
      <c r="F248" s="43"/>
      <c r="G248" s="44"/>
      <c r="H248" s="23"/>
      <c r="I248" s="43"/>
      <c r="J248" s="43"/>
      <c r="K248" s="45"/>
      <c r="L248" s="46"/>
      <c r="M248" s="46"/>
      <c r="N248" s="46"/>
      <c r="O248" s="46"/>
      <c r="P248" s="46"/>
      <c r="Q248" s="46"/>
      <c r="R248" s="46"/>
      <c r="S248" s="46"/>
      <c r="T248" s="46"/>
      <c r="U248" s="46"/>
      <c r="V248" s="46"/>
      <c r="W248" s="46"/>
      <c r="X248" s="46"/>
      <c r="Y248" s="46"/>
      <c r="Z248" s="46"/>
      <c r="AA248" s="46"/>
      <c r="AB248" s="46"/>
      <c r="AC248" s="46"/>
      <c r="AD248" s="46"/>
      <c r="AE248" s="46"/>
      <c r="AF248" s="46"/>
      <c r="AG248" s="46"/>
      <c r="AH248" s="46"/>
      <c r="AI248" s="46"/>
      <c r="AJ248" s="46"/>
      <c r="AK248" s="46"/>
      <c r="AL248" s="47"/>
      <c r="AM248" s="47"/>
      <c r="AN248" s="47"/>
      <c r="AO248" s="47"/>
      <c r="AP248" s="47"/>
      <c r="AQ248" s="48"/>
      <c r="AR248" s="49"/>
      <c r="AS248" s="49"/>
      <c r="AT248" s="49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</row>
    <row r="249" spans="1:66" ht="15.75" customHeight="1" x14ac:dyDescent="0.25">
      <c r="A249" s="43"/>
      <c r="B249" s="50"/>
      <c r="C249" s="51"/>
      <c r="D249" s="43"/>
      <c r="E249" s="43"/>
      <c r="F249" s="43"/>
      <c r="G249" s="44"/>
      <c r="H249" s="23"/>
      <c r="I249" s="43"/>
      <c r="J249" s="43"/>
      <c r="K249" s="45"/>
      <c r="L249" s="46"/>
      <c r="M249" s="46"/>
      <c r="N249" s="46"/>
      <c r="O249" s="46"/>
      <c r="P249" s="46"/>
      <c r="Q249" s="46"/>
      <c r="R249" s="46"/>
      <c r="S249" s="46"/>
      <c r="T249" s="46"/>
      <c r="U249" s="46"/>
      <c r="V249" s="46"/>
      <c r="W249" s="46"/>
      <c r="X249" s="46"/>
      <c r="Y249" s="46"/>
      <c r="Z249" s="46"/>
      <c r="AA249" s="46"/>
      <c r="AB249" s="46"/>
      <c r="AC249" s="46"/>
      <c r="AD249" s="46"/>
      <c r="AE249" s="46"/>
      <c r="AF249" s="46"/>
      <c r="AG249" s="46"/>
      <c r="AH249" s="46"/>
      <c r="AI249" s="46"/>
      <c r="AJ249" s="46"/>
      <c r="AK249" s="46"/>
      <c r="AL249" s="47"/>
      <c r="AM249" s="47"/>
      <c r="AN249" s="47"/>
      <c r="AO249" s="47"/>
      <c r="AP249" s="47"/>
      <c r="AQ249" s="48"/>
      <c r="AR249" s="49"/>
      <c r="AS249" s="49"/>
      <c r="AT249" s="49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</row>
    <row r="250" spans="1:66" ht="15.75" customHeight="1" x14ac:dyDescent="0.25">
      <c r="A250" s="43"/>
      <c r="B250" s="50"/>
      <c r="C250" s="51"/>
      <c r="D250" s="43"/>
      <c r="E250" s="43"/>
      <c r="F250" s="43"/>
      <c r="G250" s="44"/>
      <c r="H250" s="23"/>
      <c r="I250" s="43"/>
      <c r="J250" s="43"/>
      <c r="K250" s="45"/>
      <c r="L250" s="46"/>
      <c r="M250" s="46"/>
      <c r="N250" s="46"/>
      <c r="O250" s="46"/>
      <c r="P250" s="46"/>
      <c r="Q250" s="46"/>
      <c r="R250" s="46"/>
      <c r="S250" s="46"/>
      <c r="T250" s="46"/>
      <c r="U250" s="46"/>
      <c r="V250" s="46"/>
      <c r="W250" s="46"/>
      <c r="X250" s="46"/>
      <c r="Y250" s="46"/>
      <c r="Z250" s="46"/>
      <c r="AA250" s="46"/>
      <c r="AB250" s="46"/>
      <c r="AC250" s="46"/>
      <c r="AD250" s="46"/>
      <c r="AE250" s="46"/>
      <c r="AF250" s="46"/>
      <c r="AG250" s="46"/>
      <c r="AH250" s="46"/>
      <c r="AI250" s="46"/>
      <c r="AJ250" s="46"/>
      <c r="AK250" s="46"/>
      <c r="AL250" s="47"/>
      <c r="AM250" s="47"/>
      <c r="AN250" s="47"/>
      <c r="AO250" s="47"/>
      <c r="AP250" s="47"/>
      <c r="AQ250" s="48"/>
      <c r="AR250" s="49"/>
      <c r="AS250" s="49"/>
      <c r="AT250" s="49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</row>
    <row r="251" spans="1:66" ht="15.75" customHeight="1" x14ac:dyDescent="0.25">
      <c r="A251" s="43"/>
      <c r="B251" s="50"/>
      <c r="C251" s="51"/>
      <c r="D251" s="43"/>
      <c r="E251" s="43"/>
      <c r="F251" s="43"/>
      <c r="G251" s="44"/>
      <c r="H251" s="23"/>
      <c r="I251" s="43"/>
      <c r="J251" s="43"/>
      <c r="K251" s="45"/>
      <c r="L251" s="46"/>
      <c r="M251" s="46"/>
      <c r="N251" s="46"/>
      <c r="O251" s="46"/>
      <c r="P251" s="46"/>
      <c r="Q251" s="46"/>
      <c r="R251" s="46"/>
      <c r="S251" s="46"/>
      <c r="T251" s="46"/>
      <c r="U251" s="46"/>
      <c r="V251" s="46"/>
      <c r="W251" s="46"/>
      <c r="X251" s="46"/>
      <c r="Y251" s="46"/>
      <c r="Z251" s="46"/>
      <c r="AA251" s="46"/>
      <c r="AB251" s="46"/>
      <c r="AC251" s="46"/>
      <c r="AD251" s="46"/>
      <c r="AE251" s="46"/>
      <c r="AF251" s="46"/>
      <c r="AG251" s="46"/>
      <c r="AH251" s="46"/>
      <c r="AI251" s="46"/>
      <c r="AJ251" s="46"/>
      <c r="AK251" s="46"/>
      <c r="AL251" s="47"/>
      <c r="AM251" s="47"/>
      <c r="AN251" s="47"/>
      <c r="AO251" s="47"/>
      <c r="AP251" s="47"/>
      <c r="AQ251" s="48"/>
      <c r="AR251" s="49"/>
      <c r="AS251" s="49"/>
      <c r="AT251" s="49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</row>
    <row r="252" spans="1:66" ht="15.75" customHeight="1" x14ac:dyDescent="0.25">
      <c r="A252" s="43"/>
      <c r="B252" s="50"/>
      <c r="C252" s="51"/>
      <c r="D252" s="43"/>
      <c r="E252" s="43"/>
      <c r="F252" s="43"/>
      <c r="G252" s="44"/>
      <c r="H252" s="23"/>
      <c r="I252" s="43"/>
      <c r="J252" s="43"/>
      <c r="K252" s="45"/>
      <c r="L252" s="46"/>
      <c r="M252" s="46"/>
      <c r="N252" s="46"/>
      <c r="O252" s="46"/>
      <c r="P252" s="46"/>
      <c r="Q252" s="46"/>
      <c r="R252" s="46"/>
      <c r="S252" s="46"/>
      <c r="T252" s="46"/>
      <c r="U252" s="46"/>
      <c r="V252" s="46"/>
      <c r="W252" s="46"/>
      <c r="X252" s="46"/>
      <c r="Y252" s="46"/>
      <c r="Z252" s="46"/>
      <c r="AA252" s="46"/>
      <c r="AB252" s="46"/>
      <c r="AC252" s="46"/>
      <c r="AD252" s="46"/>
      <c r="AE252" s="46"/>
      <c r="AF252" s="46"/>
      <c r="AG252" s="46"/>
      <c r="AH252" s="46"/>
      <c r="AI252" s="46"/>
      <c r="AJ252" s="46"/>
      <c r="AK252" s="46"/>
      <c r="AL252" s="47"/>
      <c r="AM252" s="47"/>
      <c r="AN252" s="47"/>
      <c r="AO252" s="47"/>
      <c r="AP252" s="47"/>
      <c r="AQ252" s="48"/>
      <c r="AR252" s="49"/>
      <c r="AS252" s="49"/>
      <c r="AT252" s="49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</row>
    <row r="253" spans="1:66" ht="15.75" customHeight="1" x14ac:dyDescent="0.25">
      <c r="A253" s="43"/>
      <c r="B253" s="50"/>
      <c r="C253" s="51"/>
      <c r="D253" s="43"/>
      <c r="E253" s="43"/>
      <c r="F253" s="43"/>
      <c r="G253" s="44"/>
      <c r="H253" s="23"/>
      <c r="I253" s="43"/>
      <c r="J253" s="43"/>
      <c r="K253" s="45"/>
      <c r="L253" s="46"/>
      <c r="M253" s="46"/>
      <c r="N253" s="46"/>
      <c r="O253" s="46"/>
      <c r="P253" s="46"/>
      <c r="Q253" s="46"/>
      <c r="R253" s="46"/>
      <c r="S253" s="46"/>
      <c r="T253" s="46"/>
      <c r="U253" s="46"/>
      <c r="V253" s="46"/>
      <c r="W253" s="46"/>
      <c r="X253" s="46"/>
      <c r="Y253" s="46"/>
      <c r="Z253" s="46"/>
      <c r="AA253" s="46"/>
      <c r="AB253" s="46"/>
      <c r="AC253" s="46"/>
      <c r="AD253" s="46"/>
      <c r="AE253" s="46"/>
      <c r="AF253" s="46"/>
      <c r="AG253" s="46"/>
      <c r="AH253" s="46"/>
      <c r="AI253" s="46"/>
      <c r="AJ253" s="46"/>
      <c r="AK253" s="46"/>
      <c r="AL253" s="47"/>
      <c r="AM253" s="47"/>
      <c r="AN253" s="47"/>
      <c r="AO253" s="47"/>
      <c r="AP253" s="47"/>
      <c r="AQ253" s="48"/>
      <c r="AR253" s="49"/>
      <c r="AS253" s="49"/>
      <c r="AT253" s="49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</row>
    <row r="254" spans="1:66" ht="15.75" customHeight="1" x14ac:dyDescent="0.25">
      <c r="A254" s="43"/>
      <c r="B254" s="50"/>
      <c r="C254" s="51"/>
      <c r="D254" s="43"/>
      <c r="E254" s="43"/>
      <c r="F254" s="43"/>
      <c r="G254" s="44"/>
      <c r="H254" s="23"/>
      <c r="I254" s="43"/>
      <c r="J254" s="43"/>
      <c r="K254" s="45"/>
      <c r="L254" s="46"/>
      <c r="M254" s="46"/>
      <c r="N254" s="46"/>
      <c r="O254" s="46"/>
      <c r="P254" s="46"/>
      <c r="Q254" s="46"/>
      <c r="R254" s="46"/>
      <c r="S254" s="46"/>
      <c r="T254" s="46"/>
      <c r="U254" s="46"/>
      <c r="V254" s="46"/>
      <c r="W254" s="46"/>
      <c r="X254" s="46"/>
      <c r="Y254" s="46"/>
      <c r="Z254" s="46"/>
      <c r="AA254" s="46"/>
      <c r="AB254" s="46"/>
      <c r="AC254" s="46"/>
      <c r="AD254" s="46"/>
      <c r="AE254" s="46"/>
      <c r="AF254" s="46"/>
      <c r="AG254" s="46"/>
      <c r="AH254" s="46"/>
      <c r="AI254" s="46"/>
      <c r="AJ254" s="46"/>
      <c r="AK254" s="46"/>
      <c r="AL254" s="47"/>
      <c r="AM254" s="47"/>
      <c r="AN254" s="47"/>
      <c r="AO254" s="47"/>
      <c r="AP254" s="47"/>
      <c r="AQ254" s="48"/>
      <c r="AR254" s="49"/>
      <c r="AS254" s="49"/>
      <c r="AT254" s="49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</row>
    <row r="255" spans="1:66" ht="15.75" customHeight="1" x14ac:dyDescent="0.25">
      <c r="A255" s="43"/>
      <c r="B255" s="50"/>
      <c r="C255" s="51"/>
      <c r="D255" s="43"/>
      <c r="E255" s="43"/>
      <c r="F255" s="43"/>
      <c r="G255" s="44"/>
      <c r="H255" s="23"/>
      <c r="I255" s="43"/>
      <c r="J255" s="43"/>
      <c r="K255" s="45"/>
      <c r="L255" s="46"/>
      <c r="M255" s="46"/>
      <c r="N255" s="46"/>
      <c r="O255" s="46"/>
      <c r="P255" s="46"/>
      <c r="Q255" s="46"/>
      <c r="R255" s="46"/>
      <c r="S255" s="46"/>
      <c r="T255" s="46"/>
      <c r="U255" s="46"/>
      <c r="V255" s="46"/>
      <c r="W255" s="46"/>
      <c r="X255" s="46"/>
      <c r="Y255" s="46"/>
      <c r="Z255" s="46"/>
      <c r="AA255" s="46"/>
      <c r="AB255" s="46"/>
      <c r="AC255" s="46"/>
      <c r="AD255" s="46"/>
      <c r="AE255" s="46"/>
      <c r="AF255" s="46"/>
      <c r="AG255" s="46"/>
      <c r="AH255" s="46"/>
      <c r="AI255" s="46"/>
      <c r="AJ255" s="46"/>
      <c r="AK255" s="46"/>
      <c r="AL255" s="47"/>
      <c r="AM255" s="47"/>
      <c r="AN255" s="47"/>
      <c r="AO255" s="47"/>
      <c r="AP255" s="47"/>
      <c r="AQ255" s="48"/>
      <c r="AR255" s="49"/>
      <c r="AS255" s="49"/>
      <c r="AT255" s="49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</row>
    <row r="256" spans="1:66" ht="15.75" customHeight="1" x14ac:dyDescent="0.25">
      <c r="A256" s="43"/>
      <c r="B256" s="50"/>
      <c r="C256" s="51"/>
      <c r="D256" s="43"/>
      <c r="E256" s="43"/>
      <c r="F256" s="43"/>
      <c r="G256" s="44"/>
      <c r="H256" s="23"/>
      <c r="I256" s="43"/>
      <c r="J256" s="43"/>
      <c r="K256" s="45"/>
      <c r="L256" s="46"/>
      <c r="M256" s="46"/>
      <c r="N256" s="46"/>
      <c r="O256" s="46"/>
      <c r="P256" s="46"/>
      <c r="Q256" s="46"/>
      <c r="R256" s="46"/>
      <c r="S256" s="46"/>
      <c r="T256" s="46"/>
      <c r="U256" s="46"/>
      <c r="V256" s="46"/>
      <c r="W256" s="46"/>
      <c r="X256" s="46"/>
      <c r="Y256" s="46"/>
      <c r="Z256" s="46"/>
      <c r="AA256" s="46"/>
      <c r="AB256" s="46"/>
      <c r="AC256" s="46"/>
      <c r="AD256" s="46"/>
      <c r="AE256" s="46"/>
      <c r="AF256" s="46"/>
      <c r="AG256" s="46"/>
      <c r="AH256" s="46"/>
      <c r="AI256" s="46"/>
      <c r="AJ256" s="46"/>
      <c r="AK256" s="46"/>
      <c r="AL256" s="47"/>
      <c r="AM256" s="47"/>
      <c r="AN256" s="47"/>
      <c r="AO256" s="47"/>
      <c r="AP256" s="47"/>
      <c r="AQ256" s="48"/>
      <c r="AR256" s="49"/>
      <c r="AS256" s="49"/>
      <c r="AT256" s="49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</row>
    <row r="257" spans="1:66" ht="15.75" customHeight="1" x14ac:dyDescent="0.25">
      <c r="A257" s="43"/>
      <c r="B257" s="50"/>
      <c r="C257" s="51"/>
      <c r="D257" s="43"/>
      <c r="E257" s="43"/>
      <c r="F257" s="43"/>
      <c r="G257" s="44"/>
      <c r="H257" s="23"/>
      <c r="I257" s="43"/>
      <c r="J257" s="43"/>
      <c r="K257" s="45"/>
      <c r="L257" s="46"/>
      <c r="M257" s="46"/>
      <c r="N257" s="46"/>
      <c r="O257" s="46"/>
      <c r="P257" s="46"/>
      <c r="Q257" s="46"/>
      <c r="R257" s="46"/>
      <c r="S257" s="46"/>
      <c r="T257" s="46"/>
      <c r="U257" s="46"/>
      <c r="V257" s="46"/>
      <c r="W257" s="46"/>
      <c r="X257" s="46"/>
      <c r="Y257" s="46"/>
      <c r="Z257" s="46"/>
      <c r="AA257" s="46"/>
      <c r="AB257" s="46"/>
      <c r="AC257" s="46"/>
      <c r="AD257" s="46"/>
      <c r="AE257" s="46"/>
      <c r="AF257" s="46"/>
      <c r="AG257" s="46"/>
      <c r="AH257" s="46"/>
      <c r="AI257" s="46"/>
      <c r="AJ257" s="46"/>
      <c r="AK257" s="46"/>
      <c r="AL257" s="47"/>
      <c r="AM257" s="47"/>
      <c r="AN257" s="47"/>
      <c r="AO257" s="47"/>
      <c r="AP257" s="47"/>
      <c r="AQ257" s="48"/>
      <c r="AR257" s="49"/>
      <c r="AS257" s="49"/>
      <c r="AT257" s="49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</row>
    <row r="258" spans="1:66" ht="15.75" customHeight="1" x14ac:dyDescent="0.25">
      <c r="A258" s="43"/>
      <c r="B258" s="50"/>
      <c r="C258" s="51"/>
      <c r="D258" s="43"/>
      <c r="E258" s="43"/>
      <c r="F258" s="43"/>
      <c r="G258" s="44"/>
      <c r="H258" s="23"/>
      <c r="I258" s="43"/>
      <c r="J258" s="43"/>
      <c r="K258" s="45"/>
      <c r="L258" s="46"/>
      <c r="M258" s="46"/>
      <c r="N258" s="46"/>
      <c r="O258" s="46"/>
      <c r="P258" s="46"/>
      <c r="Q258" s="46"/>
      <c r="R258" s="46"/>
      <c r="S258" s="46"/>
      <c r="T258" s="46"/>
      <c r="U258" s="46"/>
      <c r="V258" s="46"/>
      <c r="W258" s="46"/>
      <c r="X258" s="46"/>
      <c r="Y258" s="46"/>
      <c r="Z258" s="46"/>
      <c r="AA258" s="46"/>
      <c r="AB258" s="46"/>
      <c r="AC258" s="46"/>
      <c r="AD258" s="46"/>
      <c r="AE258" s="46"/>
      <c r="AF258" s="46"/>
      <c r="AG258" s="46"/>
      <c r="AH258" s="46"/>
      <c r="AI258" s="46"/>
      <c r="AJ258" s="46"/>
      <c r="AK258" s="46"/>
      <c r="AL258" s="47"/>
      <c r="AM258" s="47"/>
      <c r="AN258" s="47"/>
      <c r="AO258" s="47"/>
      <c r="AP258" s="47"/>
      <c r="AQ258" s="48"/>
      <c r="AR258" s="49"/>
      <c r="AS258" s="49"/>
      <c r="AT258" s="49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</row>
    <row r="259" spans="1:66" ht="15.75" customHeight="1" x14ac:dyDescent="0.25">
      <c r="A259" s="43"/>
      <c r="B259" s="50"/>
      <c r="C259" s="51"/>
      <c r="D259" s="43"/>
      <c r="E259" s="43"/>
      <c r="F259" s="43"/>
      <c r="G259" s="44"/>
      <c r="H259" s="23"/>
      <c r="I259" s="43"/>
      <c r="J259" s="43"/>
      <c r="K259" s="45"/>
      <c r="L259" s="46"/>
      <c r="M259" s="46"/>
      <c r="N259" s="46"/>
      <c r="O259" s="46"/>
      <c r="P259" s="46"/>
      <c r="Q259" s="46"/>
      <c r="R259" s="46"/>
      <c r="S259" s="46"/>
      <c r="T259" s="46"/>
      <c r="U259" s="46"/>
      <c r="V259" s="46"/>
      <c r="W259" s="46"/>
      <c r="X259" s="46"/>
      <c r="Y259" s="46"/>
      <c r="Z259" s="46"/>
      <c r="AA259" s="46"/>
      <c r="AB259" s="46"/>
      <c r="AC259" s="46"/>
      <c r="AD259" s="46"/>
      <c r="AE259" s="46"/>
      <c r="AF259" s="46"/>
      <c r="AG259" s="46"/>
      <c r="AH259" s="46"/>
      <c r="AI259" s="46"/>
      <c r="AJ259" s="46"/>
      <c r="AK259" s="46"/>
      <c r="AL259" s="47"/>
      <c r="AM259" s="47"/>
      <c r="AN259" s="47"/>
      <c r="AO259" s="47"/>
      <c r="AP259" s="47"/>
      <c r="AQ259" s="48"/>
      <c r="AR259" s="49"/>
      <c r="AS259" s="49"/>
      <c r="AT259" s="49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</row>
    <row r="260" spans="1:66" ht="15.75" customHeight="1" x14ac:dyDescent="0.25">
      <c r="A260" s="43"/>
      <c r="B260" s="50"/>
      <c r="C260" s="51"/>
      <c r="D260" s="43"/>
      <c r="E260" s="43"/>
      <c r="F260" s="43"/>
      <c r="G260" s="44"/>
      <c r="H260" s="23"/>
      <c r="I260" s="43"/>
      <c r="J260" s="43"/>
      <c r="K260" s="45"/>
      <c r="L260" s="46"/>
      <c r="M260" s="46"/>
      <c r="N260" s="46"/>
      <c r="O260" s="46"/>
      <c r="P260" s="46"/>
      <c r="Q260" s="46"/>
      <c r="R260" s="46"/>
      <c r="S260" s="46"/>
      <c r="T260" s="46"/>
      <c r="U260" s="46"/>
      <c r="V260" s="46"/>
      <c r="W260" s="46"/>
      <c r="X260" s="46"/>
      <c r="Y260" s="46"/>
      <c r="Z260" s="46"/>
      <c r="AA260" s="46"/>
      <c r="AB260" s="46"/>
      <c r="AC260" s="46"/>
      <c r="AD260" s="46"/>
      <c r="AE260" s="46"/>
      <c r="AF260" s="46"/>
      <c r="AG260" s="46"/>
      <c r="AH260" s="46"/>
      <c r="AI260" s="46"/>
      <c r="AJ260" s="46"/>
      <c r="AK260" s="46"/>
      <c r="AL260" s="47"/>
      <c r="AM260" s="47"/>
      <c r="AN260" s="47"/>
      <c r="AO260" s="47"/>
      <c r="AP260" s="47"/>
      <c r="AQ260" s="48"/>
      <c r="AR260" s="49"/>
      <c r="AS260" s="49"/>
      <c r="AT260" s="49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</row>
    <row r="261" spans="1:66" ht="15.75" customHeight="1" x14ac:dyDescent="0.25">
      <c r="A261" s="43"/>
      <c r="B261" s="50"/>
      <c r="C261" s="51"/>
      <c r="D261" s="43"/>
      <c r="E261" s="43"/>
      <c r="F261" s="43"/>
      <c r="G261" s="44"/>
      <c r="H261" s="23"/>
      <c r="I261" s="43"/>
      <c r="J261" s="43"/>
      <c r="K261" s="45"/>
      <c r="L261" s="46"/>
      <c r="M261" s="46"/>
      <c r="N261" s="46"/>
      <c r="O261" s="46"/>
      <c r="P261" s="46"/>
      <c r="Q261" s="46"/>
      <c r="R261" s="46"/>
      <c r="S261" s="46"/>
      <c r="T261" s="46"/>
      <c r="U261" s="46"/>
      <c r="V261" s="46"/>
      <c r="W261" s="46"/>
      <c r="X261" s="46"/>
      <c r="Y261" s="46"/>
      <c r="Z261" s="46"/>
      <c r="AA261" s="46"/>
      <c r="AB261" s="46"/>
      <c r="AC261" s="46"/>
      <c r="AD261" s="46"/>
      <c r="AE261" s="46"/>
      <c r="AF261" s="46"/>
      <c r="AG261" s="46"/>
      <c r="AH261" s="46"/>
      <c r="AI261" s="46"/>
      <c r="AJ261" s="46"/>
      <c r="AK261" s="46"/>
      <c r="AL261" s="47"/>
      <c r="AM261" s="47"/>
      <c r="AN261" s="47"/>
      <c r="AO261" s="47"/>
      <c r="AP261" s="47"/>
      <c r="AQ261" s="48"/>
      <c r="AR261" s="49"/>
      <c r="AS261" s="49"/>
      <c r="AT261" s="49"/>
      <c r="AU261" s="1"/>
      <c r="AV261" s="1"/>
      <c r="AW261" s="1"/>
      <c r="AX261" s="1"/>
      <c r="AY261" s="1"/>
      <c r="AZ261" s="1"/>
      <c r="BA261" s="1"/>
      <c r="BB261" s="1"/>
      <c r="BC261" s="1"/>
      <c r="BD261" s="1"/>
      <c r="BE261" s="1"/>
      <c r="BF261" s="1"/>
      <c r="BG261" s="1"/>
      <c r="BH261" s="1"/>
      <c r="BI261" s="1"/>
      <c r="BJ261" s="1"/>
      <c r="BK261" s="1"/>
      <c r="BL261" s="1"/>
      <c r="BM261" s="1"/>
      <c r="BN261" s="1"/>
    </row>
    <row r="262" spans="1:66" ht="15.75" customHeight="1" x14ac:dyDescent="0.25">
      <c r="A262" s="43"/>
      <c r="B262" s="50"/>
      <c r="C262" s="51"/>
      <c r="D262" s="43"/>
      <c r="E262" s="43"/>
      <c r="F262" s="43"/>
      <c r="G262" s="44"/>
      <c r="H262" s="23"/>
      <c r="I262" s="43"/>
      <c r="J262" s="43"/>
      <c r="K262" s="45"/>
      <c r="L262" s="46"/>
      <c r="M262" s="46"/>
      <c r="N262" s="46"/>
      <c r="O262" s="46"/>
      <c r="P262" s="46"/>
      <c r="Q262" s="46"/>
      <c r="R262" s="46"/>
      <c r="S262" s="46"/>
      <c r="T262" s="46"/>
      <c r="U262" s="46"/>
      <c r="V262" s="46"/>
      <c r="W262" s="46"/>
      <c r="X262" s="46"/>
      <c r="Y262" s="46"/>
      <c r="Z262" s="46"/>
      <c r="AA262" s="46"/>
      <c r="AB262" s="46"/>
      <c r="AC262" s="46"/>
      <c r="AD262" s="46"/>
      <c r="AE262" s="46"/>
      <c r="AF262" s="46"/>
      <c r="AG262" s="46"/>
      <c r="AH262" s="46"/>
      <c r="AI262" s="46"/>
      <c r="AJ262" s="46"/>
      <c r="AK262" s="46"/>
      <c r="AL262" s="47"/>
      <c r="AM262" s="47"/>
      <c r="AN262" s="47"/>
      <c r="AO262" s="47"/>
      <c r="AP262" s="47"/>
      <c r="AQ262" s="48"/>
      <c r="AR262" s="49"/>
      <c r="AS262" s="49"/>
      <c r="AT262" s="49"/>
      <c r="AU262" s="1"/>
      <c r="AV262" s="1"/>
      <c r="AW262" s="1"/>
      <c r="AX262" s="1"/>
      <c r="AY262" s="1"/>
      <c r="AZ262" s="1"/>
      <c r="BA262" s="1"/>
      <c r="BB262" s="1"/>
      <c r="BC262" s="1"/>
      <c r="BD262" s="1"/>
      <c r="BE262" s="1"/>
      <c r="BF262" s="1"/>
      <c r="BG262" s="1"/>
      <c r="BH262" s="1"/>
      <c r="BI262" s="1"/>
      <c r="BJ262" s="1"/>
      <c r="BK262" s="1"/>
      <c r="BL262" s="1"/>
      <c r="BM262" s="1"/>
      <c r="BN262" s="1"/>
    </row>
    <row r="263" spans="1:66" ht="15.75" customHeight="1" x14ac:dyDescent="0.25">
      <c r="A263" s="43"/>
      <c r="B263" s="50"/>
      <c r="C263" s="51"/>
      <c r="D263" s="43"/>
      <c r="E263" s="43"/>
      <c r="F263" s="43"/>
      <c r="G263" s="44"/>
      <c r="H263" s="23"/>
      <c r="I263" s="43"/>
      <c r="J263" s="43"/>
      <c r="K263" s="45"/>
      <c r="L263" s="46"/>
      <c r="M263" s="46"/>
      <c r="N263" s="46"/>
      <c r="O263" s="46"/>
      <c r="P263" s="46"/>
      <c r="Q263" s="46"/>
      <c r="R263" s="46"/>
      <c r="S263" s="46"/>
      <c r="T263" s="46"/>
      <c r="U263" s="46"/>
      <c r="V263" s="46"/>
      <c r="W263" s="46"/>
      <c r="X263" s="46"/>
      <c r="Y263" s="46"/>
      <c r="Z263" s="46"/>
      <c r="AA263" s="46"/>
      <c r="AB263" s="46"/>
      <c r="AC263" s="46"/>
      <c r="AD263" s="46"/>
      <c r="AE263" s="46"/>
      <c r="AF263" s="46"/>
      <c r="AG263" s="46"/>
      <c r="AH263" s="46"/>
      <c r="AI263" s="46"/>
      <c r="AJ263" s="46"/>
      <c r="AK263" s="46"/>
      <c r="AL263" s="47"/>
      <c r="AM263" s="47"/>
      <c r="AN263" s="47"/>
      <c r="AO263" s="47"/>
      <c r="AP263" s="47"/>
      <c r="AQ263" s="48"/>
      <c r="AR263" s="49"/>
      <c r="AS263" s="49"/>
      <c r="AT263" s="49"/>
      <c r="AU263" s="1"/>
      <c r="AV263" s="1"/>
      <c r="AW263" s="1"/>
      <c r="AX263" s="1"/>
      <c r="AY263" s="1"/>
      <c r="AZ263" s="1"/>
      <c r="BA263" s="1"/>
      <c r="BB263" s="1"/>
      <c r="BC263" s="1"/>
      <c r="BD263" s="1"/>
      <c r="BE263" s="1"/>
      <c r="BF263" s="1"/>
      <c r="BG263" s="1"/>
      <c r="BH263" s="1"/>
      <c r="BI263" s="1"/>
      <c r="BJ263" s="1"/>
      <c r="BK263" s="1"/>
      <c r="BL263" s="1"/>
      <c r="BM263" s="1"/>
      <c r="BN263" s="1"/>
    </row>
    <row r="264" spans="1:66" ht="15.75" customHeight="1" x14ac:dyDescent="0.25">
      <c r="A264" s="43"/>
      <c r="B264" s="50"/>
      <c r="C264" s="51"/>
      <c r="D264" s="43"/>
      <c r="E264" s="43"/>
      <c r="F264" s="43"/>
      <c r="G264" s="44"/>
      <c r="H264" s="23"/>
      <c r="I264" s="43"/>
      <c r="J264" s="43"/>
      <c r="K264" s="45"/>
      <c r="L264" s="46"/>
      <c r="M264" s="46"/>
      <c r="N264" s="46"/>
      <c r="O264" s="46"/>
      <c r="P264" s="46"/>
      <c r="Q264" s="46"/>
      <c r="R264" s="46"/>
      <c r="S264" s="46"/>
      <c r="T264" s="46"/>
      <c r="U264" s="46"/>
      <c r="V264" s="46"/>
      <c r="W264" s="46"/>
      <c r="X264" s="46"/>
      <c r="Y264" s="46"/>
      <c r="Z264" s="46"/>
      <c r="AA264" s="46"/>
      <c r="AB264" s="46"/>
      <c r="AC264" s="46"/>
      <c r="AD264" s="46"/>
      <c r="AE264" s="46"/>
      <c r="AF264" s="46"/>
      <c r="AG264" s="46"/>
      <c r="AH264" s="46"/>
      <c r="AI264" s="46"/>
      <c r="AJ264" s="46"/>
      <c r="AK264" s="46"/>
      <c r="AL264" s="47"/>
      <c r="AM264" s="47"/>
      <c r="AN264" s="47"/>
      <c r="AO264" s="47"/>
      <c r="AP264" s="47"/>
      <c r="AQ264" s="48"/>
      <c r="AR264" s="49"/>
      <c r="AS264" s="49"/>
      <c r="AT264" s="49"/>
      <c r="AU264" s="1"/>
      <c r="AV264" s="1"/>
      <c r="AW264" s="1"/>
      <c r="AX264" s="1"/>
      <c r="AY264" s="1"/>
      <c r="AZ264" s="1"/>
      <c r="BA264" s="1"/>
      <c r="BB264" s="1"/>
      <c r="BC264" s="1"/>
      <c r="BD264" s="1"/>
      <c r="BE264" s="1"/>
      <c r="BF264" s="1"/>
      <c r="BG264" s="1"/>
      <c r="BH264" s="1"/>
      <c r="BI264" s="1"/>
      <c r="BJ264" s="1"/>
      <c r="BK264" s="1"/>
      <c r="BL264" s="1"/>
      <c r="BM264" s="1"/>
      <c r="BN264" s="1"/>
    </row>
    <row r="265" spans="1:66" ht="15.75" customHeight="1" x14ac:dyDescent="0.25">
      <c r="A265" s="43"/>
      <c r="B265" s="50"/>
      <c r="C265" s="51"/>
      <c r="D265" s="43"/>
      <c r="E265" s="43"/>
      <c r="F265" s="43"/>
      <c r="G265" s="44"/>
      <c r="H265" s="23"/>
      <c r="I265" s="43"/>
      <c r="J265" s="43"/>
      <c r="K265" s="45"/>
      <c r="L265" s="46"/>
      <c r="M265" s="46"/>
      <c r="N265" s="46"/>
      <c r="O265" s="46"/>
      <c r="P265" s="46"/>
      <c r="Q265" s="46"/>
      <c r="R265" s="46"/>
      <c r="S265" s="46"/>
      <c r="T265" s="46"/>
      <c r="U265" s="46"/>
      <c r="V265" s="46"/>
      <c r="W265" s="46"/>
      <c r="X265" s="46"/>
      <c r="Y265" s="46"/>
      <c r="Z265" s="46"/>
      <c r="AA265" s="46"/>
      <c r="AB265" s="46"/>
      <c r="AC265" s="46"/>
      <c r="AD265" s="46"/>
      <c r="AE265" s="46"/>
      <c r="AF265" s="46"/>
      <c r="AG265" s="46"/>
      <c r="AH265" s="46"/>
      <c r="AI265" s="46"/>
      <c r="AJ265" s="46"/>
      <c r="AK265" s="46"/>
      <c r="AL265" s="47"/>
      <c r="AM265" s="47"/>
      <c r="AN265" s="47"/>
      <c r="AO265" s="47"/>
      <c r="AP265" s="47"/>
      <c r="AQ265" s="48"/>
      <c r="AR265" s="49"/>
      <c r="AS265" s="49"/>
      <c r="AT265" s="49"/>
      <c r="AU265" s="1"/>
      <c r="AV265" s="1"/>
      <c r="AW265" s="1"/>
      <c r="AX265" s="1"/>
      <c r="AY265" s="1"/>
      <c r="AZ265" s="1"/>
      <c r="BA265" s="1"/>
      <c r="BB265" s="1"/>
      <c r="BC265" s="1"/>
      <c r="BD265" s="1"/>
      <c r="BE265" s="1"/>
      <c r="BF265" s="1"/>
      <c r="BG265" s="1"/>
      <c r="BH265" s="1"/>
      <c r="BI265" s="1"/>
      <c r="BJ265" s="1"/>
      <c r="BK265" s="1"/>
      <c r="BL265" s="1"/>
      <c r="BM265" s="1"/>
      <c r="BN265" s="1"/>
    </row>
    <row r="266" spans="1:66" ht="15.75" customHeight="1" x14ac:dyDescent="0.25">
      <c r="A266" s="43"/>
      <c r="B266" s="50"/>
      <c r="C266" s="51"/>
      <c r="D266" s="43"/>
      <c r="E266" s="43"/>
      <c r="F266" s="43"/>
      <c r="G266" s="44"/>
      <c r="H266" s="23"/>
      <c r="I266" s="43"/>
      <c r="J266" s="43"/>
      <c r="K266" s="45"/>
      <c r="L266" s="46"/>
      <c r="M266" s="46"/>
      <c r="N266" s="46"/>
      <c r="O266" s="46"/>
      <c r="P266" s="46"/>
      <c r="Q266" s="46"/>
      <c r="R266" s="46"/>
      <c r="S266" s="46"/>
      <c r="T266" s="46"/>
      <c r="U266" s="46"/>
      <c r="V266" s="46"/>
      <c r="W266" s="46"/>
      <c r="X266" s="46"/>
      <c r="Y266" s="46"/>
      <c r="Z266" s="46"/>
      <c r="AA266" s="46"/>
      <c r="AB266" s="46"/>
      <c r="AC266" s="46"/>
      <c r="AD266" s="46"/>
      <c r="AE266" s="46"/>
      <c r="AF266" s="46"/>
      <c r="AG266" s="46"/>
      <c r="AH266" s="46"/>
      <c r="AI266" s="46"/>
      <c r="AJ266" s="46"/>
      <c r="AK266" s="46"/>
      <c r="AL266" s="47"/>
      <c r="AM266" s="47"/>
      <c r="AN266" s="47"/>
      <c r="AO266" s="47"/>
      <c r="AP266" s="47"/>
      <c r="AQ266" s="48"/>
      <c r="AR266" s="49"/>
      <c r="AS266" s="49"/>
      <c r="AT266" s="49"/>
      <c r="AU266" s="1"/>
      <c r="AV266" s="1"/>
      <c r="AW266" s="1"/>
      <c r="AX266" s="1"/>
      <c r="AY266" s="1"/>
      <c r="AZ266" s="1"/>
      <c r="BA266" s="1"/>
      <c r="BB266" s="1"/>
      <c r="BC266" s="1"/>
      <c r="BD266" s="1"/>
      <c r="BE266" s="1"/>
      <c r="BF266" s="1"/>
      <c r="BG266" s="1"/>
      <c r="BH266" s="1"/>
      <c r="BI266" s="1"/>
      <c r="BJ266" s="1"/>
      <c r="BK266" s="1"/>
      <c r="BL266" s="1"/>
      <c r="BM266" s="1"/>
      <c r="BN266" s="1"/>
    </row>
    <row r="267" spans="1:66" ht="15.75" customHeight="1" x14ac:dyDescent="0.25">
      <c r="A267" s="43"/>
      <c r="B267" s="50"/>
      <c r="C267" s="51"/>
      <c r="D267" s="43"/>
      <c r="E267" s="43"/>
      <c r="F267" s="43"/>
      <c r="G267" s="44"/>
      <c r="H267" s="23"/>
      <c r="I267" s="43"/>
      <c r="J267" s="43"/>
      <c r="K267" s="45"/>
      <c r="L267" s="46"/>
      <c r="M267" s="46"/>
      <c r="N267" s="46"/>
      <c r="O267" s="46"/>
      <c r="P267" s="46"/>
      <c r="Q267" s="46"/>
      <c r="R267" s="46"/>
      <c r="S267" s="46"/>
      <c r="T267" s="46"/>
      <c r="U267" s="46"/>
      <c r="V267" s="46"/>
      <c r="W267" s="46"/>
      <c r="X267" s="46"/>
      <c r="Y267" s="46"/>
      <c r="Z267" s="46"/>
      <c r="AA267" s="46"/>
      <c r="AB267" s="46"/>
      <c r="AC267" s="46"/>
      <c r="AD267" s="46"/>
      <c r="AE267" s="46"/>
      <c r="AF267" s="46"/>
      <c r="AG267" s="46"/>
      <c r="AH267" s="46"/>
      <c r="AI267" s="46"/>
      <c r="AJ267" s="46"/>
      <c r="AK267" s="46"/>
      <c r="AL267" s="47"/>
      <c r="AM267" s="47"/>
      <c r="AN267" s="47"/>
      <c r="AO267" s="47"/>
      <c r="AP267" s="47"/>
      <c r="AQ267" s="48"/>
      <c r="AR267" s="49"/>
      <c r="AS267" s="49"/>
      <c r="AT267" s="49"/>
      <c r="AU267" s="1"/>
      <c r="AV267" s="1"/>
      <c r="AW267" s="1"/>
      <c r="AX267" s="1"/>
      <c r="AY267" s="1"/>
      <c r="AZ267" s="1"/>
      <c r="BA267" s="1"/>
      <c r="BB267" s="1"/>
      <c r="BC267" s="1"/>
      <c r="BD267" s="1"/>
      <c r="BE267" s="1"/>
      <c r="BF267" s="1"/>
      <c r="BG267" s="1"/>
      <c r="BH267" s="1"/>
      <c r="BI267" s="1"/>
      <c r="BJ267" s="1"/>
      <c r="BK267" s="1"/>
      <c r="BL267" s="1"/>
      <c r="BM267" s="1"/>
      <c r="BN267" s="1"/>
    </row>
    <row r="268" spans="1:66" ht="15.75" customHeight="1" x14ac:dyDescent="0.25">
      <c r="A268" s="43"/>
      <c r="B268" s="50"/>
      <c r="C268" s="51"/>
      <c r="D268" s="43"/>
      <c r="E268" s="43"/>
      <c r="F268" s="43"/>
      <c r="G268" s="44"/>
      <c r="H268" s="23"/>
      <c r="I268" s="43"/>
      <c r="J268" s="43"/>
      <c r="K268" s="45"/>
      <c r="L268" s="46"/>
      <c r="M268" s="46"/>
      <c r="N268" s="46"/>
      <c r="O268" s="46"/>
      <c r="P268" s="46"/>
      <c r="Q268" s="46"/>
      <c r="R268" s="46"/>
      <c r="S268" s="46"/>
      <c r="T268" s="46"/>
      <c r="U268" s="46"/>
      <c r="V268" s="46"/>
      <c r="W268" s="46"/>
      <c r="X268" s="46"/>
      <c r="Y268" s="46"/>
      <c r="Z268" s="46"/>
      <c r="AA268" s="46"/>
      <c r="AB268" s="46"/>
      <c r="AC268" s="46"/>
      <c r="AD268" s="46"/>
      <c r="AE268" s="46"/>
      <c r="AF268" s="46"/>
      <c r="AG268" s="46"/>
      <c r="AH268" s="46"/>
      <c r="AI268" s="46"/>
      <c r="AJ268" s="46"/>
      <c r="AK268" s="46"/>
      <c r="AL268" s="47"/>
      <c r="AM268" s="47"/>
      <c r="AN268" s="47"/>
      <c r="AO268" s="47"/>
      <c r="AP268" s="47"/>
      <c r="AQ268" s="48"/>
      <c r="AR268" s="49"/>
      <c r="AS268" s="49"/>
      <c r="AT268" s="49"/>
      <c r="AU268" s="1"/>
      <c r="AV268" s="1"/>
      <c r="AW268" s="1"/>
      <c r="AX268" s="1"/>
      <c r="AY268" s="1"/>
      <c r="AZ268" s="1"/>
      <c r="BA268" s="1"/>
      <c r="BB268" s="1"/>
      <c r="BC268" s="1"/>
      <c r="BD268" s="1"/>
      <c r="BE268" s="1"/>
      <c r="BF268" s="1"/>
      <c r="BG268" s="1"/>
      <c r="BH268" s="1"/>
      <c r="BI268" s="1"/>
      <c r="BJ268" s="1"/>
      <c r="BK268" s="1"/>
      <c r="BL268" s="1"/>
      <c r="BM268" s="1"/>
      <c r="BN268" s="1"/>
    </row>
    <row r="269" spans="1:66" ht="15.75" customHeight="1" x14ac:dyDescent="0.25">
      <c r="A269" s="43"/>
      <c r="B269" s="50"/>
      <c r="C269" s="51"/>
      <c r="D269" s="43"/>
      <c r="E269" s="43"/>
      <c r="F269" s="43"/>
      <c r="G269" s="44"/>
      <c r="H269" s="23"/>
      <c r="I269" s="43"/>
      <c r="J269" s="43"/>
      <c r="K269" s="45"/>
      <c r="L269" s="46"/>
      <c r="M269" s="46"/>
      <c r="N269" s="46"/>
      <c r="O269" s="46"/>
      <c r="P269" s="46"/>
      <c r="Q269" s="46"/>
      <c r="R269" s="46"/>
      <c r="S269" s="46"/>
      <c r="T269" s="46"/>
      <c r="U269" s="46"/>
      <c r="V269" s="46"/>
      <c r="W269" s="46"/>
      <c r="X269" s="46"/>
      <c r="Y269" s="46"/>
      <c r="Z269" s="46"/>
      <c r="AA269" s="46"/>
      <c r="AB269" s="46"/>
      <c r="AC269" s="46"/>
      <c r="AD269" s="46"/>
      <c r="AE269" s="46"/>
      <c r="AF269" s="46"/>
      <c r="AG269" s="46"/>
      <c r="AH269" s="46"/>
      <c r="AI269" s="46"/>
      <c r="AJ269" s="46"/>
      <c r="AK269" s="46"/>
      <c r="AL269" s="47"/>
      <c r="AM269" s="47"/>
      <c r="AN269" s="47"/>
      <c r="AO269" s="47"/>
      <c r="AP269" s="47"/>
      <c r="AQ269" s="48"/>
      <c r="AR269" s="49"/>
      <c r="AS269" s="49"/>
      <c r="AT269" s="49"/>
      <c r="AU269" s="1"/>
      <c r="AV269" s="1"/>
      <c r="AW269" s="1"/>
      <c r="AX269" s="1"/>
      <c r="AY269" s="1"/>
      <c r="AZ269" s="1"/>
      <c r="BA269" s="1"/>
      <c r="BB269" s="1"/>
      <c r="BC269" s="1"/>
      <c r="BD269" s="1"/>
      <c r="BE269" s="1"/>
      <c r="BF269" s="1"/>
      <c r="BG269" s="1"/>
      <c r="BH269" s="1"/>
      <c r="BI269" s="1"/>
      <c r="BJ269" s="1"/>
      <c r="BK269" s="1"/>
      <c r="BL269" s="1"/>
      <c r="BM269" s="1"/>
      <c r="BN269" s="1"/>
    </row>
    <row r="270" spans="1:66" ht="15.75" customHeight="1" x14ac:dyDescent="0.25">
      <c r="A270" s="43"/>
      <c r="B270" s="50"/>
      <c r="C270" s="51"/>
      <c r="D270" s="43"/>
      <c r="E270" s="43"/>
      <c r="F270" s="43"/>
      <c r="G270" s="44"/>
      <c r="H270" s="23"/>
      <c r="I270" s="43"/>
      <c r="J270" s="43"/>
      <c r="K270" s="45"/>
      <c r="L270" s="46"/>
      <c r="M270" s="46"/>
      <c r="N270" s="46"/>
      <c r="O270" s="46"/>
      <c r="P270" s="46"/>
      <c r="Q270" s="46"/>
      <c r="R270" s="46"/>
      <c r="S270" s="46"/>
      <c r="T270" s="46"/>
      <c r="U270" s="46"/>
      <c r="V270" s="46"/>
      <c r="W270" s="46"/>
      <c r="X270" s="46"/>
      <c r="Y270" s="46"/>
      <c r="Z270" s="46"/>
      <c r="AA270" s="46"/>
      <c r="AB270" s="46"/>
      <c r="AC270" s="46"/>
      <c r="AD270" s="46"/>
      <c r="AE270" s="46"/>
      <c r="AF270" s="46"/>
      <c r="AG270" s="46"/>
      <c r="AH270" s="46"/>
      <c r="AI270" s="46"/>
      <c r="AJ270" s="46"/>
      <c r="AK270" s="46"/>
      <c r="AL270" s="47"/>
      <c r="AM270" s="47"/>
      <c r="AN270" s="47"/>
      <c r="AO270" s="47"/>
      <c r="AP270" s="47"/>
      <c r="AQ270" s="48"/>
      <c r="AR270" s="49"/>
      <c r="AS270" s="49"/>
      <c r="AT270" s="49"/>
      <c r="AU270" s="1"/>
      <c r="AV270" s="1"/>
      <c r="AW270" s="1"/>
      <c r="AX270" s="1"/>
      <c r="AY270" s="1"/>
      <c r="AZ270" s="1"/>
      <c r="BA270" s="1"/>
      <c r="BB270" s="1"/>
      <c r="BC270" s="1"/>
      <c r="BD270" s="1"/>
      <c r="BE270" s="1"/>
      <c r="BF270" s="1"/>
      <c r="BG270" s="1"/>
      <c r="BH270" s="1"/>
      <c r="BI270" s="1"/>
      <c r="BJ270" s="1"/>
      <c r="BK270" s="1"/>
      <c r="BL270" s="1"/>
      <c r="BM270" s="1"/>
      <c r="BN270" s="1"/>
    </row>
    <row r="271" spans="1:66" ht="15.75" customHeight="1" x14ac:dyDescent="0.25">
      <c r="A271" s="43"/>
      <c r="B271" s="50"/>
      <c r="C271" s="51"/>
      <c r="D271" s="43"/>
      <c r="E271" s="43"/>
      <c r="F271" s="43"/>
      <c r="G271" s="44"/>
      <c r="H271" s="23"/>
      <c r="I271" s="43"/>
      <c r="J271" s="43"/>
      <c r="K271" s="45"/>
      <c r="L271" s="46"/>
      <c r="M271" s="46"/>
      <c r="N271" s="46"/>
      <c r="O271" s="46"/>
      <c r="P271" s="46"/>
      <c r="Q271" s="46"/>
      <c r="R271" s="46"/>
      <c r="S271" s="46"/>
      <c r="T271" s="46"/>
      <c r="U271" s="46"/>
      <c r="V271" s="46"/>
      <c r="W271" s="46"/>
      <c r="X271" s="46"/>
      <c r="Y271" s="46"/>
      <c r="Z271" s="46"/>
      <c r="AA271" s="46"/>
      <c r="AB271" s="46"/>
      <c r="AC271" s="46"/>
      <c r="AD271" s="46"/>
      <c r="AE271" s="46"/>
      <c r="AF271" s="46"/>
      <c r="AG271" s="46"/>
      <c r="AH271" s="46"/>
      <c r="AI271" s="46"/>
      <c r="AJ271" s="46"/>
      <c r="AK271" s="46"/>
      <c r="AL271" s="47"/>
      <c r="AM271" s="47"/>
      <c r="AN271" s="47"/>
      <c r="AO271" s="47"/>
      <c r="AP271" s="47"/>
      <c r="AQ271" s="48"/>
      <c r="AR271" s="49"/>
      <c r="AS271" s="49"/>
      <c r="AT271" s="49"/>
      <c r="AU271" s="1"/>
      <c r="AV271" s="1"/>
      <c r="AW271" s="1"/>
      <c r="AX271" s="1"/>
      <c r="AY271" s="1"/>
      <c r="AZ271" s="1"/>
      <c r="BA271" s="1"/>
      <c r="BB271" s="1"/>
      <c r="BC271" s="1"/>
      <c r="BD271" s="1"/>
      <c r="BE271" s="1"/>
      <c r="BF271" s="1"/>
      <c r="BG271" s="1"/>
      <c r="BH271" s="1"/>
      <c r="BI271" s="1"/>
      <c r="BJ271" s="1"/>
      <c r="BK271" s="1"/>
      <c r="BL271" s="1"/>
      <c r="BM271" s="1"/>
      <c r="BN271" s="1"/>
    </row>
    <row r="272" spans="1:66" ht="15.75" customHeight="1" x14ac:dyDescent="0.25">
      <c r="A272" s="43"/>
      <c r="B272" s="50"/>
      <c r="C272" s="51"/>
      <c r="D272" s="43"/>
      <c r="E272" s="43"/>
      <c r="F272" s="43"/>
      <c r="G272" s="44"/>
      <c r="H272" s="23"/>
      <c r="I272" s="43"/>
      <c r="J272" s="43"/>
      <c r="K272" s="45"/>
      <c r="L272" s="46"/>
      <c r="M272" s="46"/>
      <c r="N272" s="46"/>
      <c r="O272" s="46"/>
      <c r="P272" s="46"/>
      <c r="Q272" s="46"/>
      <c r="R272" s="46"/>
      <c r="S272" s="46"/>
      <c r="T272" s="46"/>
      <c r="U272" s="46"/>
      <c r="V272" s="46"/>
      <c r="W272" s="46"/>
      <c r="X272" s="46"/>
      <c r="Y272" s="46"/>
      <c r="Z272" s="46"/>
      <c r="AA272" s="46"/>
      <c r="AB272" s="46"/>
      <c r="AC272" s="46"/>
      <c r="AD272" s="46"/>
      <c r="AE272" s="46"/>
      <c r="AF272" s="46"/>
      <c r="AG272" s="46"/>
      <c r="AH272" s="46"/>
      <c r="AI272" s="46"/>
      <c r="AJ272" s="46"/>
      <c r="AK272" s="46"/>
      <c r="AL272" s="47"/>
      <c r="AM272" s="47"/>
      <c r="AN272" s="47"/>
      <c r="AO272" s="47"/>
      <c r="AP272" s="47"/>
      <c r="AQ272" s="48"/>
      <c r="AR272" s="49"/>
      <c r="AS272" s="49"/>
      <c r="AT272" s="49"/>
      <c r="AU272" s="1"/>
      <c r="AV272" s="1"/>
      <c r="AW272" s="1"/>
      <c r="AX272" s="1"/>
      <c r="AY272" s="1"/>
      <c r="AZ272" s="1"/>
      <c r="BA272" s="1"/>
      <c r="BB272" s="1"/>
      <c r="BC272" s="1"/>
      <c r="BD272" s="1"/>
      <c r="BE272" s="1"/>
      <c r="BF272" s="1"/>
      <c r="BG272" s="1"/>
      <c r="BH272" s="1"/>
      <c r="BI272" s="1"/>
      <c r="BJ272" s="1"/>
      <c r="BK272" s="1"/>
      <c r="BL272" s="1"/>
      <c r="BM272" s="1"/>
      <c r="BN272" s="1"/>
    </row>
    <row r="273" spans="1:66" ht="15.75" customHeight="1" x14ac:dyDescent="0.25">
      <c r="A273" s="43"/>
      <c r="B273" s="50"/>
      <c r="C273" s="51"/>
      <c r="D273" s="43"/>
      <c r="E273" s="43"/>
      <c r="F273" s="43"/>
      <c r="G273" s="44"/>
      <c r="H273" s="23"/>
      <c r="I273" s="43"/>
      <c r="J273" s="43"/>
      <c r="K273" s="45"/>
      <c r="L273" s="46"/>
      <c r="M273" s="46"/>
      <c r="N273" s="46"/>
      <c r="O273" s="46"/>
      <c r="P273" s="46"/>
      <c r="Q273" s="46"/>
      <c r="R273" s="46"/>
      <c r="S273" s="46"/>
      <c r="T273" s="46"/>
      <c r="U273" s="46"/>
      <c r="V273" s="46"/>
      <c r="W273" s="46"/>
      <c r="X273" s="46"/>
      <c r="Y273" s="46"/>
      <c r="Z273" s="46"/>
      <c r="AA273" s="46"/>
      <c r="AB273" s="46"/>
      <c r="AC273" s="46"/>
      <c r="AD273" s="46"/>
      <c r="AE273" s="46"/>
      <c r="AF273" s="46"/>
      <c r="AG273" s="46"/>
      <c r="AH273" s="46"/>
      <c r="AI273" s="46"/>
      <c r="AJ273" s="46"/>
      <c r="AK273" s="46"/>
      <c r="AL273" s="47"/>
      <c r="AM273" s="47"/>
      <c r="AN273" s="47"/>
      <c r="AO273" s="47"/>
      <c r="AP273" s="47"/>
      <c r="AQ273" s="48"/>
      <c r="AR273" s="49"/>
      <c r="AS273" s="49"/>
      <c r="AT273" s="49"/>
      <c r="AU273" s="1"/>
      <c r="AV273" s="1"/>
      <c r="AW273" s="1"/>
      <c r="AX273" s="1"/>
      <c r="AY273" s="1"/>
      <c r="AZ273" s="1"/>
      <c r="BA273" s="1"/>
      <c r="BB273" s="1"/>
      <c r="BC273" s="1"/>
      <c r="BD273" s="1"/>
      <c r="BE273" s="1"/>
      <c r="BF273" s="1"/>
      <c r="BG273" s="1"/>
      <c r="BH273" s="1"/>
      <c r="BI273" s="1"/>
      <c r="BJ273" s="1"/>
      <c r="BK273" s="1"/>
      <c r="BL273" s="1"/>
      <c r="BM273" s="1"/>
      <c r="BN273" s="1"/>
    </row>
    <row r="274" spans="1:66" ht="15.75" customHeight="1" x14ac:dyDescent="0.25">
      <c r="A274" s="43"/>
      <c r="B274" s="50"/>
      <c r="C274" s="51"/>
      <c r="D274" s="43"/>
      <c r="E274" s="43"/>
      <c r="F274" s="43"/>
      <c r="G274" s="44"/>
      <c r="H274" s="23"/>
      <c r="I274" s="43"/>
      <c r="J274" s="43"/>
      <c r="K274" s="45"/>
      <c r="L274" s="46"/>
      <c r="M274" s="46"/>
      <c r="N274" s="46"/>
      <c r="O274" s="46"/>
      <c r="P274" s="46"/>
      <c r="Q274" s="46"/>
      <c r="R274" s="46"/>
      <c r="S274" s="46"/>
      <c r="T274" s="46"/>
      <c r="U274" s="46"/>
      <c r="V274" s="46"/>
      <c r="W274" s="46"/>
      <c r="X274" s="46"/>
      <c r="Y274" s="46"/>
      <c r="Z274" s="46"/>
      <c r="AA274" s="46"/>
      <c r="AB274" s="46"/>
      <c r="AC274" s="46"/>
      <c r="AD274" s="46"/>
      <c r="AE274" s="46"/>
      <c r="AF274" s="46"/>
      <c r="AG274" s="46"/>
      <c r="AH274" s="46"/>
      <c r="AI274" s="46"/>
      <c r="AJ274" s="46"/>
      <c r="AK274" s="46"/>
      <c r="AL274" s="47"/>
      <c r="AM274" s="47"/>
      <c r="AN274" s="47"/>
      <c r="AO274" s="47"/>
      <c r="AP274" s="47"/>
      <c r="AQ274" s="48"/>
      <c r="AR274" s="49"/>
      <c r="AS274" s="49"/>
      <c r="AT274" s="49"/>
      <c r="AU274" s="1"/>
      <c r="AV274" s="1"/>
      <c r="AW274" s="1"/>
      <c r="AX274" s="1"/>
      <c r="AY274" s="1"/>
      <c r="AZ274" s="1"/>
      <c r="BA274" s="1"/>
      <c r="BB274" s="1"/>
      <c r="BC274" s="1"/>
      <c r="BD274" s="1"/>
      <c r="BE274" s="1"/>
      <c r="BF274" s="1"/>
      <c r="BG274" s="1"/>
      <c r="BH274" s="1"/>
      <c r="BI274" s="1"/>
      <c r="BJ274" s="1"/>
      <c r="BK274" s="1"/>
      <c r="BL274" s="1"/>
      <c r="BM274" s="1"/>
      <c r="BN274" s="1"/>
    </row>
    <row r="275" spans="1:66" ht="15.75" customHeight="1" x14ac:dyDescent="0.25">
      <c r="A275" s="43"/>
      <c r="B275" s="50"/>
      <c r="C275" s="51"/>
      <c r="D275" s="43"/>
      <c r="E275" s="43"/>
      <c r="F275" s="43"/>
      <c r="G275" s="44"/>
      <c r="H275" s="23"/>
      <c r="I275" s="43"/>
      <c r="J275" s="43"/>
      <c r="K275" s="45"/>
      <c r="L275" s="46"/>
      <c r="M275" s="46"/>
      <c r="N275" s="46"/>
      <c r="O275" s="46"/>
      <c r="P275" s="46"/>
      <c r="Q275" s="46"/>
      <c r="R275" s="46"/>
      <c r="S275" s="46"/>
      <c r="T275" s="46"/>
      <c r="U275" s="46"/>
      <c r="V275" s="46"/>
      <c r="W275" s="46"/>
      <c r="X275" s="46"/>
      <c r="Y275" s="46"/>
      <c r="Z275" s="46"/>
      <c r="AA275" s="46"/>
      <c r="AB275" s="46"/>
      <c r="AC275" s="46"/>
      <c r="AD275" s="46"/>
      <c r="AE275" s="46"/>
      <c r="AF275" s="46"/>
      <c r="AG275" s="46"/>
      <c r="AH275" s="46"/>
      <c r="AI275" s="46"/>
      <c r="AJ275" s="46"/>
      <c r="AK275" s="46"/>
      <c r="AL275" s="47"/>
      <c r="AM275" s="47"/>
      <c r="AN275" s="47"/>
      <c r="AO275" s="47"/>
      <c r="AP275" s="47"/>
      <c r="AQ275" s="48"/>
      <c r="AR275" s="49"/>
      <c r="AS275" s="49"/>
      <c r="AT275" s="49"/>
      <c r="AU275" s="1"/>
      <c r="AV275" s="1"/>
      <c r="AW275" s="1"/>
      <c r="AX275" s="1"/>
      <c r="AY275" s="1"/>
      <c r="AZ275" s="1"/>
      <c r="BA275" s="1"/>
      <c r="BB275" s="1"/>
      <c r="BC275" s="1"/>
      <c r="BD275" s="1"/>
      <c r="BE275" s="1"/>
      <c r="BF275" s="1"/>
      <c r="BG275" s="1"/>
      <c r="BH275" s="1"/>
      <c r="BI275" s="1"/>
      <c r="BJ275" s="1"/>
      <c r="BK275" s="1"/>
      <c r="BL275" s="1"/>
      <c r="BM275" s="1"/>
      <c r="BN275" s="1"/>
    </row>
    <row r="276" spans="1:66" ht="15.75" customHeight="1" x14ac:dyDescent="0.25">
      <c r="A276" s="43"/>
      <c r="B276" s="50"/>
      <c r="C276" s="51"/>
      <c r="D276" s="43"/>
      <c r="E276" s="43"/>
      <c r="F276" s="43"/>
      <c r="G276" s="44"/>
      <c r="H276" s="23"/>
      <c r="I276" s="43"/>
      <c r="J276" s="43"/>
      <c r="K276" s="45"/>
      <c r="L276" s="46"/>
      <c r="M276" s="46"/>
      <c r="N276" s="46"/>
      <c r="O276" s="46"/>
      <c r="P276" s="46"/>
      <c r="Q276" s="46"/>
      <c r="R276" s="46"/>
      <c r="S276" s="46"/>
      <c r="T276" s="46"/>
      <c r="U276" s="46"/>
      <c r="V276" s="46"/>
      <c r="W276" s="46"/>
      <c r="X276" s="46"/>
      <c r="Y276" s="46"/>
      <c r="Z276" s="46"/>
      <c r="AA276" s="46"/>
      <c r="AB276" s="46"/>
      <c r="AC276" s="46"/>
      <c r="AD276" s="46"/>
      <c r="AE276" s="46"/>
      <c r="AF276" s="46"/>
      <c r="AG276" s="46"/>
      <c r="AH276" s="46"/>
      <c r="AI276" s="46"/>
      <c r="AJ276" s="46"/>
      <c r="AK276" s="46"/>
      <c r="AL276" s="47"/>
      <c r="AM276" s="47"/>
      <c r="AN276" s="47"/>
      <c r="AO276" s="47"/>
      <c r="AP276" s="47"/>
      <c r="AQ276" s="48"/>
      <c r="AR276" s="49"/>
      <c r="AS276" s="49"/>
      <c r="AT276" s="49"/>
      <c r="AU276" s="1"/>
      <c r="AV276" s="1"/>
      <c r="AW276" s="1"/>
      <c r="AX276" s="1"/>
      <c r="AY276" s="1"/>
      <c r="AZ276" s="1"/>
      <c r="BA276" s="1"/>
      <c r="BB276" s="1"/>
      <c r="BC276" s="1"/>
      <c r="BD276" s="1"/>
      <c r="BE276" s="1"/>
      <c r="BF276" s="1"/>
      <c r="BG276" s="1"/>
      <c r="BH276" s="1"/>
      <c r="BI276" s="1"/>
      <c r="BJ276" s="1"/>
      <c r="BK276" s="1"/>
      <c r="BL276" s="1"/>
      <c r="BM276" s="1"/>
      <c r="BN276" s="1"/>
    </row>
    <row r="277" spans="1:66" ht="15.75" customHeight="1" x14ac:dyDescent="0.25">
      <c r="A277" s="43"/>
      <c r="B277" s="50"/>
      <c r="C277" s="51"/>
      <c r="D277" s="43"/>
      <c r="E277" s="43"/>
      <c r="F277" s="43"/>
      <c r="G277" s="44"/>
      <c r="H277" s="23"/>
      <c r="I277" s="43"/>
      <c r="J277" s="43"/>
      <c r="K277" s="45"/>
      <c r="L277" s="46"/>
      <c r="M277" s="46"/>
      <c r="N277" s="46"/>
      <c r="O277" s="46"/>
      <c r="P277" s="46"/>
      <c r="Q277" s="46"/>
      <c r="R277" s="46"/>
      <c r="S277" s="46"/>
      <c r="T277" s="46"/>
      <c r="U277" s="46"/>
      <c r="V277" s="46"/>
      <c r="W277" s="46"/>
      <c r="X277" s="46"/>
      <c r="Y277" s="46"/>
      <c r="Z277" s="46"/>
      <c r="AA277" s="46"/>
      <c r="AB277" s="46"/>
      <c r="AC277" s="46"/>
      <c r="AD277" s="46"/>
      <c r="AE277" s="46"/>
      <c r="AF277" s="46"/>
      <c r="AG277" s="46"/>
      <c r="AH277" s="46"/>
      <c r="AI277" s="46"/>
      <c r="AJ277" s="46"/>
      <c r="AK277" s="46"/>
      <c r="AL277" s="47"/>
      <c r="AM277" s="47"/>
      <c r="AN277" s="47"/>
      <c r="AO277" s="47"/>
      <c r="AP277" s="47"/>
      <c r="AQ277" s="48"/>
      <c r="AR277" s="49"/>
      <c r="AS277" s="49"/>
      <c r="AT277" s="49"/>
      <c r="AU277" s="1"/>
      <c r="AV277" s="1"/>
      <c r="AW277" s="1"/>
      <c r="AX277" s="1"/>
      <c r="AY277" s="1"/>
      <c r="AZ277" s="1"/>
      <c r="BA277" s="1"/>
      <c r="BB277" s="1"/>
      <c r="BC277" s="1"/>
      <c r="BD277" s="1"/>
      <c r="BE277" s="1"/>
      <c r="BF277" s="1"/>
      <c r="BG277" s="1"/>
      <c r="BH277" s="1"/>
      <c r="BI277" s="1"/>
      <c r="BJ277" s="1"/>
      <c r="BK277" s="1"/>
      <c r="BL277" s="1"/>
      <c r="BM277" s="1"/>
      <c r="BN277" s="1"/>
    </row>
    <row r="278" spans="1:66" ht="15.75" customHeight="1" x14ac:dyDescent="0.25">
      <c r="A278" s="43"/>
      <c r="B278" s="50"/>
      <c r="C278" s="51"/>
      <c r="D278" s="43"/>
      <c r="E278" s="43"/>
      <c r="F278" s="43"/>
      <c r="G278" s="44"/>
      <c r="H278" s="23"/>
      <c r="I278" s="43"/>
      <c r="J278" s="43"/>
      <c r="K278" s="45"/>
      <c r="L278" s="46"/>
      <c r="M278" s="46"/>
      <c r="N278" s="46"/>
      <c r="O278" s="46"/>
      <c r="P278" s="46"/>
      <c r="Q278" s="46"/>
      <c r="R278" s="46"/>
      <c r="S278" s="46"/>
      <c r="T278" s="46"/>
      <c r="U278" s="46"/>
      <c r="V278" s="46"/>
      <c r="W278" s="46"/>
      <c r="X278" s="46"/>
      <c r="Y278" s="46"/>
      <c r="Z278" s="46"/>
      <c r="AA278" s="46"/>
      <c r="AB278" s="46"/>
      <c r="AC278" s="46"/>
      <c r="AD278" s="46"/>
      <c r="AE278" s="46"/>
      <c r="AF278" s="46"/>
      <c r="AG278" s="46"/>
      <c r="AH278" s="46"/>
      <c r="AI278" s="46"/>
      <c r="AJ278" s="46"/>
      <c r="AK278" s="46"/>
      <c r="AL278" s="47"/>
      <c r="AM278" s="47"/>
      <c r="AN278" s="47"/>
      <c r="AO278" s="47"/>
      <c r="AP278" s="47"/>
      <c r="AQ278" s="48"/>
      <c r="AR278" s="49"/>
      <c r="AS278" s="49"/>
      <c r="AT278" s="49"/>
      <c r="AU278" s="1"/>
      <c r="AV278" s="1"/>
      <c r="AW278" s="1"/>
      <c r="AX278" s="1"/>
      <c r="AY278" s="1"/>
      <c r="AZ278" s="1"/>
      <c r="BA278" s="1"/>
      <c r="BB278" s="1"/>
      <c r="BC278" s="1"/>
      <c r="BD278" s="1"/>
      <c r="BE278" s="1"/>
      <c r="BF278" s="1"/>
      <c r="BG278" s="1"/>
      <c r="BH278" s="1"/>
      <c r="BI278" s="1"/>
      <c r="BJ278" s="1"/>
      <c r="BK278" s="1"/>
      <c r="BL278" s="1"/>
      <c r="BM278" s="1"/>
      <c r="BN278" s="1"/>
    </row>
    <row r="279" spans="1:66" ht="15.75" customHeight="1" x14ac:dyDescent="0.25">
      <c r="A279" s="43"/>
      <c r="B279" s="50"/>
      <c r="C279" s="51"/>
      <c r="D279" s="43"/>
      <c r="E279" s="43"/>
      <c r="F279" s="43"/>
      <c r="G279" s="44"/>
      <c r="H279" s="23"/>
      <c r="I279" s="43"/>
      <c r="J279" s="43"/>
      <c r="K279" s="45"/>
      <c r="L279" s="46"/>
      <c r="M279" s="46"/>
      <c r="N279" s="46"/>
      <c r="O279" s="46"/>
      <c r="P279" s="46"/>
      <c r="Q279" s="46"/>
      <c r="R279" s="46"/>
      <c r="S279" s="46"/>
      <c r="T279" s="46"/>
      <c r="U279" s="46"/>
      <c r="V279" s="46"/>
      <c r="W279" s="46"/>
      <c r="X279" s="46"/>
      <c r="Y279" s="46"/>
      <c r="Z279" s="46"/>
      <c r="AA279" s="46"/>
      <c r="AB279" s="46"/>
      <c r="AC279" s="46"/>
      <c r="AD279" s="46"/>
      <c r="AE279" s="46"/>
      <c r="AF279" s="46"/>
      <c r="AG279" s="46"/>
      <c r="AH279" s="46"/>
      <c r="AI279" s="46"/>
      <c r="AJ279" s="46"/>
      <c r="AK279" s="46"/>
      <c r="AL279" s="47"/>
      <c r="AM279" s="47"/>
      <c r="AN279" s="47"/>
      <c r="AO279" s="47"/>
      <c r="AP279" s="47"/>
      <c r="AQ279" s="48"/>
      <c r="AR279" s="49"/>
      <c r="AS279" s="49"/>
      <c r="AT279" s="49"/>
      <c r="AU279" s="1"/>
      <c r="AV279" s="1"/>
      <c r="AW279" s="1"/>
      <c r="AX279" s="1"/>
      <c r="AY279" s="1"/>
      <c r="AZ279" s="1"/>
      <c r="BA279" s="1"/>
      <c r="BB279" s="1"/>
      <c r="BC279" s="1"/>
      <c r="BD279" s="1"/>
      <c r="BE279" s="1"/>
      <c r="BF279" s="1"/>
      <c r="BG279" s="1"/>
      <c r="BH279" s="1"/>
      <c r="BI279" s="1"/>
      <c r="BJ279" s="1"/>
      <c r="BK279" s="1"/>
      <c r="BL279" s="1"/>
      <c r="BM279" s="1"/>
      <c r="BN279" s="1"/>
    </row>
    <row r="280" spans="1:66" ht="15.75" customHeight="1" x14ac:dyDescent="0.25">
      <c r="A280" s="43"/>
      <c r="B280" s="50"/>
      <c r="C280" s="51"/>
      <c r="D280" s="43"/>
      <c r="E280" s="43"/>
      <c r="F280" s="43"/>
      <c r="G280" s="44"/>
      <c r="H280" s="23"/>
      <c r="I280" s="43"/>
      <c r="J280" s="43"/>
      <c r="K280" s="45"/>
      <c r="L280" s="46"/>
      <c r="M280" s="46"/>
      <c r="N280" s="46"/>
      <c r="O280" s="46"/>
      <c r="P280" s="46"/>
      <c r="Q280" s="46"/>
      <c r="R280" s="46"/>
      <c r="S280" s="46"/>
      <c r="T280" s="46"/>
      <c r="U280" s="46"/>
      <c r="V280" s="46"/>
      <c r="W280" s="46"/>
      <c r="X280" s="46"/>
      <c r="Y280" s="46"/>
      <c r="Z280" s="46"/>
      <c r="AA280" s="46"/>
      <c r="AB280" s="46"/>
      <c r="AC280" s="46"/>
      <c r="AD280" s="46"/>
      <c r="AE280" s="46"/>
      <c r="AF280" s="46"/>
      <c r="AG280" s="46"/>
      <c r="AH280" s="46"/>
      <c r="AI280" s="46"/>
      <c r="AJ280" s="46"/>
      <c r="AK280" s="46"/>
      <c r="AL280" s="47"/>
      <c r="AM280" s="47"/>
      <c r="AN280" s="47"/>
      <c r="AO280" s="47"/>
      <c r="AP280" s="47"/>
      <c r="AQ280" s="48"/>
      <c r="AR280" s="49"/>
      <c r="AS280" s="49"/>
      <c r="AT280" s="49"/>
      <c r="AU280" s="1"/>
      <c r="AV280" s="1"/>
      <c r="AW280" s="1"/>
      <c r="AX280" s="1"/>
      <c r="AY280" s="1"/>
      <c r="AZ280" s="1"/>
      <c r="BA280" s="1"/>
      <c r="BB280" s="1"/>
      <c r="BC280" s="1"/>
      <c r="BD280" s="1"/>
      <c r="BE280" s="1"/>
      <c r="BF280" s="1"/>
      <c r="BG280" s="1"/>
      <c r="BH280" s="1"/>
      <c r="BI280" s="1"/>
      <c r="BJ280" s="1"/>
      <c r="BK280" s="1"/>
      <c r="BL280" s="1"/>
      <c r="BM280" s="1"/>
      <c r="BN280" s="1"/>
    </row>
    <row r="281" spans="1:66" ht="15.75" customHeight="1" x14ac:dyDescent="0.25">
      <c r="A281" s="43"/>
      <c r="B281" s="50"/>
      <c r="C281" s="51"/>
      <c r="D281" s="43"/>
      <c r="E281" s="43"/>
      <c r="F281" s="43"/>
      <c r="G281" s="44"/>
      <c r="H281" s="23"/>
      <c r="I281" s="43"/>
      <c r="J281" s="43"/>
      <c r="K281" s="45"/>
      <c r="L281" s="46"/>
      <c r="M281" s="46"/>
      <c r="N281" s="46"/>
      <c r="O281" s="46"/>
      <c r="P281" s="46"/>
      <c r="Q281" s="46"/>
      <c r="R281" s="46"/>
      <c r="S281" s="46"/>
      <c r="T281" s="46"/>
      <c r="U281" s="46"/>
      <c r="V281" s="46"/>
      <c r="W281" s="46"/>
      <c r="X281" s="46"/>
      <c r="Y281" s="46"/>
      <c r="Z281" s="46"/>
      <c r="AA281" s="46"/>
      <c r="AB281" s="46"/>
      <c r="AC281" s="46"/>
      <c r="AD281" s="46"/>
      <c r="AE281" s="46"/>
      <c r="AF281" s="46"/>
      <c r="AG281" s="46"/>
      <c r="AH281" s="46"/>
      <c r="AI281" s="46"/>
      <c r="AJ281" s="46"/>
      <c r="AK281" s="46"/>
      <c r="AL281" s="47"/>
      <c r="AM281" s="47"/>
      <c r="AN281" s="47"/>
      <c r="AO281" s="47"/>
      <c r="AP281" s="47"/>
      <c r="AQ281" s="48"/>
      <c r="AR281" s="49"/>
      <c r="AS281" s="49"/>
      <c r="AT281" s="49"/>
      <c r="AU281" s="1"/>
      <c r="AV281" s="1"/>
      <c r="AW281" s="1"/>
      <c r="AX281" s="1"/>
      <c r="AY281" s="1"/>
      <c r="AZ281" s="1"/>
      <c r="BA281" s="1"/>
      <c r="BB281" s="1"/>
      <c r="BC281" s="1"/>
      <c r="BD281" s="1"/>
      <c r="BE281" s="1"/>
      <c r="BF281" s="1"/>
      <c r="BG281" s="1"/>
      <c r="BH281" s="1"/>
      <c r="BI281" s="1"/>
      <c r="BJ281" s="1"/>
      <c r="BK281" s="1"/>
      <c r="BL281" s="1"/>
      <c r="BM281" s="1"/>
      <c r="BN281" s="1"/>
    </row>
    <row r="282" spans="1:66" ht="15.75" customHeight="1" x14ac:dyDescent="0.25">
      <c r="A282" s="43"/>
      <c r="B282" s="50"/>
      <c r="C282" s="51"/>
      <c r="D282" s="43"/>
      <c r="E282" s="43"/>
      <c r="F282" s="43"/>
      <c r="G282" s="44"/>
      <c r="H282" s="23"/>
      <c r="I282" s="43"/>
      <c r="J282" s="43"/>
      <c r="K282" s="45"/>
      <c r="L282" s="46"/>
      <c r="M282" s="46"/>
      <c r="N282" s="46"/>
      <c r="O282" s="46"/>
      <c r="P282" s="46"/>
      <c r="Q282" s="46"/>
      <c r="R282" s="46"/>
      <c r="S282" s="46"/>
      <c r="T282" s="46"/>
      <c r="U282" s="46"/>
      <c r="V282" s="46"/>
      <c r="W282" s="46"/>
      <c r="X282" s="46"/>
      <c r="Y282" s="46"/>
      <c r="Z282" s="46"/>
      <c r="AA282" s="46"/>
      <c r="AB282" s="46"/>
      <c r="AC282" s="46"/>
      <c r="AD282" s="46"/>
      <c r="AE282" s="46"/>
      <c r="AF282" s="46"/>
      <c r="AG282" s="46"/>
      <c r="AH282" s="46"/>
      <c r="AI282" s="46"/>
      <c r="AJ282" s="46"/>
      <c r="AK282" s="46"/>
      <c r="AL282" s="47"/>
      <c r="AM282" s="47"/>
      <c r="AN282" s="47"/>
      <c r="AO282" s="47"/>
      <c r="AP282" s="47"/>
      <c r="AQ282" s="48"/>
      <c r="AR282" s="49"/>
      <c r="AS282" s="49"/>
      <c r="AT282" s="49"/>
      <c r="AU282" s="1"/>
      <c r="AV282" s="1"/>
      <c r="AW282" s="1"/>
      <c r="AX282" s="1"/>
      <c r="AY282" s="1"/>
      <c r="AZ282" s="1"/>
      <c r="BA282" s="1"/>
      <c r="BB282" s="1"/>
      <c r="BC282" s="1"/>
      <c r="BD282" s="1"/>
      <c r="BE282" s="1"/>
      <c r="BF282" s="1"/>
      <c r="BG282" s="1"/>
      <c r="BH282" s="1"/>
      <c r="BI282" s="1"/>
      <c r="BJ282" s="1"/>
      <c r="BK282" s="1"/>
      <c r="BL282" s="1"/>
      <c r="BM282" s="1"/>
      <c r="BN282" s="1"/>
    </row>
    <row r="283" spans="1:66" ht="15.75" customHeight="1" x14ac:dyDescent="0.25">
      <c r="A283" s="43"/>
      <c r="B283" s="50"/>
      <c r="C283" s="51"/>
      <c r="D283" s="43"/>
      <c r="E283" s="43"/>
      <c r="F283" s="43"/>
      <c r="G283" s="44"/>
      <c r="H283" s="23"/>
      <c r="I283" s="43"/>
      <c r="J283" s="43"/>
      <c r="K283" s="45"/>
      <c r="L283" s="46"/>
      <c r="M283" s="46"/>
      <c r="N283" s="46"/>
      <c r="O283" s="46"/>
      <c r="P283" s="46"/>
      <c r="Q283" s="46"/>
      <c r="R283" s="46"/>
      <c r="S283" s="46"/>
      <c r="T283" s="46"/>
      <c r="U283" s="46"/>
      <c r="V283" s="46"/>
      <c r="W283" s="46"/>
      <c r="X283" s="46"/>
      <c r="Y283" s="46"/>
      <c r="Z283" s="46"/>
      <c r="AA283" s="46"/>
      <c r="AB283" s="46"/>
      <c r="AC283" s="46"/>
      <c r="AD283" s="46"/>
      <c r="AE283" s="46"/>
      <c r="AF283" s="46"/>
      <c r="AG283" s="46"/>
      <c r="AH283" s="46"/>
      <c r="AI283" s="46"/>
      <c r="AJ283" s="46"/>
      <c r="AK283" s="46"/>
      <c r="AL283" s="47"/>
      <c r="AM283" s="47"/>
      <c r="AN283" s="47"/>
      <c r="AO283" s="47"/>
      <c r="AP283" s="47"/>
      <c r="AQ283" s="48"/>
      <c r="AR283" s="49"/>
      <c r="AS283" s="49"/>
      <c r="AT283" s="49"/>
      <c r="AU283" s="1"/>
      <c r="AV283" s="1"/>
      <c r="AW283" s="1"/>
      <c r="AX283" s="1"/>
      <c r="AY283" s="1"/>
      <c r="AZ283" s="1"/>
      <c r="BA283" s="1"/>
      <c r="BB283" s="1"/>
      <c r="BC283" s="1"/>
      <c r="BD283" s="1"/>
      <c r="BE283" s="1"/>
      <c r="BF283" s="1"/>
      <c r="BG283" s="1"/>
      <c r="BH283" s="1"/>
      <c r="BI283" s="1"/>
      <c r="BJ283" s="1"/>
      <c r="BK283" s="1"/>
      <c r="BL283" s="1"/>
      <c r="BM283" s="1"/>
      <c r="BN283" s="1"/>
    </row>
    <row r="284" spans="1:66" ht="15.75" customHeight="1" x14ac:dyDescent="0.25">
      <c r="A284" s="43"/>
      <c r="B284" s="50"/>
      <c r="C284" s="51"/>
      <c r="D284" s="43"/>
      <c r="E284" s="43"/>
      <c r="F284" s="43"/>
      <c r="G284" s="44"/>
      <c r="H284" s="23"/>
      <c r="I284" s="43"/>
      <c r="J284" s="43"/>
      <c r="K284" s="45"/>
      <c r="L284" s="46"/>
      <c r="M284" s="46"/>
      <c r="N284" s="46"/>
      <c r="O284" s="46"/>
      <c r="P284" s="46"/>
      <c r="Q284" s="46"/>
      <c r="R284" s="46"/>
      <c r="S284" s="46"/>
      <c r="T284" s="46"/>
      <c r="U284" s="46"/>
      <c r="V284" s="46"/>
      <c r="W284" s="46"/>
      <c r="X284" s="46"/>
      <c r="Y284" s="46"/>
      <c r="Z284" s="46"/>
      <c r="AA284" s="46"/>
      <c r="AB284" s="46"/>
      <c r="AC284" s="46"/>
      <c r="AD284" s="46"/>
      <c r="AE284" s="46"/>
      <c r="AF284" s="46"/>
      <c r="AG284" s="46"/>
      <c r="AH284" s="46"/>
      <c r="AI284" s="46"/>
      <c r="AJ284" s="46"/>
      <c r="AK284" s="46"/>
      <c r="AL284" s="47"/>
      <c r="AM284" s="47"/>
      <c r="AN284" s="47"/>
      <c r="AO284" s="47"/>
      <c r="AP284" s="47"/>
      <c r="AQ284" s="48"/>
      <c r="AR284" s="49"/>
      <c r="AS284" s="49"/>
      <c r="AT284" s="49"/>
      <c r="AU284" s="1"/>
      <c r="AV284" s="1"/>
      <c r="AW284" s="1"/>
      <c r="AX284" s="1"/>
      <c r="AY284" s="1"/>
      <c r="AZ284" s="1"/>
      <c r="BA284" s="1"/>
      <c r="BB284" s="1"/>
      <c r="BC284" s="1"/>
      <c r="BD284" s="1"/>
      <c r="BE284" s="1"/>
      <c r="BF284" s="1"/>
      <c r="BG284" s="1"/>
      <c r="BH284" s="1"/>
      <c r="BI284" s="1"/>
      <c r="BJ284" s="1"/>
      <c r="BK284" s="1"/>
      <c r="BL284" s="1"/>
      <c r="BM284" s="1"/>
      <c r="BN284" s="1"/>
    </row>
    <row r="285" spans="1:66" ht="15.75" customHeight="1" x14ac:dyDescent="0.25">
      <c r="A285" s="43"/>
      <c r="B285" s="50"/>
      <c r="C285" s="51"/>
      <c r="D285" s="43"/>
      <c r="E285" s="43"/>
      <c r="F285" s="43"/>
      <c r="G285" s="44"/>
      <c r="H285" s="23"/>
      <c r="I285" s="43"/>
      <c r="J285" s="43"/>
      <c r="K285" s="45"/>
      <c r="L285" s="46"/>
      <c r="M285" s="46"/>
      <c r="N285" s="46"/>
      <c r="O285" s="46"/>
      <c r="P285" s="46"/>
      <c r="Q285" s="46"/>
      <c r="R285" s="46"/>
      <c r="S285" s="46"/>
      <c r="T285" s="46"/>
      <c r="U285" s="46"/>
      <c r="V285" s="46"/>
      <c r="W285" s="46"/>
      <c r="X285" s="46"/>
      <c r="Y285" s="46"/>
      <c r="Z285" s="46"/>
      <c r="AA285" s="46"/>
      <c r="AB285" s="46"/>
      <c r="AC285" s="46"/>
      <c r="AD285" s="46"/>
      <c r="AE285" s="46"/>
      <c r="AF285" s="46"/>
      <c r="AG285" s="46"/>
      <c r="AH285" s="46"/>
      <c r="AI285" s="46"/>
      <c r="AJ285" s="46"/>
      <c r="AK285" s="46"/>
      <c r="AL285" s="47"/>
      <c r="AM285" s="47"/>
      <c r="AN285" s="47"/>
      <c r="AO285" s="47"/>
      <c r="AP285" s="47"/>
      <c r="AQ285" s="48"/>
      <c r="AR285" s="49"/>
      <c r="AS285" s="49"/>
      <c r="AT285" s="49"/>
      <c r="AU285" s="1"/>
      <c r="AV285" s="1"/>
      <c r="AW285" s="1"/>
      <c r="AX285" s="1"/>
      <c r="AY285" s="1"/>
      <c r="AZ285" s="1"/>
      <c r="BA285" s="1"/>
      <c r="BB285" s="1"/>
      <c r="BC285" s="1"/>
      <c r="BD285" s="1"/>
      <c r="BE285" s="1"/>
      <c r="BF285" s="1"/>
      <c r="BG285" s="1"/>
      <c r="BH285" s="1"/>
      <c r="BI285" s="1"/>
      <c r="BJ285" s="1"/>
      <c r="BK285" s="1"/>
      <c r="BL285" s="1"/>
      <c r="BM285" s="1"/>
      <c r="BN285" s="1"/>
    </row>
    <row r="286" spans="1:66" ht="15.75" customHeight="1" x14ac:dyDescent="0.25">
      <c r="A286" s="43"/>
      <c r="B286" s="50"/>
      <c r="C286" s="51"/>
      <c r="D286" s="43"/>
      <c r="E286" s="43"/>
      <c r="F286" s="43"/>
      <c r="G286" s="44"/>
      <c r="H286" s="23"/>
      <c r="I286" s="43"/>
      <c r="J286" s="43"/>
      <c r="K286" s="45"/>
      <c r="L286" s="46"/>
      <c r="M286" s="46"/>
      <c r="N286" s="46"/>
      <c r="O286" s="46"/>
      <c r="P286" s="46"/>
      <c r="Q286" s="46"/>
      <c r="R286" s="46"/>
      <c r="S286" s="46"/>
      <c r="T286" s="46"/>
      <c r="U286" s="46"/>
      <c r="V286" s="46"/>
      <c r="W286" s="46"/>
      <c r="X286" s="46"/>
      <c r="Y286" s="46"/>
      <c r="Z286" s="46"/>
      <c r="AA286" s="46"/>
      <c r="AB286" s="46"/>
      <c r="AC286" s="46"/>
      <c r="AD286" s="46"/>
      <c r="AE286" s="46"/>
      <c r="AF286" s="46"/>
      <c r="AG286" s="46"/>
      <c r="AH286" s="46"/>
      <c r="AI286" s="46"/>
      <c r="AJ286" s="46"/>
      <c r="AK286" s="46"/>
      <c r="AL286" s="47"/>
      <c r="AM286" s="47"/>
      <c r="AN286" s="47"/>
      <c r="AO286" s="47"/>
      <c r="AP286" s="47"/>
      <c r="AQ286" s="48"/>
      <c r="AR286" s="49"/>
      <c r="AS286" s="49"/>
      <c r="AT286" s="49"/>
      <c r="AU286" s="1"/>
      <c r="AV286" s="1"/>
      <c r="AW286" s="1"/>
      <c r="AX286" s="1"/>
      <c r="AY286" s="1"/>
      <c r="AZ286" s="1"/>
      <c r="BA286" s="1"/>
      <c r="BB286" s="1"/>
      <c r="BC286" s="1"/>
      <c r="BD286" s="1"/>
      <c r="BE286" s="1"/>
      <c r="BF286" s="1"/>
      <c r="BG286" s="1"/>
      <c r="BH286" s="1"/>
      <c r="BI286" s="1"/>
      <c r="BJ286" s="1"/>
      <c r="BK286" s="1"/>
      <c r="BL286" s="1"/>
      <c r="BM286" s="1"/>
      <c r="BN286" s="1"/>
    </row>
    <row r="287" spans="1:66" ht="15.75" customHeight="1" x14ac:dyDescent="0.25">
      <c r="A287" s="43"/>
      <c r="B287" s="50"/>
      <c r="C287" s="51"/>
      <c r="D287" s="43"/>
      <c r="E287" s="43"/>
      <c r="F287" s="43"/>
      <c r="G287" s="44"/>
      <c r="H287" s="23"/>
      <c r="I287" s="43"/>
      <c r="J287" s="43"/>
      <c r="K287" s="45"/>
      <c r="L287" s="46"/>
      <c r="M287" s="46"/>
      <c r="N287" s="46"/>
      <c r="O287" s="46"/>
      <c r="P287" s="46"/>
      <c r="Q287" s="46"/>
      <c r="R287" s="46"/>
      <c r="S287" s="46"/>
      <c r="T287" s="46"/>
      <c r="U287" s="46"/>
      <c r="V287" s="46"/>
      <c r="W287" s="46"/>
      <c r="X287" s="46"/>
      <c r="Y287" s="46"/>
      <c r="Z287" s="46"/>
      <c r="AA287" s="46"/>
      <c r="AB287" s="46"/>
      <c r="AC287" s="46"/>
      <c r="AD287" s="46"/>
      <c r="AE287" s="46"/>
      <c r="AF287" s="46"/>
      <c r="AG287" s="46"/>
      <c r="AH287" s="46"/>
      <c r="AI287" s="46"/>
      <c r="AJ287" s="46"/>
      <c r="AK287" s="46"/>
      <c r="AL287" s="47"/>
      <c r="AM287" s="47"/>
      <c r="AN287" s="47"/>
      <c r="AO287" s="47"/>
      <c r="AP287" s="47"/>
      <c r="AQ287" s="48"/>
      <c r="AR287" s="49"/>
      <c r="AS287" s="49"/>
      <c r="AT287" s="49"/>
      <c r="AU287" s="1"/>
      <c r="AV287" s="1"/>
      <c r="AW287" s="1"/>
      <c r="AX287" s="1"/>
      <c r="AY287" s="1"/>
      <c r="AZ287" s="1"/>
      <c r="BA287" s="1"/>
      <c r="BB287" s="1"/>
      <c r="BC287" s="1"/>
      <c r="BD287" s="1"/>
      <c r="BE287" s="1"/>
      <c r="BF287" s="1"/>
      <c r="BG287" s="1"/>
      <c r="BH287" s="1"/>
      <c r="BI287" s="1"/>
      <c r="BJ287" s="1"/>
      <c r="BK287" s="1"/>
      <c r="BL287" s="1"/>
      <c r="BM287" s="1"/>
      <c r="BN287" s="1"/>
    </row>
    <row r="288" spans="1:66" ht="15.75" customHeight="1" x14ac:dyDescent="0.25">
      <c r="A288" s="43"/>
      <c r="B288" s="50"/>
      <c r="C288" s="51"/>
      <c r="D288" s="43"/>
      <c r="E288" s="43"/>
      <c r="F288" s="43"/>
      <c r="G288" s="44"/>
      <c r="H288" s="23"/>
      <c r="I288" s="43"/>
      <c r="J288" s="43"/>
      <c r="K288" s="45"/>
      <c r="L288" s="46"/>
      <c r="M288" s="46"/>
      <c r="N288" s="46"/>
      <c r="O288" s="46"/>
      <c r="P288" s="46"/>
      <c r="Q288" s="46"/>
      <c r="R288" s="46"/>
      <c r="S288" s="46"/>
      <c r="T288" s="46"/>
      <c r="U288" s="46"/>
      <c r="V288" s="46"/>
      <c r="W288" s="46"/>
      <c r="X288" s="46"/>
      <c r="Y288" s="46"/>
      <c r="Z288" s="46"/>
      <c r="AA288" s="46"/>
      <c r="AB288" s="46"/>
      <c r="AC288" s="46"/>
      <c r="AD288" s="46"/>
      <c r="AE288" s="46"/>
      <c r="AF288" s="46"/>
      <c r="AG288" s="46"/>
      <c r="AH288" s="46"/>
      <c r="AI288" s="46"/>
      <c r="AJ288" s="46"/>
      <c r="AK288" s="46"/>
      <c r="AL288" s="47"/>
      <c r="AM288" s="47"/>
      <c r="AN288" s="47"/>
      <c r="AO288" s="47"/>
      <c r="AP288" s="47"/>
      <c r="AQ288" s="48"/>
      <c r="AR288" s="49"/>
      <c r="AS288" s="49"/>
      <c r="AT288" s="49"/>
      <c r="AU288" s="1"/>
      <c r="AV288" s="1"/>
      <c r="AW288" s="1"/>
      <c r="AX288" s="1"/>
      <c r="AY288" s="1"/>
      <c r="AZ288" s="1"/>
      <c r="BA288" s="1"/>
      <c r="BB288" s="1"/>
      <c r="BC288" s="1"/>
      <c r="BD288" s="1"/>
      <c r="BE288" s="1"/>
      <c r="BF288" s="1"/>
      <c r="BG288" s="1"/>
      <c r="BH288" s="1"/>
      <c r="BI288" s="1"/>
      <c r="BJ288" s="1"/>
      <c r="BK288" s="1"/>
      <c r="BL288" s="1"/>
      <c r="BM288" s="1"/>
      <c r="BN288" s="1"/>
    </row>
    <row r="289" spans="1:66" ht="15.75" customHeight="1" x14ac:dyDescent="0.25">
      <c r="A289" s="43"/>
      <c r="B289" s="50"/>
      <c r="C289" s="51"/>
      <c r="D289" s="43"/>
      <c r="E289" s="43"/>
      <c r="F289" s="43"/>
      <c r="G289" s="44"/>
      <c r="H289" s="23"/>
      <c r="I289" s="43"/>
      <c r="J289" s="43"/>
      <c r="K289" s="45"/>
      <c r="L289" s="46"/>
      <c r="M289" s="46"/>
      <c r="N289" s="46"/>
      <c r="O289" s="46"/>
      <c r="P289" s="46"/>
      <c r="Q289" s="46"/>
      <c r="R289" s="46"/>
      <c r="S289" s="46"/>
      <c r="T289" s="46"/>
      <c r="U289" s="46"/>
      <c r="V289" s="46"/>
      <c r="W289" s="46"/>
      <c r="X289" s="46"/>
      <c r="Y289" s="46"/>
      <c r="Z289" s="46"/>
      <c r="AA289" s="46"/>
      <c r="AB289" s="46"/>
      <c r="AC289" s="46"/>
      <c r="AD289" s="46"/>
      <c r="AE289" s="46"/>
      <c r="AF289" s="46"/>
      <c r="AG289" s="46"/>
      <c r="AH289" s="46"/>
      <c r="AI289" s="46"/>
      <c r="AJ289" s="46"/>
      <c r="AK289" s="46"/>
      <c r="AL289" s="47"/>
      <c r="AM289" s="47"/>
      <c r="AN289" s="47"/>
      <c r="AO289" s="47"/>
      <c r="AP289" s="47"/>
      <c r="AQ289" s="48"/>
      <c r="AR289" s="49"/>
      <c r="AS289" s="49"/>
      <c r="AT289" s="49"/>
      <c r="AU289" s="1"/>
      <c r="AV289" s="1"/>
      <c r="AW289" s="1"/>
      <c r="AX289" s="1"/>
      <c r="AY289" s="1"/>
      <c r="AZ289" s="1"/>
      <c r="BA289" s="1"/>
      <c r="BB289" s="1"/>
      <c r="BC289" s="1"/>
      <c r="BD289" s="1"/>
      <c r="BE289" s="1"/>
      <c r="BF289" s="1"/>
      <c r="BG289" s="1"/>
      <c r="BH289" s="1"/>
      <c r="BI289" s="1"/>
      <c r="BJ289" s="1"/>
      <c r="BK289" s="1"/>
      <c r="BL289" s="1"/>
      <c r="BM289" s="1"/>
      <c r="BN289" s="1"/>
    </row>
    <row r="290" spans="1:66" ht="15.75" customHeight="1" x14ac:dyDescent="0.25">
      <c r="A290" s="43"/>
      <c r="B290" s="50"/>
      <c r="C290" s="51"/>
      <c r="D290" s="43"/>
      <c r="E290" s="43"/>
      <c r="F290" s="43"/>
      <c r="G290" s="44"/>
      <c r="H290" s="23"/>
      <c r="I290" s="43"/>
      <c r="J290" s="43"/>
      <c r="K290" s="45"/>
      <c r="L290" s="46"/>
      <c r="M290" s="46"/>
      <c r="N290" s="46"/>
      <c r="O290" s="46"/>
      <c r="P290" s="46"/>
      <c r="Q290" s="46"/>
      <c r="R290" s="46"/>
      <c r="S290" s="46"/>
      <c r="T290" s="46"/>
      <c r="U290" s="46"/>
      <c r="V290" s="46"/>
      <c r="W290" s="46"/>
      <c r="X290" s="46"/>
      <c r="Y290" s="46"/>
      <c r="Z290" s="46"/>
      <c r="AA290" s="46"/>
      <c r="AB290" s="46"/>
      <c r="AC290" s="46"/>
      <c r="AD290" s="46"/>
      <c r="AE290" s="46"/>
      <c r="AF290" s="46"/>
      <c r="AG290" s="46"/>
      <c r="AH290" s="46"/>
      <c r="AI290" s="46"/>
      <c r="AJ290" s="46"/>
      <c r="AK290" s="46"/>
      <c r="AL290" s="47"/>
      <c r="AM290" s="47"/>
      <c r="AN290" s="47"/>
      <c r="AO290" s="47"/>
      <c r="AP290" s="47"/>
      <c r="AQ290" s="48"/>
      <c r="AR290" s="49"/>
      <c r="AS290" s="49"/>
      <c r="AT290" s="49"/>
      <c r="AU290" s="1"/>
      <c r="AV290" s="1"/>
      <c r="AW290" s="1"/>
      <c r="AX290" s="1"/>
      <c r="AY290" s="1"/>
      <c r="AZ290" s="1"/>
      <c r="BA290" s="1"/>
      <c r="BB290" s="1"/>
      <c r="BC290" s="1"/>
      <c r="BD290" s="1"/>
      <c r="BE290" s="1"/>
      <c r="BF290" s="1"/>
      <c r="BG290" s="1"/>
      <c r="BH290" s="1"/>
      <c r="BI290" s="1"/>
      <c r="BJ290" s="1"/>
      <c r="BK290" s="1"/>
      <c r="BL290" s="1"/>
      <c r="BM290" s="1"/>
      <c r="BN290" s="1"/>
    </row>
    <row r="291" spans="1:66" ht="15.75" customHeight="1" x14ac:dyDescent="0.25">
      <c r="A291" s="43"/>
      <c r="B291" s="50"/>
      <c r="C291" s="51"/>
      <c r="D291" s="43"/>
      <c r="E291" s="43"/>
      <c r="F291" s="43"/>
      <c r="G291" s="44"/>
      <c r="H291" s="23"/>
      <c r="I291" s="43"/>
      <c r="J291" s="43"/>
      <c r="K291" s="45"/>
      <c r="L291" s="46"/>
      <c r="M291" s="46"/>
      <c r="N291" s="46"/>
      <c r="O291" s="46"/>
      <c r="P291" s="46"/>
      <c r="Q291" s="46"/>
      <c r="R291" s="46"/>
      <c r="S291" s="46"/>
      <c r="T291" s="46"/>
      <c r="U291" s="46"/>
      <c r="V291" s="46"/>
      <c r="W291" s="46"/>
      <c r="X291" s="46"/>
      <c r="Y291" s="46"/>
      <c r="Z291" s="46"/>
      <c r="AA291" s="46"/>
      <c r="AB291" s="46"/>
      <c r="AC291" s="46"/>
      <c r="AD291" s="46"/>
      <c r="AE291" s="46"/>
      <c r="AF291" s="46"/>
      <c r="AG291" s="46"/>
      <c r="AH291" s="46"/>
      <c r="AI291" s="46"/>
      <c r="AJ291" s="46"/>
      <c r="AK291" s="46"/>
      <c r="AL291" s="47"/>
      <c r="AM291" s="47"/>
      <c r="AN291" s="47"/>
      <c r="AO291" s="47"/>
      <c r="AP291" s="47"/>
      <c r="AQ291" s="48"/>
      <c r="AR291" s="49"/>
      <c r="AS291" s="49"/>
      <c r="AT291" s="49"/>
      <c r="AU291" s="1"/>
      <c r="AV291" s="1"/>
      <c r="AW291" s="1"/>
      <c r="AX291" s="1"/>
      <c r="AY291" s="1"/>
      <c r="AZ291" s="1"/>
      <c r="BA291" s="1"/>
      <c r="BB291" s="1"/>
      <c r="BC291" s="1"/>
      <c r="BD291" s="1"/>
      <c r="BE291" s="1"/>
      <c r="BF291" s="1"/>
      <c r="BG291" s="1"/>
      <c r="BH291" s="1"/>
      <c r="BI291" s="1"/>
      <c r="BJ291" s="1"/>
      <c r="BK291" s="1"/>
      <c r="BL291" s="1"/>
      <c r="BM291" s="1"/>
      <c r="BN291" s="1"/>
    </row>
    <row r="292" spans="1:66" ht="15.75" customHeight="1" x14ac:dyDescent="0.25">
      <c r="A292" s="43"/>
      <c r="B292" s="50"/>
      <c r="C292" s="51"/>
      <c r="D292" s="43"/>
      <c r="E292" s="43"/>
      <c r="F292" s="43"/>
      <c r="G292" s="44"/>
      <c r="H292" s="23"/>
      <c r="I292" s="43"/>
      <c r="J292" s="43"/>
      <c r="K292" s="45"/>
      <c r="L292" s="46"/>
      <c r="M292" s="46"/>
      <c r="N292" s="46"/>
      <c r="O292" s="46"/>
      <c r="P292" s="46"/>
      <c r="Q292" s="46"/>
      <c r="R292" s="46"/>
      <c r="S292" s="46"/>
      <c r="T292" s="46"/>
      <c r="U292" s="46"/>
      <c r="V292" s="46"/>
      <c r="W292" s="46"/>
      <c r="X292" s="46"/>
      <c r="Y292" s="46"/>
      <c r="Z292" s="46"/>
      <c r="AA292" s="46"/>
      <c r="AB292" s="46"/>
      <c r="AC292" s="46"/>
      <c r="AD292" s="46"/>
      <c r="AE292" s="46"/>
      <c r="AF292" s="46"/>
      <c r="AG292" s="46"/>
      <c r="AH292" s="46"/>
      <c r="AI292" s="46"/>
      <c r="AJ292" s="46"/>
      <c r="AK292" s="46"/>
      <c r="AL292" s="47"/>
      <c r="AM292" s="47"/>
      <c r="AN292" s="47"/>
      <c r="AO292" s="47"/>
      <c r="AP292" s="47"/>
      <c r="AQ292" s="48"/>
      <c r="AR292" s="49"/>
      <c r="AS292" s="49"/>
      <c r="AT292" s="49"/>
      <c r="AU292" s="1"/>
      <c r="AV292" s="1"/>
      <c r="AW292" s="1"/>
      <c r="AX292" s="1"/>
      <c r="AY292" s="1"/>
      <c r="AZ292" s="1"/>
      <c r="BA292" s="1"/>
      <c r="BB292" s="1"/>
      <c r="BC292" s="1"/>
      <c r="BD292" s="1"/>
      <c r="BE292" s="1"/>
      <c r="BF292" s="1"/>
      <c r="BG292" s="1"/>
      <c r="BH292" s="1"/>
      <c r="BI292" s="1"/>
      <c r="BJ292" s="1"/>
      <c r="BK292" s="1"/>
      <c r="BL292" s="1"/>
      <c r="BM292" s="1"/>
      <c r="BN292" s="1"/>
    </row>
    <row r="293" spans="1:66" ht="15.75" customHeight="1" x14ac:dyDescent="0.25">
      <c r="A293" s="43"/>
      <c r="B293" s="50"/>
      <c r="C293" s="51"/>
      <c r="D293" s="43"/>
      <c r="E293" s="43"/>
      <c r="F293" s="43"/>
      <c r="G293" s="44"/>
      <c r="H293" s="23"/>
      <c r="I293" s="43"/>
      <c r="J293" s="43"/>
      <c r="K293" s="45"/>
      <c r="L293" s="46"/>
      <c r="M293" s="46"/>
      <c r="N293" s="46"/>
      <c r="O293" s="46"/>
      <c r="P293" s="46"/>
      <c r="Q293" s="46"/>
      <c r="R293" s="46"/>
      <c r="S293" s="46"/>
      <c r="T293" s="46"/>
      <c r="U293" s="46"/>
      <c r="V293" s="46"/>
      <c r="W293" s="46"/>
      <c r="X293" s="46"/>
      <c r="Y293" s="46"/>
      <c r="Z293" s="46"/>
      <c r="AA293" s="46"/>
      <c r="AB293" s="46"/>
      <c r="AC293" s="46"/>
      <c r="AD293" s="46"/>
      <c r="AE293" s="46"/>
      <c r="AF293" s="46"/>
      <c r="AG293" s="46"/>
      <c r="AH293" s="46"/>
      <c r="AI293" s="46"/>
      <c r="AJ293" s="46"/>
      <c r="AK293" s="46"/>
      <c r="AL293" s="47"/>
      <c r="AM293" s="47"/>
      <c r="AN293" s="47"/>
      <c r="AO293" s="47"/>
      <c r="AP293" s="47"/>
      <c r="AQ293" s="48"/>
      <c r="AR293" s="49"/>
      <c r="AS293" s="49"/>
      <c r="AT293" s="49"/>
      <c r="AU293" s="1"/>
      <c r="AV293" s="1"/>
      <c r="AW293" s="1"/>
      <c r="AX293" s="1"/>
      <c r="AY293" s="1"/>
      <c r="AZ293" s="1"/>
      <c r="BA293" s="1"/>
      <c r="BB293" s="1"/>
      <c r="BC293" s="1"/>
      <c r="BD293" s="1"/>
      <c r="BE293" s="1"/>
      <c r="BF293" s="1"/>
      <c r="BG293" s="1"/>
      <c r="BH293" s="1"/>
      <c r="BI293" s="1"/>
      <c r="BJ293" s="1"/>
      <c r="BK293" s="1"/>
      <c r="BL293" s="1"/>
      <c r="BM293" s="1"/>
      <c r="BN293" s="1"/>
    </row>
    <row r="294" spans="1:66" ht="15.75" customHeight="1" x14ac:dyDescent="0.25">
      <c r="A294" s="43"/>
      <c r="B294" s="50"/>
      <c r="C294" s="51"/>
      <c r="D294" s="43"/>
      <c r="E294" s="43"/>
      <c r="F294" s="43"/>
      <c r="G294" s="44"/>
      <c r="H294" s="23"/>
      <c r="I294" s="43"/>
      <c r="J294" s="43"/>
      <c r="K294" s="45"/>
      <c r="L294" s="46"/>
      <c r="M294" s="46"/>
      <c r="N294" s="46"/>
      <c r="O294" s="46"/>
      <c r="P294" s="46"/>
      <c r="Q294" s="46"/>
      <c r="R294" s="46"/>
      <c r="S294" s="46"/>
      <c r="T294" s="46"/>
      <c r="U294" s="46"/>
      <c r="V294" s="46"/>
      <c r="W294" s="46"/>
      <c r="X294" s="46"/>
      <c r="Y294" s="46"/>
      <c r="Z294" s="46"/>
      <c r="AA294" s="46"/>
      <c r="AB294" s="46"/>
      <c r="AC294" s="46"/>
      <c r="AD294" s="46"/>
      <c r="AE294" s="46"/>
      <c r="AF294" s="46"/>
      <c r="AG294" s="46"/>
      <c r="AH294" s="46"/>
      <c r="AI294" s="46"/>
      <c r="AJ294" s="46"/>
      <c r="AK294" s="46"/>
      <c r="AL294" s="47"/>
      <c r="AM294" s="47"/>
      <c r="AN294" s="47"/>
      <c r="AO294" s="47"/>
      <c r="AP294" s="47"/>
      <c r="AQ294" s="48"/>
      <c r="AR294" s="49"/>
      <c r="AS294" s="49"/>
      <c r="AT294" s="49"/>
      <c r="AU294" s="1"/>
      <c r="AV294" s="1"/>
      <c r="AW294" s="1"/>
      <c r="AX294" s="1"/>
      <c r="AY294" s="1"/>
      <c r="AZ294" s="1"/>
      <c r="BA294" s="1"/>
      <c r="BB294" s="1"/>
      <c r="BC294" s="1"/>
      <c r="BD294" s="1"/>
      <c r="BE294" s="1"/>
      <c r="BF294" s="1"/>
      <c r="BG294" s="1"/>
      <c r="BH294" s="1"/>
      <c r="BI294" s="1"/>
      <c r="BJ294" s="1"/>
      <c r="BK294" s="1"/>
      <c r="BL294" s="1"/>
      <c r="BM294" s="1"/>
      <c r="BN294" s="1"/>
    </row>
    <row r="295" spans="1:66" ht="15.75" customHeight="1" x14ac:dyDescent="0.25">
      <c r="A295" s="43"/>
      <c r="B295" s="50"/>
      <c r="C295" s="51"/>
      <c r="D295" s="43"/>
      <c r="E295" s="43"/>
      <c r="F295" s="43"/>
      <c r="G295" s="44"/>
      <c r="H295" s="23"/>
      <c r="I295" s="43"/>
      <c r="J295" s="43"/>
      <c r="K295" s="45"/>
      <c r="L295" s="46"/>
      <c r="M295" s="46"/>
      <c r="N295" s="46"/>
      <c r="O295" s="46"/>
      <c r="P295" s="46"/>
      <c r="Q295" s="46"/>
      <c r="R295" s="46"/>
      <c r="S295" s="46"/>
      <c r="T295" s="46"/>
      <c r="U295" s="46"/>
      <c r="V295" s="46"/>
      <c r="W295" s="46"/>
      <c r="X295" s="46"/>
      <c r="Y295" s="46"/>
      <c r="Z295" s="46"/>
      <c r="AA295" s="46"/>
      <c r="AB295" s="46"/>
      <c r="AC295" s="46"/>
      <c r="AD295" s="46"/>
      <c r="AE295" s="46"/>
      <c r="AF295" s="46"/>
      <c r="AG295" s="46"/>
      <c r="AH295" s="46"/>
      <c r="AI295" s="46"/>
      <c r="AJ295" s="46"/>
      <c r="AK295" s="46"/>
      <c r="AL295" s="47"/>
      <c r="AM295" s="47"/>
      <c r="AN295" s="47"/>
      <c r="AO295" s="47"/>
      <c r="AP295" s="47"/>
      <c r="AQ295" s="48"/>
      <c r="AR295" s="49"/>
      <c r="AS295" s="49"/>
      <c r="AT295" s="49"/>
      <c r="AU295" s="1"/>
      <c r="AV295" s="1"/>
      <c r="AW295" s="1"/>
      <c r="AX295" s="1"/>
      <c r="AY295" s="1"/>
      <c r="AZ295" s="1"/>
      <c r="BA295" s="1"/>
      <c r="BB295" s="1"/>
      <c r="BC295" s="1"/>
      <c r="BD295" s="1"/>
      <c r="BE295" s="1"/>
      <c r="BF295" s="1"/>
      <c r="BG295" s="1"/>
      <c r="BH295" s="1"/>
      <c r="BI295" s="1"/>
      <c r="BJ295" s="1"/>
      <c r="BK295" s="1"/>
      <c r="BL295" s="1"/>
      <c r="BM295" s="1"/>
      <c r="BN295" s="1"/>
    </row>
    <row r="296" spans="1:66" ht="15.75" customHeight="1" x14ac:dyDescent="0.25">
      <c r="A296" s="43"/>
      <c r="B296" s="50"/>
      <c r="C296" s="51"/>
      <c r="D296" s="43"/>
      <c r="E296" s="43"/>
      <c r="F296" s="43"/>
      <c r="G296" s="44"/>
      <c r="H296" s="23"/>
      <c r="I296" s="43"/>
      <c r="J296" s="43"/>
      <c r="K296" s="45"/>
      <c r="L296" s="46"/>
      <c r="M296" s="46"/>
      <c r="N296" s="46"/>
      <c r="O296" s="46"/>
      <c r="P296" s="46"/>
      <c r="Q296" s="46"/>
      <c r="R296" s="46"/>
      <c r="S296" s="46"/>
      <c r="T296" s="46"/>
      <c r="U296" s="46"/>
      <c r="V296" s="46"/>
      <c r="W296" s="46"/>
      <c r="X296" s="46"/>
      <c r="Y296" s="46"/>
      <c r="Z296" s="46"/>
      <c r="AA296" s="46"/>
      <c r="AB296" s="46"/>
      <c r="AC296" s="46"/>
      <c r="AD296" s="46"/>
      <c r="AE296" s="46"/>
      <c r="AF296" s="46"/>
      <c r="AG296" s="46"/>
      <c r="AH296" s="46"/>
      <c r="AI296" s="46"/>
      <c r="AJ296" s="46"/>
      <c r="AK296" s="46"/>
      <c r="AL296" s="47"/>
      <c r="AM296" s="47"/>
      <c r="AN296" s="47"/>
      <c r="AO296" s="47"/>
      <c r="AP296" s="47"/>
      <c r="AQ296" s="48"/>
      <c r="AR296" s="49"/>
      <c r="AS296" s="49"/>
      <c r="AT296" s="49"/>
      <c r="AU296" s="1"/>
      <c r="AV296" s="1"/>
      <c r="AW296" s="1"/>
      <c r="AX296" s="1"/>
      <c r="AY296" s="1"/>
      <c r="AZ296" s="1"/>
      <c r="BA296" s="1"/>
      <c r="BB296" s="1"/>
      <c r="BC296" s="1"/>
      <c r="BD296" s="1"/>
      <c r="BE296" s="1"/>
      <c r="BF296" s="1"/>
      <c r="BG296" s="1"/>
      <c r="BH296" s="1"/>
      <c r="BI296" s="1"/>
      <c r="BJ296" s="1"/>
      <c r="BK296" s="1"/>
      <c r="BL296" s="1"/>
      <c r="BM296" s="1"/>
      <c r="BN296" s="1"/>
    </row>
    <row r="297" spans="1:66" ht="15.75" customHeight="1" x14ac:dyDescent="0.25">
      <c r="A297" s="43"/>
      <c r="B297" s="50"/>
      <c r="C297" s="51"/>
      <c r="D297" s="43"/>
      <c r="E297" s="43"/>
      <c r="F297" s="43"/>
      <c r="G297" s="44"/>
      <c r="H297" s="23"/>
      <c r="I297" s="43"/>
      <c r="J297" s="43"/>
      <c r="K297" s="45"/>
      <c r="L297" s="46"/>
      <c r="M297" s="46"/>
      <c r="N297" s="46"/>
      <c r="O297" s="46"/>
      <c r="P297" s="46"/>
      <c r="Q297" s="46"/>
      <c r="R297" s="46"/>
      <c r="S297" s="46"/>
      <c r="T297" s="46"/>
      <c r="U297" s="46"/>
      <c r="V297" s="46"/>
      <c r="W297" s="46"/>
      <c r="X297" s="46"/>
      <c r="Y297" s="46"/>
      <c r="Z297" s="46"/>
      <c r="AA297" s="46"/>
      <c r="AB297" s="46"/>
      <c r="AC297" s="46"/>
      <c r="AD297" s="46"/>
      <c r="AE297" s="46"/>
      <c r="AF297" s="46"/>
      <c r="AG297" s="46"/>
      <c r="AH297" s="46"/>
      <c r="AI297" s="46"/>
      <c r="AJ297" s="46"/>
      <c r="AK297" s="46"/>
      <c r="AL297" s="47"/>
      <c r="AM297" s="47"/>
      <c r="AN297" s="47"/>
      <c r="AO297" s="47"/>
      <c r="AP297" s="47"/>
      <c r="AQ297" s="48"/>
      <c r="AR297" s="49"/>
      <c r="AS297" s="49"/>
      <c r="AT297" s="49"/>
      <c r="AU297" s="1"/>
      <c r="AV297" s="1"/>
      <c r="AW297" s="1"/>
      <c r="AX297" s="1"/>
      <c r="AY297" s="1"/>
      <c r="AZ297" s="1"/>
      <c r="BA297" s="1"/>
      <c r="BB297" s="1"/>
      <c r="BC297" s="1"/>
      <c r="BD297" s="1"/>
      <c r="BE297" s="1"/>
      <c r="BF297" s="1"/>
      <c r="BG297" s="1"/>
      <c r="BH297" s="1"/>
      <c r="BI297" s="1"/>
      <c r="BJ297" s="1"/>
      <c r="BK297" s="1"/>
      <c r="BL297" s="1"/>
      <c r="BM297" s="1"/>
      <c r="BN297" s="1"/>
    </row>
    <row r="298" spans="1:66" ht="15.75" customHeight="1" x14ac:dyDescent="0.25">
      <c r="A298" s="43"/>
      <c r="B298" s="50"/>
      <c r="C298" s="51"/>
      <c r="D298" s="43"/>
      <c r="E298" s="43"/>
      <c r="F298" s="43"/>
      <c r="G298" s="44"/>
      <c r="H298" s="23"/>
      <c r="I298" s="43"/>
      <c r="J298" s="43"/>
      <c r="K298" s="45"/>
      <c r="L298" s="46"/>
      <c r="M298" s="46"/>
      <c r="N298" s="46"/>
      <c r="O298" s="46"/>
      <c r="P298" s="46"/>
      <c r="Q298" s="46"/>
      <c r="R298" s="46"/>
      <c r="S298" s="46"/>
      <c r="T298" s="46"/>
      <c r="U298" s="46"/>
      <c r="V298" s="46"/>
      <c r="W298" s="46"/>
      <c r="X298" s="46"/>
      <c r="Y298" s="46"/>
      <c r="Z298" s="46"/>
      <c r="AA298" s="46"/>
      <c r="AB298" s="46"/>
      <c r="AC298" s="46"/>
      <c r="AD298" s="46"/>
      <c r="AE298" s="46"/>
      <c r="AF298" s="46"/>
      <c r="AG298" s="46"/>
      <c r="AH298" s="46"/>
      <c r="AI298" s="46"/>
      <c r="AJ298" s="46"/>
      <c r="AK298" s="46"/>
      <c r="AL298" s="47"/>
      <c r="AM298" s="47"/>
      <c r="AN298" s="47"/>
      <c r="AO298" s="47"/>
      <c r="AP298" s="47"/>
      <c r="AQ298" s="48"/>
      <c r="AR298" s="49"/>
      <c r="AS298" s="49"/>
      <c r="AT298" s="49"/>
      <c r="AU298" s="1"/>
      <c r="AV298" s="1"/>
      <c r="AW298" s="1"/>
      <c r="AX298" s="1"/>
      <c r="AY298" s="1"/>
      <c r="AZ298" s="1"/>
      <c r="BA298" s="1"/>
      <c r="BB298" s="1"/>
      <c r="BC298" s="1"/>
      <c r="BD298" s="1"/>
      <c r="BE298" s="1"/>
      <c r="BF298" s="1"/>
      <c r="BG298" s="1"/>
      <c r="BH298" s="1"/>
      <c r="BI298" s="1"/>
      <c r="BJ298" s="1"/>
      <c r="BK298" s="1"/>
      <c r="BL298" s="1"/>
      <c r="BM298" s="1"/>
      <c r="BN298" s="1"/>
    </row>
    <row r="299" spans="1:66" ht="15.75" customHeight="1" x14ac:dyDescent="0.25">
      <c r="A299" s="43"/>
      <c r="B299" s="50"/>
      <c r="C299" s="51"/>
      <c r="D299" s="43"/>
      <c r="E299" s="43"/>
      <c r="F299" s="43"/>
      <c r="G299" s="44"/>
      <c r="H299" s="23"/>
      <c r="I299" s="43"/>
      <c r="J299" s="43"/>
      <c r="K299" s="45"/>
      <c r="L299" s="46"/>
      <c r="M299" s="46"/>
      <c r="N299" s="46"/>
      <c r="O299" s="46"/>
      <c r="P299" s="46"/>
      <c r="Q299" s="46"/>
      <c r="R299" s="46"/>
      <c r="S299" s="46"/>
      <c r="T299" s="46"/>
      <c r="U299" s="46"/>
      <c r="V299" s="46"/>
      <c r="W299" s="46"/>
      <c r="X299" s="46"/>
      <c r="Y299" s="46"/>
      <c r="Z299" s="46"/>
      <c r="AA299" s="46"/>
      <c r="AB299" s="46"/>
      <c r="AC299" s="46"/>
      <c r="AD299" s="46"/>
      <c r="AE299" s="46"/>
      <c r="AF299" s="46"/>
      <c r="AG299" s="46"/>
      <c r="AH299" s="46"/>
      <c r="AI299" s="46"/>
      <c r="AJ299" s="46"/>
      <c r="AK299" s="46"/>
      <c r="AL299" s="47"/>
      <c r="AM299" s="47"/>
      <c r="AN299" s="47"/>
      <c r="AO299" s="47"/>
      <c r="AP299" s="47"/>
      <c r="AQ299" s="48"/>
      <c r="AR299" s="49"/>
      <c r="AS299" s="49"/>
      <c r="AT299" s="49"/>
      <c r="AU299" s="1"/>
      <c r="AV299" s="1"/>
      <c r="AW299" s="1"/>
      <c r="AX299" s="1"/>
      <c r="AY299" s="1"/>
      <c r="AZ299" s="1"/>
      <c r="BA299" s="1"/>
      <c r="BB299" s="1"/>
      <c r="BC299" s="1"/>
      <c r="BD299" s="1"/>
      <c r="BE299" s="1"/>
      <c r="BF299" s="1"/>
      <c r="BG299" s="1"/>
      <c r="BH299" s="1"/>
      <c r="BI299" s="1"/>
      <c r="BJ299" s="1"/>
      <c r="BK299" s="1"/>
      <c r="BL299" s="1"/>
      <c r="BM299" s="1"/>
      <c r="BN299" s="1"/>
    </row>
    <row r="300" spans="1:66" ht="15.75" customHeight="1" x14ac:dyDescent="0.25">
      <c r="A300" s="43"/>
      <c r="B300" s="50"/>
      <c r="C300" s="51"/>
      <c r="D300" s="43"/>
      <c r="E300" s="43"/>
      <c r="F300" s="43"/>
      <c r="G300" s="44"/>
      <c r="H300" s="23"/>
      <c r="I300" s="43"/>
      <c r="J300" s="43"/>
      <c r="K300" s="45"/>
      <c r="L300" s="46"/>
      <c r="M300" s="46"/>
      <c r="N300" s="46"/>
      <c r="O300" s="46"/>
      <c r="P300" s="46"/>
      <c r="Q300" s="46"/>
      <c r="R300" s="46"/>
      <c r="S300" s="46"/>
      <c r="T300" s="46"/>
      <c r="U300" s="46"/>
      <c r="V300" s="46"/>
      <c r="W300" s="46"/>
      <c r="X300" s="46"/>
      <c r="Y300" s="46"/>
      <c r="Z300" s="46"/>
      <c r="AA300" s="46"/>
      <c r="AB300" s="46"/>
      <c r="AC300" s="46"/>
      <c r="AD300" s="46"/>
      <c r="AE300" s="46"/>
      <c r="AF300" s="46"/>
      <c r="AG300" s="46"/>
      <c r="AH300" s="46"/>
      <c r="AI300" s="46"/>
      <c r="AJ300" s="46"/>
      <c r="AK300" s="46"/>
      <c r="AL300" s="47"/>
      <c r="AM300" s="47"/>
      <c r="AN300" s="47"/>
      <c r="AO300" s="47"/>
      <c r="AP300" s="47"/>
      <c r="AQ300" s="48"/>
      <c r="AR300" s="49"/>
      <c r="AS300" s="49"/>
      <c r="AT300" s="49"/>
      <c r="AU300" s="1"/>
      <c r="AV300" s="1"/>
      <c r="AW300" s="1"/>
      <c r="AX300" s="1"/>
      <c r="AY300" s="1"/>
      <c r="AZ300" s="1"/>
      <c r="BA300" s="1"/>
      <c r="BB300" s="1"/>
      <c r="BC300" s="1"/>
      <c r="BD300" s="1"/>
      <c r="BE300" s="1"/>
      <c r="BF300" s="1"/>
      <c r="BG300" s="1"/>
      <c r="BH300" s="1"/>
      <c r="BI300" s="1"/>
      <c r="BJ300" s="1"/>
      <c r="BK300" s="1"/>
      <c r="BL300" s="1"/>
      <c r="BM300" s="1"/>
      <c r="BN300" s="1"/>
    </row>
    <row r="301" spans="1:66" ht="15.75" customHeight="1" x14ac:dyDescent="0.25">
      <c r="A301" s="43"/>
      <c r="B301" s="50"/>
      <c r="C301" s="51"/>
      <c r="D301" s="43"/>
      <c r="E301" s="43"/>
      <c r="F301" s="43"/>
      <c r="G301" s="44"/>
      <c r="H301" s="23"/>
      <c r="I301" s="43"/>
      <c r="J301" s="43"/>
      <c r="K301" s="45"/>
      <c r="L301" s="46"/>
      <c r="M301" s="46"/>
      <c r="N301" s="46"/>
      <c r="O301" s="46"/>
      <c r="P301" s="46"/>
      <c r="Q301" s="46"/>
      <c r="R301" s="46"/>
      <c r="S301" s="46"/>
      <c r="T301" s="46"/>
      <c r="U301" s="46"/>
      <c r="V301" s="46"/>
      <c r="W301" s="46"/>
      <c r="X301" s="46"/>
      <c r="Y301" s="46"/>
      <c r="Z301" s="46"/>
      <c r="AA301" s="46"/>
      <c r="AB301" s="46"/>
      <c r="AC301" s="46"/>
      <c r="AD301" s="46"/>
      <c r="AE301" s="46"/>
      <c r="AF301" s="46"/>
      <c r="AG301" s="46"/>
      <c r="AH301" s="46"/>
      <c r="AI301" s="46"/>
      <c r="AJ301" s="46"/>
      <c r="AK301" s="46"/>
      <c r="AL301" s="47"/>
      <c r="AM301" s="47"/>
      <c r="AN301" s="47"/>
      <c r="AO301" s="47"/>
      <c r="AP301" s="47"/>
      <c r="AQ301" s="48"/>
      <c r="AR301" s="49"/>
      <c r="AS301" s="49"/>
      <c r="AT301" s="49"/>
      <c r="AU301" s="1"/>
      <c r="AV301" s="1"/>
      <c r="AW301" s="1"/>
      <c r="AX301" s="1"/>
      <c r="AY301" s="1"/>
      <c r="AZ301" s="1"/>
      <c r="BA301" s="1"/>
      <c r="BB301" s="1"/>
      <c r="BC301" s="1"/>
      <c r="BD301" s="1"/>
      <c r="BE301" s="1"/>
      <c r="BF301" s="1"/>
      <c r="BG301" s="1"/>
      <c r="BH301" s="1"/>
      <c r="BI301" s="1"/>
      <c r="BJ301" s="1"/>
      <c r="BK301" s="1"/>
      <c r="BL301" s="1"/>
      <c r="BM301" s="1"/>
      <c r="BN301" s="1"/>
    </row>
    <row r="302" spans="1:66" ht="15.75" customHeight="1" x14ac:dyDescent="0.25">
      <c r="A302" s="43"/>
      <c r="B302" s="50"/>
      <c r="C302" s="51"/>
      <c r="D302" s="43"/>
      <c r="E302" s="43"/>
      <c r="F302" s="43"/>
      <c r="G302" s="44"/>
      <c r="H302" s="23"/>
      <c r="I302" s="43"/>
      <c r="J302" s="43"/>
      <c r="K302" s="45"/>
      <c r="L302" s="46"/>
      <c r="M302" s="46"/>
      <c r="N302" s="46"/>
      <c r="O302" s="46"/>
      <c r="P302" s="46"/>
      <c r="Q302" s="46"/>
      <c r="R302" s="46"/>
      <c r="S302" s="46"/>
      <c r="T302" s="46"/>
      <c r="U302" s="46"/>
      <c r="V302" s="46"/>
      <c r="W302" s="46"/>
      <c r="X302" s="46"/>
      <c r="Y302" s="46"/>
      <c r="Z302" s="46"/>
      <c r="AA302" s="46"/>
      <c r="AB302" s="46"/>
      <c r="AC302" s="46"/>
      <c r="AD302" s="46"/>
      <c r="AE302" s="46"/>
      <c r="AF302" s="46"/>
      <c r="AG302" s="46"/>
      <c r="AH302" s="46"/>
      <c r="AI302" s="46"/>
      <c r="AJ302" s="46"/>
      <c r="AK302" s="46"/>
      <c r="AL302" s="47"/>
      <c r="AM302" s="47"/>
      <c r="AN302" s="47"/>
      <c r="AO302" s="47"/>
      <c r="AP302" s="47"/>
      <c r="AQ302" s="48"/>
      <c r="AR302" s="49"/>
      <c r="AS302" s="49"/>
      <c r="AT302" s="49"/>
      <c r="AU302" s="1"/>
      <c r="AV302" s="1"/>
      <c r="AW302" s="1"/>
      <c r="AX302" s="1"/>
      <c r="AY302" s="1"/>
      <c r="AZ302" s="1"/>
      <c r="BA302" s="1"/>
      <c r="BB302" s="1"/>
      <c r="BC302" s="1"/>
      <c r="BD302" s="1"/>
      <c r="BE302" s="1"/>
      <c r="BF302" s="1"/>
      <c r="BG302" s="1"/>
      <c r="BH302" s="1"/>
      <c r="BI302" s="1"/>
      <c r="BJ302" s="1"/>
      <c r="BK302" s="1"/>
      <c r="BL302" s="1"/>
      <c r="BM302" s="1"/>
      <c r="BN302" s="1"/>
    </row>
    <row r="303" spans="1:66" ht="15.75" customHeight="1" x14ac:dyDescent="0.25">
      <c r="A303" s="43"/>
      <c r="B303" s="50"/>
      <c r="C303" s="51"/>
      <c r="D303" s="43"/>
      <c r="E303" s="43"/>
      <c r="F303" s="43"/>
      <c r="G303" s="44"/>
      <c r="H303" s="23"/>
      <c r="I303" s="43"/>
      <c r="J303" s="43"/>
      <c r="K303" s="45"/>
      <c r="L303" s="46"/>
      <c r="M303" s="46"/>
      <c r="N303" s="46"/>
      <c r="O303" s="46"/>
      <c r="P303" s="46"/>
      <c r="Q303" s="46"/>
      <c r="R303" s="46"/>
      <c r="S303" s="46"/>
      <c r="T303" s="46"/>
      <c r="U303" s="46"/>
      <c r="V303" s="46"/>
      <c r="W303" s="46"/>
      <c r="X303" s="46"/>
      <c r="Y303" s="46"/>
      <c r="Z303" s="46"/>
      <c r="AA303" s="46"/>
      <c r="AB303" s="46"/>
      <c r="AC303" s="46"/>
      <c r="AD303" s="46"/>
      <c r="AE303" s="46"/>
      <c r="AF303" s="46"/>
      <c r="AG303" s="46"/>
      <c r="AH303" s="46"/>
      <c r="AI303" s="46"/>
      <c r="AJ303" s="46"/>
      <c r="AK303" s="46"/>
      <c r="AL303" s="47"/>
      <c r="AM303" s="47"/>
      <c r="AN303" s="47"/>
      <c r="AO303" s="47"/>
      <c r="AP303" s="47"/>
      <c r="AQ303" s="48"/>
      <c r="AR303" s="49"/>
      <c r="AS303" s="49"/>
      <c r="AT303" s="49"/>
      <c r="AU303" s="1"/>
      <c r="AV303" s="1"/>
      <c r="AW303" s="1"/>
      <c r="AX303" s="1"/>
      <c r="AY303" s="1"/>
      <c r="AZ303" s="1"/>
      <c r="BA303" s="1"/>
      <c r="BB303" s="1"/>
      <c r="BC303" s="1"/>
      <c r="BD303" s="1"/>
      <c r="BE303" s="1"/>
      <c r="BF303" s="1"/>
      <c r="BG303" s="1"/>
      <c r="BH303" s="1"/>
      <c r="BI303" s="1"/>
      <c r="BJ303" s="1"/>
      <c r="BK303" s="1"/>
      <c r="BL303" s="1"/>
      <c r="BM303" s="1"/>
      <c r="BN303" s="1"/>
    </row>
    <row r="304" spans="1:66" ht="15.75" customHeight="1" x14ac:dyDescent="0.25">
      <c r="A304" s="43"/>
      <c r="B304" s="50"/>
      <c r="C304" s="51"/>
      <c r="D304" s="43"/>
      <c r="E304" s="43"/>
      <c r="F304" s="43"/>
      <c r="G304" s="44"/>
      <c r="H304" s="23"/>
      <c r="I304" s="43"/>
      <c r="J304" s="43"/>
      <c r="K304" s="45"/>
      <c r="L304" s="46"/>
      <c r="M304" s="46"/>
      <c r="N304" s="46"/>
      <c r="O304" s="46"/>
      <c r="P304" s="46"/>
      <c r="Q304" s="46"/>
      <c r="R304" s="46"/>
      <c r="S304" s="46"/>
      <c r="T304" s="46"/>
      <c r="U304" s="46"/>
      <c r="V304" s="46"/>
      <c r="W304" s="46"/>
      <c r="X304" s="46"/>
      <c r="Y304" s="46"/>
      <c r="Z304" s="46"/>
      <c r="AA304" s="46"/>
      <c r="AB304" s="46"/>
      <c r="AC304" s="46"/>
      <c r="AD304" s="46"/>
      <c r="AE304" s="46"/>
      <c r="AF304" s="46"/>
      <c r="AG304" s="46"/>
      <c r="AH304" s="46"/>
      <c r="AI304" s="46"/>
      <c r="AJ304" s="46"/>
      <c r="AK304" s="46"/>
      <c r="AL304" s="47"/>
      <c r="AM304" s="47"/>
      <c r="AN304" s="47"/>
      <c r="AO304" s="47"/>
      <c r="AP304" s="47"/>
      <c r="AQ304" s="48"/>
      <c r="AR304" s="49"/>
      <c r="AS304" s="49"/>
      <c r="AT304" s="49"/>
      <c r="AU304" s="1"/>
      <c r="AV304" s="1"/>
      <c r="AW304" s="1"/>
      <c r="AX304" s="1"/>
      <c r="AY304" s="1"/>
      <c r="AZ304" s="1"/>
      <c r="BA304" s="1"/>
      <c r="BB304" s="1"/>
      <c r="BC304" s="1"/>
      <c r="BD304" s="1"/>
      <c r="BE304" s="1"/>
      <c r="BF304" s="1"/>
      <c r="BG304" s="1"/>
      <c r="BH304" s="1"/>
      <c r="BI304" s="1"/>
      <c r="BJ304" s="1"/>
      <c r="BK304" s="1"/>
      <c r="BL304" s="1"/>
      <c r="BM304" s="1"/>
      <c r="BN304" s="1"/>
    </row>
    <row r="305" spans="1:66" ht="15.75" customHeight="1" x14ac:dyDescent="0.25">
      <c r="A305" s="43"/>
      <c r="B305" s="50"/>
      <c r="C305" s="51"/>
      <c r="D305" s="43"/>
      <c r="E305" s="43"/>
      <c r="F305" s="43"/>
      <c r="G305" s="44"/>
      <c r="H305" s="23"/>
      <c r="I305" s="43"/>
      <c r="J305" s="43"/>
      <c r="K305" s="45"/>
      <c r="L305" s="46"/>
      <c r="M305" s="46"/>
      <c r="N305" s="46"/>
      <c r="O305" s="46"/>
      <c r="P305" s="46"/>
      <c r="Q305" s="46"/>
      <c r="R305" s="46"/>
      <c r="S305" s="46"/>
      <c r="T305" s="46"/>
      <c r="U305" s="46"/>
      <c r="V305" s="46"/>
      <c r="W305" s="46"/>
      <c r="X305" s="46"/>
      <c r="Y305" s="46"/>
      <c r="Z305" s="46"/>
      <c r="AA305" s="46"/>
      <c r="AB305" s="46"/>
      <c r="AC305" s="46"/>
      <c r="AD305" s="46"/>
      <c r="AE305" s="46"/>
      <c r="AF305" s="46"/>
      <c r="AG305" s="46"/>
      <c r="AH305" s="46"/>
      <c r="AI305" s="46"/>
      <c r="AJ305" s="46"/>
      <c r="AK305" s="46"/>
      <c r="AL305" s="47"/>
      <c r="AM305" s="47"/>
      <c r="AN305" s="47"/>
      <c r="AO305" s="47"/>
      <c r="AP305" s="47"/>
      <c r="AQ305" s="48"/>
      <c r="AR305" s="49"/>
      <c r="AS305" s="49"/>
      <c r="AT305" s="49"/>
      <c r="AU305" s="1"/>
      <c r="AV305" s="1"/>
      <c r="AW305" s="1"/>
      <c r="AX305" s="1"/>
      <c r="AY305" s="1"/>
      <c r="AZ305" s="1"/>
      <c r="BA305" s="1"/>
      <c r="BB305" s="1"/>
      <c r="BC305" s="1"/>
      <c r="BD305" s="1"/>
      <c r="BE305" s="1"/>
      <c r="BF305" s="1"/>
      <c r="BG305" s="1"/>
      <c r="BH305" s="1"/>
      <c r="BI305" s="1"/>
      <c r="BJ305" s="1"/>
      <c r="BK305" s="1"/>
      <c r="BL305" s="1"/>
      <c r="BM305" s="1"/>
      <c r="BN305" s="1"/>
    </row>
    <row r="306" spans="1:66" ht="15.75" customHeight="1" x14ac:dyDescent="0.25">
      <c r="A306" s="43"/>
      <c r="B306" s="50"/>
      <c r="C306" s="51"/>
      <c r="D306" s="43"/>
      <c r="E306" s="43"/>
      <c r="F306" s="43"/>
      <c r="G306" s="44"/>
      <c r="H306" s="23"/>
      <c r="I306" s="43"/>
      <c r="J306" s="43"/>
      <c r="K306" s="45"/>
      <c r="L306" s="46"/>
      <c r="M306" s="46"/>
      <c r="N306" s="46"/>
      <c r="O306" s="46"/>
      <c r="P306" s="46"/>
      <c r="Q306" s="46"/>
      <c r="R306" s="46"/>
      <c r="S306" s="46"/>
      <c r="T306" s="46"/>
      <c r="U306" s="46"/>
      <c r="V306" s="46"/>
      <c r="W306" s="46"/>
      <c r="X306" s="46"/>
      <c r="Y306" s="46"/>
      <c r="Z306" s="46"/>
      <c r="AA306" s="46"/>
      <c r="AB306" s="46"/>
      <c r="AC306" s="46"/>
      <c r="AD306" s="46"/>
      <c r="AE306" s="46"/>
      <c r="AF306" s="46"/>
      <c r="AG306" s="46"/>
      <c r="AH306" s="46"/>
      <c r="AI306" s="46"/>
      <c r="AJ306" s="46"/>
      <c r="AK306" s="46"/>
      <c r="AL306" s="47"/>
      <c r="AM306" s="47"/>
      <c r="AN306" s="47"/>
      <c r="AO306" s="47"/>
      <c r="AP306" s="47"/>
      <c r="AQ306" s="48"/>
      <c r="AR306" s="49"/>
      <c r="AS306" s="49"/>
      <c r="AT306" s="49"/>
      <c r="AU306" s="1"/>
      <c r="AV306" s="1"/>
      <c r="AW306" s="1"/>
      <c r="AX306" s="1"/>
      <c r="AY306" s="1"/>
      <c r="AZ306" s="1"/>
      <c r="BA306" s="1"/>
      <c r="BB306" s="1"/>
      <c r="BC306" s="1"/>
      <c r="BD306" s="1"/>
      <c r="BE306" s="1"/>
      <c r="BF306" s="1"/>
      <c r="BG306" s="1"/>
      <c r="BH306" s="1"/>
      <c r="BI306" s="1"/>
      <c r="BJ306" s="1"/>
      <c r="BK306" s="1"/>
      <c r="BL306" s="1"/>
      <c r="BM306" s="1"/>
      <c r="BN306" s="1"/>
    </row>
    <row r="307" spans="1:66" ht="15.75" customHeight="1" x14ac:dyDescent="0.25">
      <c r="A307" s="43"/>
      <c r="B307" s="50"/>
      <c r="C307" s="51"/>
      <c r="D307" s="43"/>
      <c r="E307" s="43"/>
      <c r="F307" s="43"/>
      <c r="G307" s="44"/>
      <c r="H307" s="23"/>
      <c r="I307" s="43"/>
      <c r="J307" s="43"/>
      <c r="K307" s="45"/>
      <c r="L307" s="46"/>
      <c r="M307" s="46"/>
      <c r="N307" s="46"/>
      <c r="O307" s="46"/>
      <c r="P307" s="46"/>
      <c r="Q307" s="46"/>
      <c r="R307" s="46"/>
      <c r="S307" s="46"/>
      <c r="T307" s="46"/>
      <c r="U307" s="46"/>
      <c r="V307" s="46"/>
      <c r="W307" s="46"/>
      <c r="X307" s="46"/>
      <c r="Y307" s="46"/>
      <c r="Z307" s="46"/>
      <c r="AA307" s="46"/>
      <c r="AB307" s="46"/>
      <c r="AC307" s="46"/>
      <c r="AD307" s="46"/>
      <c r="AE307" s="46"/>
      <c r="AF307" s="46"/>
      <c r="AG307" s="46"/>
      <c r="AH307" s="46"/>
      <c r="AI307" s="46"/>
      <c r="AJ307" s="46"/>
      <c r="AK307" s="46"/>
      <c r="AL307" s="47"/>
      <c r="AM307" s="47"/>
      <c r="AN307" s="47"/>
      <c r="AO307" s="47"/>
      <c r="AP307" s="47"/>
      <c r="AQ307" s="48"/>
      <c r="AR307" s="49"/>
      <c r="AS307" s="49"/>
      <c r="AT307" s="49"/>
      <c r="AU307" s="1"/>
      <c r="AV307" s="1"/>
      <c r="AW307" s="1"/>
      <c r="AX307" s="1"/>
      <c r="AY307" s="1"/>
      <c r="AZ307" s="1"/>
      <c r="BA307" s="1"/>
      <c r="BB307" s="1"/>
      <c r="BC307" s="1"/>
      <c r="BD307" s="1"/>
      <c r="BE307" s="1"/>
      <c r="BF307" s="1"/>
      <c r="BG307" s="1"/>
      <c r="BH307" s="1"/>
      <c r="BI307" s="1"/>
      <c r="BJ307" s="1"/>
      <c r="BK307" s="1"/>
      <c r="BL307" s="1"/>
      <c r="BM307" s="1"/>
      <c r="BN307" s="1"/>
    </row>
    <row r="308" spans="1:66" ht="15.75" customHeight="1" x14ac:dyDescent="0.25">
      <c r="A308" s="43"/>
      <c r="B308" s="50"/>
      <c r="C308" s="51"/>
      <c r="D308" s="43"/>
      <c r="E308" s="43"/>
      <c r="F308" s="43"/>
      <c r="G308" s="44"/>
      <c r="H308" s="23"/>
      <c r="I308" s="43"/>
      <c r="J308" s="43"/>
      <c r="K308" s="45"/>
      <c r="L308" s="46"/>
      <c r="M308" s="46"/>
      <c r="N308" s="46"/>
      <c r="O308" s="46"/>
      <c r="P308" s="46"/>
      <c r="Q308" s="46"/>
      <c r="R308" s="46"/>
      <c r="S308" s="46"/>
      <c r="T308" s="46"/>
      <c r="U308" s="46"/>
      <c r="V308" s="46"/>
      <c r="W308" s="46"/>
      <c r="X308" s="46"/>
      <c r="Y308" s="46"/>
      <c r="Z308" s="46"/>
      <c r="AA308" s="46"/>
      <c r="AB308" s="46"/>
      <c r="AC308" s="46"/>
      <c r="AD308" s="46"/>
      <c r="AE308" s="46"/>
      <c r="AF308" s="46"/>
      <c r="AG308" s="46"/>
      <c r="AH308" s="46"/>
      <c r="AI308" s="46"/>
      <c r="AJ308" s="46"/>
      <c r="AK308" s="46"/>
      <c r="AL308" s="47"/>
      <c r="AM308" s="47"/>
      <c r="AN308" s="47"/>
      <c r="AO308" s="47"/>
      <c r="AP308" s="47"/>
      <c r="AQ308" s="48"/>
      <c r="AR308" s="49"/>
      <c r="AS308" s="49"/>
      <c r="AT308" s="49"/>
      <c r="AU308" s="1"/>
      <c r="AV308" s="1"/>
      <c r="AW308" s="1"/>
      <c r="AX308" s="1"/>
      <c r="AY308" s="1"/>
      <c r="AZ308" s="1"/>
      <c r="BA308" s="1"/>
      <c r="BB308" s="1"/>
      <c r="BC308" s="1"/>
      <c r="BD308" s="1"/>
      <c r="BE308" s="1"/>
      <c r="BF308" s="1"/>
      <c r="BG308" s="1"/>
      <c r="BH308" s="1"/>
      <c r="BI308" s="1"/>
      <c r="BJ308" s="1"/>
      <c r="BK308" s="1"/>
      <c r="BL308" s="1"/>
      <c r="BM308" s="1"/>
      <c r="BN308" s="1"/>
    </row>
    <row r="309" spans="1:66" ht="15.75" customHeight="1" x14ac:dyDescent="0.25">
      <c r="A309" s="43"/>
      <c r="B309" s="50"/>
      <c r="C309" s="51"/>
      <c r="D309" s="43"/>
      <c r="E309" s="43"/>
      <c r="F309" s="43"/>
      <c r="G309" s="44"/>
      <c r="H309" s="23"/>
      <c r="I309" s="43"/>
      <c r="J309" s="43"/>
      <c r="K309" s="45"/>
      <c r="L309" s="46"/>
      <c r="M309" s="46"/>
      <c r="N309" s="46"/>
      <c r="O309" s="46"/>
      <c r="P309" s="46"/>
      <c r="Q309" s="46"/>
      <c r="R309" s="46"/>
      <c r="S309" s="46"/>
      <c r="T309" s="46"/>
      <c r="U309" s="46"/>
      <c r="V309" s="46"/>
      <c r="W309" s="46"/>
      <c r="X309" s="46"/>
      <c r="Y309" s="46"/>
      <c r="Z309" s="46"/>
      <c r="AA309" s="46"/>
      <c r="AB309" s="46"/>
      <c r="AC309" s="46"/>
      <c r="AD309" s="46"/>
      <c r="AE309" s="46"/>
      <c r="AF309" s="46"/>
      <c r="AG309" s="46"/>
      <c r="AH309" s="46"/>
      <c r="AI309" s="46"/>
      <c r="AJ309" s="46"/>
      <c r="AK309" s="46"/>
      <c r="AL309" s="47"/>
      <c r="AM309" s="47"/>
      <c r="AN309" s="47"/>
      <c r="AO309" s="47"/>
      <c r="AP309" s="47"/>
      <c r="AQ309" s="48"/>
      <c r="AR309" s="49"/>
      <c r="AS309" s="49"/>
      <c r="AT309" s="49"/>
      <c r="AU309" s="1"/>
      <c r="AV309" s="1"/>
      <c r="AW309" s="1"/>
      <c r="AX309" s="1"/>
      <c r="AY309" s="1"/>
      <c r="AZ309" s="1"/>
      <c r="BA309" s="1"/>
      <c r="BB309" s="1"/>
      <c r="BC309" s="1"/>
      <c r="BD309" s="1"/>
      <c r="BE309" s="1"/>
      <c r="BF309" s="1"/>
      <c r="BG309" s="1"/>
      <c r="BH309" s="1"/>
      <c r="BI309" s="1"/>
      <c r="BJ309" s="1"/>
      <c r="BK309" s="1"/>
      <c r="BL309" s="1"/>
      <c r="BM309" s="1"/>
      <c r="BN309" s="1"/>
    </row>
    <row r="310" spans="1:66" ht="15.75" customHeight="1" x14ac:dyDescent="0.25">
      <c r="A310" s="43"/>
      <c r="B310" s="50"/>
      <c r="C310" s="51"/>
      <c r="D310" s="43"/>
      <c r="E310" s="43"/>
      <c r="F310" s="43"/>
      <c r="G310" s="44"/>
      <c r="H310" s="23"/>
      <c r="I310" s="43"/>
      <c r="J310" s="43"/>
      <c r="K310" s="45"/>
      <c r="L310" s="46"/>
      <c r="M310" s="46"/>
      <c r="N310" s="46"/>
      <c r="O310" s="46"/>
      <c r="P310" s="46"/>
      <c r="Q310" s="46"/>
      <c r="R310" s="46"/>
      <c r="S310" s="46"/>
      <c r="T310" s="46"/>
      <c r="U310" s="46"/>
      <c r="V310" s="46"/>
      <c r="W310" s="46"/>
      <c r="X310" s="46"/>
      <c r="Y310" s="46"/>
      <c r="Z310" s="46"/>
      <c r="AA310" s="46"/>
      <c r="AB310" s="46"/>
      <c r="AC310" s="46"/>
      <c r="AD310" s="46"/>
      <c r="AE310" s="46"/>
      <c r="AF310" s="46"/>
      <c r="AG310" s="46"/>
      <c r="AH310" s="46"/>
      <c r="AI310" s="46"/>
      <c r="AJ310" s="46"/>
      <c r="AK310" s="46"/>
      <c r="AL310" s="47"/>
      <c r="AM310" s="47"/>
      <c r="AN310" s="47"/>
      <c r="AO310" s="47"/>
      <c r="AP310" s="47"/>
      <c r="AQ310" s="48"/>
      <c r="AR310" s="49"/>
      <c r="AS310" s="49"/>
      <c r="AT310" s="49"/>
      <c r="AU310" s="1"/>
      <c r="AV310" s="1"/>
      <c r="AW310" s="1"/>
      <c r="AX310" s="1"/>
      <c r="AY310" s="1"/>
      <c r="AZ310" s="1"/>
      <c r="BA310" s="1"/>
      <c r="BB310" s="1"/>
      <c r="BC310" s="1"/>
      <c r="BD310" s="1"/>
      <c r="BE310" s="1"/>
      <c r="BF310" s="1"/>
      <c r="BG310" s="1"/>
      <c r="BH310" s="1"/>
      <c r="BI310" s="1"/>
      <c r="BJ310" s="1"/>
      <c r="BK310" s="1"/>
      <c r="BL310" s="1"/>
      <c r="BM310" s="1"/>
      <c r="BN310" s="1"/>
    </row>
    <row r="311" spans="1:66" ht="15.75" customHeight="1" x14ac:dyDescent="0.25">
      <c r="A311" s="43"/>
      <c r="B311" s="50"/>
      <c r="C311" s="51"/>
      <c r="D311" s="43"/>
      <c r="E311" s="43"/>
      <c r="F311" s="43"/>
      <c r="G311" s="44"/>
      <c r="H311" s="23"/>
      <c r="I311" s="43"/>
      <c r="J311" s="43"/>
      <c r="K311" s="45"/>
      <c r="L311" s="46"/>
      <c r="M311" s="46"/>
      <c r="N311" s="46"/>
      <c r="O311" s="46"/>
      <c r="P311" s="46"/>
      <c r="Q311" s="46"/>
      <c r="R311" s="46"/>
      <c r="S311" s="46"/>
      <c r="T311" s="46"/>
      <c r="U311" s="46"/>
      <c r="V311" s="46"/>
      <c r="W311" s="46"/>
      <c r="X311" s="46"/>
      <c r="Y311" s="46"/>
      <c r="Z311" s="46"/>
      <c r="AA311" s="46"/>
      <c r="AB311" s="46"/>
      <c r="AC311" s="46"/>
      <c r="AD311" s="46"/>
      <c r="AE311" s="46"/>
      <c r="AF311" s="46"/>
      <c r="AG311" s="46"/>
      <c r="AH311" s="46"/>
      <c r="AI311" s="46"/>
      <c r="AJ311" s="46"/>
      <c r="AK311" s="46"/>
      <c r="AL311" s="47"/>
      <c r="AM311" s="47"/>
      <c r="AN311" s="47"/>
      <c r="AO311" s="47"/>
      <c r="AP311" s="47"/>
      <c r="AQ311" s="48"/>
      <c r="AR311" s="49"/>
      <c r="AS311" s="49"/>
      <c r="AT311" s="49"/>
      <c r="AU311" s="1"/>
      <c r="AV311" s="1"/>
      <c r="AW311" s="1"/>
      <c r="AX311" s="1"/>
      <c r="AY311" s="1"/>
      <c r="AZ311" s="1"/>
      <c r="BA311" s="1"/>
      <c r="BB311" s="1"/>
      <c r="BC311" s="1"/>
      <c r="BD311" s="1"/>
      <c r="BE311" s="1"/>
      <c r="BF311" s="1"/>
      <c r="BG311" s="1"/>
      <c r="BH311" s="1"/>
      <c r="BI311" s="1"/>
      <c r="BJ311" s="1"/>
      <c r="BK311" s="1"/>
      <c r="BL311" s="1"/>
      <c r="BM311" s="1"/>
      <c r="BN311" s="1"/>
    </row>
    <row r="312" spans="1:66" ht="15.75" customHeight="1" x14ac:dyDescent="0.25">
      <c r="A312" s="43"/>
      <c r="B312" s="50"/>
      <c r="C312" s="51"/>
      <c r="D312" s="43"/>
      <c r="E312" s="43"/>
      <c r="F312" s="43"/>
      <c r="G312" s="44"/>
      <c r="H312" s="23"/>
      <c r="I312" s="43"/>
      <c r="J312" s="43"/>
      <c r="K312" s="45"/>
      <c r="L312" s="46"/>
      <c r="M312" s="46"/>
      <c r="N312" s="46"/>
      <c r="O312" s="46"/>
      <c r="P312" s="46"/>
      <c r="Q312" s="46"/>
      <c r="R312" s="46"/>
      <c r="S312" s="46"/>
      <c r="T312" s="46"/>
      <c r="U312" s="46"/>
      <c r="V312" s="46"/>
      <c r="W312" s="46"/>
      <c r="X312" s="46"/>
      <c r="Y312" s="46"/>
      <c r="Z312" s="46"/>
      <c r="AA312" s="46"/>
      <c r="AB312" s="46"/>
      <c r="AC312" s="46"/>
      <c r="AD312" s="46"/>
      <c r="AE312" s="46"/>
      <c r="AF312" s="46"/>
      <c r="AG312" s="46"/>
      <c r="AH312" s="46"/>
      <c r="AI312" s="46"/>
      <c r="AJ312" s="46"/>
      <c r="AK312" s="46"/>
      <c r="AL312" s="47"/>
      <c r="AM312" s="47"/>
      <c r="AN312" s="47"/>
      <c r="AO312" s="47"/>
      <c r="AP312" s="47"/>
      <c r="AQ312" s="48"/>
      <c r="AR312" s="49"/>
      <c r="AS312" s="49"/>
      <c r="AT312" s="49"/>
      <c r="AU312" s="1"/>
      <c r="AV312" s="1"/>
      <c r="AW312" s="1"/>
      <c r="AX312" s="1"/>
      <c r="AY312" s="1"/>
      <c r="AZ312" s="1"/>
      <c r="BA312" s="1"/>
      <c r="BB312" s="1"/>
      <c r="BC312" s="1"/>
      <c r="BD312" s="1"/>
      <c r="BE312" s="1"/>
      <c r="BF312" s="1"/>
      <c r="BG312" s="1"/>
      <c r="BH312" s="1"/>
      <c r="BI312" s="1"/>
      <c r="BJ312" s="1"/>
      <c r="BK312" s="1"/>
      <c r="BL312" s="1"/>
      <c r="BM312" s="1"/>
      <c r="BN312" s="1"/>
    </row>
    <row r="313" spans="1:66" ht="15.75" customHeight="1" x14ac:dyDescent="0.25">
      <c r="A313" s="43"/>
      <c r="B313" s="50"/>
      <c r="C313" s="51"/>
      <c r="D313" s="43"/>
      <c r="E313" s="43"/>
      <c r="F313" s="43"/>
      <c r="G313" s="44"/>
      <c r="H313" s="23"/>
      <c r="I313" s="43"/>
      <c r="J313" s="43"/>
      <c r="K313" s="45"/>
      <c r="L313" s="46"/>
      <c r="M313" s="46"/>
      <c r="N313" s="46"/>
      <c r="O313" s="46"/>
      <c r="P313" s="46"/>
      <c r="Q313" s="46"/>
      <c r="R313" s="46"/>
      <c r="S313" s="46"/>
      <c r="T313" s="46"/>
      <c r="U313" s="46"/>
      <c r="V313" s="46"/>
      <c r="W313" s="46"/>
      <c r="X313" s="46"/>
      <c r="Y313" s="46"/>
      <c r="Z313" s="46"/>
      <c r="AA313" s="46"/>
      <c r="AB313" s="46"/>
      <c r="AC313" s="46"/>
      <c r="AD313" s="46"/>
      <c r="AE313" s="46"/>
      <c r="AF313" s="46"/>
      <c r="AG313" s="46"/>
      <c r="AH313" s="46"/>
      <c r="AI313" s="46"/>
      <c r="AJ313" s="46"/>
      <c r="AK313" s="46"/>
      <c r="AL313" s="47"/>
      <c r="AM313" s="47"/>
      <c r="AN313" s="47"/>
      <c r="AO313" s="47"/>
      <c r="AP313" s="47"/>
      <c r="AQ313" s="48"/>
      <c r="AR313" s="49"/>
      <c r="AS313" s="49"/>
      <c r="AT313" s="49"/>
      <c r="AU313" s="1"/>
      <c r="AV313" s="1"/>
      <c r="AW313" s="1"/>
      <c r="AX313" s="1"/>
      <c r="AY313" s="1"/>
      <c r="AZ313" s="1"/>
      <c r="BA313" s="1"/>
      <c r="BB313" s="1"/>
      <c r="BC313" s="1"/>
      <c r="BD313" s="1"/>
      <c r="BE313" s="1"/>
      <c r="BF313" s="1"/>
      <c r="BG313" s="1"/>
      <c r="BH313" s="1"/>
      <c r="BI313" s="1"/>
      <c r="BJ313" s="1"/>
      <c r="BK313" s="1"/>
      <c r="BL313" s="1"/>
      <c r="BM313" s="1"/>
      <c r="BN313" s="1"/>
    </row>
    <row r="314" spans="1:66" ht="15.75" customHeight="1" x14ac:dyDescent="0.25">
      <c r="A314" s="43"/>
      <c r="B314" s="50"/>
      <c r="C314" s="51"/>
      <c r="D314" s="43"/>
      <c r="E314" s="43"/>
      <c r="F314" s="43"/>
      <c r="G314" s="44"/>
      <c r="H314" s="23"/>
      <c r="I314" s="43"/>
      <c r="J314" s="43"/>
      <c r="K314" s="45"/>
      <c r="L314" s="46"/>
      <c r="M314" s="46"/>
      <c r="N314" s="46"/>
      <c r="O314" s="46"/>
      <c r="P314" s="46"/>
      <c r="Q314" s="46"/>
      <c r="R314" s="46"/>
      <c r="S314" s="46"/>
      <c r="T314" s="46"/>
      <c r="U314" s="46"/>
      <c r="V314" s="46"/>
      <c r="W314" s="46"/>
      <c r="X314" s="46"/>
      <c r="Y314" s="46"/>
      <c r="Z314" s="46"/>
      <c r="AA314" s="46"/>
      <c r="AB314" s="46"/>
      <c r="AC314" s="46"/>
      <c r="AD314" s="46"/>
      <c r="AE314" s="46"/>
      <c r="AF314" s="46"/>
      <c r="AG314" s="46"/>
      <c r="AH314" s="46"/>
      <c r="AI314" s="46"/>
      <c r="AJ314" s="46"/>
      <c r="AK314" s="46"/>
      <c r="AL314" s="47"/>
      <c r="AM314" s="47"/>
      <c r="AN314" s="47"/>
      <c r="AO314" s="47"/>
      <c r="AP314" s="47"/>
      <c r="AQ314" s="48"/>
      <c r="AR314" s="49"/>
      <c r="AS314" s="49"/>
      <c r="AT314" s="49"/>
      <c r="AU314" s="1"/>
      <c r="AV314" s="1"/>
      <c r="AW314" s="1"/>
      <c r="AX314" s="1"/>
      <c r="AY314" s="1"/>
      <c r="AZ314" s="1"/>
      <c r="BA314" s="1"/>
      <c r="BB314" s="1"/>
      <c r="BC314" s="1"/>
      <c r="BD314" s="1"/>
      <c r="BE314" s="1"/>
      <c r="BF314" s="1"/>
      <c r="BG314" s="1"/>
      <c r="BH314" s="1"/>
      <c r="BI314" s="1"/>
      <c r="BJ314" s="1"/>
      <c r="BK314" s="1"/>
      <c r="BL314" s="1"/>
      <c r="BM314" s="1"/>
      <c r="BN314" s="1"/>
    </row>
    <row r="315" spans="1:66" ht="15.75" customHeight="1" x14ac:dyDescent="0.25">
      <c r="A315" s="43"/>
      <c r="B315" s="50"/>
      <c r="C315" s="51"/>
      <c r="D315" s="43"/>
      <c r="E315" s="43"/>
      <c r="F315" s="43"/>
      <c r="G315" s="44"/>
      <c r="H315" s="23"/>
      <c r="I315" s="43"/>
      <c r="J315" s="43"/>
      <c r="K315" s="45"/>
      <c r="L315" s="46"/>
      <c r="M315" s="46"/>
      <c r="N315" s="46"/>
      <c r="O315" s="46"/>
      <c r="P315" s="46"/>
      <c r="Q315" s="46"/>
      <c r="R315" s="46"/>
      <c r="S315" s="46"/>
      <c r="T315" s="46"/>
      <c r="U315" s="46"/>
      <c r="V315" s="46"/>
      <c r="W315" s="46"/>
      <c r="X315" s="46"/>
      <c r="Y315" s="46"/>
      <c r="Z315" s="46"/>
      <c r="AA315" s="46"/>
      <c r="AB315" s="46"/>
      <c r="AC315" s="46"/>
      <c r="AD315" s="46"/>
      <c r="AE315" s="46"/>
      <c r="AF315" s="46"/>
      <c r="AG315" s="46"/>
      <c r="AH315" s="46"/>
      <c r="AI315" s="46"/>
      <c r="AJ315" s="46"/>
      <c r="AK315" s="46"/>
      <c r="AL315" s="47"/>
      <c r="AM315" s="47"/>
      <c r="AN315" s="47"/>
      <c r="AO315" s="47"/>
      <c r="AP315" s="47"/>
      <c r="AQ315" s="48"/>
      <c r="AR315" s="49"/>
      <c r="AS315" s="49"/>
      <c r="AT315" s="49"/>
      <c r="AU315" s="1"/>
      <c r="AV315" s="1"/>
      <c r="AW315" s="1"/>
      <c r="AX315" s="1"/>
      <c r="AY315" s="1"/>
      <c r="AZ315" s="1"/>
      <c r="BA315" s="1"/>
      <c r="BB315" s="1"/>
      <c r="BC315" s="1"/>
      <c r="BD315" s="1"/>
      <c r="BE315" s="1"/>
      <c r="BF315" s="1"/>
      <c r="BG315" s="1"/>
      <c r="BH315" s="1"/>
      <c r="BI315" s="1"/>
      <c r="BJ315" s="1"/>
      <c r="BK315" s="1"/>
      <c r="BL315" s="1"/>
      <c r="BM315" s="1"/>
      <c r="BN315" s="1"/>
    </row>
    <row r="316" spans="1:66" ht="15.75" customHeight="1" x14ac:dyDescent="0.25">
      <c r="A316" s="43"/>
      <c r="B316" s="50"/>
      <c r="C316" s="51"/>
      <c r="D316" s="43"/>
      <c r="E316" s="43"/>
      <c r="F316" s="43"/>
      <c r="G316" s="44"/>
      <c r="H316" s="23"/>
      <c r="I316" s="43"/>
      <c r="J316" s="43"/>
      <c r="K316" s="45"/>
      <c r="L316" s="46"/>
      <c r="M316" s="46"/>
      <c r="N316" s="46"/>
      <c r="O316" s="46"/>
      <c r="P316" s="46"/>
      <c r="Q316" s="46"/>
      <c r="R316" s="46"/>
      <c r="S316" s="46"/>
      <c r="T316" s="46"/>
      <c r="U316" s="46"/>
      <c r="V316" s="46"/>
      <c r="W316" s="46"/>
      <c r="X316" s="46"/>
      <c r="Y316" s="46"/>
      <c r="Z316" s="46"/>
      <c r="AA316" s="46"/>
      <c r="AB316" s="46"/>
      <c r="AC316" s="46"/>
      <c r="AD316" s="46"/>
      <c r="AE316" s="46"/>
      <c r="AF316" s="46"/>
      <c r="AG316" s="46"/>
      <c r="AH316" s="46"/>
      <c r="AI316" s="46"/>
      <c r="AJ316" s="46"/>
      <c r="AK316" s="46"/>
      <c r="AL316" s="47"/>
      <c r="AM316" s="47"/>
      <c r="AN316" s="47"/>
      <c r="AO316" s="47"/>
      <c r="AP316" s="47"/>
      <c r="AQ316" s="48"/>
      <c r="AR316" s="49"/>
      <c r="AS316" s="49"/>
      <c r="AT316" s="49"/>
      <c r="AU316" s="1"/>
      <c r="AV316" s="1"/>
      <c r="AW316" s="1"/>
      <c r="AX316" s="1"/>
      <c r="AY316" s="1"/>
      <c r="AZ316" s="1"/>
      <c r="BA316" s="1"/>
      <c r="BB316" s="1"/>
      <c r="BC316" s="1"/>
      <c r="BD316" s="1"/>
      <c r="BE316" s="1"/>
      <c r="BF316" s="1"/>
      <c r="BG316" s="1"/>
      <c r="BH316" s="1"/>
      <c r="BI316" s="1"/>
      <c r="BJ316" s="1"/>
      <c r="BK316" s="1"/>
      <c r="BL316" s="1"/>
      <c r="BM316" s="1"/>
      <c r="BN316" s="1"/>
    </row>
    <row r="317" spans="1:66" ht="15.75" customHeight="1" x14ac:dyDescent="0.25">
      <c r="A317" s="43"/>
      <c r="B317" s="50"/>
      <c r="C317" s="51"/>
      <c r="D317" s="43"/>
      <c r="E317" s="43"/>
      <c r="F317" s="43"/>
      <c r="G317" s="44"/>
      <c r="H317" s="23"/>
      <c r="I317" s="43"/>
      <c r="J317" s="43"/>
      <c r="K317" s="45"/>
      <c r="L317" s="46"/>
      <c r="M317" s="46"/>
      <c r="N317" s="46"/>
      <c r="O317" s="46"/>
      <c r="P317" s="46"/>
      <c r="Q317" s="46"/>
      <c r="R317" s="46"/>
      <c r="S317" s="46"/>
      <c r="T317" s="46"/>
      <c r="U317" s="46"/>
      <c r="V317" s="46"/>
      <c r="W317" s="46"/>
      <c r="X317" s="46"/>
      <c r="Y317" s="46"/>
      <c r="Z317" s="46"/>
      <c r="AA317" s="46"/>
      <c r="AB317" s="46"/>
      <c r="AC317" s="46"/>
      <c r="AD317" s="46"/>
      <c r="AE317" s="46"/>
      <c r="AF317" s="46"/>
      <c r="AG317" s="46"/>
      <c r="AH317" s="46"/>
      <c r="AI317" s="46"/>
      <c r="AJ317" s="46"/>
      <c r="AK317" s="46"/>
      <c r="AL317" s="47"/>
      <c r="AM317" s="47"/>
      <c r="AN317" s="47"/>
      <c r="AO317" s="47"/>
      <c r="AP317" s="47"/>
      <c r="AQ317" s="48"/>
      <c r="AR317" s="49"/>
      <c r="AS317" s="49"/>
      <c r="AT317" s="49"/>
      <c r="AU317" s="1"/>
      <c r="AV317" s="1"/>
      <c r="AW317" s="1"/>
      <c r="AX317" s="1"/>
      <c r="AY317" s="1"/>
      <c r="AZ317" s="1"/>
      <c r="BA317" s="1"/>
      <c r="BB317" s="1"/>
      <c r="BC317" s="1"/>
      <c r="BD317" s="1"/>
      <c r="BE317" s="1"/>
      <c r="BF317" s="1"/>
      <c r="BG317" s="1"/>
      <c r="BH317" s="1"/>
      <c r="BI317" s="1"/>
      <c r="BJ317" s="1"/>
      <c r="BK317" s="1"/>
      <c r="BL317" s="1"/>
      <c r="BM317" s="1"/>
      <c r="BN317" s="1"/>
    </row>
    <row r="318" spans="1:66" ht="15.75" customHeight="1" x14ac:dyDescent="0.25">
      <c r="A318" s="43"/>
      <c r="B318" s="50"/>
      <c r="C318" s="51"/>
      <c r="D318" s="43"/>
      <c r="E318" s="43"/>
      <c r="F318" s="43"/>
      <c r="G318" s="44"/>
      <c r="H318" s="23"/>
      <c r="I318" s="43"/>
      <c r="J318" s="43"/>
      <c r="K318" s="45"/>
      <c r="L318" s="46"/>
      <c r="M318" s="46"/>
      <c r="N318" s="46"/>
      <c r="O318" s="46"/>
      <c r="P318" s="46"/>
      <c r="Q318" s="46"/>
      <c r="R318" s="46"/>
      <c r="S318" s="46"/>
      <c r="T318" s="46"/>
      <c r="U318" s="46"/>
      <c r="V318" s="46"/>
      <c r="W318" s="46"/>
      <c r="X318" s="46"/>
      <c r="Y318" s="46"/>
      <c r="Z318" s="46"/>
      <c r="AA318" s="46"/>
      <c r="AB318" s="46"/>
      <c r="AC318" s="46"/>
      <c r="AD318" s="46"/>
      <c r="AE318" s="46"/>
      <c r="AF318" s="46"/>
      <c r="AG318" s="46"/>
      <c r="AH318" s="46"/>
      <c r="AI318" s="46"/>
      <c r="AJ318" s="46"/>
      <c r="AK318" s="46"/>
      <c r="AL318" s="47"/>
      <c r="AM318" s="47"/>
      <c r="AN318" s="47"/>
      <c r="AO318" s="47"/>
      <c r="AP318" s="47"/>
      <c r="AQ318" s="48"/>
      <c r="AR318" s="49"/>
      <c r="AS318" s="49"/>
      <c r="AT318" s="49"/>
      <c r="AU318" s="1"/>
      <c r="AV318" s="1"/>
      <c r="AW318" s="1"/>
      <c r="AX318" s="1"/>
      <c r="AY318" s="1"/>
      <c r="AZ318" s="1"/>
      <c r="BA318" s="1"/>
      <c r="BB318" s="1"/>
      <c r="BC318" s="1"/>
      <c r="BD318" s="1"/>
      <c r="BE318" s="1"/>
      <c r="BF318" s="1"/>
      <c r="BG318" s="1"/>
      <c r="BH318" s="1"/>
      <c r="BI318" s="1"/>
      <c r="BJ318" s="1"/>
      <c r="BK318" s="1"/>
      <c r="BL318" s="1"/>
      <c r="BM318" s="1"/>
      <c r="BN318" s="1"/>
    </row>
    <row r="319" spans="1:66" ht="15.75" customHeight="1" x14ac:dyDescent="0.25">
      <c r="A319" s="43"/>
      <c r="B319" s="50"/>
      <c r="C319" s="51"/>
      <c r="D319" s="43"/>
      <c r="E319" s="43"/>
      <c r="F319" s="43"/>
      <c r="G319" s="44"/>
      <c r="H319" s="23"/>
      <c r="I319" s="43"/>
      <c r="J319" s="43"/>
      <c r="K319" s="45"/>
      <c r="L319" s="46"/>
      <c r="M319" s="46"/>
      <c r="N319" s="46"/>
      <c r="O319" s="46"/>
      <c r="P319" s="46"/>
      <c r="Q319" s="46"/>
      <c r="R319" s="46"/>
      <c r="S319" s="46"/>
      <c r="T319" s="46"/>
      <c r="U319" s="46"/>
      <c r="V319" s="46"/>
      <c r="W319" s="46"/>
      <c r="X319" s="46"/>
      <c r="Y319" s="46"/>
      <c r="Z319" s="46"/>
      <c r="AA319" s="46"/>
      <c r="AB319" s="46"/>
      <c r="AC319" s="46"/>
      <c r="AD319" s="46"/>
      <c r="AE319" s="46"/>
      <c r="AF319" s="46"/>
      <c r="AG319" s="46"/>
      <c r="AH319" s="46"/>
      <c r="AI319" s="46"/>
      <c r="AJ319" s="46"/>
      <c r="AK319" s="46"/>
      <c r="AL319" s="47"/>
      <c r="AM319" s="47"/>
      <c r="AN319" s="47"/>
      <c r="AO319" s="47"/>
      <c r="AP319" s="47"/>
      <c r="AQ319" s="48"/>
      <c r="AR319" s="49"/>
      <c r="AS319" s="49"/>
      <c r="AT319" s="49"/>
      <c r="AU319" s="1"/>
      <c r="AV319" s="1"/>
      <c r="AW319" s="1"/>
      <c r="AX319" s="1"/>
      <c r="AY319" s="1"/>
      <c r="AZ319" s="1"/>
      <c r="BA319" s="1"/>
      <c r="BB319" s="1"/>
      <c r="BC319" s="1"/>
      <c r="BD319" s="1"/>
      <c r="BE319" s="1"/>
      <c r="BF319" s="1"/>
      <c r="BG319" s="1"/>
      <c r="BH319" s="1"/>
      <c r="BI319" s="1"/>
      <c r="BJ319" s="1"/>
      <c r="BK319" s="1"/>
      <c r="BL319" s="1"/>
      <c r="BM319" s="1"/>
      <c r="BN319" s="1"/>
    </row>
    <row r="320" spans="1:66" ht="15.75" customHeight="1" x14ac:dyDescent="0.25">
      <c r="A320" s="43"/>
      <c r="B320" s="50"/>
      <c r="C320" s="51"/>
      <c r="D320" s="43"/>
      <c r="E320" s="43"/>
      <c r="F320" s="43"/>
      <c r="G320" s="44"/>
      <c r="H320" s="23"/>
      <c r="I320" s="43"/>
      <c r="J320" s="43"/>
      <c r="K320" s="45"/>
      <c r="L320" s="46"/>
      <c r="M320" s="46"/>
      <c r="N320" s="46"/>
      <c r="O320" s="46"/>
      <c r="P320" s="46"/>
      <c r="Q320" s="46"/>
      <c r="R320" s="46"/>
      <c r="S320" s="46"/>
      <c r="T320" s="46"/>
      <c r="U320" s="46"/>
      <c r="V320" s="46"/>
      <c r="W320" s="46"/>
      <c r="X320" s="46"/>
      <c r="Y320" s="46"/>
      <c r="Z320" s="46"/>
      <c r="AA320" s="46"/>
      <c r="AB320" s="46"/>
      <c r="AC320" s="46"/>
      <c r="AD320" s="46"/>
      <c r="AE320" s="46"/>
      <c r="AF320" s="46"/>
      <c r="AG320" s="46"/>
      <c r="AH320" s="46"/>
      <c r="AI320" s="46"/>
      <c r="AJ320" s="46"/>
      <c r="AK320" s="46"/>
      <c r="AL320" s="47"/>
      <c r="AM320" s="47"/>
      <c r="AN320" s="47"/>
      <c r="AO320" s="47"/>
      <c r="AP320" s="47"/>
      <c r="AQ320" s="48"/>
      <c r="AR320" s="49"/>
      <c r="AS320" s="49"/>
      <c r="AT320" s="49"/>
      <c r="AU320" s="1"/>
      <c r="AV320" s="1"/>
      <c r="AW320" s="1"/>
      <c r="AX320" s="1"/>
      <c r="AY320" s="1"/>
      <c r="AZ320" s="1"/>
      <c r="BA320" s="1"/>
      <c r="BB320" s="1"/>
      <c r="BC320" s="1"/>
      <c r="BD320" s="1"/>
      <c r="BE320" s="1"/>
      <c r="BF320" s="1"/>
      <c r="BG320" s="1"/>
      <c r="BH320" s="1"/>
      <c r="BI320" s="1"/>
      <c r="BJ320" s="1"/>
      <c r="BK320" s="1"/>
      <c r="BL320" s="1"/>
      <c r="BM320" s="1"/>
      <c r="BN320" s="1"/>
    </row>
    <row r="321" spans="1:66" ht="15.75" customHeight="1" x14ac:dyDescent="0.25">
      <c r="A321" s="43"/>
      <c r="B321" s="50"/>
      <c r="C321" s="51"/>
      <c r="D321" s="43"/>
      <c r="E321" s="43"/>
      <c r="F321" s="43"/>
      <c r="G321" s="44"/>
      <c r="H321" s="23"/>
      <c r="I321" s="43"/>
      <c r="J321" s="43"/>
      <c r="K321" s="45"/>
      <c r="L321" s="46"/>
      <c r="M321" s="46"/>
      <c r="N321" s="46"/>
      <c r="O321" s="46"/>
      <c r="P321" s="46"/>
      <c r="Q321" s="46"/>
      <c r="R321" s="46"/>
      <c r="S321" s="46"/>
      <c r="T321" s="46"/>
      <c r="U321" s="46"/>
      <c r="V321" s="46"/>
      <c r="W321" s="46"/>
      <c r="X321" s="46"/>
      <c r="Y321" s="46"/>
      <c r="Z321" s="46"/>
      <c r="AA321" s="46"/>
      <c r="AB321" s="46"/>
      <c r="AC321" s="46"/>
      <c r="AD321" s="46"/>
      <c r="AE321" s="46"/>
      <c r="AF321" s="46"/>
      <c r="AG321" s="46"/>
      <c r="AH321" s="46"/>
      <c r="AI321" s="46"/>
      <c r="AJ321" s="46"/>
      <c r="AK321" s="46"/>
      <c r="AL321" s="47"/>
      <c r="AM321" s="47"/>
      <c r="AN321" s="47"/>
      <c r="AO321" s="47"/>
      <c r="AP321" s="47"/>
      <c r="AQ321" s="48"/>
      <c r="AR321" s="49"/>
      <c r="AS321" s="49"/>
      <c r="AT321" s="49"/>
      <c r="AU321" s="1"/>
      <c r="AV321" s="1"/>
      <c r="AW321" s="1"/>
      <c r="AX321" s="1"/>
      <c r="AY321" s="1"/>
      <c r="AZ321" s="1"/>
      <c r="BA321" s="1"/>
      <c r="BB321" s="1"/>
      <c r="BC321" s="1"/>
      <c r="BD321" s="1"/>
      <c r="BE321" s="1"/>
      <c r="BF321" s="1"/>
      <c r="BG321" s="1"/>
      <c r="BH321" s="1"/>
      <c r="BI321" s="1"/>
      <c r="BJ321" s="1"/>
      <c r="BK321" s="1"/>
      <c r="BL321" s="1"/>
      <c r="BM321" s="1"/>
      <c r="BN321" s="1"/>
    </row>
    <row r="322" spans="1:66" ht="15.75" customHeight="1" x14ac:dyDescent="0.25">
      <c r="A322" s="43"/>
      <c r="B322" s="50"/>
      <c r="C322" s="51"/>
      <c r="D322" s="43"/>
      <c r="E322" s="43"/>
      <c r="F322" s="43"/>
      <c r="G322" s="44"/>
      <c r="H322" s="23"/>
      <c r="I322" s="43"/>
      <c r="J322" s="43"/>
      <c r="K322" s="45"/>
      <c r="L322" s="46"/>
      <c r="M322" s="46"/>
      <c r="N322" s="46"/>
      <c r="O322" s="46"/>
      <c r="P322" s="46"/>
      <c r="Q322" s="46"/>
      <c r="R322" s="46"/>
      <c r="S322" s="46"/>
      <c r="T322" s="46"/>
      <c r="U322" s="46"/>
      <c r="V322" s="46"/>
      <c r="W322" s="46"/>
      <c r="X322" s="46"/>
      <c r="Y322" s="46"/>
      <c r="Z322" s="46"/>
      <c r="AA322" s="46"/>
      <c r="AB322" s="46"/>
      <c r="AC322" s="46"/>
      <c r="AD322" s="46"/>
      <c r="AE322" s="46"/>
      <c r="AF322" s="46"/>
      <c r="AG322" s="46"/>
      <c r="AH322" s="46"/>
      <c r="AI322" s="46"/>
      <c r="AJ322" s="46"/>
      <c r="AK322" s="46"/>
      <c r="AL322" s="47"/>
      <c r="AM322" s="47"/>
      <c r="AN322" s="47"/>
      <c r="AO322" s="47"/>
      <c r="AP322" s="47"/>
      <c r="AQ322" s="48"/>
      <c r="AR322" s="49"/>
      <c r="AS322" s="49"/>
      <c r="AT322" s="49"/>
      <c r="AU322" s="1"/>
      <c r="AV322" s="1"/>
      <c r="AW322" s="1"/>
      <c r="AX322" s="1"/>
      <c r="AY322" s="1"/>
      <c r="AZ322" s="1"/>
      <c r="BA322" s="1"/>
      <c r="BB322" s="1"/>
      <c r="BC322" s="1"/>
      <c r="BD322" s="1"/>
      <c r="BE322" s="1"/>
      <c r="BF322" s="1"/>
      <c r="BG322" s="1"/>
      <c r="BH322" s="1"/>
      <c r="BI322" s="1"/>
      <c r="BJ322" s="1"/>
      <c r="BK322" s="1"/>
      <c r="BL322" s="1"/>
      <c r="BM322" s="1"/>
      <c r="BN322" s="1"/>
    </row>
    <row r="323" spans="1:66" ht="15.75" customHeight="1" x14ac:dyDescent="0.25">
      <c r="A323" s="43"/>
      <c r="B323" s="50"/>
      <c r="C323" s="51"/>
      <c r="D323" s="43"/>
      <c r="E323" s="43"/>
      <c r="F323" s="43"/>
      <c r="G323" s="44"/>
      <c r="H323" s="23"/>
      <c r="I323" s="43"/>
      <c r="J323" s="43"/>
      <c r="K323" s="45"/>
      <c r="L323" s="46"/>
      <c r="M323" s="46"/>
      <c r="N323" s="46"/>
      <c r="O323" s="46"/>
      <c r="P323" s="46"/>
      <c r="Q323" s="46"/>
      <c r="R323" s="46"/>
      <c r="S323" s="46"/>
      <c r="T323" s="46"/>
      <c r="U323" s="46"/>
      <c r="V323" s="46"/>
      <c r="W323" s="46"/>
      <c r="X323" s="46"/>
      <c r="Y323" s="46"/>
      <c r="Z323" s="46"/>
      <c r="AA323" s="46"/>
      <c r="AB323" s="46"/>
      <c r="AC323" s="46"/>
      <c r="AD323" s="46"/>
      <c r="AE323" s="46"/>
      <c r="AF323" s="46"/>
      <c r="AG323" s="46"/>
      <c r="AH323" s="46"/>
      <c r="AI323" s="46"/>
      <c r="AJ323" s="46"/>
      <c r="AK323" s="46"/>
      <c r="AL323" s="47"/>
      <c r="AM323" s="47"/>
      <c r="AN323" s="47"/>
      <c r="AO323" s="47"/>
      <c r="AP323" s="47"/>
      <c r="AQ323" s="48"/>
      <c r="AR323" s="49"/>
      <c r="AS323" s="49"/>
      <c r="AT323" s="49"/>
      <c r="AU323" s="1"/>
      <c r="AV323" s="1"/>
      <c r="AW323" s="1"/>
      <c r="AX323" s="1"/>
      <c r="AY323" s="1"/>
      <c r="AZ323" s="1"/>
      <c r="BA323" s="1"/>
      <c r="BB323" s="1"/>
      <c r="BC323" s="1"/>
      <c r="BD323" s="1"/>
      <c r="BE323" s="1"/>
      <c r="BF323" s="1"/>
      <c r="BG323" s="1"/>
      <c r="BH323" s="1"/>
      <c r="BI323" s="1"/>
      <c r="BJ323" s="1"/>
      <c r="BK323" s="1"/>
      <c r="BL323" s="1"/>
      <c r="BM323" s="1"/>
      <c r="BN323" s="1"/>
    </row>
    <row r="324" spans="1:66" ht="15.75" customHeight="1" x14ac:dyDescent="0.25">
      <c r="A324" s="43"/>
      <c r="B324" s="50"/>
      <c r="C324" s="51"/>
      <c r="D324" s="43"/>
      <c r="E324" s="43"/>
      <c r="F324" s="43"/>
      <c r="G324" s="44"/>
      <c r="H324" s="23"/>
      <c r="I324" s="43"/>
      <c r="J324" s="43"/>
      <c r="K324" s="45"/>
      <c r="L324" s="46"/>
      <c r="M324" s="46"/>
      <c r="N324" s="46"/>
      <c r="O324" s="46"/>
      <c r="P324" s="46"/>
      <c r="Q324" s="46"/>
      <c r="R324" s="46"/>
      <c r="S324" s="46"/>
      <c r="T324" s="46"/>
      <c r="U324" s="46"/>
      <c r="V324" s="46"/>
      <c r="W324" s="46"/>
      <c r="X324" s="46"/>
      <c r="Y324" s="46"/>
      <c r="Z324" s="46"/>
      <c r="AA324" s="46"/>
      <c r="AB324" s="46"/>
      <c r="AC324" s="46"/>
      <c r="AD324" s="46"/>
      <c r="AE324" s="46"/>
      <c r="AF324" s="46"/>
      <c r="AG324" s="46"/>
      <c r="AH324" s="46"/>
      <c r="AI324" s="46"/>
      <c r="AJ324" s="46"/>
      <c r="AK324" s="46"/>
      <c r="AL324" s="47"/>
      <c r="AM324" s="47"/>
      <c r="AN324" s="47"/>
      <c r="AO324" s="47"/>
      <c r="AP324" s="47"/>
      <c r="AQ324" s="48"/>
      <c r="AR324" s="49"/>
      <c r="AS324" s="49"/>
      <c r="AT324" s="49"/>
      <c r="AU324" s="1"/>
      <c r="AV324" s="1"/>
      <c r="AW324" s="1"/>
      <c r="AX324" s="1"/>
      <c r="AY324" s="1"/>
      <c r="AZ324" s="1"/>
      <c r="BA324" s="1"/>
      <c r="BB324" s="1"/>
      <c r="BC324" s="1"/>
      <c r="BD324" s="1"/>
      <c r="BE324" s="1"/>
      <c r="BF324" s="1"/>
      <c r="BG324" s="1"/>
      <c r="BH324" s="1"/>
      <c r="BI324" s="1"/>
      <c r="BJ324" s="1"/>
      <c r="BK324" s="1"/>
      <c r="BL324" s="1"/>
      <c r="BM324" s="1"/>
      <c r="BN324" s="1"/>
    </row>
    <row r="325" spans="1:66" ht="15.75" customHeight="1" x14ac:dyDescent="0.25">
      <c r="A325" s="43"/>
      <c r="B325" s="50"/>
      <c r="C325" s="51"/>
      <c r="D325" s="43"/>
      <c r="E325" s="43"/>
      <c r="F325" s="43"/>
      <c r="G325" s="44"/>
      <c r="H325" s="23"/>
      <c r="I325" s="43"/>
      <c r="J325" s="43"/>
      <c r="K325" s="45"/>
      <c r="L325" s="46"/>
      <c r="M325" s="46"/>
      <c r="N325" s="46"/>
      <c r="O325" s="46"/>
      <c r="P325" s="46"/>
      <c r="Q325" s="46"/>
      <c r="R325" s="46"/>
      <c r="S325" s="46"/>
      <c r="T325" s="46"/>
      <c r="U325" s="46"/>
      <c r="V325" s="46"/>
      <c r="W325" s="46"/>
      <c r="X325" s="46"/>
      <c r="Y325" s="46"/>
      <c r="Z325" s="46"/>
      <c r="AA325" s="46"/>
      <c r="AB325" s="46"/>
      <c r="AC325" s="46"/>
      <c r="AD325" s="46"/>
      <c r="AE325" s="46"/>
      <c r="AF325" s="46"/>
      <c r="AG325" s="46"/>
      <c r="AH325" s="46"/>
      <c r="AI325" s="46"/>
      <c r="AJ325" s="46"/>
      <c r="AK325" s="46"/>
      <c r="AL325" s="47"/>
      <c r="AM325" s="47"/>
      <c r="AN325" s="47"/>
      <c r="AO325" s="47"/>
      <c r="AP325" s="47"/>
      <c r="AQ325" s="48"/>
      <c r="AR325" s="49"/>
      <c r="AS325" s="49"/>
      <c r="AT325" s="49"/>
      <c r="AU325" s="1"/>
      <c r="AV325" s="1"/>
      <c r="AW325" s="1"/>
      <c r="AX325" s="1"/>
      <c r="AY325" s="1"/>
      <c r="AZ325" s="1"/>
      <c r="BA325" s="1"/>
      <c r="BB325" s="1"/>
      <c r="BC325" s="1"/>
      <c r="BD325" s="1"/>
      <c r="BE325" s="1"/>
      <c r="BF325" s="1"/>
      <c r="BG325" s="1"/>
      <c r="BH325" s="1"/>
      <c r="BI325" s="1"/>
      <c r="BJ325" s="1"/>
      <c r="BK325" s="1"/>
      <c r="BL325" s="1"/>
      <c r="BM325" s="1"/>
      <c r="BN325" s="1"/>
    </row>
    <row r="326" spans="1:66" ht="15.75" customHeight="1" x14ac:dyDescent="0.25">
      <c r="A326" s="43"/>
      <c r="B326" s="50"/>
      <c r="C326" s="51"/>
      <c r="D326" s="43"/>
      <c r="E326" s="43"/>
      <c r="F326" s="43"/>
      <c r="G326" s="44"/>
      <c r="H326" s="23"/>
      <c r="I326" s="43"/>
      <c r="J326" s="43"/>
      <c r="K326" s="45"/>
      <c r="L326" s="46"/>
      <c r="M326" s="46"/>
      <c r="N326" s="46"/>
      <c r="O326" s="46"/>
      <c r="P326" s="46"/>
      <c r="Q326" s="46"/>
      <c r="R326" s="46"/>
      <c r="S326" s="46"/>
      <c r="T326" s="46"/>
      <c r="U326" s="46"/>
      <c r="V326" s="46"/>
      <c r="W326" s="46"/>
      <c r="X326" s="46"/>
      <c r="Y326" s="46"/>
      <c r="Z326" s="46"/>
      <c r="AA326" s="46"/>
      <c r="AB326" s="46"/>
      <c r="AC326" s="46"/>
      <c r="AD326" s="46"/>
      <c r="AE326" s="46"/>
      <c r="AF326" s="46"/>
      <c r="AG326" s="46"/>
      <c r="AH326" s="46"/>
      <c r="AI326" s="46"/>
      <c r="AJ326" s="46"/>
      <c r="AK326" s="46"/>
      <c r="AL326" s="47"/>
      <c r="AM326" s="47"/>
      <c r="AN326" s="47"/>
      <c r="AO326" s="47"/>
      <c r="AP326" s="47"/>
      <c r="AQ326" s="48"/>
      <c r="AR326" s="49"/>
      <c r="AS326" s="49"/>
      <c r="AT326" s="49"/>
      <c r="AU326" s="1"/>
      <c r="AV326" s="1"/>
      <c r="AW326" s="1"/>
      <c r="AX326" s="1"/>
      <c r="AY326" s="1"/>
      <c r="AZ326" s="1"/>
      <c r="BA326" s="1"/>
      <c r="BB326" s="1"/>
      <c r="BC326" s="1"/>
      <c r="BD326" s="1"/>
      <c r="BE326" s="1"/>
      <c r="BF326" s="1"/>
      <c r="BG326" s="1"/>
      <c r="BH326" s="1"/>
      <c r="BI326" s="1"/>
      <c r="BJ326" s="1"/>
      <c r="BK326" s="1"/>
      <c r="BL326" s="1"/>
      <c r="BM326" s="1"/>
      <c r="BN326" s="1"/>
    </row>
    <row r="327" spans="1:66" ht="15.75" customHeight="1" x14ac:dyDescent="0.25">
      <c r="A327" s="43"/>
      <c r="B327" s="50"/>
      <c r="C327" s="51"/>
      <c r="D327" s="43"/>
      <c r="E327" s="43"/>
      <c r="F327" s="43"/>
      <c r="G327" s="44"/>
      <c r="H327" s="23"/>
      <c r="I327" s="43"/>
      <c r="J327" s="43"/>
      <c r="K327" s="45"/>
      <c r="L327" s="46"/>
      <c r="M327" s="46"/>
      <c r="N327" s="46"/>
      <c r="O327" s="46"/>
      <c r="P327" s="46"/>
      <c r="Q327" s="46"/>
      <c r="R327" s="46"/>
      <c r="S327" s="46"/>
      <c r="T327" s="46"/>
      <c r="U327" s="46"/>
      <c r="V327" s="46"/>
      <c r="W327" s="46"/>
      <c r="X327" s="46"/>
      <c r="Y327" s="46"/>
      <c r="Z327" s="46"/>
      <c r="AA327" s="46"/>
      <c r="AB327" s="46"/>
      <c r="AC327" s="46"/>
      <c r="AD327" s="46"/>
      <c r="AE327" s="46"/>
      <c r="AF327" s="46"/>
      <c r="AG327" s="46"/>
      <c r="AH327" s="46"/>
      <c r="AI327" s="46"/>
      <c r="AJ327" s="46"/>
      <c r="AK327" s="46"/>
      <c r="AL327" s="47"/>
      <c r="AM327" s="47"/>
      <c r="AN327" s="47"/>
      <c r="AO327" s="47"/>
      <c r="AP327" s="47"/>
      <c r="AQ327" s="48"/>
      <c r="AR327" s="49"/>
      <c r="AS327" s="49"/>
      <c r="AT327" s="49"/>
      <c r="AU327" s="1"/>
      <c r="AV327" s="1"/>
      <c r="AW327" s="1"/>
      <c r="AX327" s="1"/>
      <c r="AY327" s="1"/>
      <c r="AZ327" s="1"/>
      <c r="BA327" s="1"/>
      <c r="BB327" s="1"/>
      <c r="BC327" s="1"/>
      <c r="BD327" s="1"/>
      <c r="BE327" s="1"/>
      <c r="BF327" s="1"/>
      <c r="BG327" s="1"/>
      <c r="BH327" s="1"/>
      <c r="BI327" s="1"/>
      <c r="BJ327" s="1"/>
      <c r="BK327" s="1"/>
      <c r="BL327" s="1"/>
      <c r="BM327" s="1"/>
      <c r="BN327" s="1"/>
    </row>
    <row r="328" spans="1:66" ht="15.75" customHeight="1" x14ac:dyDescent="0.25">
      <c r="A328" s="43"/>
      <c r="B328" s="50"/>
      <c r="C328" s="51"/>
      <c r="D328" s="43"/>
      <c r="E328" s="43"/>
      <c r="F328" s="43"/>
      <c r="G328" s="44"/>
      <c r="H328" s="23"/>
      <c r="I328" s="43"/>
      <c r="J328" s="43"/>
      <c r="K328" s="45"/>
      <c r="L328" s="46"/>
      <c r="M328" s="46"/>
      <c r="N328" s="46"/>
      <c r="O328" s="46"/>
      <c r="P328" s="46"/>
      <c r="Q328" s="46"/>
      <c r="R328" s="46"/>
      <c r="S328" s="46"/>
      <c r="T328" s="46"/>
      <c r="U328" s="46"/>
      <c r="V328" s="46"/>
      <c r="W328" s="46"/>
      <c r="X328" s="46"/>
      <c r="Y328" s="46"/>
      <c r="Z328" s="46"/>
      <c r="AA328" s="46"/>
      <c r="AB328" s="46"/>
      <c r="AC328" s="46"/>
      <c r="AD328" s="46"/>
      <c r="AE328" s="46"/>
      <c r="AF328" s="46"/>
      <c r="AG328" s="46"/>
      <c r="AH328" s="46"/>
      <c r="AI328" s="46"/>
      <c r="AJ328" s="46"/>
      <c r="AK328" s="46"/>
      <c r="AL328" s="47"/>
      <c r="AM328" s="47"/>
      <c r="AN328" s="47"/>
      <c r="AO328" s="47"/>
      <c r="AP328" s="47"/>
      <c r="AQ328" s="48"/>
      <c r="AR328" s="49"/>
      <c r="AS328" s="49"/>
      <c r="AT328" s="49"/>
      <c r="AU328" s="1"/>
      <c r="AV328" s="1"/>
      <c r="AW328" s="1"/>
      <c r="AX328" s="1"/>
      <c r="AY328" s="1"/>
      <c r="AZ328" s="1"/>
      <c r="BA328" s="1"/>
      <c r="BB328" s="1"/>
      <c r="BC328" s="1"/>
      <c r="BD328" s="1"/>
      <c r="BE328" s="1"/>
      <c r="BF328" s="1"/>
      <c r="BG328" s="1"/>
      <c r="BH328" s="1"/>
      <c r="BI328" s="1"/>
      <c r="BJ328" s="1"/>
      <c r="BK328" s="1"/>
      <c r="BL328" s="1"/>
      <c r="BM328" s="1"/>
      <c r="BN328" s="1"/>
    </row>
    <row r="329" spans="1:66" ht="15.75" customHeight="1" x14ac:dyDescent="0.25">
      <c r="A329" s="43"/>
      <c r="B329" s="50"/>
      <c r="C329" s="51"/>
      <c r="D329" s="43"/>
      <c r="E329" s="43"/>
      <c r="F329" s="43"/>
      <c r="G329" s="44"/>
      <c r="H329" s="23"/>
      <c r="I329" s="43"/>
      <c r="J329" s="43"/>
      <c r="K329" s="45"/>
      <c r="L329" s="46"/>
      <c r="M329" s="46"/>
      <c r="N329" s="46"/>
      <c r="O329" s="46"/>
      <c r="P329" s="46"/>
      <c r="Q329" s="46"/>
      <c r="R329" s="46"/>
      <c r="S329" s="46"/>
      <c r="T329" s="46"/>
      <c r="U329" s="46"/>
      <c r="V329" s="46"/>
      <c r="W329" s="46"/>
      <c r="X329" s="46"/>
      <c r="Y329" s="46"/>
      <c r="Z329" s="46"/>
      <c r="AA329" s="46"/>
      <c r="AB329" s="46"/>
      <c r="AC329" s="46"/>
      <c r="AD329" s="46"/>
      <c r="AE329" s="46"/>
      <c r="AF329" s="46"/>
      <c r="AG329" s="46"/>
      <c r="AH329" s="46"/>
      <c r="AI329" s="46"/>
      <c r="AJ329" s="46"/>
      <c r="AK329" s="46"/>
      <c r="AL329" s="47"/>
      <c r="AM329" s="47"/>
      <c r="AN329" s="47"/>
      <c r="AO329" s="47"/>
      <c r="AP329" s="47"/>
      <c r="AQ329" s="48"/>
      <c r="AR329" s="49"/>
      <c r="AS329" s="49"/>
      <c r="AT329" s="49"/>
      <c r="AU329" s="1"/>
      <c r="AV329" s="1"/>
      <c r="AW329" s="1"/>
      <c r="AX329" s="1"/>
      <c r="AY329" s="1"/>
      <c r="AZ329" s="1"/>
      <c r="BA329" s="1"/>
      <c r="BB329" s="1"/>
      <c r="BC329" s="1"/>
      <c r="BD329" s="1"/>
      <c r="BE329" s="1"/>
      <c r="BF329" s="1"/>
      <c r="BG329" s="1"/>
      <c r="BH329" s="1"/>
      <c r="BI329" s="1"/>
      <c r="BJ329" s="1"/>
      <c r="BK329" s="1"/>
      <c r="BL329" s="1"/>
      <c r="BM329" s="1"/>
      <c r="BN329" s="1"/>
    </row>
    <row r="330" spans="1:66" ht="15.75" customHeight="1" x14ac:dyDescent="0.25">
      <c r="A330" s="43"/>
      <c r="B330" s="50"/>
      <c r="C330" s="51"/>
      <c r="D330" s="43"/>
      <c r="E330" s="43"/>
      <c r="F330" s="43"/>
      <c r="G330" s="44"/>
      <c r="H330" s="23"/>
      <c r="I330" s="43"/>
      <c r="J330" s="43"/>
      <c r="K330" s="45"/>
      <c r="L330" s="46"/>
      <c r="M330" s="46"/>
      <c r="N330" s="46"/>
      <c r="O330" s="46"/>
      <c r="P330" s="46"/>
      <c r="Q330" s="46"/>
      <c r="R330" s="46"/>
      <c r="S330" s="46"/>
      <c r="T330" s="46"/>
      <c r="U330" s="46"/>
      <c r="V330" s="46"/>
      <c r="W330" s="46"/>
      <c r="X330" s="46"/>
      <c r="Y330" s="46"/>
      <c r="Z330" s="46"/>
      <c r="AA330" s="46"/>
      <c r="AB330" s="46"/>
      <c r="AC330" s="46"/>
      <c r="AD330" s="46"/>
      <c r="AE330" s="46"/>
      <c r="AF330" s="46"/>
      <c r="AG330" s="46"/>
      <c r="AH330" s="46"/>
      <c r="AI330" s="46"/>
      <c r="AJ330" s="46"/>
      <c r="AK330" s="46"/>
      <c r="AL330" s="47"/>
      <c r="AM330" s="47"/>
      <c r="AN330" s="47"/>
      <c r="AO330" s="47"/>
      <c r="AP330" s="47"/>
      <c r="AQ330" s="48"/>
      <c r="AR330" s="49"/>
      <c r="AS330" s="49"/>
      <c r="AT330" s="49"/>
      <c r="AU330" s="1"/>
      <c r="AV330" s="1"/>
      <c r="AW330" s="1"/>
      <c r="AX330" s="1"/>
      <c r="AY330" s="1"/>
      <c r="AZ330" s="1"/>
      <c r="BA330" s="1"/>
      <c r="BB330" s="1"/>
      <c r="BC330" s="1"/>
      <c r="BD330" s="1"/>
      <c r="BE330" s="1"/>
      <c r="BF330" s="1"/>
      <c r="BG330" s="1"/>
      <c r="BH330" s="1"/>
      <c r="BI330" s="1"/>
      <c r="BJ330" s="1"/>
      <c r="BK330" s="1"/>
      <c r="BL330" s="1"/>
      <c r="BM330" s="1"/>
      <c r="BN330" s="1"/>
    </row>
    <row r="331" spans="1:66" ht="15.75" customHeight="1" x14ac:dyDescent="0.25">
      <c r="A331" s="43"/>
      <c r="B331" s="50"/>
      <c r="C331" s="51"/>
      <c r="D331" s="43"/>
      <c r="E331" s="43"/>
      <c r="F331" s="43"/>
      <c r="G331" s="44"/>
      <c r="H331" s="23"/>
      <c r="I331" s="43"/>
      <c r="J331" s="43"/>
      <c r="K331" s="45"/>
      <c r="L331" s="46"/>
      <c r="M331" s="46"/>
      <c r="N331" s="46"/>
      <c r="O331" s="46"/>
      <c r="P331" s="46"/>
      <c r="Q331" s="46"/>
      <c r="R331" s="46"/>
      <c r="S331" s="46"/>
      <c r="T331" s="46"/>
      <c r="U331" s="46"/>
      <c r="V331" s="46"/>
      <c r="W331" s="46"/>
      <c r="X331" s="46"/>
      <c r="Y331" s="46"/>
      <c r="Z331" s="46"/>
      <c r="AA331" s="46"/>
      <c r="AB331" s="46"/>
      <c r="AC331" s="46"/>
      <c r="AD331" s="46"/>
      <c r="AE331" s="46"/>
      <c r="AF331" s="46"/>
      <c r="AG331" s="46"/>
      <c r="AH331" s="46"/>
      <c r="AI331" s="46"/>
      <c r="AJ331" s="46"/>
      <c r="AK331" s="46"/>
      <c r="AL331" s="47"/>
      <c r="AM331" s="47"/>
      <c r="AN331" s="47"/>
      <c r="AO331" s="47"/>
      <c r="AP331" s="47"/>
      <c r="AQ331" s="48"/>
      <c r="AR331" s="49"/>
      <c r="AS331" s="49"/>
      <c r="AT331" s="49"/>
      <c r="AU331" s="1"/>
      <c r="AV331" s="1"/>
      <c r="AW331" s="1"/>
      <c r="AX331" s="1"/>
      <c r="AY331" s="1"/>
      <c r="AZ331" s="1"/>
      <c r="BA331" s="1"/>
      <c r="BB331" s="1"/>
      <c r="BC331" s="1"/>
      <c r="BD331" s="1"/>
      <c r="BE331" s="1"/>
      <c r="BF331" s="1"/>
      <c r="BG331" s="1"/>
      <c r="BH331" s="1"/>
      <c r="BI331" s="1"/>
      <c r="BJ331" s="1"/>
      <c r="BK331" s="1"/>
      <c r="BL331" s="1"/>
      <c r="BM331" s="1"/>
      <c r="BN331" s="1"/>
    </row>
    <row r="332" spans="1:66" ht="17.25" customHeight="1" x14ac:dyDescent="0.25">
      <c r="A332" s="43"/>
      <c r="B332" s="50"/>
      <c r="C332" s="51"/>
      <c r="D332" s="43"/>
      <c r="E332" s="43"/>
      <c r="F332" s="43"/>
      <c r="G332" s="44"/>
      <c r="H332" s="23"/>
      <c r="I332" s="43"/>
      <c r="J332" s="43"/>
      <c r="K332" s="45"/>
      <c r="L332" s="46"/>
      <c r="M332" s="46"/>
      <c r="N332" s="46"/>
      <c r="O332" s="46"/>
      <c r="P332" s="46"/>
      <c r="Q332" s="46"/>
      <c r="R332" s="46"/>
      <c r="S332" s="46"/>
      <c r="T332" s="46"/>
      <c r="U332" s="46"/>
      <c r="V332" s="46"/>
      <c r="W332" s="46"/>
      <c r="X332" s="46"/>
      <c r="Y332" s="46"/>
      <c r="Z332" s="46"/>
      <c r="AA332" s="46"/>
      <c r="AB332" s="46"/>
      <c r="AC332" s="46"/>
      <c r="AD332" s="46"/>
      <c r="AE332" s="46"/>
      <c r="AF332" s="46"/>
      <c r="AG332" s="46"/>
      <c r="AH332" s="46"/>
      <c r="AI332" s="46"/>
      <c r="AJ332" s="46"/>
      <c r="AK332" s="46"/>
      <c r="AL332" s="47"/>
      <c r="AM332" s="47"/>
      <c r="AN332" s="47"/>
      <c r="AO332" s="47"/>
      <c r="AP332" s="47"/>
      <c r="AQ332" s="48"/>
      <c r="AR332" s="49"/>
      <c r="AS332" s="49"/>
      <c r="AT332" s="49"/>
      <c r="AU332" s="1"/>
      <c r="AV332" s="1"/>
      <c r="AW332" s="1"/>
      <c r="AX332" s="1"/>
      <c r="AY332" s="1"/>
      <c r="AZ332" s="1"/>
      <c r="BA332" s="1"/>
      <c r="BB332" s="1"/>
      <c r="BC332" s="1"/>
      <c r="BD332" s="1"/>
      <c r="BE332" s="1"/>
      <c r="BF332" s="1"/>
      <c r="BG332" s="1"/>
      <c r="BH332" s="1"/>
      <c r="BI332" s="1"/>
      <c r="BJ332" s="1"/>
      <c r="BK332" s="1"/>
      <c r="BL332" s="1"/>
      <c r="BM332" s="1"/>
      <c r="BN332" s="1"/>
    </row>
    <row r="333" spans="1:66" ht="15.75" customHeight="1" x14ac:dyDescent="0.25">
      <c r="A333" s="43"/>
      <c r="B333" s="50"/>
      <c r="C333" s="51"/>
      <c r="D333" s="43"/>
      <c r="E333" s="43"/>
      <c r="F333" s="43"/>
      <c r="G333" s="44"/>
      <c r="H333" s="23"/>
      <c r="I333" s="43"/>
      <c r="J333" s="43"/>
      <c r="K333" s="45"/>
      <c r="L333" s="46"/>
      <c r="M333" s="46"/>
      <c r="N333" s="46"/>
      <c r="O333" s="46"/>
      <c r="P333" s="46"/>
      <c r="Q333" s="46"/>
      <c r="R333" s="46"/>
      <c r="S333" s="46"/>
      <c r="T333" s="46"/>
      <c r="U333" s="46"/>
      <c r="V333" s="46"/>
      <c r="W333" s="46"/>
      <c r="X333" s="46"/>
      <c r="Y333" s="46"/>
      <c r="Z333" s="46"/>
      <c r="AA333" s="46"/>
      <c r="AB333" s="46"/>
      <c r="AC333" s="46"/>
      <c r="AD333" s="46"/>
      <c r="AE333" s="46"/>
      <c r="AF333" s="46"/>
      <c r="AG333" s="46"/>
      <c r="AH333" s="46"/>
      <c r="AI333" s="46"/>
      <c r="AJ333" s="46"/>
      <c r="AK333" s="46"/>
      <c r="AL333" s="47"/>
      <c r="AM333" s="47"/>
      <c r="AN333" s="47"/>
      <c r="AO333" s="47"/>
      <c r="AP333" s="47"/>
      <c r="AQ333" s="48"/>
      <c r="AR333" s="49"/>
      <c r="AS333" s="49"/>
      <c r="AT333" s="49"/>
      <c r="AU333" s="1"/>
      <c r="AV333" s="1"/>
      <c r="AW333" s="1"/>
      <c r="AX333" s="1"/>
      <c r="AY333" s="1"/>
      <c r="AZ333" s="1"/>
      <c r="BA333" s="1"/>
      <c r="BB333" s="1"/>
      <c r="BC333" s="1"/>
      <c r="BD333" s="1"/>
      <c r="BE333" s="1"/>
      <c r="BF333" s="1"/>
      <c r="BG333" s="1"/>
      <c r="BH333" s="1"/>
      <c r="BI333" s="1"/>
      <c r="BJ333" s="1"/>
      <c r="BK333" s="1"/>
      <c r="BL333" s="1"/>
      <c r="BM333" s="1"/>
      <c r="BN333" s="1"/>
    </row>
    <row r="334" spans="1:66" ht="15.75" customHeight="1" x14ac:dyDescent="0.25">
      <c r="A334" s="43"/>
      <c r="B334" s="50"/>
      <c r="C334" s="51"/>
      <c r="D334" s="43"/>
      <c r="E334" s="43"/>
      <c r="F334" s="43"/>
      <c r="G334" s="44"/>
      <c r="H334" s="23"/>
      <c r="I334" s="43"/>
      <c r="J334" s="43"/>
      <c r="K334" s="45"/>
      <c r="L334" s="46"/>
      <c r="M334" s="46"/>
      <c r="N334" s="46"/>
      <c r="O334" s="46"/>
      <c r="P334" s="46"/>
      <c r="Q334" s="46"/>
      <c r="R334" s="46"/>
      <c r="S334" s="46"/>
      <c r="T334" s="46"/>
      <c r="U334" s="46"/>
      <c r="V334" s="46"/>
      <c r="W334" s="46"/>
      <c r="X334" s="46"/>
      <c r="Y334" s="46"/>
      <c r="Z334" s="46"/>
      <c r="AA334" s="46"/>
      <c r="AB334" s="46"/>
      <c r="AC334" s="46"/>
      <c r="AD334" s="46"/>
      <c r="AE334" s="46"/>
      <c r="AF334" s="46"/>
      <c r="AG334" s="46"/>
      <c r="AH334" s="46"/>
      <c r="AI334" s="46"/>
      <c r="AJ334" s="46"/>
      <c r="AK334" s="46"/>
      <c r="AL334" s="47"/>
      <c r="AM334" s="47"/>
      <c r="AN334" s="47"/>
      <c r="AO334" s="47"/>
      <c r="AP334" s="47"/>
      <c r="AQ334" s="48"/>
      <c r="AR334" s="49"/>
      <c r="AS334" s="49"/>
      <c r="AT334" s="49"/>
      <c r="AU334" s="1"/>
      <c r="AV334" s="1"/>
      <c r="AW334" s="1"/>
      <c r="AX334" s="1"/>
      <c r="AY334" s="1"/>
      <c r="AZ334" s="1"/>
      <c r="BA334" s="1"/>
      <c r="BB334" s="1"/>
      <c r="BC334" s="1"/>
      <c r="BD334" s="1"/>
      <c r="BE334" s="1"/>
      <c r="BF334" s="1"/>
      <c r="BG334" s="1"/>
      <c r="BH334" s="1"/>
      <c r="BI334" s="1"/>
      <c r="BJ334" s="1"/>
      <c r="BK334" s="1"/>
      <c r="BL334" s="1"/>
      <c r="BM334" s="1"/>
      <c r="BN334" s="1"/>
    </row>
    <row r="335" spans="1:66" ht="15.75" customHeight="1" x14ac:dyDescent="0.25">
      <c r="A335" s="43"/>
      <c r="B335" s="50"/>
      <c r="C335" s="51"/>
      <c r="D335" s="43"/>
      <c r="E335" s="43"/>
      <c r="F335" s="43"/>
      <c r="G335" s="44"/>
      <c r="H335" s="23"/>
      <c r="I335" s="43"/>
      <c r="J335" s="43"/>
      <c r="K335" s="45"/>
      <c r="L335" s="46"/>
      <c r="M335" s="46"/>
      <c r="N335" s="46"/>
      <c r="O335" s="46"/>
      <c r="P335" s="46"/>
      <c r="Q335" s="46"/>
      <c r="R335" s="46"/>
      <c r="S335" s="46"/>
      <c r="T335" s="46"/>
      <c r="U335" s="46"/>
      <c r="V335" s="46"/>
      <c r="W335" s="46"/>
      <c r="X335" s="46"/>
      <c r="Y335" s="46"/>
      <c r="Z335" s="46"/>
      <c r="AA335" s="46"/>
      <c r="AB335" s="46"/>
      <c r="AC335" s="46"/>
      <c r="AD335" s="46"/>
      <c r="AE335" s="46"/>
      <c r="AF335" s="46"/>
      <c r="AG335" s="46"/>
      <c r="AH335" s="46"/>
      <c r="AI335" s="46"/>
      <c r="AJ335" s="46"/>
      <c r="AK335" s="46"/>
      <c r="AL335" s="47"/>
      <c r="AM335" s="47"/>
      <c r="AN335" s="47"/>
      <c r="AO335" s="47"/>
      <c r="AP335" s="47"/>
      <c r="AQ335" s="48"/>
      <c r="AR335" s="49"/>
      <c r="AS335" s="49"/>
      <c r="AT335" s="49"/>
      <c r="AU335" s="1"/>
      <c r="AV335" s="1"/>
      <c r="AW335" s="1"/>
      <c r="AX335" s="1"/>
      <c r="AY335" s="1"/>
      <c r="AZ335" s="1"/>
      <c r="BA335" s="1"/>
      <c r="BB335" s="1"/>
      <c r="BC335" s="1"/>
      <c r="BD335" s="1"/>
      <c r="BE335" s="1"/>
      <c r="BF335" s="1"/>
      <c r="BG335" s="1"/>
      <c r="BH335" s="1"/>
      <c r="BI335" s="1"/>
      <c r="BJ335" s="1"/>
      <c r="BK335" s="1"/>
      <c r="BL335" s="1"/>
      <c r="BM335" s="1"/>
      <c r="BN335" s="1"/>
    </row>
    <row r="336" spans="1:66" ht="15.75" customHeight="1" x14ac:dyDescent="0.25">
      <c r="A336" s="43"/>
      <c r="B336" s="50"/>
      <c r="C336" s="51"/>
      <c r="D336" s="43"/>
      <c r="E336" s="43"/>
      <c r="F336" s="43"/>
      <c r="G336" s="44"/>
      <c r="H336" s="23"/>
      <c r="I336" s="43"/>
      <c r="J336" s="43"/>
      <c r="K336" s="45"/>
      <c r="L336" s="46"/>
      <c r="M336" s="46"/>
      <c r="N336" s="46"/>
      <c r="O336" s="46"/>
      <c r="P336" s="46"/>
      <c r="Q336" s="46"/>
      <c r="R336" s="46"/>
      <c r="S336" s="46"/>
      <c r="T336" s="46"/>
      <c r="U336" s="46"/>
      <c r="V336" s="46"/>
      <c r="W336" s="46"/>
      <c r="X336" s="46"/>
      <c r="Y336" s="46"/>
      <c r="Z336" s="46"/>
      <c r="AA336" s="46"/>
      <c r="AB336" s="46"/>
      <c r="AC336" s="46"/>
      <c r="AD336" s="46"/>
      <c r="AE336" s="46"/>
      <c r="AF336" s="46"/>
      <c r="AG336" s="46"/>
      <c r="AH336" s="46"/>
      <c r="AI336" s="46"/>
      <c r="AJ336" s="46"/>
      <c r="AK336" s="46"/>
      <c r="AL336" s="47"/>
      <c r="AM336" s="47"/>
      <c r="AN336" s="47"/>
      <c r="AO336" s="47"/>
      <c r="AP336" s="47"/>
      <c r="AQ336" s="48"/>
      <c r="AR336" s="49"/>
      <c r="AS336" s="49"/>
      <c r="AT336" s="49"/>
      <c r="AU336" s="1"/>
      <c r="AV336" s="1"/>
      <c r="AW336" s="1"/>
      <c r="AX336" s="1"/>
      <c r="AY336" s="1"/>
      <c r="AZ336" s="1"/>
      <c r="BA336" s="1"/>
      <c r="BB336" s="1"/>
      <c r="BC336" s="1"/>
      <c r="BD336" s="1"/>
      <c r="BE336" s="1"/>
      <c r="BF336" s="1"/>
      <c r="BG336" s="1"/>
      <c r="BH336" s="1"/>
      <c r="BI336" s="1"/>
      <c r="BJ336" s="1"/>
      <c r="BK336" s="1"/>
      <c r="BL336" s="1"/>
      <c r="BM336" s="1"/>
      <c r="BN336" s="1"/>
    </row>
    <row r="337" spans="1:66" ht="15.75" customHeight="1" x14ac:dyDescent="0.25">
      <c r="A337" s="43"/>
      <c r="B337" s="50"/>
      <c r="C337" s="51"/>
      <c r="D337" s="43"/>
      <c r="E337" s="43"/>
      <c r="F337" s="43"/>
      <c r="G337" s="44"/>
      <c r="H337" s="23"/>
      <c r="I337" s="43"/>
      <c r="J337" s="43"/>
      <c r="K337" s="45"/>
      <c r="L337" s="46"/>
      <c r="M337" s="46"/>
      <c r="N337" s="46"/>
      <c r="O337" s="46"/>
      <c r="P337" s="46"/>
      <c r="Q337" s="46"/>
      <c r="R337" s="46"/>
      <c r="S337" s="46"/>
      <c r="T337" s="46"/>
      <c r="U337" s="46"/>
      <c r="V337" s="46"/>
      <c r="W337" s="46"/>
      <c r="X337" s="46"/>
      <c r="Y337" s="46"/>
      <c r="Z337" s="46"/>
      <c r="AA337" s="46"/>
      <c r="AB337" s="46"/>
      <c r="AC337" s="46"/>
      <c r="AD337" s="46"/>
      <c r="AE337" s="46"/>
      <c r="AF337" s="46"/>
      <c r="AG337" s="46"/>
      <c r="AH337" s="46"/>
      <c r="AI337" s="46"/>
      <c r="AJ337" s="46"/>
      <c r="AK337" s="46"/>
      <c r="AL337" s="47"/>
      <c r="AM337" s="47"/>
      <c r="AN337" s="47"/>
      <c r="AO337" s="47"/>
      <c r="AP337" s="47"/>
      <c r="AQ337" s="48"/>
      <c r="AR337" s="49"/>
      <c r="AS337" s="49"/>
      <c r="AT337" s="49"/>
      <c r="AU337" s="1"/>
      <c r="AV337" s="1"/>
      <c r="AW337" s="1"/>
      <c r="AX337" s="1"/>
      <c r="AY337" s="1"/>
      <c r="AZ337" s="1"/>
      <c r="BA337" s="1"/>
      <c r="BB337" s="1"/>
      <c r="BC337" s="1"/>
      <c r="BD337" s="1"/>
      <c r="BE337" s="1"/>
      <c r="BF337" s="1"/>
      <c r="BG337" s="1"/>
      <c r="BH337" s="1"/>
      <c r="BI337" s="1"/>
      <c r="BJ337" s="1"/>
      <c r="BK337" s="1"/>
      <c r="BL337" s="1"/>
      <c r="BM337" s="1"/>
      <c r="BN337" s="1"/>
    </row>
    <row r="338" spans="1:66" ht="15.75" customHeight="1" x14ac:dyDescent="0.25">
      <c r="A338" s="43"/>
      <c r="B338" s="50"/>
      <c r="C338" s="51"/>
      <c r="D338" s="43"/>
      <c r="E338" s="43"/>
      <c r="F338" s="43"/>
      <c r="G338" s="44"/>
      <c r="H338" s="23"/>
      <c r="I338" s="43"/>
      <c r="J338" s="43"/>
      <c r="K338" s="45"/>
      <c r="L338" s="46"/>
      <c r="M338" s="46"/>
      <c r="N338" s="46"/>
      <c r="O338" s="46"/>
      <c r="P338" s="46"/>
      <c r="Q338" s="46"/>
      <c r="R338" s="46"/>
      <c r="S338" s="46"/>
      <c r="T338" s="46"/>
      <c r="U338" s="46"/>
      <c r="V338" s="46"/>
      <c r="W338" s="46"/>
      <c r="X338" s="46"/>
      <c r="Y338" s="46"/>
      <c r="Z338" s="46"/>
      <c r="AA338" s="46"/>
      <c r="AB338" s="46"/>
      <c r="AC338" s="46"/>
      <c r="AD338" s="46"/>
      <c r="AE338" s="46"/>
      <c r="AF338" s="46"/>
      <c r="AG338" s="46"/>
      <c r="AH338" s="46"/>
      <c r="AI338" s="46"/>
      <c r="AJ338" s="46"/>
      <c r="AK338" s="46"/>
      <c r="AL338" s="47"/>
      <c r="AM338" s="47"/>
      <c r="AN338" s="47"/>
      <c r="AO338" s="47"/>
      <c r="AP338" s="47"/>
      <c r="AQ338" s="48"/>
      <c r="AR338" s="49"/>
      <c r="AS338" s="49"/>
      <c r="AT338" s="49"/>
      <c r="AU338" s="1"/>
      <c r="AV338" s="1"/>
      <c r="AW338" s="1"/>
      <c r="AX338" s="1"/>
      <c r="AY338" s="1"/>
      <c r="AZ338" s="1"/>
      <c r="BA338" s="1"/>
      <c r="BB338" s="1"/>
      <c r="BC338" s="1"/>
      <c r="BD338" s="1"/>
      <c r="BE338" s="1"/>
      <c r="BF338" s="1"/>
      <c r="BG338" s="1"/>
      <c r="BH338" s="1"/>
      <c r="BI338" s="1"/>
      <c r="BJ338" s="1"/>
      <c r="BK338" s="1"/>
      <c r="BL338" s="1"/>
      <c r="BM338" s="1"/>
      <c r="BN338" s="1"/>
    </row>
    <row r="339" spans="1:66" ht="15.75" customHeight="1" x14ac:dyDescent="0.25">
      <c r="A339" s="43"/>
      <c r="B339" s="50"/>
      <c r="C339" s="51"/>
      <c r="D339" s="43"/>
      <c r="E339" s="43"/>
      <c r="F339" s="43"/>
      <c r="G339" s="44"/>
      <c r="H339" s="23"/>
      <c r="I339" s="43"/>
      <c r="J339" s="43"/>
      <c r="K339" s="45"/>
      <c r="L339" s="46"/>
      <c r="M339" s="46"/>
      <c r="N339" s="46"/>
      <c r="O339" s="46"/>
      <c r="P339" s="46"/>
      <c r="Q339" s="46"/>
      <c r="R339" s="46"/>
      <c r="S339" s="46"/>
      <c r="T339" s="46"/>
      <c r="U339" s="46"/>
      <c r="V339" s="46"/>
      <c r="W339" s="46"/>
      <c r="X339" s="46"/>
      <c r="Y339" s="46"/>
      <c r="Z339" s="46"/>
      <c r="AA339" s="46"/>
      <c r="AB339" s="46"/>
      <c r="AC339" s="46"/>
      <c r="AD339" s="46"/>
      <c r="AE339" s="46"/>
      <c r="AF339" s="46"/>
      <c r="AG339" s="46"/>
      <c r="AH339" s="46"/>
      <c r="AI339" s="46"/>
      <c r="AJ339" s="46"/>
      <c r="AK339" s="46"/>
      <c r="AL339" s="47"/>
      <c r="AM339" s="47"/>
      <c r="AN339" s="47"/>
      <c r="AO339" s="47"/>
      <c r="AP339" s="47"/>
      <c r="AQ339" s="48"/>
      <c r="AR339" s="49"/>
      <c r="AS339" s="49"/>
      <c r="AT339" s="49"/>
      <c r="AU339" s="1"/>
      <c r="AV339" s="1"/>
      <c r="AW339" s="1"/>
      <c r="AX339" s="1"/>
      <c r="AY339" s="1"/>
      <c r="AZ339" s="1"/>
      <c r="BA339" s="1"/>
      <c r="BB339" s="1"/>
      <c r="BC339" s="1"/>
      <c r="BD339" s="1"/>
      <c r="BE339" s="1"/>
      <c r="BF339" s="1"/>
      <c r="BG339" s="1"/>
      <c r="BH339" s="1"/>
      <c r="BI339" s="1"/>
      <c r="BJ339" s="1"/>
      <c r="BK339" s="1"/>
      <c r="BL339" s="1"/>
      <c r="BM339" s="1"/>
      <c r="BN339" s="1"/>
    </row>
    <row r="340" spans="1:66" ht="15.75" customHeight="1" x14ac:dyDescent="0.25">
      <c r="A340" s="43"/>
      <c r="B340" s="50"/>
      <c r="C340" s="51"/>
      <c r="D340" s="43"/>
      <c r="E340" s="43"/>
      <c r="F340" s="43"/>
      <c r="G340" s="44"/>
      <c r="H340" s="23"/>
      <c r="I340" s="43"/>
      <c r="J340" s="43"/>
      <c r="K340" s="45"/>
      <c r="L340" s="46"/>
      <c r="M340" s="46"/>
      <c r="N340" s="46"/>
      <c r="O340" s="46"/>
      <c r="P340" s="46"/>
      <c r="Q340" s="46"/>
      <c r="R340" s="46"/>
      <c r="S340" s="46"/>
      <c r="T340" s="46"/>
      <c r="U340" s="46"/>
      <c r="V340" s="46"/>
      <c r="W340" s="46"/>
      <c r="X340" s="46"/>
      <c r="Y340" s="46"/>
      <c r="Z340" s="46"/>
      <c r="AA340" s="46"/>
      <c r="AB340" s="46"/>
      <c r="AC340" s="46"/>
      <c r="AD340" s="46"/>
      <c r="AE340" s="46"/>
      <c r="AF340" s="46"/>
      <c r="AG340" s="46"/>
      <c r="AH340" s="46"/>
      <c r="AI340" s="46"/>
      <c r="AJ340" s="46"/>
      <c r="AK340" s="46"/>
      <c r="AL340" s="47"/>
      <c r="AM340" s="47"/>
      <c r="AN340" s="47"/>
      <c r="AO340" s="47"/>
      <c r="AP340" s="47"/>
      <c r="AQ340" s="48"/>
      <c r="AR340" s="49"/>
      <c r="AS340" s="49"/>
      <c r="AT340" s="49"/>
      <c r="AU340" s="1"/>
      <c r="AV340" s="1"/>
      <c r="AW340" s="1"/>
      <c r="AX340" s="1"/>
      <c r="AY340" s="1"/>
      <c r="AZ340" s="1"/>
      <c r="BA340" s="1"/>
      <c r="BB340" s="1"/>
      <c r="BC340" s="1"/>
      <c r="BD340" s="1"/>
      <c r="BE340" s="1"/>
      <c r="BF340" s="1"/>
      <c r="BG340" s="1"/>
      <c r="BH340" s="1"/>
      <c r="BI340" s="1"/>
      <c r="BJ340" s="1"/>
      <c r="BK340" s="1"/>
      <c r="BL340" s="1"/>
      <c r="BM340" s="1"/>
      <c r="BN340" s="1"/>
    </row>
    <row r="341" spans="1:66" ht="15.75" customHeight="1" x14ac:dyDescent="0.25">
      <c r="A341" s="43"/>
      <c r="B341" s="50"/>
      <c r="C341" s="51"/>
      <c r="D341" s="43"/>
      <c r="E341" s="43"/>
      <c r="F341" s="43"/>
      <c r="G341" s="44"/>
      <c r="H341" s="23"/>
      <c r="I341" s="43"/>
      <c r="J341" s="43"/>
      <c r="K341" s="45"/>
      <c r="L341" s="46"/>
      <c r="M341" s="46"/>
      <c r="N341" s="46"/>
      <c r="O341" s="46"/>
      <c r="P341" s="46"/>
      <c r="Q341" s="46"/>
      <c r="R341" s="46"/>
      <c r="S341" s="46"/>
      <c r="T341" s="46"/>
      <c r="U341" s="46"/>
      <c r="V341" s="46"/>
      <c r="W341" s="46"/>
      <c r="X341" s="46"/>
      <c r="Y341" s="46"/>
      <c r="Z341" s="46"/>
      <c r="AA341" s="46"/>
      <c r="AB341" s="46"/>
      <c r="AC341" s="46"/>
      <c r="AD341" s="46"/>
      <c r="AE341" s="46"/>
      <c r="AF341" s="46"/>
      <c r="AG341" s="46"/>
      <c r="AH341" s="46"/>
      <c r="AI341" s="46"/>
      <c r="AJ341" s="46"/>
      <c r="AK341" s="46"/>
      <c r="AL341" s="47"/>
      <c r="AM341" s="47"/>
      <c r="AN341" s="47"/>
      <c r="AO341" s="47"/>
      <c r="AP341" s="47"/>
      <c r="AQ341" s="48"/>
      <c r="AR341" s="49"/>
      <c r="AS341" s="49"/>
      <c r="AT341" s="49"/>
      <c r="AU341" s="1"/>
      <c r="AV341" s="1"/>
      <c r="AW341" s="1"/>
      <c r="AX341" s="1"/>
      <c r="AY341" s="1"/>
      <c r="AZ341" s="1"/>
      <c r="BA341" s="1"/>
      <c r="BB341" s="1"/>
      <c r="BC341" s="1"/>
      <c r="BD341" s="1"/>
      <c r="BE341" s="1"/>
      <c r="BF341" s="1"/>
      <c r="BG341" s="1"/>
      <c r="BH341" s="1"/>
      <c r="BI341" s="1"/>
      <c r="BJ341" s="1"/>
      <c r="BK341" s="1"/>
      <c r="BL341" s="1"/>
      <c r="BM341" s="1"/>
      <c r="BN341" s="1"/>
    </row>
    <row r="342" spans="1:66" ht="15.75" customHeight="1" x14ac:dyDescent="0.25">
      <c r="A342" s="43"/>
      <c r="B342" s="50"/>
      <c r="C342" s="51"/>
      <c r="D342" s="43"/>
      <c r="E342" s="43"/>
      <c r="F342" s="43"/>
      <c r="G342" s="44"/>
      <c r="H342" s="23"/>
      <c r="I342" s="43"/>
      <c r="J342" s="43"/>
      <c r="K342" s="45"/>
      <c r="L342" s="46"/>
      <c r="M342" s="46"/>
      <c r="N342" s="46"/>
      <c r="O342" s="46"/>
      <c r="P342" s="46"/>
      <c r="Q342" s="46"/>
      <c r="R342" s="46"/>
      <c r="S342" s="46"/>
      <c r="T342" s="46"/>
      <c r="U342" s="46"/>
      <c r="V342" s="46"/>
      <c r="W342" s="46"/>
      <c r="X342" s="46"/>
      <c r="Y342" s="46"/>
      <c r="Z342" s="46"/>
      <c r="AA342" s="46"/>
      <c r="AB342" s="46"/>
      <c r="AC342" s="46"/>
      <c r="AD342" s="46"/>
      <c r="AE342" s="46"/>
      <c r="AF342" s="46"/>
      <c r="AG342" s="46"/>
      <c r="AH342" s="46"/>
      <c r="AI342" s="46"/>
      <c r="AJ342" s="46"/>
      <c r="AK342" s="46"/>
      <c r="AL342" s="47"/>
      <c r="AM342" s="47"/>
      <c r="AN342" s="47"/>
      <c r="AO342" s="47"/>
      <c r="AP342" s="47"/>
      <c r="AQ342" s="48"/>
      <c r="AR342" s="49"/>
      <c r="AS342" s="49"/>
      <c r="AT342" s="49"/>
      <c r="AU342" s="1"/>
      <c r="AV342" s="1"/>
      <c r="AW342" s="1"/>
      <c r="AX342" s="1"/>
      <c r="AY342" s="1"/>
      <c r="AZ342" s="1"/>
      <c r="BA342" s="1"/>
      <c r="BB342" s="1"/>
      <c r="BC342" s="1"/>
      <c r="BD342" s="1"/>
      <c r="BE342" s="1"/>
      <c r="BF342" s="1"/>
      <c r="BG342" s="1"/>
      <c r="BH342" s="1"/>
      <c r="BI342" s="1"/>
      <c r="BJ342" s="1"/>
      <c r="BK342" s="1"/>
      <c r="BL342" s="1"/>
      <c r="BM342" s="1"/>
      <c r="BN342" s="1"/>
    </row>
    <row r="343" spans="1:66" ht="15.75" customHeight="1" x14ac:dyDescent="0.25">
      <c r="A343" s="43"/>
      <c r="B343" s="50"/>
      <c r="C343" s="51"/>
      <c r="D343" s="43"/>
      <c r="E343" s="43"/>
      <c r="F343" s="43"/>
      <c r="G343" s="44"/>
      <c r="H343" s="23"/>
      <c r="I343" s="43"/>
      <c r="J343" s="43"/>
      <c r="K343" s="45"/>
      <c r="L343" s="46"/>
      <c r="M343" s="46"/>
      <c r="N343" s="46"/>
      <c r="O343" s="46"/>
      <c r="P343" s="46"/>
      <c r="Q343" s="46"/>
      <c r="R343" s="46"/>
      <c r="S343" s="46"/>
      <c r="T343" s="46"/>
      <c r="U343" s="46"/>
      <c r="V343" s="46"/>
      <c r="W343" s="46"/>
      <c r="X343" s="46"/>
      <c r="Y343" s="46"/>
      <c r="Z343" s="46"/>
      <c r="AA343" s="46"/>
      <c r="AB343" s="46"/>
      <c r="AC343" s="46"/>
      <c r="AD343" s="46"/>
      <c r="AE343" s="46"/>
      <c r="AF343" s="46"/>
      <c r="AG343" s="46"/>
      <c r="AH343" s="46"/>
      <c r="AI343" s="46"/>
      <c r="AJ343" s="46"/>
      <c r="AK343" s="46"/>
      <c r="AL343" s="47"/>
      <c r="AM343" s="47"/>
      <c r="AN343" s="47"/>
      <c r="AO343" s="47"/>
      <c r="AP343" s="47"/>
      <c r="AQ343" s="48"/>
      <c r="AR343" s="49"/>
      <c r="AS343" s="49"/>
      <c r="AT343" s="49"/>
      <c r="AU343" s="1"/>
      <c r="AV343" s="1"/>
      <c r="AW343" s="1"/>
      <c r="AX343" s="1"/>
      <c r="AY343" s="1"/>
      <c r="AZ343" s="1"/>
      <c r="BA343" s="1"/>
      <c r="BB343" s="1"/>
      <c r="BC343" s="1"/>
      <c r="BD343" s="1"/>
      <c r="BE343" s="1"/>
      <c r="BF343" s="1"/>
      <c r="BG343" s="1"/>
      <c r="BH343" s="1"/>
      <c r="BI343" s="1"/>
      <c r="BJ343" s="1"/>
      <c r="BK343" s="1"/>
      <c r="BL343" s="1"/>
      <c r="BM343" s="1"/>
      <c r="BN343" s="1"/>
    </row>
    <row r="344" spans="1:66" ht="15.75" customHeight="1" x14ac:dyDescent="0.25">
      <c r="A344" s="43"/>
      <c r="B344" s="50"/>
      <c r="C344" s="51"/>
      <c r="D344" s="43"/>
      <c r="E344" s="43"/>
      <c r="F344" s="43"/>
      <c r="G344" s="44"/>
      <c r="H344" s="23"/>
      <c r="I344" s="43"/>
      <c r="J344" s="43"/>
      <c r="K344" s="45"/>
      <c r="L344" s="46"/>
      <c r="M344" s="46"/>
      <c r="N344" s="46"/>
      <c r="O344" s="46"/>
      <c r="P344" s="46"/>
      <c r="Q344" s="46"/>
      <c r="R344" s="46"/>
      <c r="S344" s="46"/>
      <c r="T344" s="46"/>
      <c r="U344" s="46"/>
      <c r="V344" s="46"/>
      <c r="W344" s="46"/>
      <c r="X344" s="46"/>
      <c r="Y344" s="46"/>
      <c r="Z344" s="46"/>
      <c r="AA344" s="46"/>
      <c r="AB344" s="46"/>
      <c r="AC344" s="46"/>
      <c r="AD344" s="46"/>
      <c r="AE344" s="46"/>
      <c r="AF344" s="46"/>
      <c r="AG344" s="46"/>
      <c r="AH344" s="46"/>
      <c r="AI344" s="46"/>
      <c r="AJ344" s="46"/>
      <c r="AK344" s="46"/>
      <c r="AL344" s="47"/>
      <c r="AM344" s="47"/>
      <c r="AN344" s="47"/>
      <c r="AO344" s="47"/>
      <c r="AP344" s="47"/>
      <c r="AQ344" s="48"/>
      <c r="AR344" s="49"/>
      <c r="AS344" s="49"/>
      <c r="AT344" s="49"/>
      <c r="AU344" s="1"/>
      <c r="AV344" s="1"/>
      <c r="AW344" s="1"/>
      <c r="AX344" s="1"/>
      <c r="AY344" s="1"/>
      <c r="AZ344" s="1"/>
      <c r="BA344" s="1"/>
      <c r="BB344" s="1"/>
      <c r="BC344" s="1"/>
      <c r="BD344" s="1"/>
      <c r="BE344" s="1"/>
      <c r="BF344" s="1"/>
      <c r="BG344" s="1"/>
      <c r="BH344" s="1"/>
      <c r="BI344" s="1"/>
      <c r="BJ344" s="1"/>
      <c r="BK344" s="1"/>
      <c r="BL344" s="1"/>
      <c r="BM344" s="1"/>
      <c r="BN344" s="1"/>
    </row>
    <row r="345" spans="1:66" ht="15.75" customHeight="1" x14ac:dyDescent="0.25">
      <c r="A345" s="43"/>
      <c r="B345" s="50"/>
      <c r="C345" s="51"/>
      <c r="D345" s="43"/>
      <c r="E345" s="43"/>
      <c r="F345" s="43"/>
      <c r="G345" s="44"/>
      <c r="H345" s="23"/>
      <c r="I345" s="43"/>
      <c r="J345" s="43"/>
      <c r="K345" s="45"/>
      <c r="L345" s="46"/>
      <c r="M345" s="46"/>
      <c r="N345" s="46"/>
      <c r="O345" s="46"/>
      <c r="P345" s="46"/>
      <c r="Q345" s="46"/>
      <c r="R345" s="46"/>
      <c r="S345" s="46"/>
      <c r="T345" s="46"/>
      <c r="U345" s="46"/>
      <c r="V345" s="46"/>
      <c r="W345" s="46"/>
      <c r="X345" s="46"/>
      <c r="Y345" s="46"/>
      <c r="Z345" s="46"/>
      <c r="AA345" s="46"/>
      <c r="AB345" s="46"/>
      <c r="AC345" s="46"/>
      <c r="AD345" s="46"/>
      <c r="AE345" s="46"/>
      <c r="AF345" s="46"/>
      <c r="AG345" s="46"/>
      <c r="AH345" s="46"/>
      <c r="AI345" s="46"/>
      <c r="AJ345" s="46"/>
      <c r="AK345" s="46"/>
      <c r="AL345" s="47"/>
      <c r="AM345" s="47"/>
      <c r="AN345" s="47"/>
      <c r="AO345" s="47"/>
      <c r="AP345" s="47"/>
      <c r="AQ345" s="48"/>
      <c r="AR345" s="49"/>
      <c r="AS345" s="49"/>
      <c r="AT345" s="49"/>
      <c r="AU345" s="1"/>
      <c r="AV345" s="1"/>
      <c r="AW345" s="1"/>
      <c r="AX345" s="1"/>
      <c r="AY345" s="1"/>
      <c r="AZ345" s="1"/>
      <c r="BA345" s="1"/>
      <c r="BB345" s="1"/>
      <c r="BC345" s="1"/>
      <c r="BD345" s="1"/>
      <c r="BE345" s="1"/>
      <c r="BF345" s="1"/>
      <c r="BG345" s="1"/>
      <c r="BH345" s="1"/>
      <c r="BI345" s="1"/>
      <c r="BJ345" s="1"/>
      <c r="BK345" s="1"/>
      <c r="BL345" s="1"/>
      <c r="BM345" s="1"/>
      <c r="BN345" s="1"/>
    </row>
    <row r="346" spans="1:66" ht="15.75" customHeight="1" x14ac:dyDescent="0.25">
      <c r="A346" s="43"/>
      <c r="B346" s="50"/>
      <c r="C346" s="51"/>
      <c r="D346" s="43"/>
      <c r="E346" s="43"/>
      <c r="F346" s="43"/>
      <c r="G346" s="44"/>
      <c r="H346" s="23"/>
      <c r="I346" s="43"/>
      <c r="J346" s="43"/>
      <c r="K346" s="45"/>
      <c r="L346" s="46"/>
      <c r="M346" s="46"/>
      <c r="N346" s="46"/>
      <c r="O346" s="46"/>
      <c r="P346" s="46"/>
      <c r="Q346" s="46"/>
      <c r="R346" s="46"/>
      <c r="S346" s="46"/>
      <c r="T346" s="46"/>
      <c r="U346" s="46"/>
      <c r="V346" s="46"/>
      <c r="W346" s="46"/>
      <c r="X346" s="46"/>
      <c r="Y346" s="46"/>
      <c r="Z346" s="46"/>
      <c r="AA346" s="46"/>
      <c r="AB346" s="46"/>
      <c r="AC346" s="46"/>
      <c r="AD346" s="46"/>
      <c r="AE346" s="46"/>
      <c r="AF346" s="46"/>
      <c r="AG346" s="46"/>
      <c r="AH346" s="46"/>
      <c r="AI346" s="46"/>
      <c r="AJ346" s="46"/>
      <c r="AK346" s="46"/>
      <c r="AL346" s="47"/>
      <c r="AM346" s="47"/>
      <c r="AN346" s="47"/>
      <c r="AO346" s="47"/>
      <c r="AP346" s="47"/>
      <c r="AQ346" s="48"/>
      <c r="AR346" s="49"/>
      <c r="AS346" s="49"/>
      <c r="AT346" s="49"/>
      <c r="AU346" s="1"/>
      <c r="AV346" s="1"/>
      <c r="AW346" s="1"/>
      <c r="AX346" s="1"/>
      <c r="AY346" s="1"/>
      <c r="AZ346" s="1"/>
      <c r="BA346" s="1"/>
      <c r="BB346" s="1"/>
      <c r="BC346" s="1"/>
      <c r="BD346" s="1"/>
      <c r="BE346" s="1"/>
      <c r="BF346" s="1"/>
      <c r="BG346" s="1"/>
      <c r="BH346" s="1"/>
      <c r="BI346" s="1"/>
      <c r="BJ346" s="1"/>
      <c r="BK346" s="1"/>
      <c r="BL346" s="1"/>
      <c r="BM346" s="1"/>
      <c r="BN346" s="1"/>
    </row>
    <row r="347" spans="1:66" ht="15.75" customHeight="1" x14ac:dyDescent="0.25">
      <c r="A347" s="43"/>
      <c r="B347" s="50"/>
      <c r="C347" s="51"/>
      <c r="D347" s="43"/>
      <c r="E347" s="43"/>
      <c r="F347" s="43"/>
      <c r="G347" s="44"/>
      <c r="H347" s="23"/>
      <c r="I347" s="43"/>
      <c r="J347" s="43"/>
      <c r="K347" s="45"/>
      <c r="L347" s="46"/>
      <c r="M347" s="46"/>
      <c r="N347" s="46"/>
      <c r="O347" s="46"/>
      <c r="P347" s="46"/>
      <c r="Q347" s="46"/>
      <c r="R347" s="46"/>
      <c r="S347" s="46"/>
      <c r="T347" s="46"/>
      <c r="U347" s="46"/>
      <c r="V347" s="46"/>
      <c r="W347" s="46"/>
      <c r="X347" s="46"/>
      <c r="Y347" s="46"/>
      <c r="Z347" s="46"/>
      <c r="AA347" s="46"/>
      <c r="AB347" s="46"/>
      <c r="AC347" s="46"/>
      <c r="AD347" s="46"/>
      <c r="AE347" s="46"/>
      <c r="AF347" s="46"/>
      <c r="AG347" s="46"/>
      <c r="AH347" s="46"/>
      <c r="AI347" s="46"/>
      <c r="AJ347" s="46"/>
      <c r="AK347" s="46"/>
      <c r="AL347" s="47"/>
      <c r="AM347" s="47"/>
      <c r="AN347" s="47"/>
      <c r="AO347" s="47"/>
      <c r="AP347" s="47"/>
      <c r="AQ347" s="48"/>
      <c r="AR347" s="49"/>
      <c r="AS347" s="49"/>
      <c r="AT347" s="49"/>
      <c r="AU347" s="1"/>
      <c r="AV347" s="1"/>
      <c r="AW347" s="1"/>
      <c r="AX347" s="1"/>
      <c r="AY347" s="1"/>
      <c r="AZ347" s="1"/>
      <c r="BA347" s="1"/>
      <c r="BB347" s="1"/>
      <c r="BC347" s="1"/>
      <c r="BD347" s="1"/>
      <c r="BE347" s="1"/>
      <c r="BF347" s="1"/>
      <c r="BG347" s="1"/>
      <c r="BH347" s="1"/>
      <c r="BI347" s="1"/>
      <c r="BJ347" s="1"/>
      <c r="BK347" s="1"/>
      <c r="BL347" s="1"/>
      <c r="BM347" s="1"/>
      <c r="BN347" s="1"/>
    </row>
    <row r="348" spans="1:66" ht="15.75" customHeight="1" x14ac:dyDescent="0.25">
      <c r="A348" s="43"/>
      <c r="B348" s="50"/>
      <c r="C348" s="51"/>
      <c r="D348" s="43"/>
      <c r="E348" s="43"/>
      <c r="F348" s="43"/>
      <c r="G348" s="44"/>
      <c r="H348" s="23"/>
      <c r="I348" s="43"/>
      <c r="J348" s="43"/>
      <c r="K348" s="45"/>
      <c r="L348" s="46"/>
      <c r="M348" s="46"/>
      <c r="N348" s="46"/>
      <c r="O348" s="46"/>
      <c r="P348" s="46"/>
      <c r="Q348" s="46"/>
      <c r="R348" s="46"/>
      <c r="S348" s="46"/>
      <c r="T348" s="46"/>
      <c r="U348" s="46"/>
      <c r="V348" s="46"/>
      <c r="W348" s="46"/>
      <c r="X348" s="46"/>
      <c r="Y348" s="46"/>
      <c r="Z348" s="46"/>
      <c r="AA348" s="46"/>
      <c r="AB348" s="46"/>
      <c r="AC348" s="46"/>
      <c r="AD348" s="46"/>
      <c r="AE348" s="46"/>
      <c r="AF348" s="46"/>
      <c r="AG348" s="46"/>
      <c r="AH348" s="46"/>
      <c r="AI348" s="46"/>
      <c r="AJ348" s="46"/>
      <c r="AK348" s="46"/>
      <c r="AL348" s="47"/>
      <c r="AM348" s="47"/>
      <c r="AN348" s="47"/>
      <c r="AO348" s="47"/>
      <c r="AP348" s="47"/>
      <c r="AQ348" s="48"/>
      <c r="AR348" s="49"/>
      <c r="AS348" s="49"/>
      <c r="AT348" s="49"/>
      <c r="AU348" s="1"/>
      <c r="AV348" s="1"/>
      <c r="AW348" s="1"/>
      <c r="AX348" s="1"/>
      <c r="AY348" s="1"/>
      <c r="AZ348" s="1"/>
      <c r="BA348" s="1"/>
      <c r="BB348" s="1"/>
      <c r="BC348" s="1"/>
      <c r="BD348" s="1"/>
      <c r="BE348" s="1"/>
      <c r="BF348" s="1"/>
      <c r="BG348" s="1"/>
      <c r="BH348" s="1"/>
      <c r="BI348" s="1"/>
      <c r="BJ348" s="1"/>
      <c r="BK348" s="1"/>
      <c r="BL348" s="1"/>
      <c r="BM348" s="1"/>
      <c r="BN348" s="1"/>
    </row>
    <row r="349" spans="1:66" ht="15.75" customHeight="1" x14ac:dyDescent="0.25">
      <c r="A349" s="43"/>
      <c r="B349" s="50"/>
      <c r="C349" s="51"/>
      <c r="D349" s="43"/>
      <c r="E349" s="43"/>
      <c r="F349" s="43"/>
      <c r="G349" s="44"/>
      <c r="H349" s="23"/>
      <c r="I349" s="43"/>
      <c r="J349" s="43"/>
      <c r="K349" s="45"/>
      <c r="L349" s="46"/>
      <c r="M349" s="46"/>
      <c r="N349" s="46"/>
      <c r="O349" s="46"/>
      <c r="P349" s="46"/>
      <c r="Q349" s="46"/>
      <c r="R349" s="46"/>
      <c r="S349" s="46"/>
      <c r="T349" s="46"/>
      <c r="U349" s="46"/>
      <c r="V349" s="46"/>
      <c r="W349" s="46"/>
      <c r="X349" s="46"/>
      <c r="Y349" s="46"/>
      <c r="Z349" s="46"/>
      <c r="AA349" s="46"/>
      <c r="AB349" s="46"/>
      <c r="AC349" s="46"/>
      <c r="AD349" s="46"/>
      <c r="AE349" s="46"/>
      <c r="AF349" s="46"/>
      <c r="AG349" s="46"/>
      <c r="AH349" s="46"/>
      <c r="AI349" s="46"/>
      <c r="AJ349" s="46"/>
      <c r="AK349" s="46"/>
      <c r="AL349" s="47"/>
      <c r="AM349" s="47"/>
      <c r="AN349" s="47"/>
      <c r="AO349" s="47"/>
      <c r="AP349" s="47"/>
      <c r="AQ349" s="48"/>
      <c r="AR349" s="49"/>
      <c r="AS349" s="49"/>
      <c r="AT349" s="49"/>
      <c r="AU349" s="1"/>
      <c r="AV349" s="1"/>
      <c r="AW349" s="1"/>
      <c r="AX349" s="1"/>
      <c r="AY349" s="1"/>
      <c r="AZ349" s="1"/>
      <c r="BA349" s="1"/>
      <c r="BB349" s="1"/>
      <c r="BC349" s="1"/>
      <c r="BD349" s="1"/>
      <c r="BE349" s="1"/>
      <c r="BF349" s="1"/>
      <c r="BG349" s="1"/>
      <c r="BH349" s="1"/>
      <c r="BI349" s="1"/>
      <c r="BJ349" s="1"/>
      <c r="BK349" s="1"/>
      <c r="BL349" s="1"/>
      <c r="BM349" s="1"/>
      <c r="BN349" s="1"/>
    </row>
    <row r="350" spans="1:66" ht="15.75" customHeight="1" x14ac:dyDescent="0.25">
      <c r="A350" s="43"/>
      <c r="B350" s="50"/>
      <c r="C350" s="51"/>
      <c r="D350" s="43"/>
      <c r="E350" s="43"/>
      <c r="F350" s="43"/>
      <c r="G350" s="44"/>
      <c r="H350" s="23"/>
      <c r="I350" s="43"/>
      <c r="J350" s="43"/>
      <c r="K350" s="45"/>
      <c r="L350" s="46"/>
      <c r="M350" s="46"/>
      <c r="N350" s="46"/>
      <c r="O350" s="46"/>
      <c r="P350" s="46"/>
      <c r="Q350" s="46"/>
      <c r="R350" s="46"/>
      <c r="S350" s="46"/>
      <c r="T350" s="46"/>
      <c r="U350" s="46"/>
      <c r="V350" s="46"/>
      <c r="W350" s="46"/>
      <c r="X350" s="46"/>
      <c r="Y350" s="46"/>
      <c r="Z350" s="46"/>
      <c r="AA350" s="46"/>
      <c r="AB350" s="46"/>
      <c r="AC350" s="46"/>
      <c r="AD350" s="46"/>
      <c r="AE350" s="46"/>
      <c r="AF350" s="46"/>
      <c r="AG350" s="46"/>
      <c r="AH350" s="46"/>
      <c r="AI350" s="46"/>
      <c r="AJ350" s="46"/>
      <c r="AK350" s="46"/>
      <c r="AL350" s="47"/>
      <c r="AM350" s="47"/>
      <c r="AN350" s="47"/>
      <c r="AO350" s="47"/>
      <c r="AP350" s="47"/>
      <c r="AQ350" s="48"/>
      <c r="AR350" s="49"/>
      <c r="AS350" s="49"/>
      <c r="AT350" s="49"/>
      <c r="AU350" s="1"/>
      <c r="AV350" s="1"/>
      <c r="AW350" s="1"/>
      <c r="AX350" s="1"/>
      <c r="AY350" s="1"/>
      <c r="AZ350" s="1"/>
      <c r="BA350" s="1"/>
      <c r="BB350" s="1"/>
      <c r="BC350" s="1"/>
      <c r="BD350" s="1"/>
      <c r="BE350" s="1"/>
      <c r="BF350" s="1"/>
      <c r="BG350" s="1"/>
      <c r="BH350" s="1"/>
      <c r="BI350" s="1"/>
      <c r="BJ350" s="1"/>
      <c r="BK350" s="1"/>
      <c r="BL350" s="1"/>
      <c r="BM350" s="1"/>
      <c r="BN350" s="1"/>
    </row>
    <row r="351" spans="1:66" ht="15.75" customHeight="1" x14ac:dyDescent="0.25">
      <c r="A351" s="43"/>
      <c r="B351" s="50"/>
      <c r="C351" s="51"/>
      <c r="D351" s="43"/>
      <c r="E351" s="43"/>
      <c r="F351" s="43"/>
      <c r="G351" s="44"/>
      <c r="H351" s="23"/>
      <c r="I351" s="43"/>
      <c r="J351" s="43"/>
      <c r="K351" s="45"/>
      <c r="L351" s="46"/>
      <c r="M351" s="46"/>
      <c r="N351" s="46"/>
      <c r="O351" s="46"/>
      <c r="P351" s="46"/>
      <c r="Q351" s="46"/>
      <c r="R351" s="46"/>
      <c r="S351" s="46"/>
      <c r="T351" s="46"/>
      <c r="U351" s="46"/>
      <c r="V351" s="46"/>
      <c r="W351" s="46"/>
      <c r="X351" s="46"/>
      <c r="Y351" s="46"/>
      <c r="Z351" s="46"/>
      <c r="AA351" s="46"/>
      <c r="AB351" s="46"/>
      <c r="AC351" s="46"/>
      <c r="AD351" s="46"/>
      <c r="AE351" s="46"/>
      <c r="AF351" s="46"/>
      <c r="AG351" s="46"/>
      <c r="AH351" s="46"/>
      <c r="AI351" s="46"/>
      <c r="AJ351" s="46"/>
      <c r="AK351" s="46"/>
      <c r="AL351" s="47"/>
      <c r="AM351" s="47"/>
      <c r="AN351" s="47"/>
      <c r="AO351" s="47"/>
      <c r="AP351" s="47"/>
      <c r="AQ351" s="48"/>
      <c r="AR351" s="49"/>
      <c r="AS351" s="49"/>
      <c r="AT351" s="49"/>
      <c r="AU351" s="1"/>
      <c r="AV351" s="1"/>
      <c r="AW351" s="1"/>
      <c r="AX351" s="1"/>
      <c r="AY351" s="1"/>
      <c r="AZ351" s="1"/>
      <c r="BA351" s="1"/>
      <c r="BB351" s="1"/>
      <c r="BC351" s="1"/>
      <c r="BD351" s="1"/>
      <c r="BE351" s="1"/>
      <c r="BF351" s="1"/>
      <c r="BG351" s="1"/>
      <c r="BH351" s="1"/>
      <c r="BI351" s="1"/>
      <c r="BJ351" s="1"/>
      <c r="BK351" s="1"/>
      <c r="BL351" s="1"/>
      <c r="BM351" s="1"/>
      <c r="BN351" s="1"/>
    </row>
    <row r="352" spans="1:66" ht="15.75" customHeight="1" x14ac:dyDescent="0.25">
      <c r="A352" s="43"/>
      <c r="B352" s="50"/>
      <c r="C352" s="51"/>
      <c r="D352" s="43"/>
      <c r="E352" s="43"/>
      <c r="F352" s="43"/>
      <c r="G352" s="44"/>
      <c r="H352" s="23"/>
      <c r="I352" s="43"/>
      <c r="J352" s="43"/>
      <c r="K352" s="45"/>
      <c r="L352" s="46"/>
      <c r="M352" s="46"/>
      <c r="N352" s="46"/>
      <c r="O352" s="46"/>
      <c r="P352" s="46"/>
      <c r="Q352" s="46"/>
      <c r="R352" s="46"/>
      <c r="S352" s="46"/>
      <c r="T352" s="46"/>
      <c r="U352" s="46"/>
      <c r="V352" s="46"/>
      <c r="W352" s="46"/>
      <c r="X352" s="46"/>
      <c r="Y352" s="46"/>
      <c r="Z352" s="46"/>
      <c r="AA352" s="46"/>
      <c r="AB352" s="46"/>
      <c r="AC352" s="46"/>
      <c r="AD352" s="46"/>
      <c r="AE352" s="46"/>
      <c r="AF352" s="46"/>
      <c r="AG352" s="46"/>
      <c r="AH352" s="46"/>
      <c r="AI352" s="46"/>
      <c r="AJ352" s="46"/>
      <c r="AK352" s="46"/>
      <c r="AL352" s="47"/>
      <c r="AM352" s="47"/>
      <c r="AN352" s="47"/>
      <c r="AO352" s="47"/>
      <c r="AP352" s="47"/>
      <c r="AQ352" s="48"/>
      <c r="AR352" s="49"/>
      <c r="AS352" s="49"/>
      <c r="AT352" s="49"/>
      <c r="AU352" s="1"/>
      <c r="AV352" s="1"/>
      <c r="AW352" s="1"/>
      <c r="AX352" s="1"/>
      <c r="AY352" s="1"/>
      <c r="AZ352" s="1"/>
      <c r="BA352" s="1"/>
      <c r="BB352" s="1"/>
      <c r="BC352" s="1"/>
      <c r="BD352" s="1"/>
      <c r="BE352" s="1"/>
      <c r="BF352" s="1"/>
      <c r="BG352" s="1"/>
      <c r="BH352" s="1"/>
      <c r="BI352" s="1"/>
      <c r="BJ352" s="1"/>
      <c r="BK352" s="1"/>
      <c r="BL352" s="1"/>
      <c r="BM352" s="1"/>
      <c r="BN352" s="1"/>
    </row>
    <row r="353" spans="1:66" ht="15.75" customHeight="1" x14ac:dyDescent="0.25">
      <c r="A353" s="43"/>
      <c r="B353" s="50"/>
      <c r="C353" s="51"/>
      <c r="D353" s="43"/>
      <c r="E353" s="43"/>
      <c r="F353" s="43"/>
      <c r="G353" s="44"/>
      <c r="H353" s="23"/>
      <c r="I353" s="43"/>
      <c r="J353" s="43"/>
      <c r="K353" s="45"/>
      <c r="L353" s="46"/>
      <c r="M353" s="46"/>
      <c r="N353" s="46"/>
      <c r="O353" s="46"/>
      <c r="P353" s="46"/>
      <c r="Q353" s="46"/>
      <c r="R353" s="46"/>
      <c r="S353" s="46"/>
      <c r="T353" s="46"/>
      <c r="U353" s="46"/>
      <c r="V353" s="46"/>
      <c r="W353" s="46"/>
      <c r="X353" s="46"/>
      <c r="Y353" s="46"/>
      <c r="Z353" s="46"/>
      <c r="AA353" s="46"/>
      <c r="AB353" s="46"/>
      <c r="AC353" s="46"/>
      <c r="AD353" s="46"/>
      <c r="AE353" s="46"/>
      <c r="AF353" s="46"/>
      <c r="AG353" s="46"/>
      <c r="AH353" s="46"/>
      <c r="AI353" s="46"/>
      <c r="AJ353" s="46"/>
      <c r="AK353" s="46"/>
      <c r="AL353" s="47"/>
      <c r="AM353" s="47"/>
      <c r="AN353" s="47"/>
      <c r="AO353" s="47"/>
      <c r="AP353" s="47"/>
      <c r="AQ353" s="48"/>
      <c r="AR353" s="49"/>
      <c r="AS353" s="49"/>
      <c r="AT353" s="49"/>
      <c r="AU353" s="1"/>
      <c r="AV353" s="1"/>
      <c r="AW353" s="1"/>
      <c r="AX353" s="1"/>
      <c r="AY353" s="1"/>
      <c r="AZ353" s="1"/>
      <c r="BA353" s="1"/>
      <c r="BB353" s="1"/>
      <c r="BC353" s="1"/>
      <c r="BD353" s="1"/>
      <c r="BE353" s="1"/>
      <c r="BF353" s="1"/>
      <c r="BG353" s="1"/>
      <c r="BH353" s="1"/>
      <c r="BI353" s="1"/>
      <c r="BJ353" s="1"/>
      <c r="BK353" s="1"/>
      <c r="BL353" s="1"/>
      <c r="BM353" s="1"/>
      <c r="BN353" s="1"/>
    </row>
    <row r="354" spans="1:66" ht="15.75" customHeight="1" x14ac:dyDescent="0.25">
      <c r="A354" s="43"/>
      <c r="B354" s="50"/>
      <c r="C354" s="51"/>
      <c r="D354" s="43"/>
      <c r="E354" s="43"/>
      <c r="F354" s="43"/>
      <c r="G354" s="44"/>
      <c r="H354" s="23"/>
      <c r="I354" s="43"/>
      <c r="J354" s="43"/>
      <c r="K354" s="45"/>
      <c r="L354" s="46"/>
      <c r="M354" s="46"/>
      <c r="N354" s="46"/>
      <c r="O354" s="46"/>
      <c r="P354" s="46"/>
      <c r="Q354" s="46"/>
      <c r="R354" s="46"/>
      <c r="S354" s="46"/>
      <c r="T354" s="46"/>
      <c r="U354" s="46"/>
      <c r="V354" s="46"/>
      <c r="W354" s="46"/>
      <c r="X354" s="46"/>
      <c r="Y354" s="46"/>
      <c r="Z354" s="46"/>
      <c r="AA354" s="46"/>
      <c r="AB354" s="46"/>
      <c r="AC354" s="46"/>
      <c r="AD354" s="46"/>
      <c r="AE354" s="46"/>
      <c r="AF354" s="46"/>
      <c r="AG354" s="46"/>
      <c r="AH354" s="46"/>
      <c r="AI354" s="46"/>
      <c r="AJ354" s="46"/>
      <c r="AK354" s="46"/>
      <c r="AL354" s="47"/>
      <c r="AM354" s="47"/>
      <c r="AN354" s="47"/>
      <c r="AO354" s="47"/>
      <c r="AP354" s="47"/>
      <c r="AQ354" s="48"/>
      <c r="AR354" s="49"/>
      <c r="AS354" s="49"/>
      <c r="AT354" s="49"/>
      <c r="AU354" s="1"/>
      <c r="AV354" s="1"/>
      <c r="AW354" s="1"/>
      <c r="AX354" s="1"/>
      <c r="AY354" s="1"/>
      <c r="AZ354" s="1"/>
      <c r="BA354" s="1"/>
      <c r="BB354" s="1"/>
      <c r="BC354" s="1"/>
      <c r="BD354" s="1"/>
      <c r="BE354" s="1"/>
      <c r="BF354" s="1"/>
      <c r="BG354" s="1"/>
      <c r="BH354" s="1"/>
      <c r="BI354" s="1"/>
      <c r="BJ354" s="1"/>
      <c r="BK354" s="1"/>
      <c r="BL354" s="1"/>
      <c r="BM354" s="1"/>
      <c r="BN354" s="1"/>
    </row>
    <row r="355" spans="1:66" ht="15.75" customHeight="1" x14ac:dyDescent="0.25">
      <c r="A355" s="43"/>
      <c r="B355" s="50"/>
      <c r="C355" s="51"/>
      <c r="D355" s="43"/>
      <c r="E355" s="43"/>
      <c r="F355" s="43"/>
      <c r="G355" s="44"/>
      <c r="H355" s="23"/>
      <c r="I355" s="43"/>
      <c r="J355" s="43"/>
      <c r="K355" s="45"/>
      <c r="L355" s="46"/>
      <c r="M355" s="46"/>
      <c r="N355" s="46"/>
      <c r="O355" s="46"/>
      <c r="P355" s="46"/>
      <c r="Q355" s="46"/>
      <c r="R355" s="46"/>
      <c r="S355" s="46"/>
      <c r="T355" s="46"/>
      <c r="U355" s="46"/>
      <c r="V355" s="46"/>
      <c r="W355" s="46"/>
      <c r="X355" s="46"/>
      <c r="Y355" s="46"/>
      <c r="Z355" s="46"/>
      <c r="AA355" s="46"/>
      <c r="AB355" s="46"/>
      <c r="AC355" s="46"/>
      <c r="AD355" s="46"/>
      <c r="AE355" s="46"/>
      <c r="AF355" s="46"/>
      <c r="AG355" s="46"/>
      <c r="AH355" s="46"/>
      <c r="AI355" s="46"/>
      <c r="AJ355" s="46"/>
      <c r="AK355" s="46"/>
      <c r="AL355" s="47"/>
      <c r="AM355" s="47"/>
      <c r="AN355" s="47"/>
      <c r="AO355" s="47"/>
      <c r="AP355" s="47"/>
      <c r="AQ355" s="48"/>
      <c r="AR355" s="49"/>
      <c r="AS355" s="49"/>
      <c r="AT355" s="49"/>
      <c r="AU355" s="1"/>
      <c r="AV355" s="1"/>
      <c r="AW355" s="1"/>
      <c r="AX355" s="1"/>
      <c r="AY355" s="1"/>
      <c r="AZ355" s="1"/>
      <c r="BA355" s="1"/>
      <c r="BB355" s="1"/>
      <c r="BC355" s="1"/>
      <c r="BD355" s="1"/>
      <c r="BE355" s="1"/>
      <c r="BF355" s="1"/>
      <c r="BG355" s="1"/>
      <c r="BH355" s="1"/>
      <c r="BI355" s="1"/>
      <c r="BJ355" s="1"/>
      <c r="BK355" s="1"/>
      <c r="BL355" s="1"/>
      <c r="BM355" s="1"/>
      <c r="BN355" s="1"/>
    </row>
    <row r="356" spans="1:66" ht="15.75" customHeight="1" x14ac:dyDescent="0.25">
      <c r="A356" s="43"/>
      <c r="B356" s="50"/>
      <c r="C356" s="51"/>
      <c r="D356" s="43"/>
      <c r="E356" s="43"/>
      <c r="F356" s="43"/>
      <c r="G356" s="44"/>
      <c r="H356" s="23"/>
      <c r="I356" s="43"/>
      <c r="J356" s="43"/>
      <c r="K356" s="45"/>
      <c r="L356" s="46"/>
      <c r="M356" s="46"/>
      <c r="N356" s="46"/>
      <c r="O356" s="46"/>
      <c r="P356" s="46"/>
      <c r="Q356" s="46"/>
      <c r="R356" s="46"/>
      <c r="S356" s="46"/>
      <c r="T356" s="46"/>
      <c r="U356" s="46"/>
      <c r="V356" s="46"/>
      <c r="W356" s="46"/>
      <c r="X356" s="46"/>
      <c r="Y356" s="46"/>
      <c r="Z356" s="46"/>
      <c r="AA356" s="46"/>
      <c r="AB356" s="46"/>
      <c r="AC356" s="46"/>
      <c r="AD356" s="46"/>
      <c r="AE356" s="46"/>
      <c r="AF356" s="46"/>
      <c r="AG356" s="46"/>
      <c r="AH356" s="46"/>
      <c r="AI356" s="46"/>
      <c r="AJ356" s="46"/>
      <c r="AK356" s="46"/>
      <c r="AL356" s="47"/>
      <c r="AM356" s="47"/>
      <c r="AN356" s="47"/>
      <c r="AO356" s="47"/>
      <c r="AP356" s="47"/>
      <c r="AQ356" s="48"/>
      <c r="AR356" s="49"/>
      <c r="AS356" s="49"/>
      <c r="AT356" s="49"/>
      <c r="AU356" s="1"/>
      <c r="AV356" s="1"/>
      <c r="AW356" s="1"/>
      <c r="AX356" s="1"/>
      <c r="AY356" s="1"/>
      <c r="AZ356" s="1"/>
      <c r="BA356" s="1"/>
      <c r="BB356" s="1"/>
      <c r="BC356" s="1"/>
      <c r="BD356" s="1"/>
      <c r="BE356" s="1"/>
      <c r="BF356" s="1"/>
      <c r="BG356" s="1"/>
      <c r="BH356" s="1"/>
      <c r="BI356" s="1"/>
      <c r="BJ356" s="1"/>
      <c r="BK356" s="1"/>
      <c r="BL356" s="1"/>
      <c r="BM356" s="1"/>
      <c r="BN356" s="1"/>
    </row>
    <row r="357" spans="1:66" ht="15.75" customHeight="1" x14ac:dyDescent="0.25">
      <c r="A357" s="43"/>
      <c r="B357" s="50"/>
      <c r="C357" s="51"/>
      <c r="D357" s="43"/>
      <c r="E357" s="43"/>
      <c r="F357" s="43"/>
      <c r="G357" s="44"/>
      <c r="H357" s="23"/>
      <c r="I357" s="43"/>
      <c r="J357" s="43"/>
      <c r="K357" s="45"/>
      <c r="L357" s="46"/>
      <c r="M357" s="46"/>
      <c r="N357" s="46"/>
      <c r="O357" s="46"/>
      <c r="P357" s="46"/>
      <c r="Q357" s="46"/>
      <c r="R357" s="46"/>
      <c r="S357" s="46"/>
      <c r="T357" s="46"/>
      <c r="U357" s="46"/>
      <c r="V357" s="46"/>
      <c r="W357" s="46"/>
      <c r="X357" s="46"/>
      <c r="Y357" s="46"/>
      <c r="Z357" s="46"/>
      <c r="AA357" s="46"/>
      <c r="AB357" s="46"/>
      <c r="AC357" s="46"/>
      <c r="AD357" s="46"/>
      <c r="AE357" s="46"/>
      <c r="AF357" s="46"/>
      <c r="AG357" s="46"/>
      <c r="AH357" s="46"/>
      <c r="AI357" s="46"/>
      <c r="AJ357" s="46"/>
      <c r="AK357" s="46"/>
      <c r="AL357" s="47"/>
      <c r="AM357" s="47"/>
      <c r="AN357" s="47"/>
      <c r="AO357" s="47"/>
      <c r="AP357" s="47"/>
      <c r="AQ357" s="48"/>
      <c r="AR357" s="49"/>
      <c r="AS357" s="49"/>
      <c r="AT357" s="49"/>
      <c r="AU357" s="1"/>
      <c r="AV357" s="1"/>
      <c r="AW357" s="1"/>
      <c r="AX357" s="1"/>
      <c r="AY357" s="1"/>
      <c r="AZ357" s="1"/>
      <c r="BA357" s="1"/>
      <c r="BB357" s="1"/>
      <c r="BC357" s="1"/>
      <c r="BD357" s="1"/>
      <c r="BE357" s="1"/>
      <c r="BF357" s="1"/>
      <c r="BG357" s="1"/>
      <c r="BH357" s="1"/>
      <c r="BI357" s="1"/>
      <c r="BJ357" s="1"/>
      <c r="BK357" s="1"/>
      <c r="BL357" s="1"/>
      <c r="BM357" s="1"/>
      <c r="BN357" s="1"/>
    </row>
    <row r="358" spans="1:66" ht="15.75" customHeight="1" x14ac:dyDescent="0.25">
      <c r="A358" s="43"/>
      <c r="B358" s="50"/>
      <c r="C358" s="51"/>
      <c r="D358" s="43"/>
      <c r="E358" s="43"/>
      <c r="F358" s="43"/>
      <c r="G358" s="44"/>
      <c r="H358" s="23"/>
      <c r="I358" s="43"/>
      <c r="J358" s="43"/>
      <c r="K358" s="45"/>
      <c r="L358" s="46"/>
      <c r="M358" s="46"/>
      <c r="N358" s="46"/>
      <c r="O358" s="46"/>
      <c r="P358" s="46"/>
      <c r="Q358" s="46"/>
      <c r="R358" s="46"/>
      <c r="S358" s="46"/>
      <c r="T358" s="46"/>
      <c r="U358" s="46"/>
      <c r="V358" s="46"/>
      <c r="W358" s="46"/>
      <c r="X358" s="46"/>
      <c r="Y358" s="46"/>
      <c r="Z358" s="46"/>
      <c r="AA358" s="46"/>
      <c r="AB358" s="46"/>
      <c r="AC358" s="46"/>
      <c r="AD358" s="46"/>
      <c r="AE358" s="46"/>
      <c r="AF358" s="46"/>
      <c r="AG358" s="46"/>
      <c r="AH358" s="46"/>
      <c r="AI358" s="46"/>
      <c r="AJ358" s="46"/>
      <c r="AK358" s="46"/>
      <c r="AL358" s="47"/>
      <c r="AM358" s="47"/>
      <c r="AN358" s="47"/>
      <c r="AO358" s="47"/>
      <c r="AP358" s="47"/>
      <c r="AQ358" s="48"/>
      <c r="AR358" s="49"/>
      <c r="AS358" s="49"/>
      <c r="AT358" s="49"/>
      <c r="AU358" s="1"/>
      <c r="AV358" s="1"/>
      <c r="AW358" s="1"/>
      <c r="AX358" s="1"/>
      <c r="AY358" s="1"/>
      <c r="AZ358" s="1"/>
      <c r="BA358" s="1"/>
      <c r="BB358" s="1"/>
      <c r="BC358" s="1"/>
      <c r="BD358" s="1"/>
      <c r="BE358" s="1"/>
      <c r="BF358" s="1"/>
      <c r="BG358" s="1"/>
      <c r="BH358" s="1"/>
      <c r="BI358" s="1"/>
      <c r="BJ358" s="1"/>
      <c r="BK358" s="1"/>
      <c r="BL358" s="1"/>
      <c r="BM358" s="1"/>
      <c r="BN358" s="1"/>
    </row>
    <row r="359" spans="1:66" ht="15.75" customHeight="1" x14ac:dyDescent="0.25">
      <c r="A359" s="43"/>
      <c r="B359" s="50"/>
      <c r="C359" s="51"/>
      <c r="D359" s="43"/>
      <c r="E359" s="43"/>
      <c r="F359" s="43"/>
      <c r="G359" s="44"/>
      <c r="H359" s="23"/>
      <c r="I359" s="43"/>
      <c r="J359" s="43"/>
      <c r="K359" s="45"/>
      <c r="L359" s="46"/>
      <c r="M359" s="46"/>
      <c r="N359" s="46"/>
      <c r="O359" s="46"/>
      <c r="P359" s="46"/>
      <c r="Q359" s="46"/>
      <c r="R359" s="46"/>
      <c r="S359" s="46"/>
      <c r="T359" s="46"/>
      <c r="U359" s="46"/>
      <c r="V359" s="46"/>
      <c r="W359" s="46"/>
      <c r="X359" s="46"/>
      <c r="Y359" s="46"/>
      <c r="Z359" s="46"/>
      <c r="AA359" s="46"/>
      <c r="AB359" s="46"/>
      <c r="AC359" s="46"/>
      <c r="AD359" s="46"/>
      <c r="AE359" s="46"/>
      <c r="AF359" s="46"/>
      <c r="AG359" s="46"/>
      <c r="AH359" s="46"/>
      <c r="AI359" s="46"/>
      <c r="AJ359" s="46"/>
      <c r="AK359" s="46"/>
      <c r="AL359" s="47"/>
      <c r="AM359" s="47"/>
      <c r="AN359" s="47"/>
      <c r="AO359" s="47"/>
      <c r="AP359" s="47"/>
      <c r="AQ359" s="48"/>
      <c r="AR359" s="49"/>
      <c r="AS359" s="49"/>
      <c r="AT359" s="49"/>
      <c r="AU359" s="1"/>
      <c r="AV359" s="1"/>
      <c r="AW359" s="1"/>
      <c r="AX359" s="1"/>
      <c r="AY359" s="1"/>
      <c r="AZ359" s="1"/>
      <c r="BA359" s="1"/>
      <c r="BB359" s="1"/>
      <c r="BC359" s="1"/>
      <c r="BD359" s="1"/>
      <c r="BE359" s="1"/>
      <c r="BF359" s="1"/>
      <c r="BG359" s="1"/>
      <c r="BH359" s="1"/>
      <c r="BI359" s="1"/>
      <c r="BJ359" s="1"/>
      <c r="BK359" s="1"/>
      <c r="BL359" s="1"/>
      <c r="BM359" s="1"/>
      <c r="BN359" s="1"/>
    </row>
    <row r="360" spans="1:66" ht="15.75" customHeight="1" x14ac:dyDescent="0.25">
      <c r="A360" s="43"/>
      <c r="B360" s="50"/>
      <c r="C360" s="51"/>
      <c r="D360" s="43"/>
      <c r="E360" s="43"/>
      <c r="F360" s="43"/>
      <c r="G360" s="44"/>
      <c r="H360" s="23"/>
      <c r="I360" s="43"/>
      <c r="J360" s="43"/>
      <c r="K360" s="45"/>
      <c r="L360" s="46"/>
      <c r="M360" s="46"/>
      <c r="N360" s="46"/>
      <c r="O360" s="46"/>
      <c r="P360" s="46"/>
      <c r="Q360" s="46"/>
      <c r="R360" s="46"/>
      <c r="S360" s="46"/>
      <c r="T360" s="46"/>
      <c r="U360" s="46"/>
      <c r="V360" s="46"/>
      <c r="W360" s="46"/>
      <c r="X360" s="46"/>
      <c r="Y360" s="46"/>
      <c r="Z360" s="46"/>
      <c r="AA360" s="46"/>
      <c r="AB360" s="46"/>
      <c r="AC360" s="46"/>
      <c r="AD360" s="46"/>
      <c r="AE360" s="46"/>
      <c r="AF360" s="46"/>
      <c r="AG360" s="46"/>
      <c r="AH360" s="46"/>
      <c r="AI360" s="46"/>
      <c r="AJ360" s="46"/>
      <c r="AK360" s="46"/>
      <c r="AL360" s="47"/>
      <c r="AM360" s="47"/>
      <c r="AN360" s="47"/>
      <c r="AO360" s="47"/>
      <c r="AP360" s="47"/>
      <c r="AQ360" s="48"/>
      <c r="AR360" s="49"/>
      <c r="AS360" s="49"/>
      <c r="AT360" s="49"/>
      <c r="AU360" s="1"/>
      <c r="AV360" s="1"/>
      <c r="AW360" s="1"/>
      <c r="AX360" s="1"/>
      <c r="AY360" s="1"/>
      <c r="AZ360" s="1"/>
      <c r="BA360" s="1"/>
      <c r="BB360" s="1"/>
      <c r="BC360" s="1"/>
      <c r="BD360" s="1"/>
      <c r="BE360" s="1"/>
      <c r="BF360" s="1"/>
      <c r="BG360" s="1"/>
      <c r="BH360" s="1"/>
      <c r="BI360" s="1"/>
      <c r="BJ360" s="1"/>
      <c r="BK360" s="1"/>
      <c r="BL360" s="1"/>
      <c r="BM360" s="1"/>
      <c r="BN360" s="1"/>
    </row>
    <row r="361" spans="1:66" ht="15.75" customHeight="1" x14ac:dyDescent="0.25">
      <c r="A361" s="43"/>
      <c r="B361" s="50"/>
      <c r="C361" s="51"/>
      <c r="D361" s="43"/>
      <c r="E361" s="43"/>
      <c r="F361" s="43"/>
      <c r="G361" s="44"/>
      <c r="H361" s="23"/>
      <c r="I361" s="43"/>
      <c r="J361" s="43"/>
      <c r="K361" s="45"/>
      <c r="L361" s="46"/>
      <c r="M361" s="46"/>
      <c r="N361" s="46"/>
      <c r="O361" s="46"/>
      <c r="P361" s="46"/>
      <c r="Q361" s="46"/>
      <c r="R361" s="46"/>
      <c r="S361" s="46"/>
      <c r="T361" s="46"/>
      <c r="U361" s="46"/>
      <c r="V361" s="46"/>
      <c r="W361" s="46"/>
      <c r="X361" s="46"/>
      <c r="Y361" s="46"/>
      <c r="Z361" s="46"/>
      <c r="AA361" s="46"/>
      <c r="AB361" s="46"/>
      <c r="AC361" s="46"/>
      <c r="AD361" s="46"/>
      <c r="AE361" s="46"/>
      <c r="AF361" s="46"/>
      <c r="AG361" s="46"/>
      <c r="AH361" s="46"/>
      <c r="AI361" s="46"/>
      <c r="AJ361" s="46"/>
      <c r="AK361" s="46"/>
      <c r="AL361" s="47"/>
      <c r="AM361" s="47"/>
      <c r="AN361" s="47"/>
      <c r="AO361" s="47"/>
      <c r="AP361" s="47"/>
      <c r="AQ361" s="48"/>
      <c r="AR361" s="49"/>
      <c r="AS361" s="49"/>
      <c r="AT361" s="49"/>
      <c r="AU361" s="1"/>
      <c r="AV361" s="1"/>
      <c r="AW361" s="1"/>
      <c r="AX361" s="1"/>
      <c r="AY361" s="1"/>
      <c r="AZ361" s="1"/>
      <c r="BA361" s="1"/>
      <c r="BB361" s="1"/>
      <c r="BC361" s="1"/>
      <c r="BD361" s="1"/>
      <c r="BE361" s="1"/>
      <c r="BF361" s="1"/>
      <c r="BG361" s="1"/>
      <c r="BH361" s="1"/>
      <c r="BI361" s="1"/>
      <c r="BJ361" s="1"/>
      <c r="BK361" s="1"/>
      <c r="BL361" s="1"/>
      <c r="BM361" s="1"/>
      <c r="BN361" s="1"/>
    </row>
    <row r="362" spans="1:66" ht="15.75" customHeight="1" x14ac:dyDescent="0.25">
      <c r="A362" s="43"/>
      <c r="B362" s="50"/>
      <c r="C362" s="51"/>
      <c r="D362" s="43"/>
      <c r="E362" s="43"/>
      <c r="F362" s="43"/>
      <c r="G362" s="44"/>
      <c r="H362" s="23"/>
      <c r="I362" s="43"/>
      <c r="J362" s="43"/>
      <c r="K362" s="45"/>
      <c r="L362" s="46"/>
      <c r="M362" s="46"/>
      <c r="N362" s="46"/>
      <c r="O362" s="46"/>
      <c r="P362" s="46"/>
      <c r="Q362" s="46"/>
      <c r="R362" s="46"/>
      <c r="S362" s="46"/>
      <c r="T362" s="46"/>
      <c r="U362" s="46"/>
      <c r="V362" s="46"/>
      <c r="W362" s="46"/>
      <c r="X362" s="46"/>
      <c r="Y362" s="46"/>
      <c r="Z362" s="46"/>
      <c r="AA362" s="46"/>
      <c r="AB362" s="46"/>
      <c r="AC362" s="46"/>
      <c r="AD362" s="46"/>
      <c r="AE362" s="46"/>
      <c r="AF362" s="46"/>
      <c r="AG362" s="46"/>
      <c r="AH362" s="46"/>
      <c r="AI362" s="46"/>
      <c r="AJ362" s="46"/>
      <c r="AK362" s="46"/>
      <c r="AL362" s="47"/>
      <c r="AM362" s="47"/>
      <c r="AN362" s="47"/>
      <c r="AO362" s="47"/>
      <c r="AP362" s="47"/>
      <c r="AQ362" s="48"/>
      <c r="AR362" s="49"/>
      <c r="AS362" s="49"/>
      <c r="AT362" s="49"/>
      <c r="AU362" s="1"/>
      <c r="AV362" s="1"/>
      <c r="AW362" s="1"/>
      <c r="AX362" s="1"/>
      <c r="AY362" s="1"/>
      <c r="AZ362" s="1"/>
      <c r="BA362" s="1"/>
      <c r="BB362" s="1"/>
      <c r="BC362" s="1"/>
      <c r="BD362" s="1"/>
      <c r="BE362" s="1"/>
      <c r="BF362" s="1"/>
      <c r="BG362" s="1"/>
      <c r="BH362" s="1"/>
      <c r="BI362" s="1"/>
      <c r="BJ362" s="1"/>
      <c r="BK362" s="1"/>
      <c r="BL362" s="1"/>
      <c r="BM362" s="1"/>
      <c r="BN362" s="1"/>
    </row>
    <row r="363" spans="1:66" ht="15.75" customHeight="1" x14ac:dyDescent="0.25">
      <c r="A363" s="43"/>
      <c r="B363" s="50"/>
      <c r="C363" s="51"/>
      <c r="D363" s="43"/>
      <c r="E363" s="43"/>
      <c r="F363" s="43"/>
      <c r="G363" s="44"/>
      <c r="H363" s="23"/>
      <c r="I363" s="43"/>
      <c r="J363" s="43"/>
      <c r="K363" s="45"/>
      <c r="L363" s="46"/>
      <c r="M363" s="46"/>
      <c r="N363" s="46"/>
      <c r="O363" s="46"/>
      <c r="P363" s="46"/>
      <c r="Q363" s="46"/>
      <c r="R363" s="46"/>
      <c r="S363" s="46"/>
      <c r="T363" s="46"/>
      <c r="U363" s="46"/>
      <c r="V363" s="46"/>
      <c r="W363" s="46"/>
      <c r="X363" s="46"/>
      <c r="Y363" s="46"/>
      <c r="Z363" s="46"/>
      <c r="AA363" s="46"/>
      <c r="AB363" s="46"/>
      <c r="AC363" s="46"/>
      <c r="AD363" s="46"/>
      <c r="AE363" s="46"/>
      <c r="AF363" s="46"/>
      <c r="AG363" s="46"/>
      <c r="AH363" s="46"/>
      <c r="AI363" s="46"/>
      <c r="AJ363" s="46"/>
      <c r="AK363" s="46"/>
      <c r="AL363" s="47"/>
      <c r="AM363" s="47"/>
      <c r="AN363" s="47"/>
      <c r="AO363" s="47"/>
      <c r="AP363" s="47"/>
      <c r="AQ363" s="48"/>
      <c r="AR363" s="49"/>
      <c r="AS363" s="49"/>
      <c r="AT363" s="49"/>
      <c r="AU363" s="1"/>
      <c r="AV363" s="1"/>
      <c r="AW363" s="1"/>
      <c r="AX363" s="1"/>
      <c r="AY363" s="1"/>
      <c r="AZ363" s="1"/>
      <c r="BA363" s="1"/>
      <c r="BB363" s="1"/>
      <c r="BC363" s="1"/>
      <c r="BD363" s="1"/>
      <c r="BE363" s="1"/>
      <c r="BF363" s="1"/>
      <c r="BG363" s="1"/>
      <c r="BH363" s="1"/>
      <c r="BI363" s="1"/>
      <c r="BJ363" s="1"/>
      <c r="BK363" s="1"/>
      <c r="BL363" s="1"/>
      <c r="BM363" s="1"/>
      <c r="BN363" s="1"/>
    </row>
    <row r="364" spans="1:66" ht="15.75" customHeight="1" x14ac:dyDescent="0.25">
      <c r="A364" s="43"/>
      <c r="B364" s="50"/>
      <c r="C364" s="51"/>
      <c r="D364" s="43"/>
      <c r="E364" s="43"/>
      <c r="F364" s="43"/>
      <c r="G364" s="44"/>
      <c r="H364" s="23"/>
      <c r="I364" s="43"/>
      <c r="J364" s="43"/>
      <c r="K364" s="45"/>
      <c r="L364" s="46"/>
      <c r="M364" s="46"/>
      <c r="N364" s="46"/>
      <c r="O364" s="46"/>
      <c r="P364" s="46"/>
      <c r="Q364" s="46"/>
      <c r="R364" s="46"/>
      <c r="S364" s="46"/>
      <c r="T364" s="46"/>
      <c r="U364" s="46"/>
      <c r="V364" s="46"/>
      <c r="W364" s="46"/>
      <c r="X364" s="46"/>
      <c r="Y364" s="46"/>
      <c r="Z364" s="46"/>
      <c r="AA364" s="46"/>
      <c r="AB364" s="46"/>
      <c r="AC364" s="46"/>
      <c r="AD364" s="46"/>
      <c r="AE364" s="46"/>
      <c r="AF364" s="46"/>
      <c r="AG364" s="46"/>
      <c r="AH364" s="46"/>
      <c r="AI364" s="46"/>
      <c r="AJ364" s="46"/>
      <c r="AK364" s="46"/>
      <c r="AL364" s="47"/>
      <c r="AM364" s="47"/>
      <c r="AN364" s="47"/>
      <c r="AO364" s="47"/>
      <c r="AP364" s="47"/>
      <c r="AQ364" s="48"/>
      <c r="AR364" s="49"/>
      <c r="AS364" s="49"/>
      <c r="AT364" s="49"/>
      <c r="AU364" s="1"/>
      <c r="AV364" s="1"/>
      <c r="AW364" s="1"/>
      <c r="AX364" s="1"/>
      <c r="AY364" s="1"/>
      <c r="AZ364" s="1"/>
      <c r="BA364" s="1"/>
      <c r="BB364" s="1"/>
      <c r="BC364" s="1"/>
      <c r="BD364" s="1"/>
      <c r="BE364" s="1"/>
      <c r="BF364" s="1"/>
      <c r="BG364" s="1"/>
      <c r="BH364" s="1"/>
      <c r="BI364" s="1"/>
      <c r="BJ364" s="1"/>
      <c r="BK364" s="1"/>
      <c r="BL364" s="1"/>
      <c r="BM364" s="1"/>
      <c r="BN364" s="1"/>
    </row>
    <row r="365" spans="1:66" ht="15.75" customHeight="1" x14ac:dyDescent="0.25">
      <c r="A365" s="43"/>
      <c r="B365" s="50"/>
      <c r="C365" s="51"/>
      <c r="D365" s="43"/>
      <c r="E365" s="43"/>
      <c r="F365" s="43"/>
      <c r="G365" s="44"/>
      <c r="H365" s="23"/>
      <c r="I365" s="43"/>
      <c r="J365" s="43"/>
      <c r="K365" s="45"/>
      <c r="L365" s="46"/>
      <c r="M365" s="46"/>
      <c r="N365" s="46"/>
      <c r="O365" s="46"/>
      <c r="P365" s="46"/>
      <c r="Q365" s="46"/>
      <c r="R365" s="46"/>
      <c r="S365" s="46"/>
      <c r="T365" s="46"/>
      <c r="U365" s="46"/>
      <c r="V365" s="46"/>
      <c r="W365" s="46"/>
      <c r="X365" s="46"/>
      <c r="Y365" s="46"/>
      <c r="Z365" s="46"/>
      <c r="AA365" s="46"/>
      <c r="AB365" s="46"/>
      <c r="AC365" s="46"/>
      <c r="AD365" s="46"/>
      <c r="AE365" s="46"/>
      <c r="AF365" s="46"/>
      <c r="AG365" s="46"/>
      <c r="AH365" s="46"/>
      <c r="AI365" s="46"/>
      <c r="AJ365" s="46"/>
      <c r="AK365" s="46"/>
      <c r="AL365" s="47"/>
      <c r="AM365" s="47"/>
      <c r="AN365" s="47"/>
      <c r="AO365" s="47"/>
      <c r="AP365" s="47"/>
      <c r="AQ365" s="48"/>
      <c r="AR365" s="49"/>
      <c r="AS365" s="49"/>
      <c r="AT365" s="49"/>
      <c r="AU365" s="1"/>
      <c r="AV365" s="1"/>
      <c r="AW365" s="1"/>
      <c r="AX365" s="1"/>
      <c r="AY365" s="1"/>
      <c r="AZ365" s="1"/>
      <c r="BA365" s="1"/>
      <c r="BB365" s="1"/>
      <c r="BC365" s="1"/>
      <c r="BD365" s="1"/>
      <c r="BE365" s="1"/>
      <c r="BF365" s="1"/>
      <c r="BG365" s="1"/>
      <c r="BH365" s="1"/>
      <c r="BI365" s="1"/>
      <c r="BJ365" s="1"/>
      <c r="BK365" s="1"/>
      <c r="BL365" s="1"/>
      <c r="BM365" s="1"/>
      <c r="BN365" s="1"/>
    </row>
    <row r="366" spans="1:66" ht="15.75" customHeight="1" x14ac:dyDescent="0.25">
      <c r="A366" s="43"/>
      <c r="B366" s="50"/>
      <c r="C366" s="51"/>
      <c r="D366" s="43"/>
      <c r="E366" s="43"/>
      <c r="F366" s="43"/>
      <c r="G366" s="44"/>
      <c r="H366" s="23"/>
      <c r="I366" s="43"/>
      <c r="J366" s="43"/>
      <c r="K366" s="45"/>
      <c r="L366" s="46"/>
      <c r="M366" s="46"/>
      <c r="N366" s="46"/>
      <c r="O366" s="46"/>
      <c r="P366" s="46"/>
      <c r="Q366" s="46"/>
      <c r="R366" s="46"/>
      <c r="S366" s="46"/>
      <c r="T366" s="46"/>
      <c r="U366" s="46"/>
      <c r="V366" s="46"/>
      <c r="W366" s="46"/>
      <c r="X366" s="46"/>
      <c r="Y366" s="46"/>
      <c r="Z366" s="46"/>
      <c r="AA366" s="46"/>
      <c r="AB366" s="46"/>
      <c r="AC366" s="46"/>
      <c r="AD366" s="46"/>
      <c r="AE366" s="46"/>
      <c r="AF366" s="46"/>
      <c r="AG366" s="46"/>
      <c r="AH366" s="46"/>
      <c r="AI366" s="46"/>
      <c r="AJ366" s="46"/>
      <c r="AK366" s="46"/>
      <c r="AL366" s="47"/>
      <c r="AM366" s="47"/>
      <c r="AN366" s="47"/>
      <c r="AO366" s="47"/>
      <c r="AP366" s="47"/>
      <c r="AQ366" s="48"/>
      <c r="AR366" s="49"/>
      <c r="AS366" s="49"/>
      <c r="AT366" s="49"/>
      <c r="AU366" s="1"/>
      <c r="AV366" s="1"/>
      <c r="AW366" s="1"/>
      <c r="AX366" s="1"/>
      <c r="AY366" s="1"/>
      <c r="AZ366" s="1"/>
      <c r="BA366" s="1"/>
      <c r="BB366" s="1"/>
      <c r="BC366" s="1"/>
      <c r="BD366" s="1"/>
      <c r="BE366" s="1"/>
      <c r="BF366" s="1"/>
      <c r="BG366" s="1"/>
      <c r="BH366" s="1"/>
      <c r="BI366" s="1"/>
      <c r="BJ366" s="1"/>
      <c r="BK366" s="1"/>
      <c r="BL366" s="1"/>
      <c r="BM366" s="1"/>
      <c r="BN366" s="1"/>
    </row>
    <row r="367" spans="1:66" ht="15.75" customHeight="1" x14ac:dyDescent="0.25">
      <c r="A367" s="43"/>
      <c r="B367" s="50"/>
      <c r="C367" s="51"/>
      <c r="D367" s="43"/>
      <c r="E367" s="43"/>
      <c r="F367" s="43"/>
      <c r="G367" s="44"/>
      <c r="H367" s="23"/>
      <c r="I367" s="43"/>
      <c r="J367" s="43"/>
      <c r="K367" s="45"/>
      <c r="L367" s="46"/>
      <c r="M367" s="46"/>
      <c r="N367" s="46"/>
      <c r="O367" s="46"/>
      <c r="P367" s="46"/>
      <c r="Q367" s="46"/>
      <c r="R367" s="46"/>
      <c r="S367" s="46"/>
      <c r="T367" s="46"/>
      <c r="U367" s="46"/>
      <c r="V367" s="46"/>
      <c r="W367" s="46"/>
      <c r="X367" s="46"/>
      <c r="Y367" s="46"/>
      <c r="Z367" s="46"/>
      <c r="AA367" s="46"/>
      <c r="AB367" s="46"/>
      <c r="AC367" s="46"/>
      <c r="AD367" s="46"/>
      <c r="AE367" s="46"/>
      <c r="AF367" s="46"/>
      <c r="AG367" s="46"/>
      <c r="AH367" s="46"/>
      <c r="AI367" s="46"/>
      <c r="AJ367" s="46"/>
      <c r="AK367" s="46"/>
      <c r="AL367" s="47"/>
      <c r="AM367" s="47"/>
      <c r="AN367" s="47"/>
      <c r="AO367" s="47"/>
      <c r="AP367" s="47"/>
      <c r="AQ367" s="48"/>
      <c r="AR367" s="49"/>
      <c r="AS367" s="49"/>
      <c r="AT367" s="49"/>
      <c r="AU367" s="1"/>
      <c r="AV367" s="1"/>
      <c r="AW367" s="1"/>
      <c r="AX367" s="1"/>
      <c r="AY367" s="1"/>
      <c r="AZ367" s="1"/>
      <c r="BA367" s="1"/>
      <c r="BB367" s="1"/>
      <c r="BC367" s="1"/>
      <c r="BD367" s="1"/>
      <c r="BE367" s="1"/>
      <c r="BF367" s="1"/>
      <c r="BG367" s="1"/>
      <c r="BH367" s="1"/>
      <c r="BI367" s="1"/>
      <c r="BJ367" s="1"/>
      <c r="BK367" s="1"/>
      <c r="BL367" s="1"/>
      <c r="BM367" s="1"/>
      <c r="BN367" s="1"/>
    </row>
    <row r="368" spans="1:66" ht="15.75" customHeight="1" x14ac:dyDescent="0.25">
      <c r="A368" s="43"/>
      <c r="B368" s="50"/>
      <c r="C368" s="51"/>
      <c r="D368" s="43"/>
      <c r="E368" s="43"/>
      <c r="F368" s="43"/>
      <c r="G368" s="44"/>
      <c r="H368" s="23"/>
      <c r="I368" s="43"/>
      <c r="J368" s="43"/>
      <c r="K368" s="45"/>
      <c r="L368" s="46"/>
      <c r="M368" s="46"/>
      <c r="N368" s="46"/>
      <c r="O368" s="46"/>
      <c r="P368" s="46"/>
      <c r="Q368" s="46"/>
      <c r="R368" s="46"/>
      <c r="S368" s="46"/>
      <c r="T368" s="46"/>
      <c r="U368" s="46"/>
      <c r="V368" s="46"/>
      <c r="W368" s="46"/>
      <c r="X368" s="46"/>
      <c r="Y368" s="46"/>
      <c r="Z368" s="46"/>
      <c r="AA368" s="46"/>
      <c r="AB368" s="46"/>
      <c r="AC368" s="46"/>
      <c r="AD368" s="46"/>
      <c r="AE368" s="46"/>
      <c r="AF368" s="46"/>
      <c r="AG368" s="46"/>
      <c r="AH368" s="46"/>
      <c r="AI368" s="46"/>
      <c r="AJ368" s="46"/>
      <c r="AK368" s="46"/>
      <c r="AL368" s="47"/>
      <c r="AM368" s="47"/>
      <c r="AN368" s="47"/>
      <c r="AO368" s="47"/>
      <c r="AP368" s="47"/>
      <c r="AQ368" s="48"/>
      <c r="AR368" s="49"/>
      <c r="AS368" s="49"/>
      <c r="AT368" s="49"/>
      <c r="AU368" s="1"/>
      <c r="AV368" s="1"/>
      <c r="AW368" s="1"/>
      <c r="AX368" s="1"/>
      <c r="AY368" s="1"/>
      <c r="AZ368" s="1"/>
      <c r="BA368" s="1"/>
      <c r="BB368" s="1"/>
      <c r="BC368" s="1"/>
      <c r="BD368" s="1"/>
      <c r="BE368" s="1"/>
      <c r="BF368" s="1"/>
      <c r="BG368" s="1"/>
      <c r="BH368" s="1"/>
      <c r="BI368" s="1"/>
      <c r="BJ368" s="1"/>
      <c r="BK368" s="1"/>
      <c r="BL368" s="1"/>
      <c r="BM368" s="1"/>
      <c r="BN368" s="1"/>
    </row>
    <row r="369" spans="1:66" ht="15.75" customHeight="1" x14ac:dyDescent="0.25">
      <c r="A369" s="43"/>
      <c r="B369" s="50"/>
      <c r="C369" s="51"/>
      <c r="D369" s="43"/>
      <c r="E369" s="43"/>
      <c r="F369" s="43"/>
      <c r="G369" s="44"/>
      <c r="H369" s="23"/>
      <c r="I369" s="43"/>
      <c r="J369" s="43"/>
      <c r="K369" s="45"/>
      <c r="L369" s="46"/>
      <c r="M369" s="46"/>
      <c r="N369" s="46"/>
      <c r="O369" s="46"/>
      <c r="P369" s="46"/>
      <c r="Q369" s="46"/>
      <c r="R369" s="46"/>
      <c r="S369" s="46"/>
      <c r="T369" s="46"/>
      <c r="U369" s="46"/>
      <c r="V369" s="46"/>
      <c r="W369" s="46"/>
      <c r="X369" s="46"/>
      <c r="Y369" s="46"/>
      <c r="Z369" s="46"/>
      <c r="AA369" s="46"/>
      <c r="AB369" s="46"/>
      <c r="AC369" s="46"/>
      <c r="AD369" s="46"/>
      <c r="AE369" s="46"/>
      <c r="AF369" s="46"/>
      <c r="AG369" s="46"/>
      <c r="AH369" s="46"/>
      <c r="AI369" s="46"/>
      <c r="AJ369" s="46"/>
      <c r="AK369" s="46"/>
      <c r="AL369" s="47"/>
      <c r="AM369" s="47"/>
      <c r="AN369" s="47"/>
      <c r="AO369" s="47"/>
      <c r="AP369" s="47"/>
      <c r="AQ369" s="48"/>
      <c r="AR369" s="49"/>
      <c r="AS369" s="49"/>
      <c r="AT369" s="49"/>
      <c r="AU369" s="1"/>
      <c r="AV369" s="1"/>
      <c r="AW369" s="1"/>
      <c r="AX369" s="1"/>
      <c r="AY369" s="1"/>
      <c r="AZ369" s="1"/>
      <c r="BA369" s="1"/>
      <c r="BB369" s="1"/>
      <c r="BC369" s="1"/>
      <c r="BD369" s="1"/>
      <c r="BE369" s="1"/>
      <c r="BF369" s="1"/>
      <c r="BG369" s="1"/>
      <c r="BH369" s="1"/>
      <c r="BI369" s="1"/>
      <c r="BJ369" s="1"/>
      <c r="BK369" s="1"/>
      <c r="BL369" s="1"/>
      <c r="BM369" s="1"/>
      <c r="BN369" s="1"/>
    </row>
    <row r="370" spans="1:66" ht="15.75" customHeight="1" x14ac:dyDescent="0.25">
      <c r="A370" s="43"/>
      <c r="B370" s="50"/>
      <c r="C370" s="51"/>
      <c r="D370" s="43"/>
      <c r="E370" s="43"/>
      <c r="F370" s="43"/>
      <c r="G370" s="44"/>
      <c r="H370" s="23"/>
      <c r="I370" s="43"/>
      <c r="J370" s="43"/>
      <c r="K370" s="45"/>
      <c r="L370" s="46"/>
      <c r="M370" s="46"/>
      <c r="N370" s="46"/>
      <c r="O370" s="46"/>
      <c r="P370" s="46"/>
      <c r="Q370" s="46"/>
      <c r="R370" s="46"/>
      <c r="S370" s="46"/>
      <c r="T370" s="46"/>
      <c r="U370" s="46"/>
      <c r="V370" s="46"/>
      <c r="W370" s="46"/>
      <c r="X370" s="46"/>
      <c r="Y370" s="46"/>
      <c r="Z370" s="46"/>
      <c r="AA370" s="46"/>
      <c r="AB370" s="46"/>
      <c r="AC370" s="46"/>
      <c r="AD370" s="46"/>
      <c r="AE370" s="46"/>
      <c r="AF370" s="46"/>
      <c r="AG370" s="46"/>
      <c r="AH370" s="46"/>
      <c r="AI370" s="46"/>
      <c r="AJ370" s="46"/>
      <c r="AK370" s="46"/>
      <c r="AL370" s="47"/>
      <c r="AM370" s="47"/>
      <c r="AN370" s="47"/>
      <c r="AO370" s="47"/>
      <c r="AP370" s="47"/>
      <c r="AQ370" s="48"/>
      <c r="AR370" s="49"/>
      <c r="AS370" s="49"/>
      <c r="AT370" s="49"/>
      <c r="AU370" s="1"/>
      <c r="AV370" s="1"/>
      <c r="AW370" s="1"/>
      <c r="AX370" s="1"/>
      <c r="AY370" s="1"/>
      <c r="AZ370" s="1"/>
      <c r="BA370" s="1"/>
      <c r="BB370" s="1"/>
      <c r="BC370" s="1"/>
      <c r="BD370" s="1"/>
      <c r="BE370" s="1"/>
      <c r="BF370" s="1"/>
      <c r="BG370" s="1"/>
      <c r="BH370" s="1"/>
      <c r="BI370" s="1"/>
      <c r="BJ370" s="1"/>
      <c r="BK370" s="1"/>
      <c r="BL370" s="1"/>
      <c r="BM370" s="1"/>
      <c r="BN370" s="1"/>
    </row>
    <row r="371" spans="1:66" ht="15.75" customHeight="1" x14ac:dyDescent="0.25">
      <c r="A371" s="43"/>
      <c r="B371" s="50"/>
      <c r="C371" s="51"/>
      <c r="D371" s="43"/>
      <c r="E371" s="43"/>
      <c r="F371" s="43"/>
      <c r="G371" s="44"/>
      <c r="H371" s="23"/>
      <c r="I371" s="43"/>
      <c r="J371" s="43"/>
      <c r="K371" s="45"/>
      <c r="L371" s="46"/>
      <c r="M371" s="46"/>
      <c r="N371" s="46"/>
      <c r="O371" s="46"/>
      <c r="P371" s="46"/>
      <c r="Q371" s="46"/>
      <c r="R371" s="46"/>
      <c r="S371" s="46"/>
      <c r="T371" s="46"/>
      <c r="U371" s="46"/>
      <c r="V371" s="46"/>
      <c r="W371" s="46"/>
      <c r="X371" s="46"/>
      <c r="Y371" s="46"/>
      <c r="Z371" s="46"/>
      <c r="AA371" s="46"/>
      <c r="AB371" s="46"/>
      <c r="AC371" s="46"/>
      <c r="AD371" s="46"/>
      <c r="AE371" s="46"/>
      <c r="AF371" s="46"/>
      <c r="AG371" s="46"/>
      <c r="AH371" s="46"/>
      <c r="AI371" s="46"/>
      <c r="AJ371" s="46"/>
      <c r="AK371" s="46"/>
      <c r="AL371" s="47"/>
      <c r="AM371" s="47"/>
      <c r="AN371" s="47"/>
      <c r="AO371" s="47"/>
      <c r="AP371" s="47"/>
      <c r="AQ371" s="48"/>
      <c r="AR371" s="49"/>
      <c r="AS371" s="49"/>
      <c r="AT371" s="49"/>
      <c r="AU371" s="1"/>
      <c r="AV371" s="1"/>
      <c r="AW371" s="1"/>
      <c r="AX371" s="1"/>
      <c r="AY371" s="1"/>
      <c r="AZ371" s="1"/>
      <c r="BA371" s="1"/>
      <c r="BB371" s="1"/>
      <c r="BC371" s="1"/>
      <c r="BD371" s="1"/>
      <c r="BE371" s="1"/>
      <c r="BF371" s="1"/>
      <c r="BG371" s="1"/>
      <c r="BH371" s="1"/>
      <c r="BI371" s="1"/>
      <c r="BJ371" s="1"/>
      <c r="BK371" s="1"/>
      <c r="BL371" s="1"/>
      <c r="BM371" s="1"/>
      <c r="BN371" s="1"/>
    </row>
    <row r="372" spans="1:66" ht="15.75" customHeight="1" x14ac:dyDescent="0.25">
      <c r="A372" s="43"/>
      <c r="B372" s="50"/>
      <c r="C372" s="51"/>
      <c r="D372" s="43"/>
      <c r="E372" s="43"/>
      <c r="F372" s="43"/>
      <c r="G372" s="44"/>
      <c r="H372" s="23"/>
      <c r="I372" s="43"/>
      <c r="J372" s="43"/>
      <c r="K372" s="45"/>
      <c r="L372" s="46"/>
      <c r="M372" s="46"/>
      <c r="N372" s="46"/>
      <c r="O372" s="46"/>
      <c r="P372" s="46"/>
      <c r="Q372" s="46"/>
      <c r="R372" s="46"/>
      <c r="S372" s="46"/>
      <c r="T372" s="46"/>
      <c r="U372" s="46"/>
      <c r="V372" s="46"/>
      <c r="W372" s="46"/>
      <c r="X372" s="46"/>
      <c r="Y372" s="46"/>
      <c r="Z372" s="46"/>
      <c r="AA372" s="46"/>
      <c r="AB372" s="46"/>
      <c r="AC372" s="46"/>
      <c r="AD372" s="46"/>
      <c r="AE372" s="46"/>
      <c r="AF372" s="46"/>
      <c r="AG372" s="46"/>
      <c r="AH372" s="46"/>
      <c r="AI372" s="46"/>
      <c r="AJ372" s="46"/>
      <c r="AK372" s="46"/>
      <c r="AL372" s="47"/>
      <c r="AM372" s="47"/>
      <c r="AN372" s="47"/>
      <c r="AO372" s="47"/>
      <c r="AP372" s="47"/>
      <c r="AQ372" s="48"/>
      <c r="AR372" s="49"/>
      <c r="AS372" s="49"/>
      <c r="AT372" s="49"/>
      <c r="AU372" s="1"/>
      <c r="AV372" s="1"/>
      <c r="AW372" s="1"/>
      <c r="AX372" s="1"/>
      <c r="AY372" s="1"/>
      <c r="AZ372" s="1"/>
      <c r="BA372" s="1"/>
      <c r="BB372" s="1"/>
      <c r="BC372" s="1"/>
      <c r="BD372" s="1"/>
      <c r="BE372" s="1"/>
      <c r="BF372" s="1"/>
      <c r="BG372" s="1"/>
      <c r="BH372" s="1"/>
      <c r="BI372" s="1"/>
      <c r="BJ372" s="1"/>
      <c r="BK372" s="1"/>
      <c r="BL372" s="1"/>
      <c r="BM372" s="1"/>
      <c r="BN372" s="1"/>
    </row>
    <row r="373" spans="1:66" ht="15.75" customHeight="1" x14ac:dyDescent="0.25">
      <c r="A373" s="43"/>
      <c r="B373" s="50"/>
      <c r="C373" s="51"/>
      <c r="D373" s="43"/>
      <c r="E373" s="43"/>
      <c r="F373" s="43"/>
      <c r="G373" s="44"/>
      <c r="H373" s="23"/>
      <c r="I373" s="43"/>
      <c r="J373" s="43"/>
      <c r="K373" s="45"/>
      <c r="L373" s="46"/>
      <c r="M373" s="46"/>
      <c r="N373" s="46"/>
      <c r="O373" s="46"/>
      <c r="P373" s="46"/>
      <c r="Q373" s="46"/>
      <c r="R373" s="46"/>
      <c r="S373" s="46"/>
      <c r="T373" s="46"/>
      <c r="U373" s="46"/>
      <c r="V373" s="46"/>
      <c r="W373" s="46"/>
      <c r="X373" s="46"/>
      <c r="Y373" s="46"/>
      <c r="Z373" s="46"/>
      <c r="AA373" s="46"/>
      <c r="AB373" s="46"/>
      <c r="AC373" s="46"/>
      <c r="AD373" s="46"/>
      <c r="AE373" s="46"/>
      <c r="AF373" s="46"/>
      <c r="AG373" s="46"/>
      <c r="AH373" s="46"/>
      <c r="AI373" s="46"/>
      <c r="AJ373" s="46"/>
      <c r="AK373" s="46"/>
      <c r="AL373" s="47"/>
      <c r="AM373" s="47"/>
      <c r="AN373" s="47"/>
      <c r="AO373" s="47"/>
      <c r="AP373" s="47"/>
      <c r="AQ373" s="48"/>
      <c r="AR373" s="49"/>
      <c r="AS373" s="49"/>
      <c r="AT373" s="49"/>
      <c r="AU373" s="1"/>
      <c r="AV373" s="1"/>
      <c r="AW373" s="1"/>
      <c r="AX373" s="1"/>
      <c r="AY373" s="1"/>
      <c r="AZ373" s="1"/>
      <c r="BA373" s="1"/>
      <c r="BB373" s="1"/>
      <c r="BC373" s="1"/>
      <c r="BD373" s="1"/>
      <c r="BE373" s="1"/>
      <c r="BF373" s="1"/>
      <c r="BG373" s="1"/>
      <c r="BH373" s="1"/>
      <c r="BI373" s="1"/>
      <c r="BJ373" s="1"/>
      <c r="BK373" s="1"/>
      <c r="BL373" s="1"/>
      <c r="BM373" s="1"/>
      <c r="BN373" s="1"/>
    </row>
    <row r="374" spans="1:66" ht="15.75" customHeight="1" x14ac:dyDescent="0.25">
      <c r="A374" s="43"/>
      <c r="B374" s="50"/>
      <c r="C374" s="51"/>
      <c r="D374" s="43"/>
      <c r="E374" s="43"/>
      <c r="F374" s="43"/>
      <c r="G374" s="44"/>
      <c r="H374" s="23"/>
      <c r="I374" s="43"/>
      <c r="J374" s="43"/>
      <c r="K374" s="45"/>
      <c r="L374" s="46"/>
      <c r="M374" s="46"/>
      <c r="N374" s="46"/>
      <c r="O374" s="46"/>
      <c r="P374" s="46"/>
      <c r="Q374" s="46"/>
      <c r="R374" s="46"/>
      <c r="S374" s="46"/>
      <c r="T374" s="46"/>
      <c r="U374" s="46"/>
      <c r="V374" s="46"/>
      <c r="W374" s="46"/>
      <c r="X374" s="46"/>
      <c r="Y374" s="46"/>
      <c r="Z374" s="46"/>
      <c r="AA374" s="46"/>
      <c r="AB374" s="46"/>
      <c r="AC374" s="46"/>
      <c r="AD374" s="46"/>
      <c r="AE374" s="46"/>
      <c r="AF374" s="46"/>
      <c r="AG374" s="46"/>
      <c r="AH374" s="46"/>
      <c r="AI374" s="46"/>
      <c r="AJ374" s="46"/>
      <c r="AK374" s="46"/>
      <c r="AL374" s="47"/>
      <c r="AM374" s="47"/>
      <c r="AN374" s="47"/>
      <c r="AO374" s="47"/>
      <c r="AP374" s="47"/>
      <c r="AQ374" s="48"/>
      <c r="AR374" s="49"/>
      <c r="AS374" s="49"/>
      <c r="AT374" s="49"/>
      <c r="AU374" s="1"/>
      <c r="AV374" s="1"/>
      <c r="AW374" s="1"/>
      <c r="AX374" s="1"/>
      <c r="AY374" s="1"/>
      <c r="AZ374" s="1"/>
      <c r="BA374" s="1"/>
      <c r="BB374" s="1"/>
      <c r="BC374" s="1"/>
      <c r="BD374" s="1"/>
      <c r="BE374" s="1"/>
      <c r="BF374" s="1"/>
      <c r="BG374" s="1"/>
      <c r="BH374" s="1"/>
      <c r="BI374" s="1"/>
      <c r="BJ374" s="1"/>
      <c r="BK374" s="1"/>
      <c r="BL374" s="1"/>
      <c r="BM374" s="1"/>
      <c r="BN374" s="1"/>
    </row>
    <row r="375" spans="1:66" ht="15.75" customHeight="1" x14ac:dyDescent="0.25">
      <c r="A375" s="43"/>
      <c r="B375" s="50"/>
      <c r="C375" s="51"/>
      <c r="D375" s="43"/>
      <c r="E375" s="43"/>
      <c r="F375" s="43"/>
      <c r="G375" s="44"/>
      <c r="H375" s="23"/>
      <c r="I375" s="43"/>
      <c r="J375" s="43"/>
      <c r="K375" s="45"/>
      <c r="L375" s="46"/>
      <c r="M375" s="46"/>
      <c r="N375" s="46"/>
      <c r="O375" s="46"/>
      <c r="P375" s="46"/>
      <c r="Q375" s="46"/>
      <c r="R375" s="46"/>
      <c r="S375" s="46"/>
      <c r="T375" s="46"/>
      <c r="U375" s="46"/>
      <c r="V375" s="46"/>
      <c r="W375" s="46"/>
      <c r="X375" s="46"/>
      <c r="Y375" s="46"/>
      <c r="Z375" s="46"/>
      <c r="AA375" s="46"/>
      <c r="AB375" s="46"/>
      <c r="AC375" s="46"/>
      <c r="AD375" s="46"/>
      <c r="AE375" s="46"/>
      <c r="AF375" s="46"/>
      <c r="AG375" s="46"/>
      <c r="AH375" s="46"/>
      <c r="AI375" s="46"/>
      <c r="AJ375" s="46"/>
      <c r="AK375" s="46"/>
      <c r="AL375" s="47"/>
      <c r="AM375" s="47"/>
      <c r="AN375" s="47"/>
      <c r="AO375" s="47"/>
      <c r="AP375" s="47"/>
      <c r="AQ375" s="48"/>
      <c r="AR375" s="49"/>
      <c r="AS375" s="49"/>
      <c r="AT375" s="49"/>
      <c r="AU375" s="1"/>
      <c r="AV375" s="1"/>
      <c r="AW375" s="1"/>
      <c r="AX375" s="1"/>
      <c r="AY375" s="1"/>
      <c r="AZ375" s="1"/>
      <c r="BA375" s="1"/>
      <c r="BB375" s="1"/>
      <c r="BC375" s="1"/>
      <c r="BD375" s="1"/>
      <c r="BE375" s="1"/>
      <c r="BF375" s="1"/>
      <c r="BG375" s="1"/>
      <c r="BH375" s="1"/>
      <c r="BI375" s="1"/>
      <c r="BJ375" s="1"/>
      <c r="BK375" s="1"/>
      <c r="BL375" s="1"/>
      <c r="BM375" s="1"/>
      <c r="BN375" s="1"/>
    </row>
    <row r="376" spans="1:66" ht="15.75" customHeight="1" x14ac:dyDescent="0.25">
      <c r="A376" s="43"/>
      <c r="B376" s="50"/>
      <c r="C376" s="51"/>
      <c r="D376" s="43"/>
      <c r="E376" s="43"/>
      <c r="F376" s="43"/>
      <c r="G376" s="44"/>
      <c r="H376" s="23"/>
      <c r="I376" s="43"/>
      <c r="J376" s="43"/>
      <c r="K376" s="45"/>
      <c r="L376" s="46"/>
      <c r="M376" s="46"/>
      <c r="N376" s="46"/>
      <c r="O376" s="46"/>
      <c r="P376" s="46"/>
      <c r="Q376" s="46"/>
      <c r="R376" s="46"/>
      <c r="S376" s="46"/>
      <c r="T376" s="46"/>
      <c r="U376" s="46"/>
      <c r="V376" s="46"/>
      <c r="W376" s="46"/>
      <c r="X376" s="46"/>
      <c r="Y376" s="46"/>
      <c r="Z376" s="46"/>
      <c r="AA376" s="46"/>
      <c r="AB376" s="46"/>
      <c r="AC376" s="46"/>
      <c r="AD376" s="46"/>
      <c r="AE376" s="46"/>
      <c r="AF376" s="46"/>
      <c r="AG376" s="46"/>
      <c r="AH376" s="46"/>
      <c r="AI376" s="46"/>
      <c r="AJ376" s="46"/>
      <c r="AK376" s="46"/>
      <c r="AL376" s="47"/>
      <c r="AM376" s="47"/>
      <c r="AN376" s="47"/>
      <c r="AO376" s="47"/>
      <c r="AP376" s="47"/>
      <c r="AQ376" s="48"/>
      <c r="AR376" s="49"/>
      <c r="AS376" s="49"/>
      <c r="AT376" s="49"/>
      <c r="AU376" s="1"/>
      <c r="AV376" s="1"/>
      <c r="AW376" s="1"/>
      <c r="AX376" s="1"/>
      <c r="AY376" s="1"/>
      <c r="AZ376" s="1"/>
      <c r="BA376" s="1"/>
      <c r="BB376" s="1"/>
      <c r="BC376" s="1"/>
      <c r="BD376" s="1"/>
      <c r="BE376" s="1"/>
      <c r="BF376" s="1"/>
      <c r="BG376" s="1"/>
      <c r="BH376" s="1"/>
      <c r="BI376" s="1"/>
      <c r="BJ376" s="1"/>
      <c r="BK376" s="1"/>
      <c r="BL376" s="1"/>
      <c r="BM376" s="1"/>
      <c r="BN376" s="1"/>
    </row>
    <row r="377" spans="1:66" ht="15.75" customHeight="1" x14ac:dyDescent="0.25">
      <c r="A377" s="43"/>
      <c r="B377" s="50"/>
      <c r="C377" s="51"/>
      <c r="D377" s="43"/>
      <c r="E377" s="43"/>
      <c r="F377" s="43"/>
      <c r="G377" s="44"/>
      <c r="H377" s="23"/>
      <c r="I377" s="43"/>
      <c r="J377" s="43"/>
      <c r="K377" s="45"/>
      <c r="L377" s="46"/>
      <c r="M377" s="46"/>
      <c r="N377" s="46"/>
      <c r="O377" s="46"/>
      <c r="P377" s="46"/>
      <c r="Q377" s="46"/>
      <c r="R377" s="46"/>
      <c r="S377" s="46"/>
      <c r="T377" s="46"/>
      <c r="U377" s="46"/>
      <c r="V377" s="46"/>
      <c r="W377" s="46"/>
      <c r="X377" s="46"/>
      <c r="Y377" s="46"/>
      <c r="Z377" s="46"/>
      <c r="AA377" s="46"/>
      <c r="AB377" s="46"/>
      <c r="AC377" s="46"/>
      <c r="AD377" s="46"/>
      <c r="AE377" s="46"/>
      <c r="AF377" s="46"/>
      <c r="AG377" s="46"/>
      <c r="AH377" s="46"/>
      <c r="AI377" s="46"/>
      <c r="AJ377" s="46"/>
      <c r="AK377" s="46"/>
      <c r="AL377" s="47"/>
      <c r="AM377" s="47"/>
      <c r="AN377" s="47"/>
      <c r="AO377" s="47"/>
      <c r="AP377" s="47"/>
      <c r="AQ377" s="48"/>
      <c r="AR377" s="49"/>
      <c r="AS377" s="49"/>
      <c r="AT377" s="49"/>
      <c r="AU377" s="1"/>
      <c r="AV377" s="1"/>
      <c r="AW377" s="1"/>
      <c r="AX377" s="1"/>
      <c r="AY377" s="1"/>
      <c r="AZ377" s="1"/>
      <c r="BA377" s="1"/>
      <c r="BB377" s="1"/>
      <c r="BC377" s="1"/>
      <c r="BD377" s="1"/>
      <c r="BE377" s="1"/>
      <c r="BF377" s="1"/>
      <c r="BG377" s="1"/>
      <c r="BH377" s="1"/>
      <c r="BI377" s="1"/>
      <c r="BJ377" s="1"/>
      <c r="BK377" s="1"/>
      <c r="BL377" s="1"/>
      <c r="BM377" s="1"/>
      <c r="BN377" s="1"/>
    </row>
    <row r="378" spans="1:66" ht="15.75" customHeight="1" x14ac:dyDescent="0.25">
      <c r="A378" s="43"/>
      <c r="B378" s="50"/>
      <c r="C378" s="51"/>
      <c r="D378" s="43"/>
      <c r="E378" s="43"/>
      <c r="F378" s="43"/>
      <c r="G378" s="44"/>
      <c r="H378" s="23"/>
      <c r="I378" s="43"/>
      <c r="J378" s="43"/>
      <c r="K378" s="45"/>
      <c r="L378" s="46"/>
      <c r="M378" s="46"/>
      <c r="N378" s="46"/>
      <c r="O378" s="46"/>
      <c r="P378" s="46"/>
      <c r="Q378" s="46"/>
      <c r="R378" s="46"/>
      <c r="S378" s="46"/>
      <c r="T378" s="46"/>
      <c r="U378" s="46"/>
      <c r="V378" s="46"/>
      <c r="W378" s="46"/>
      <c r="X378" s="46"/>
      <c r="Y378" s="46"/>
      <c r="Z378" s="46"/>
      <c r="AA378" s="46"/>
      <c r="AB378" s="46"/>
      <c r="AC378" s="46"/>
      <c r="AD378" s="46"/>
      <c r="AE378" s="46"/>
      <c r="AF378" s="46"/>
      <c r="AG378" s="46"/>
      <c r="AH378" s="46"/>
      <c r="AI378" s="46"/>
      <c r="AJ378" s="46"/>
      <c r="AK378" s="46"/>
      <c r="AL378" s="47"/>
      <c r="AM378" s="47"/>
      <c r="AN378" s="47"/>
      <c r="AO378" s="47"/>
      <c r="AP378" s="47"/>
      <c r="AQ378" s="48"/>
      <c r="AR378" s="49"/>
      <c r="AS378" s="49"/>
      <c r="AT378" s="49"/>
      <c r="AU378" s="1"/>
      <c r="AV378" s="1"/>
      <c r="AW378" s="1"/>
      <c r="AX378" s="1"/>
      <c r="AY378" s="1"/>
      <c r="AZ378" s="1"/>
      <c r="BA378" s="1"/>
      <c r="BB378" s="1"/>
      <c r="BC378" s="1"/>
      <c r="BD378" s="1"/>
      <c r="BE378" s="1"/>
      <c r="BF378" s="1"/>
      <c r="BG378" s="1"/>
      <c r="BH378" s="1"/>
      <c r="BI378" s="1"/>
      <c r="BJ378" s="1"/>
      <c r="BK378" s="1"/>
      <c r="BL378" s="1"/>
      <c r="BM378" s="1"/>
      <c r="BN378" s="1"/>
    </row>
    <row r="379" spans="1:66" ht="15.75" customHeight="1" x14ac:dyDescent="0.25">
      <c r="A379" s="43"/>
      <c r="B379" s="50"/>
      <c r="C379" s="51"/>
      <c r="D379" s="43"/>
      <c r="E379" s="43"/>
      <c r="F379" s="43"/>
      <c r="G379" s="44"/>
      <c r="H379" s="23"/>
      <c r="I379" s="43"/>
      <c r="J379" s="43"/>
      <c r="K379" s="45"/>
      <c r="L379" s="46"/>
      <c r="M379" s="46"/>
      <c r="N379" s="46"/>
      <c r="O379" s="46"/>
      <c r="P379" s="46"/>
      <c r="Q379" s="46"/>
      <c r="R379" s="46"/>
      <c r="S379" s="46"/>
      <c r="T379" s="46"/>
      <c r="U379" s="46"/>
      <c r="V379" s="46"/>
      <c r="W379" s="46"/>
      <c r="X379" s="46"/>
      <c r="Y379" s="46"/>
      <c r="Z379" s="46"/>
      <c r="AA379" s="46"/>
      <c r="AB379" s="46"/>
      <c r="AC379" s="46"/>
      <c r="AD379" s="46"/>
      <c r="AE379" s="46"/>
      <c r="AF379" s="46"/>
      <c r="AG379" s="46"/>
      <c r="AH379" s="46"/>
      <c r="AI379" s="46"/>
      <c r="AJ379" s="46"/>
      <c r="AK379" s="46"/>
      <c r="AL379" s="47"/>
      <c r="AM379" s="47"/>
      <c r="AN379" s="47"/>
      <c r="AO379" s="47"/>
      <c r="AP379" s="47"/>
      <c r="AQ379" s="48"/>
      <c r="AR379" s="49"/>
      <c r="AS379" s="49"/>
      <c r="AT379" s="49"/>
      <c r="AU379" s="1"/>
      <c r="AV379" s="1"/>
      <c r="AW379" s="1"/>
      <c r="AX379" s="1"/>
      <c r="AY379" s="1"/>
      <c r="AZ379" s="1"/>
      <c r="BA379" s="1"/>
      <c r="BB379" s="1"/>
      <c r="BC379" s="1"/>
      <c r="BD379" s="1"/>
      <c r="BE379" s="1"/>
      <c r="BF379" s="1"/>
      <c r="BG379" s="1"/>
      <c r="BH379" s="1"/>
      <c r="BI379" s="1"/>
      <c r="BJ379" s="1"/>
      <c r="BK379" s="1"/>
      <c r="BL379" s="1"/>
      <c r="BM379" s="1"/>
      <c r="BN379" s="1"/>
    </row>
    <row r="380" spans="1:66" ht="15.75" customHeight="1" x14ac:dyDescent="0.25">
      <c r="A380" s="43"/>
      <c r="B380" s="50"/>
      <c r="C380" s="51"/>
      <c r="D380" s="43"/>
      <c r="E380" s="43"/>
      <c r="F380" s="43"/>
      <c r="G380" s="44"/>
      <c r="H380" s="23"/>
      <c r="I380" s="43"/>
      <c r="J380" s="43"/>
      <c r="K380" s="45"/>
      <c r="L380" s="46"/>
      <c r="M380" s="46"/>
      <c r="N380" s="46"/>
      <c r="O380" s="46"/>
      <c r="P380" s="46"/>
      <c r="Q380" s="46"/>
      <c r="R380" s="46"/>
      <c r="S380" s="46"/>
      <c r="T380" s="46"/>
      <c r="U380" s="46"/>
      <c r="V380" s="46"/>
      <c r="W380" s="46"/>
      <c r="X380" s="46"/>
      <c r="Y380" s="46"/>
      <c r="Z380" s="46"/>
      <c r="AA380" s="46"/>
      <c r="AB380" s="46"/>
      <c r="AC380" s="46"/>
      <c r="AD380" s="46"/>
      <c r="AE380" s="46"/>
      <c r="AF380" s="46"/>
      <c r="AG380" s="46"/>
      <c r="AH380" s="46"/>
      <c r="AI380" s="46"/>
      <c r="AJ380" s="46"/>
      <c r="AK380" s="46"/>
      <c r="AL380" s="47"/>
      <c r="AM380" s="47"/>
      <c r="AN380" s="47"/>
      <c r="AO380" s="47"/>
      <c r="AP380" s="47"/>
      <c r="AQ380" s="48"/>
      <c r="AR380" s="49"/>
      <c r="AS380" s="49"/>
      <c r="AT380" s="49"/>
      <c r="AU380" s="1"/>
      <c r="AV380" s="1"/>
      <c r="AW380" s="1"/>
      <c r="AX380" s="1"/>
      <c r="AY380" s="1"/>
      <c r="AZ380" s="1"/>
      <c r="BA380" s="1"/>
      <c r="BB380" s="1"/>
      <c r="BC380" s="1"/>
      <c r="BD380" s="1"/>
      <c r="BE380" s="1"/>
      <c r="BF380" s="1"/>
      <c r="BG380" s="1"/>
      <c r="BH380" s="1"/>
      <c r="BI380" s="1"/>
      <c r="BJ380" s="1"/>
      <c r="BK380" s="1"/>
      <c r="BL380" s="1"/>
      <c r="BM380" s="1"/>
      <c r="BN380" s="1"/>
    </row>
    <row r="381" spans="1:66" ht="15.75" customHeight="1" x14ac:dyDescent="0.25">
      <c r="A381" s="43"/>
      <c r="B381" s="50"/>
      <c r="C381" s="51"/>
      <c r="D381" s="43"/>
      <c r="E381" s="43"/>
      <c r="F381" s="43"/>
      <c r="G381" s="44"/>
      <c r="H381" s="23"/>
      <c r="I381" s="43"/>
      <c r="J381" s="43"/>
      <c r="K381" s="45"/>
      <c r="L381" s="46"/>
      <c r="M381" s="46"/>
      <c r="N381" s="46"/>
      <c r="O381" s="46"/>
      <c r="P381" s="46"/>
      <c r="Q381" s="46"/>
      <c r="R381" s="46"/>
      <c r="S381" s="46"/>
      <c r="T381" s="46"/>
      <c r="U381" s="46"/>
      <c r="V381" s="46"/>
      <c r="W381" s="46"/>
      <c r="X381" s="46"/>
      <c r="Y381" s="46"/>
      <c r="Z381" s="46"/>
      <c r="AA381" s="46"/>
      <c r="AB381" s="46"/>
      <c r="AC381" s="46"/>
      <c r="AD381" s="46"/>
      <c r="AE381" s="46"/>
      <c r="AF381" s="46"/>
      <c r="AG381" s="46"/>
      <c r="AH381" s="46"/>
      <c r="AI381" s="46"/>
      <c r="AJ381" s="46"/>
      <c r="AK381" s="46"/>
      <c r="AL381" s="47"/>
      <c r="AM381" s="47"/>
      <c r="AN381" s="47"/>
      <c r="AO381" s="47"/>
      <c r="AP381" s="47"/>
      <c r="AQ381" s="48"/>
      <c r="AR381" s="49"/>
      <c r="AS381" s="49"/>
      <c r="AT381" s="49"/>
      <c r="AU381" s="1"/>
      <c r="AV381" s="1"/>
      <c r="AW381" s="1"/>
      <c r="AX381" s="1"/>
      <c r="AY381" s="1"/>
      <c r="AZ381" s="1"/>
      <c r="BA381" s="1"/>
      <c r="BB381" s="1"/>
      <c r="BC381" s="1"/>
      <c r="BD381" s="1"/>
      <c r="BE381" s="1"/>
      <c r="BF381" s="1"/>
      <c r="BG381" s="1"/>
      <c r="BH381" s="1"/>
      <c r="BI381" s="1"/>
      <c r="BJ381" s="1"/>
      <c r="BK381" s="1"/>
      <c r="BL381" s="1"/>
      <c r="BM381" s="1"/>
      <c r="BN381" s="1"/>
    </row>
    <row r="382" spans="1:66" ht="15.75" customHeight="1" x14ac:dyDescent="0.25">
      <c r="A382" s="43"/>
      <c r="B382" s="50"/>
      <c r="C382" s="51"/>
      <c r="D382" s="43"/>
      <c r="E382" s="43"/>
      <c r="F382" s="43"/>
      <c r="G382" s="44"/>
      <c r="H382" s="23"/>
      <c r="I382" s="43"/>
      <c r="J382" s="43"/>
      <c r="K382" s="45"/>
      <c r="L382" s="46"/>
      <c r="M382" s="46"/>
      <c r="N382" s="46"/>
      <c r="O382" s="46"/>
      <c r="P382" s="46"/>
      <c r="Q382" s="46"/>
      <c r="R382" s="46"/>
      <c r="S382" s="46"/>
      <c r="T382" s="46"/>
      <c r="U382" s="46"/>
      <c r="V382" s="46"/>
      <c r="W382" s="46"/>
      <c r="X382" s="46"/>
      <c r="Y382" s="46"/>
      <c r="Z382" s="46"/>
      <c r="AA382" s="46"/>
      <c r="AB382" s="46"/>
      <c r="AC382" s="46"/>
      <c r="AD382" s="46"/>
      <c r="AE382" s="46"/>
      <c r="AF382" s="46"/>
      <c r="AG382" s="46"/>
      <c r="AH382" s="46"/>
      <c r="AI382" s="46"/>
      <c r="AJ382" s="46"/>
      <c r="AK382" s="46"/>
      <c r="AL382" s="47"/>
      <c r="AM382" s="47"/>
      <c r="AN382" s="47"/>
      <c r="AO382" s="47"/>
      <c r="AP382" s="47"/>
      <c r="AQ382" s="48"/>
      <c r="AR382" s="49"/>
      <c r="AS382" s="49"/>
      <c r="AT382" s="49"/>
      <c r="AU382" s="1"/>
      <c r="AV382" s="1"/>
      <c r="AW382" s="1"/>
      <c r="AX382" s="1"/>
      <c r="AY382" s="1"/>
      <c r="AZ382" s="1"/>
      <c r="BA382" s="1"/>
      <c r="BB382" s="1"/>
      <c r="BC382" s="1"/>
      <c r="BD382" s="1"/>
      <c r="BE382" s="1"/>
      <c r="BF382" s="1"/>
      <c r="BG382" s="1"/>
      <c r="BH382" s="1"/>
      <c r="BI382" s="1"/>
      <c r="BJ382" s="1"/>
      <c r="BK382" s="1"/>
      <c r="BL382" s="1"/>
      <c r="BM382" s="1"/>
      <c r="BN382" s="1"/>
    </row>
    <row r="383" spans="1:66" ht="15.75" customHeight="1" x14ac:dyDescent="0.25">
      <c r="A383" s="43"/>
      <c r="B383" s="50"/>
      <c r="C383" s="51"/>
      <c r="D383" s="43"/>
      <c r="E383" s="43"/>
      <c r="F383" s="43"/>
      <c r="G383" s="44"/>
      <c r="H383" s="23"/>
      <c r="I383" s="43"/>
      <c r="J383" s="43"/>
      <c r="K383" s="45"/>
      <c r="L383" s="46"/>
      <c r="M383" s="46"/>
      <c r="N383" s="46"/>
      <c r="O383" s="46"/>
      <c r="P383" s="46"/>
      <c r="Q383" s="46"/>
      <c r="R383" s="46"/>
      <c r="S383" s="46"/>
      <c r="T383" s="46"/>
      <c r="U383" s="46"/>
      <c r="V383" s="46"/>
      <c r="W383" s="46"/>
      <c r="X383" s="46"/>
      <c r="Y383" s="46"/>
      <c r="Z383" s="46"/>
      <c r="AA383" s="46"/>
      <c r="AB383" s="46"/>
      <c r="AC383" s="46"/>
      <c r="AD383" s="46"/>
      <c r="AE383" s="46"/>
      <c r="AF383" s="46"/>
      <c r="AG383" s="46"/>
      <c r="AH383" s="46"/>
      <c r="AI383" s="46"/>
      <c r="AJ383" s="46"/>
      <c r="AK383" s="46"/>
      <c r="AL383" s="47"/>
      <c r="AM383" s="47"/>
      <c r="AN383" s="47"/>
      <c r="AO383" s="47"/>
      <c r="AP383" s="47"/>
      <c r="AQ383" s="48"/>
      <c r="AR383" s="49"/>
      <c r="AS383" s="49"/>
      <c r="AT383" s="49"/>
      <c r="AU383" s="1"/>
      <c r="AV383" s="1"/>
      <c r="AW383" s="1"/>
      <c r="AX383" s="1"/>
      <c r="AY383" s="1"/>
      <c r="AZ383" s="1"/>
      <c r="BA383" s="1"/>
      <c r="BB383" s="1"/>
      <c r="BC383" s="1"/>
      <c r="BD383" s="1"/>
      <c r="BE383" s="1"/>
      <c r="BF383" s="1"/>
      <c r="BG383" s="1"/>
      <c r="BH383" s="1"/>
      <c r="BI383" s="1"/>
      <c r="BJ383" s="1"/>
      <c r="BK383" s="1"/>
      <c r="BL383" s="1"/>
      <c r="BM383" s="1"/>
      <c r="BN383" s="1"/>
    </row>
    <row r="384" spans="1:66" ht="15.75" customHeight="1" x14ac:dyDescent="0.25">
      <c r="A384" s="43"/>
      <c r="B384" s="50"/>
      <c r="C384" s="51"/>
      <c r="D384" s="43"/>
      <c r="E384" s="43"/>
      <c r="F384" s="43"/>
      <c r="G384" s="44"/>
      <c r="H384" s="23"/>
      <c r="I384" s="43"/>
      <c r="J384" s="43"/>
      <c r="K384" s="45"/>
      <c r="L384" s="46"/>
      <c r="M384" s="46"/>
      <c r="N384" s="46"/>
      <c r="O384" s="46"/>
      <c r="P384" s="46"/>
      <c r="Q384" s="46"/>
      <c r="R384" s="46"/>
      <c r="S384" s="46"/>
      <c r="T384" s="46"/>
      <c r="U384" s="46"/>
      <c r="V384" s="46"/>
      <c r="W384" s="46"/>
      <c r="X384" s="46"/>
      <c r="Y384" s="46"/>
      <c r="Z384" s="46"/>
      <c r="AA384" s="46"/>
      <c r="AB384" s="46"/>
      <c r="AC384" s="46"/>
      <c r="AD384" s="46"/>
      <c r="AE384" s="46"/>
      <c r="AF384" s="46"/>
      <c r="AG384" s="46"/>
      <c r="AH384" s="46"/>
      <c r="AI384" s="46"/>
      <c r="AJ384" s="46"/>
      <c r="AK384" s="46"/>
      <c r="AL384" s="47"/>
      <c r="AM384" s="47"/>
      <c r="AN384" s="47"/>
      <c r="AO384" s="47"/>
      <c r="AP384" s="47"/>
      <c r="AQ384" s="48"/>
      <c r="AR384" s="49"/>
      <c r="AS384" s="49"/>
      <c r="AT384" s="49"/>
      <c r="AU384" s="1"/>
      <c r="AV384" s="1"/>
      <c r="AW384" s="1"/>
      <c r="AX384" s="1"/>
      <c r="AY384" s="1"/>
      <c r="AZ384" s="1"/>
      <c r="BA384" s="1"/>
      <c r="BB384" s="1"/>
      <c r="BC384" s="1"/>
      <c r="BD384" s="1"/>
      <c r="BE384" s="1"/>
      <c r="BF384" s="1"/>
      <c r="BG384" s="1"/>
      <c r="BH384" s="1"/>
      <c r="BI384" s="1"/>
      <c r="BJ384" s="1"/>
      <c r="BK384" s="1"/>
      <c r="BL384" s="1"/>
      <c r="BM384" s="1"/>
      <c r="BN384" s="1"/>
    </row>
    <row r="385" spans="1:66" ht="15.75" customHeight="1" x14ac:dyDescent="0.25">
      <c r="A385" s="43"/>
      <c r="B385" s="50"/>
      <c r="C385" s="51"/>
      <c r="D385" s="43"/>
      <c r="E385" s="43"/>
      <c r="F385" s="43"/>
      <c r="G385" s="44"/>
      <c r="H385" s="23"/>
      <c r="I385" s="43"/>
      <c r="J385" s="43"/>
      <c r="K385" s="45"/>
      <c r="L385" s="46"/>
      <c r="M385" s="46"/>
      <c r="N385" s="46"/>
      <c r="O385" s="46"/>
      <c r="P385" s="46"/>
      <c r="Q385" s="46"/>
      <c r="R385" s="46"/>
      <c r="S385" s="46"/>
      <c r="T385" s="46"/>
      <c r="U385" s="46"/>
      <c r="V385" s="46"/>
      <c r="W385" s="46"/>
      <c r="X385" s="46"/>
      <c r="Y385" s="46"/>
      <c r="Z385" s="46"/>
      <c r="AA385" s="46"/>
      <c r="AB385" s="46"/>
      <c r="AC385" s="46"/>
      <c r="AD385" s="46"/>
      <c r="AE385" s="46"/>
      <c r="AF385" s="46"/>
      <c r="AG385" s="46"/>
      <c r="AH385" s="46"/>
      <c r="AI385" s="46"/>
      <c r="AJ385" s="46"/>
      <c r="AK385" s="46"/>
      <c r="AL385" s="47"/>
      <c r="AM385" s="47"/>
      <c r="AN385" s="47"/>
      <c r="AO385" s="47"/>
      <c r="AP385" s="47"/>
      <c r="AQ385" s="48"/>
      <c r="AR385" s="49"/>
      <c r="AS385" s="49"/>
      <c r="AT385" s="49"/>
      <c r="AU385" s="1"/>
      <c r="AV385" s="1"/>
      <c r="AW385" s="1"/>
      <c r="AX385" s="1"/>
      <c r="AY385" s="1"/>
      <c r="AZ385" s="1"/>
      <c r="BA385" s="1"/>
      <c r="BB385" s="1"/>
      <c r="BC385" s="1"/>
      <c r="BD385" s="1"/>
      <c r="BE385" s="1"/>
      <c r="BF385" s="1"/>
      <c r="BG385" s="1"/>
      <c r="BH385" s="1"/>
      <c r="BI385" s="1"/>
      <c r="BJ385" s="1"/>
      <c r="BK385" s="1"/>
      <c r="BL385" s="1"/>
      <c r="BM385" s="1"/>
      <c r="BN385" s="1"/>
    </row>
    <row r="386" spans="1:66" ht="15.75" customHeight="1" x14ac:dyDescent="0.25">
      <c r="A386" s="43"/>
      <c r="B386" s="50"/>
      <c r="C386" s="51"/>
      <c r="D386" s="43"/>
      <c r="E386" s="43"/>
      <c r="F386" s="43"/>
      <c r="G386" s="44"/>
      <c r="H386" s="23"/>
      <c r="I386" s="43"/>
      <c r="J386" s="43"/>
      <c r="K386" s="45"/>
      <c r="L386" s="46"/>
      <c r="M386" s="46"/>
      <c r="N386" s="46"/>
      <c r="O386" s="46"/>
      <c r="P386" s="46"/>
      <c r="Q386" s="46"/>
      <c r="R386" s="46"/>
      <c r="S386" s="46"/>
      <c r="T386" s="46"/>
      <c r="U386" s="46"/>
      <c r="V386" s="46"/>
      <c r="W386" s="46"/>
      <c r="X386" s="46"/>
      <c r="Y386" s="46"/>
      <c r="Z386" s="46"/>
      <c r="AA386" s="46"/>
      <c r="AB386" s="46"/>
      <c r="AC386" s="46"/>
      <c r="AD386" s="46"/>
      <c r="AE386" s="46"/>
      <c r="AF386" s="46"/>
      <c r="AG386" s="46"/>
      <c r="AH386" s="46"/>
      <c r="AI386" s="46"/>
      <c r="AJ386" s="46"/>
      <c r="AK386" s="46"/>
      <c r="AL386" s="47"/>
      <c r="AM386" s="47"/>
      <c r="AN386" s="47"/>
      <c r="AO386" s="47"/>
      <c r="AP386" s="47"/>
      <c r="AQ386" s="48"/>
      <c r="AR386" s="49"/>
      <c r="AS386" s="49"/>
      <c r="AT386" s="49"/>
      <c r="AU386" s="1"/>
      <c r="AV386" s="1"/>
      <c r="AW386" s="1"/>
      <c r="AX386" s="1"/>
      <c r="AY386" s="1"/>
      <c r="AZ386" s="1"/>
      <c r="BA386" s="1"/>
      <c r="BB386" s="1"/>
      <c r="BC386" s="1"/>
      <c r="BD386" s="1"/>
      <c r="BE386" s="1"/>
      <c r="BF386" s="1"/>
      <c r="BG386" s="1"/>
      <c r="BH386" s="1"/>
      <c r="BI386" s="1"/>
      <c r="BJ386" s="1"/>
      <c r="BK386" s="1"/>
      <c r="BL386" s="1"/>
      <c r="BM386" s="1"/>
      <c r="BN386" s="1"/>
    </row>
    <row r="387" spans="1:66" ht="15.75" customHeight="1" x14ac:dyDescent="0.25">
      <c r="A387" s="43"/>
      <c r="B387" s="50"/>
      <c r="C387" s="51"/>
      <c r="D387" s="43"/>
      <c r="E387" s="43"/>
      <c r="F387" s="43"/>
      <c r="G387" s="44"/>
      <c r="H387" s="23"/>
      <c r="I387" s="43"/>
      <c r="J387" s="43"/>
      <c r="K387" s="45"/>
      <c r="L387" s="46"/>
      <c r="M387" s="46"/>
      <c r="N387" s="46"/>
      <c r="O387" s="46"/>
      <c r="P387" s="46"/>
      <c r="Q387" s="46"/>
      <c r="R387" s="46"/>
      <c r="S387" s="46"/>
      <c r="T387" s="46"/>
      <c r="U387" s="46"/>
      <c r="V387" s="46"/>
      <c r="W387" s="46"/>
      <c r="X387" s="46"/>
      <c r="Y387" s="46"/>
      <c r="Z387" s="46"/>
      <c r="AA387" s="46"/>
      <c r="AB387" s="46"/>
      <c r="AC387" s="46"/>
      <c r="AD387" s="46"/>
      <c r="AE387" s="46"/>
      <c r="AF387" s="46"/>
      <c r="AG387" s="46"/>
      <c r="AH387" s="46"/>
      <c r="AI387" s="46"/>
      <c r="AJ387" s="46"/>
      <c r="AK387" s="46"/>
      <c r="AL387" s="47"/>
      <c r="AM387" s="47"/>
      <c r="AN387" s="47"/>
      <c r="AO387" s="47"/>
      <c r="AP387" s="47"/>
      <c r="AQ387" s="48"/>
      <c r="AR387" s="49"/>
      <c r="AS387" s="49"/>
      <c r="AT387" s="49"/>
      <c r="AU387" s="1"/>
      <c r="AV387" s="1"/>
      <c r="AW387" s="1"/>
      <c r="AX387" s="1"/>
      <c r="AY387" s="1"/>
      <c r="AZ387" s="1"/>
      <c r="BA387" s="1"/>
      <c r="BB387" s="1"/>
      <c r="BC387" s="1"/>
      <c r="BD387" s="1"/>
      <c r="BE387" s="1"/>
      <c r="BF387" s="1"/>
      <c r="BG387" s="1"/>
      <c r="BH387" s="1"/>
      <c r="BI387" s="1"/>
      <c r="BJ387" s="1"/>
      <c r="BK387" s="1"/>
      <c r="BL387" s="1"/>
      <c r="BM387" s="1"/>
      <c r="BN387" s="1"/>
    </row>
    <row r="388" spans="1:66" ht="15.75" customHeight="1" x14ac:dyDescent="0.25">
      <c r="A388" s="43"/>
      <c r="B388" s="50"/>
      <c r="C388" s="51"/>
      <c r="D388" s="43"/>
      <c r="E388" s="43"/>
      <c r="F388" s="43"/>
      <c r="G388" s="44"/>
      <c r="H388" s="23"/>
      <c r="I388" s="43"/>
      <c r="J388" s="43"/>
      <c r="K388" s="45"/>
      <c r="L388" s="46"/>
      <c r="M388" s="46"/>
      <c r="N388" s="46"/>
      <c r="O388" s="46"/>
      <c r="P388" s="46"/>
      <c r="Q388" s="46"/>
      <c r="R388" s="46"/>
      <c r="S388" s="46"/>
      <c r="T388" s="46"/>
      <c r="U388" s="46"/>
      <c r="V388" s="46"/>
      <c r="W388" s="46"/>
      <c r="X388" s="46"/>
      <c r="Y388" s="46"/>
      <c r="Z388" s="46"/>
      <c r="AA388" s="46"/>
      <c r="AB388" s="46"/>
      <c r="AC388" s="46"/>
      <c r="AD388" s="46"/>
      <c r="AE388" s="46"/>
      <c r="AF388" s="46"/>
      <c r="AG388" s="46"/>
      <c r="AH388" s="46"/>
      <c r="AI388" s="46"/>
      <c r="AJ388" s="46"/>
      <c r="AK388" s="46"/>
      <c r="AL388" s="47"/>
      <c r="AM388" s="47"/>
      <c r="AN388" s="47"/>
      <c r="AO388" s="47"/>
      <c r="AP388" s="47"/>
      <c r="AQ388" s="48"/>
      <c r="AR388" s="49"/>
      <c r="AS388" s="49"/>
      <c r="AT388" s="49"/>
      <c r="AU388" s="1"/>
      <c r="AV388" s="1"/>
      <c r="AW388" s="1"/>
      <c r="AX388" s="1"/>
      <c r="AY388" s="1"/>
      <c r="AZ388" s="1"/>
      <c r="BA388" s="1"/>
      <c r="BB388" s="1"/>
      <c r="BC388" s="1"/>
      <c r="BD388" s="1"/>
      <c r="BE388" s="1"/>
      <c r="BF388" s="1"/>
      <c r="BG388" s="1"/>
      <c r="BH388" s="1"/>
      <c r="BI388" s="1"/>
      <c r="BJ388" s="1"/>
      <c r="BK388" s="1"/>
      <c r="BL388" s="1"/>
      <c r="BM388" s="1"/>
      <c r="BN388" s="1"/>
    </row>
    <row r="389" spans="1:66" ht="15.75" customHeight="1" x14ac:dyDescent="0.25">
      <c r="A389" s="43"/>
      <c r="B389" s="50"/>
      <c r="C389" s="51"/>
      <c r="D389" s="43"/>
      <c r="E389" s="43"/>
      <c r="F389" s="43"/>
      <c r="G389" s="44"/>
      <c r="H389" s="23"/>
      <c r="I389" s="43"/>
      <c r="J389" s="43"/>
      <c r="K389" s="45"/>
      <c r="L389" s="46"/>
      <c r="M389" s="46"/>
      <c r="N389" s="46"/>
      <c r="O389" s="46"/>
      <c r="P389" s="46"/>
      <c r="Q389" s="46"/>
      <c r="R389" s="46"/>
      <c r="S389" s="46"/>
      <c r="T389" s="46"/>
      <c r="U389" s="46"/>
      <c r="V389" s="46"/>
      <c r="W389" s="46"/>
      <c r="X389" s="46"/>
      <c r="Y389" s="46"/>
      <c r="Z389" s="46"/>
      <c r="AA389" s="46"/>
      <c r="AB389" s="46"/>
      <c r="AC389" s="46"/>
      <c r="AD389" s="46"/>
      <c r="AE389" s="46"/>
      <c r="AF389" s="46"/>
      <c r="AG389" s="46"/>
      <c r="AH389" s="46"/>
      <c r="AI389" s="46"/>
      <c r="AJ389" s="46"/>
      <c r="AK389" s="46"/>
      <c r="AL389" s="47"/>
      <c r="AM389" s="47"/>
      <c r="AN389" s="47"/>
      <c r="AO389" s="47"/>
      <c r="AP389" s="47"/>
      <c r="AQ389" s="48"/>
      <c r="AR389" s="49"/>
      <c r="AS389" s="49"/>
      <c r="AT389" s="49"/>
      <c r="AU389" s="1"/>
      <c r="AV389" s="1"/>
      <c r="AW389" s="1"/>
      <c r="AX389" s="1"/>
      <c r="AY389" s="1"/>
      <c r="AZ389" s="1"/>
      <c r="BA389" s="1"/>
      <c r="BB389" s="1"/>
      <c r="BC389" s="1"/>
      <c r="BD389" s="1"/>
      <c r="BE389" s="1"/>
      <c r="BF389" s="1"/>
      <c r="BG389" s="1"/>
      <c r="BH389" s="1"/>
      <c r="BI389" s="1"/>
      <c r="BJ389" s="1"/>
      <c r="BK389" s="1"/>
      <c r="BL389" s="1"/>
      <c r="BM389" s="1"/>
      <c r="BN389" s="1"/>
    </row>
    <row r="390" spans="1:66" ht="15.75" customHeight="1" x14ac:dyDescent="0.25">
      <c r="A390" s="43"/>
      <c r="B390" s="50"/>
      <c r="C390" s="51"/>
      <c r="D390" s="43"/>
      <c r="E390" s="43"/>
      <c r="F390" s="43"/>
      <c r="G390" s="44"/>
      <c r="H390" s="23"/>
      <c r="I390" s="43"/>
      <c r="J390" s="43"/>
      <c r="K390" s="45"/>
      <c r="L390" s="46"/>
      <c r="M390" s="46"/>
      <c r="N390" s="46"/>
      <c r="O390" s="46"/>
      <c r="P390" s="46"/>
      <c r="Q390" s="46"/>
      <c r="R390" s="46"/>
      <c r="S390" s="46"/>
      <c r="T390" s="46"/>
      <c r="U390" s="46"/>
      <c r="V390" s="46"/>
      <c r="W390" s="46"/>
      <c r="X390" s="46"/>
      <c r="Y390" s="46"/>
      <c r="Z390" s="46"/>
      <c r="AA390" s="46"/>
      <c r="AB390" s="46"/>
      <c r="AC390" s="46"/>
      <c r="AD390" s="46"/>
      <c r="AE390" s="46"/>
      <c r="AF390" s="46"/>
      <c r="AG390" s="46"/>
      <c r="AH390" s="46"/>
      <c r="AI390" s="46"/>
      <c r="AJ390" s="46"/>
      <c r="AK390" s="46"/>
      <c r="AL390" s="47"/>
      <c r="AM390" s="47"/>
      <c r="AN390" s="47"/>
      <c r="AO390" s="47"/>
      <c r="AP390" s="47"/>
      <c r="AQ390" s="48"/>
      <c r="AR390" s="49"/>
      <c r="AS390" s="49"/>
      <c r="AT390" s="49"/>
      <c r="AU390" s="1"/>
      <c r="AV390" s="1"/>
      <c r="AW390" s="1"/>
      <c r="AX390" s="1"/>
      <c r="AY390" s="1"/>
      <c r="AZ390" s="1"/>
      <c r="BA390" s="1"/>
      <c r="BB390" s="1"/>
      <c r="BC390" s="1"/>
      <c r="BD390" s="1"/>
      <c r="BE390" s="1"/>
      <c r="BF390" s="1"/>
      <c r="BG390" s="1"/>
      <c r="BH390" s="1"/>
      <c r="BI390" s="1"/>
      <c r="BJ390" s="1"/>
      <c r="BK390" s="1"/>
      <c r="BL390" s="1"/>
      <c r="BM390" s="1"/>
      <c r="BN390" s="1"/>
    </row>
    <row r="391" spans="1:66" ht="15.75" customHeight="1" x14ac:dyDescent="0.25">
      <c r="A391" s="43"/>
      <c r="B391" s="50"/>
      <c r="C391" s="51"/>
      <c r="D391" s="43"/>
      <c r="E391" s="43"/>
      <c r="F391" s="43"/>
      <c r="G391" s="44"/>
      <c r="H391" s="23"/>
      <c r="I391" s="43"/>
      <c r="J391" s="43"/>
      <c r="K391" s="45"/>
      <c r="L391" s="46"/>
      <c r="M391" s="46"/>
      <c r="N391" s="46"/>
      <c r="O391" s="46"/>
      <c r="P391" s="46"/>
      <c r="Q391" s="46"/>
      <c r="R391" s="46"/>
      <c r="S391" s="46"/>
      <c r="T391" s="46"/>
      <c r="U391" s="46"/>
      <c r="V391" s="46"/>
      <c r="W391" s="46"/>
      <c r="X391" s="46"/>
      <c r="Y391" s="46"/>
      <c r="Z391" s="46"/>
      <c r="AA391" s="46"/>
      <c r="AB391" s="46"/>
      <c r="AC391" s="46"/>
      <c r="AD391" s="46"/>
      <c r="AE391" s="46"/>
      <c r="AF391" s="46"/>
      <c r="AG391" s="46"/>
      <c r="AH391" s="46"/>
      <c r="AI391" s="46"/>
      <c r="AJ391" s="46"/>
      <c r="AK391" s="46"/>
      <c r="AL391" s="47"/>
      <c r="AM391" s="47"/>
      <c r="AN391" s="47"/>
      <c r="AO391" s="47"/>
      <c r="AP391" s="47"/>
      <c r="AQ391" s="48"/>
      <c r="AR391" s="49"/>
      <c r="AS391" s="49"/>
      <c r="AT391" s="49"/>
      <c r="AU391" s="1"/>
      <c r="AV391" s="1"/>
      <c r="AW391" s="1"/>
      <c r="AX391" s="1"/>
      <c r="AY391" s="1"/>
      <c r="AZ391" s="1"/>
      <c r="BA391" s="1"/>
      <c r="BB391" s="1"/>
      <c r="BC391" s="1"/>
      <c r="BD391" s="1"/>
      <c r="BE391" s="1"/>
      <c r="BF391" s="1"/>
      <c r="BG391" s="1"/>
      <c r="BH391" s="1"/>
      <c r="BI391" s="1"/>
      <c r="BJ391" s="1"/>
      <c r="BK391" s="1"/>
      <c r="BL391" s="1"/>
      <c r="BM391" s="1"/>
      <c r="BN391" s="1"/>
    </row>
    <row r="392" spans="1:66" ht="15.75" customHeight="1" x14ac:dyDescent="0.25">
      <c r="A392" s="43"/>
      <c r="B392" s="50"/>
      <c r="C392" s="51"/>
      <c r="D392" s="43"/>
      <c r="E392" s="43"/>
      <c r="F392" s="43"/>
      <c r="G392" s="44"/>
      <c r="H392" s="23"/>
      <c r="I392" s="43"/>
      <c r="J392" s="43"/>
      <c r="K392" s="45"/>
      <c r="L392" s="46"/>
      <c r="M392" s="46"/>
      <c r="N392" s="46"/>
      <c r="O392" s="46"/>
      <c r="P392" s="46"/>
      <c r="Q392" s="46"/>
      <c r="R392" s="46"/>
      <c r="S392" s="46"/>
      <c r="T392" s="46"/>
      <c r="U392" s="46"/>
      <c r="V392" s="46"/>
      <c r="W392" s="46"/>
      <c r="X392" s="46"/>
      <c r="Y392" s="46"/>
      <c r="Z392" s="46"/>
      <c r="AA392" s="46"/>
      <c r="AB392" s="46"/>
      <c r="AC392" s="46"/>
      <c r="AD392" s="46"/>
      <c r="AE392" s="46"/>
      <c r="AF392" s="46"/>
      <c r="AG392" s="46"/>
      <c r="AH392" s="46"/>
      <c r="AI392" s="46"/>
      <c r="AJ392" s="46"/>
      <c r="AK392" s="46"/>
      <c r="AL392" s="47"/>
      <c r="AM392" s="47"/>
      <c r="AN392" s="47"/>
      <c r="AO392" s="47"/>
      <c r="AP392" s="47"/>
      <c r="AQ392" s="48"/>
      <c r="AR392" s="49"/>
      <c r="AS392" s="49"/>
      <c r="AT392" s="49"/>
      <c r="AU392" s="1"/>
      <c r="AV392" s="1"/>
      <c r="AW392" s="1"/>
      <c r="AX392" s="1"/>
      <c r="AY392" s="1"/>
      <c r="AZ392" s="1"/>
      <c r="BA392" s="1"/>
      <c r="BB392" s="1"/>
      <c r="BC392" s="1"/>
      <c r="BD392" s="1"/>
      <c r="BE392" s="1"/>
      <c r="BF392" s="1"/>
      <c r="BG392" s="1"/>
      <c r="BH392" s="1"/>
      <c r="BI392" s="1"/>
      <c r="BJ392" s="1"/>
      <c r="BK392" s="1"/>
      <c r="BL392" s="1"/>
      <c r="BM392" s="1"/>
      <c r="BN392" s="1"/>
    </row>
    <row r="393" spans="1:66" ht="15.75" customHeight="1" x14ac:dyDescent="0.25">
      <c r="A393" s="43"/>
      <c r="B393" s="50"/>
      <c r="C393" s="51"/>
      <c r="D393" s="43"/>
      <c r="E393" s="43"/>
      <c r="F393" s="43"/>
      <c r="G393" s="44"/>
      <c r="H393" s="23"/>
      <c r="I393" s="43"/>
      <c r="J393" s="43"/>
      <c r="K393" s="45"/>
      <c r="L393" s="46"/>
      <c r="M393" s="46"/>
      <c r="N393" s="46"/>
      <c r="O393" s="46"/>
      <c r="P393" s="46"/>
      <c r="Q393" s="46"/>
      <c r="R393" s="46"/>
      <c r="S393" s="46"/>
      <c r="T393" s="46"/>
      <c r="U393" s="46"/>
      <c r="V393" s="46"/>
      <c r="W393" s="46"/>
      <c r="X393" s="46"/>
      <c r="Y393" s="46"/>
      <c r="Z393" s="46"/>
      <c r="AA393" s="46"/>
      <c r="AB393" s="46"/>
      <c r="AC393" s="46"/>
      <c r="AD393" s="46"/>
      <c r="AE393" s="46"/>
      <c r="AF393" s="46"/>
      <c r="AG393" s="46"/>
      <c r="AH393" s="46"/>
      <c r="AI393" s="46"/>
      <c r="AJ393" s="46"/>
      <c r="AK393" s="46"/>
      <c r="AL393" s="47"/>
      <c r="AM393" s="47"/>
      <c r="AN393" s="47"/>
      <c r="AO393" s="47"/>
      <c r="AP393" s="47"/>
      <c r="AQ393" s="48"/>
      <c r="AR393" s="49"/>
      <c r="AS393" s="49"/>
      <c r="AT393" s="49"/>
      <c r="AU393" s="1"/>
      <c r="AV393" s="1"/>
      <c r="AW393" s="1"/>
      <c r="AX393" s="1"/>
      <c r="AY393" s="1"/>
      <c r="AZ393" s="1"/>
      <c r="BA393" s="1"/>
      <c r="BB393" s="1"/>
      <c r="BC393" s="1"/>
      <c r="BD393" s="1"/>
      <c r="BE393" s="1"/>
      <c r="BF393" s="1"/>
      <c r="BG393" s="1"/>
      <c r="BH393" s="1"/>
      <c r="BI393" s="1"/>
      <c r="BJ393" s="1"/>
      <c r="BK393" s="1"/>
      <c r="BL393" s="1"/>
      <c r="BM393" s="1"/>
      <c r="BN393" s="1"/>
    </row>
    <row r="394" spans="1:66" ht="15.75" customHeight="1" x14ac:dyDescent="0.25">
      <c r="A394" s="43"/>
      <c r="B394" s="50"/>
      <c r="C394" s="51"/>
      <c r="D394" s="43"/>
      <c r="E394" s="43"/>
      <c r="F394" s="43"/>
      <c r="G394" s="44"/>
      <c r="H394" s="23"/>
      <c r="I394" s="43"/>
      <c r="J394" s="43"/>
      <c r="K394" s="45"/>
      <c r="L394" s="46"/>
      <c r="M394" s="46"/>
      <c r="N394" s="46"/>
      <c r="O394" s="46"/>
      <c r="P394" s="46"/>
      <c r="Q394" s="46"/>
      <c r="R394" s="46"/>
      <c r="S394" s="46"/>
      <c r="T394" s="46"/>
      <c r="U394" s="46"/>
      <c r="V394" s="46"/>
      <c r="W394" s="46"/>
      <c r="X394" s="46"/>
      <c r="Y394" s="46"/>
      <c r="Z394" s="46"/>
      <c r="AA394" s="46"/>
      <c r="AB394" s="46"/>
      <c r="AC394" s="46"/>
      <c r="AD394" s="46"/>
      <c r="AE394" s="46"/>
      <c r="AF394" s="46"/>
      <c r="AG394" s="46"/>
      <c r="AH394" s="46"/>
      <c r="AI394" s="46"/>
      <c r="AJ394" s="46"/>
      <c r="AK394" s="46"/>
      <c r="AL394" s="47"/>
      <c r="AM394" s="47"/>
      <c r="AN394" s="47"/>
      <c r="AO394" s="47"/>
      <c r="AP394" s="47"/>
      <c r="AQ394" s="48"/>
      <c r="AR394" s="49"/>
      <c r="AS394" s="49"/>
      <c r="AT394" s="49"/>
      <c r="AU394" s="1"/>
      <c r="AV394" s="1"/>
      <c r="AW394" s="1"/>
      <c r="AX394" s="1"/>
      <c r="AY394" s="1"/>
      <c r="AZ394" s="1"/>
      <c r="BA394" s="1"/>
      <c r="BB394" s="1"/>
      <c r="BC394" s="1"/>
      <c r="BD394" s="1"/>
      <c r="BE394" s="1"/>
      <c r="BF394" s="1"/>
      <c r="BG394" s="1"/>
      <c r="BH394" s="1"/>
      <c r="BI394" s="1"/>
      <c r="BJ394" s="1"/>
      <c r="BK394" s="1"/>
      <c r="BL394" s="1"/>
      <c r="BM394" s="1"/>
      <c r="BN394" s="1"/>
    </row>
    <row r="395" spans="1:66" ht="15.75" customHeight="1" x14ac:dyDescent="0.25">
      <c r="A395" s="43"/>
      <c r="B395" s="50"/>
      <c r="C395" s="51"/>
      <c r="D395" s="43"/>
      <c r="E395" s="43"/>
      <c r="F395" s="43"/>
      <c r="G395" s="44"/>
      <c r="H395" s="23"/>
      <c r="I395" s="43"/>
      <c r="J395" s="43"/>
      <c r="K395" s="45"/>
      <c r="L395" s="46"/>
      <c r="M395" s="46"/>
      <c r="N395" s="46"/>
      <c r="O395" s="46"/>
      <c r="P395" s="46"/>
      <c r="Q395" s="46"/>
      <c r="R395" s="46"/>
      <c r="S395" s="46"/>
      <c r="T395" s="46"/>
      <c r="U395" s="46"/>
      <c r="V395" s="46"/>
      <c r="W395" s="46"/>
      <c r="X395" s="46"/>
      <c r="Y395" s="46"/>
      <c r="Z395" s="46"/>
      <c r="AA395" s="46"/>
      <c r="AB395" s="46"/>
      <c r="AC395" s="46"/>
      <c r="AD395" s="46"/>
      <c r="AE395" s="46"/>
      <c r="AF395" s="46"/>
      <c r="AG395" s="46"/>
      <c r="AH395" s="46"/>
      <c r="AI395" s="46"/>
      <c r="AJ395" s="46"/>
      <c r="AK395" s="46"/>
      <c r="AL395" s="47"/>
      <c r="AM395" s="47"/>
      <c r="AN395" s="47"/>
      <c r="AO395" s="47"/>
      <c r="AP395" s="47"/>
      <c r="AQ395" s="48"/>
      <c r="AR395" s="49"/>
      <c r="AS395" s="49"/>
      <c r="AT395" s="49"/>
      <c r="AU395" s="1"/>
      <c r="AV395" s="1"/>
      <c r="AW395" s="1"/>
      <c r="AX395" s="1"/>
      <c r="AY395" s="1"/>
      <c r="AZ395" s="1"/>
      <c r="BA395" s="1"/>
      <c r="BB395" s="1"/>
      <c r="BC395" s="1"/>
      <c r="BD395" s="1"/>
      <c r="BE395" s="1"/>
      <c r="BF395" s="1"/>
      <c r="BG395" s="1"/>
      <c r="BH395" s="1"/>
      <c r="BI395" s="1"/>
      <c r="BJ395" s="1"/>
      <c r="BK395" s="1"/>
      <c r="BL395" s="1"/>
      <c r="BM395" s="1"/>
      <c r="BN395" s="1"/>
    </row>
    <row r="396" spans="1:66" ht="15.75" customHeight="1" x14ac:dyDescent="0.25">
      <c r="A396" s="43"/>
      <c r="B396" s="50"/>
      <c r="C396" s="51"/>
      <c r="D396" s="43"/>
      <c r="E396" s="43"/>
      <c r="F396" s="43"/>
      <c r="G396" s="44"/>
      <c r="H396" s="23"/>
      <c r="I396" s="43"/>
      <c r="J396" s="43"/>
      <c r="K396" s="45"/>
      <c r="L396" s="46"/>
      <c r="M396" s="46"/>
      <c r="N396" s="46"/>
      <c r="O396" s="46"/>
      <c r="P396" s="46"/>
      <c r="Q396" s="46"/>
      <c r="R396" s="46"/>
      <c r="S396" s="46"/>
      <c r="T396" s="46"/>
      <c r="U396" s="46"/>
      <c r="V396" s="46"/>
      <c r="W396" s="46"/>
      <c r="X396" s="46"/>
      <c r="Y396" s="46"/>
      <c r="Z396" s="46"/>
      <c r="AA396" s="46"/>
      <c r="AB396" s="46"/>
      <c r="AC396" s="46"/>
      <c r="AD396" s="46"/>
      <c r="AE396" s="46"/>
      <c r="AF396" s="46"/>
      <c r="AG396" s="46"/>
      <c r="AH396" s="46"/>
      <c r="AI396" s="46"/>
      <c r="AJ396" s="46"/>
      <c r="AK396" s="46"/>
      <c r="AL396" s="47"/>
      <c r="AM396" s="47"/>
      <c r="AN396" s="47"/>
      <c r="AO396" s="47"/>
      <c r="AP396" s="47"/>
      <c r="AQ396" s="48"/>
      <c r="AR396" s="49"/>
      <c r="AS396" s="49"/>
      <c r="AT396" s="49"/>
      <c r="AU396" s="1"/>
      <c r="AV396" s="1"/>
      <c r="AW396" s="1"/>
      <c r="AX396" s="1"/>
      <c r="AY396" s="1"/>
      <c r="AZ396" s="1"/>
      <c r="BA396" s="1"/>
      <c r="BB396" s="1"/>
      <c r="BC396" s="1"/>
      <c r="BD396" s="1"/>
      <c r="BE396" s="1"/>
      <c r="BF396" s="1"/>
      <c r="BG396" s="1"/>
      <c r="BH396" s="1"/>
      <c r="BI396" s="1"/>
      <c r="BJ396" s="1"/>
      <c r="BK396" s="1"/>
      <c r="BL396" s="1"/>
      <c r="BM396" s="1"/>
      <c r="BN396" s="1"/>
    </row>
    <row r="397" spans="1:66" ht="15.75" customHeight="1" x14ac:dyDescent="0.25">
      <c r="A397" s="43"/>
      <c r="B397" s="50"/>
      <c r="C397" s="51"/>
      <c r="D397" s="43"/>
      <c r="E397" s="43"/>
      <c r="F397" s="43"/>
      <c r="G397" s="44"/>
      <c r="H397" s="23"/>
      <c r="I397" s="43"/>
      <c r="J397" s="43"/>
      <c r="K397" s="45"/>
      <c r="L397" s="46"/>
      <c r="M397" s="46"/>
      <c r="N397" s="46"/>
      <c r="O397" s="46"/>
      <c r="P397" s="46"/>
      <c r="Q397" s="46"/>
      <c r="R397" s="46"/>
      <c r="S397" s="46"/>
      <c r="T397" s="46"/>
      <c r="U397" s="46"/>
      <c r="V397" s="46"/>
      <c r="W397" s="46"/>
      <c r="X397" s="46"/>
      <c r="Y397" s="46"/>
      <c r="Z397" s="46"/>
      <c r="AA397" s="46"/>
      <c r="AB397" s="46"/>
      <c r="AC397" s="46"/>
      <c r="AD397" s="46"/>
      <c r="AE397" s="46"/>
      <c r="AF397" s="46"/>
      <c r="AG397" s="46"/>
      <c r="AH397" s="46"/>
      <c r="AI397" s="46"/>
      <c r="AJ397" s="46"/>
      <c r="AK397" s="46"/>
      <c r="AL397" s="47"/>
      <c r="AM397" s="47"/>
      <c r="AN397" s="47"/>
      <c r="AO397" s="47"/>
      <c r="AP397" s="47"/>
      <c r="AQ397" s="48"/>
      <c r="AR397" s="49"/>
      <c r="AS397" s="49"/>
      <c r="AT397" s="49"/>
      <c r="AU397" s="1"/>
      <c r="AV397" s="1"/>
      <c r="AW397" s="1"/>
      <c r="AX397" s="1"/>
      <c r="AY397" s="1"/>
      <c r="AZ397" s="1"/>
      <c r="BA397" s="1"/>
      <c r="BB397" s="1"/>
      <c r="BC397" s="1"/>
      <c r="BD397" s="1"/>
      <c r="BE397" s="1"/>
      <c r="BF397" s="1"/>
      <c r="BG397" s="1"/>
      <c r="BH397" s="1"/>
      <c r="BI397" s="1"/>
      <c r="BJ397" s="1"/>
      <c r="BK397" s="1"/>
      <c r="BL397" s="1"/>
      <c r="BM397" s="1"/>
      <c r="BN397" s="1"/>
    </row>
    <row r="398" spans="1:66" ht="15.75" customHeight="1" x14ac:dyDescent="0.25">
      <c r="A398" s="43"/>
      <c r="B398" s="50"/>
      <c r="C398" s="51"/>
      <c r="D398" s="43"/>
      <c r="E398" s="43"/>
      <c r="F398" s="43"/>
      <c r="G398" s="44"/>
      <c r="H398" s="23"/>
      <c r="I398" s="43"/>
      <c r="J398" s="43"/>
      <c r="K398" s="45"/>
      <c r="L398" s="46"/>
      <c r="M398" s="46"/>
      <c r="N398" s="46"/>
      <c r="O398" s="46"/>
      <c r="P398" s="46"/>
      <c r="Q398" s="46"/>
      <c r="R398" s="46"/>
      <c r="S398" s="46"/>
      <c r="T398" s="46"/>
      <c r="U398" s="46"/>
      <c r="V398" s="46"/>
      <c r="W398" s="46"/>
      <c r="X398" s="46"/>
      <c r="Y398" s="46"/>
      <c r="Z398" s="46"/>
      <c r="AA398" s="46"/>
      <c r="AB398" s="46"/>
      <c r="AC398" s="46"/>
      <c r="AD398" s="46"/>
      <c r="AE398" s="46"/>
      <c r="AF398" s="46"/>
      <c r="AG398" s="46"/>
      <c r="AH398" s="46"/>
      <c r="AI398" s="46"/>
      <c r="AJ398" s="46"/>
      <c r="AK398" s="46"/>
      <c r="AL398" s="47"/>
      <c r="AM398" s="47"/>
      <c r="AN398" s="47"/>
      <c r="AO398" s="47"/>
      <c r="AP398" s="47"/>
      <c r="AQ398" s="48"/>
      <c r="AR398" s="49"/>
      <c r="AS398" s="49"/>
      <c r="AT398" s="49"/>
      <c r="AU398" s="1"/>
      <c r="AV398" s="1"/>
      <c r="AW398" s="1"/>
      <c r="AX398" s="1"/>
      <c r="AY398" s="1"/>
      <c r="AZ398" s="1"/>
      <c r="BA398" s="1"/>
      <c r="BB398" s="1"/>
      <c r="BC398" s="1"/>
      <c r="BD398" s="1"/>
      <c r="BE398" s="1"/>
      <c r="BF398" s="1"/>
      <c r="BG398" s="1"/>
      <c r="BH398" s="1"/>
      <c r="BI398" s="1"/>
      <c r="BJ398" s="1"/>
      <c r="BK398" s="1"/>
      <c r="BL398" s="1"/>
      <c r="BM398" s="1"/>
      <c r="BN398" s="1"/>
    </row>
    <row r="399" spans="1:66" ht="15.75" customHeight="1" x14ac:dyDescent="0.25">
      <c r="A399" s="43"/>
      <c r="B399" s="50"/>
      <c r="C399" s="51"/>
      <c r="D399" s="43"/>
      <c r="E399" s="43"/>
      <c r="F399" s="43"/>
      <c r="G399" s="44"/>
      <c r="H399" s="23"/>
      <c r="I399" s="43"/>
      <c r="J399" s="43"/>
      <c r="K399" s="45"/>
      <c r="L399" s="46"/>
      <c r="M399" s="46"/>
      <c r="N399" s="46"/>
      <c r="O399" s="46"/>
      <c r="P399" s="46"/>
      <c r="Q399" s="46"/>
      <c r="R399" s="46"/>
      <c r="S399" s="46"/>
      <c r="T399" s="46"/>
      <c r="U399" s="46"/>
      <c r="V399" s="46"/>
      <c r="W399" s="46"/>
      <c r="X399" s="46"/>
      <c r="Y399" s="46"/>
      <c r="Z399" s="46"/>
      <c r="AA399" s="46"/>
      <c r="AB399" s="46"/>
      <c r="AC399" s="46"/>
      <c r="AD399" s="46"/>
      <c r="AE399" s="46"/>
      <c r="AF399" s="46"/>
      <c r="AG399" s="46"/>
      <c r="AH399" s="46"/>
      <c r="AI399" s="46"/>
      <c r="AJ399" s="46"/>
      <c r="AK399" s="46"/>
      <c r="AL399" s="47"/>
      <c r="AM399" s="47"/>
      <c r="AN399" s="47"/>
      <c r="AO399" s="47"/>
      <c r="AP399" s="47"/>
      <c r="AQ399" s="48"/>
      <c r="AR399" s="49"/>
      <c r="AS399" s="49"/>
      <c r="AT399" s="49"/>
      <c r="AU399" s="1"/>
      <c r="AV399" s="1"/>
      <c r="AW399" s="1"/>
      <c r="AX399" s="1"/>
      <c r="AY399" s="1"/>
      <c r="AZ399" s="1"/>
      <c r="BA399" s="1"/>
      <c r="BB399" s="1"/>
      <c r="BC399" s="1"/>
      <c r="BD399" s="1"/>
      <c r="BE399" s="1"/>
      <c r="BF399" s="1"/>
      <c r="BG399" s="1"/>
      <c r="BH399" s="1"/>
      <c r="BI399" s="1"/>
      <c r="BJ399" s="1"/>
      <c r="BK399" s="1"/>
      <c r="BL399" s="1"/>
      <c r="BM399" s="1"/>
      <c r="BN399" s="1"/>
    </row>
    <row r="400" spans="1:66" ht="15.75" customHeight="1" x14ac:dyDescent="0.25">
      <c r="A400" s="43"/>
      <c r="B400" s="50"/>
      <c r="C400" s="51"/>
      <c r="D400" s="43"/>
      <c r="E400" s="43"/>
      <c r="F400" s="43"/>
      <c r="G400" s="44"/>
      <c r="H400" s="23"/>
      <c r="I400" s="43"/>
      <c r="J400" s="43"/>
      <c r="K400" s="45"/>
      <c r="L400" s="46"/>
      <c r="M400" s="46"/>
      <c r="N400" s="46"/>
      <c r="O400" s="46"/>
      <c r="P400" s="46"/>
      <c r="Q400" s="46"/>
      <c r="R400" s="46"/>
      <c r="S400" s="46"/>
      <c r="T400" s="46"/>
      <c r="U400" s="46"/>
      <c r="V400" s="46"/>
      <c r="W400" s="46"/>
      <c r="X400" s="46"/>
      <c r="Y400" s="46"/>
      <c r="Z400" s="46"/>
      <c r="AA400" s="46"/>
      <c r="AB400" s="46"/>
      <c r="AC400" s="46"/>
      <c r="AD400" s="46"/>
      <c r="AE400" s="46"/>
      <c r="AF400" s="46"/>
      <c r="AG400" s="46"/>
      <c r="AH400" s="46"/>
      <c r="AI400" s="46"/>
      <c r="AJ400" s="46"/>
      <c r="AK400" s="46"/>
      <c r="AL400" s="47"/>
      <c r="AM400" s="47"/>
      <c r="AN400" s="47"/>
      <c r="AO400" s="47"/>
      <c r="AP400" s="47"/>
      <c r="AQ400" s="48"/>
      <c r="AR400" s="49"/>
      <c r="AS400" s="49"/>
      <c r="AT400" s="49"/>
      <c r="AU400" s="1"/>
      <c r="AV400" s="1"/>
      <c r="AW400" s="1"/>
      <c r="AX400" s="1"/>
      <c r="AY400" s="1"/>
      <c r="AZ400" s="1"/>
      <c r="BA400" s="1"/>
      <c r="BB400" s="1"/>
      <c r="BC400" s="1"/>
      <c r="BD400" s="1"/>
      <c r="BE400" s="1"/>
      <c r="BF400" s="1"/>
      <c r="BG400" s="1"/>
      <c r="BH400" s="1"/>
      <c r="BI400" s="1"/>
      <c r="BJ400" s="1"/>
      <c r="BK400" s="1"/>
      <c r="BL400" s="1"/>
      <c r="BM400" s="1"/>
      <c r="BN400" s="1"/>
    </row>
    <row r="401" spans="1:66" ht="15.75" customHeight="1" x14ac:dyDescent="0.25">
      <c r="A401" s="43"/>
      <c r="B401" s="50"/>
      <c r="C401" s="51"/>
      <c r="D401" s="43"/>
      <c r="E401" s="43"/>
      <c r="F401" s="43"/>
      <c r="G401" s="44"/>
      <c r="H401" s="23"/>
      <c r="I401" s="43"/>
      <c r="J401" s="43"/>
      <c r="K401" s="45"/>
      <c r="L401" s="46"/>
      <c r="M401" s="46"/>
      <c r="N401" s="46"/>
      <c r="O401" s="46"/>
      <c r="P401" s="46"/>
      <c r="Q401" s="46"/>
      <c r="R401" s="46"/>
      <c r="S401" s="46"/>
      <c r="T401" s="46"/>
      <c r="U401" s="46"/>
      <c r="V401" s="46"/>
      <c r="W401" s="46"/>
      <c r="X401" s="46"/>
      <c r="Y401" s="46"/>
      <c r="Z401" s="46"/>
      <c r="AA401" s="46"/>
      <c r="AB401" s="46"/>
      <c r="AC401" s="46"/>
      <c r="AD401" s="46"/>
      <c r="AE401" s="46"/>
      <c r="AF401" s="46"/>
      <c r="AG401" s="46"/>
      <c r="AH401" s="46"/>
      <c r="AI401" s="46"/>
      <c r="AJ401" s="46"/>
      <c r="AK401" s="46"/>
      <c r="AL401" s="47"/>
      <c r="AM401" s="47"/>
      <c r="AN401" s="47"/>
      <c r="AO401" s="47"/>
      <c r="AP401" s="47"/>
      <c r="AQ401" s="48"/>
      <c r="AR401" s="49"/>
      <c r="AS401" s="49"/>
      <c r="AT401" s="49"/>
      <c r="AU401" s="1"/>
      <c r="AV401" s="1"/>
      <c r="AW401" s="1"/>
      <c r="AX401" s="1"/>
      <c r="AY401" s="1"/>
      <c r="AZ401" s="1"/>
      <c r="BA401" s="1"/>
      <c r="BB401" s="1"/>
      <c r="BC401" s="1"/>
      <c r="BD401" s="1"/>
      <c r="BE401" s="1"/>
      <c r="BF401" s="1"/>
      <c r="BG401" s="1"/>
      <c r="BH401" s="1"/>
      <c r="BI401" s="1"/>
      <c r="BJ401" s="1"/>
      <c r="BK401" s="1"/>
      <c r="BL401" s="1"/>
      <c r="BM401" s="1"/>
      <c r="BN401" s="1"/>
    </row>
    <row r="402" spans="1:66" ht="15.75" customHeight="1" x14ac:dyDescent="0.25">
      <c r="A402" s="43"/>
      <c r="B402" s="50"/>
      <c r="C402" s="51"/>
      <c r="D402" s="43"/>
      <c r="E402" s="43"/>
      <c r="F402" s="43"/>
      <c r="G402" s="44"/>
      <c r="H402" s="23"/>
      <c r="I402" s="43"/>
      <c r="J402" s="43"/>
      <c r="K402" s="45"/>
      <c r="L402" s="46"/>
      <c r="M402" s="46"/>
      <c r="N402" s="46"/>
      <c r="O402" s="46"/>
      <c r="P402" s="46"/>
      <c r="Q402" s="46"/>
      <c r="R402" s="46"/>
      <c r="S402" s="46"/>
      <c r="T402" s="46"/>
      <c r="U402" s="46"/>
      <c r="V402" s="46"/>
      <c r="W402" s="46"/>
      <c r="X402" s="46"/>
      <c r="Y402" s="46"/>
      <c r="Z402" s="46"/>
      <c r="AA402" s="46"/>
      <c r="AB402" s="46"/>
      <c r="AC402" s="46"/>
      <c r="AD402" s="46"/>
      <c r="AE402" s="46"/>
      <c r="AF402" s="46"/>
      <c r="AG402" s="46"/>
      <c r="AH402" s="46"/>
      <c r="AI402" s="46"/>
      <c r="AJ402" s="46"/>
      <c r="AK402" s="46"/>
      <c r="AL402" s="47"/>
      <c r="AM402" s="47"/>
      <c r="AN402" s="47"/>
      <c r="AO402" s="47"/>
      <c r="AP402" s="47"/>
      <c r="AQ402" s="48"/>
      <c r="AR402" s="49"/>
      <c r="AS402" s="49"/>
      <c r="AT402" s="49"/>
      <c r="AU402" s="1"/>
      <c r="AV402" s="1"/>
      <c r="AW402" s="1"/>
      <c r="AX402" s="1"/>
      <c r="AY402" s="1"/>
      <c r="AZ402" s="1"/>
      <c r="BA402" s="1"/>
      <c r="BB402" s="1"/>
      <c r="BC402" s="1"/>
      <c r="BD402" s="1"/>
      <c r="BE402" s="1"/>
      <c r="BF402" s="1"/>
      <c r="BG402" s="1"/>
      <c r="BH402" s="1"/>
      <c r="BI402" s="1"/>
      <c r="BJ402" s="1"/>
      <c r="BK402" s="1"/>
      <c r="BL402" s="1"/>
      <c r="BM402" s="1"/>
      <c r="BN402" s="1"/>
    </row>
    <row r="403" spans="1:66" ht="15.75" customHeight="1" x14ac:dyDescent="0.25">
      <c r="A403" s="43"/>
      <c r="B403" s="50"/>
      <c r="C403" s="51"/>
      <c r="D403" s="43"/>
      <c r="E403" s="43"/>
      <c r="F403" s="43"/>
      <c r="G403" s="44"/>
      <c r="H403" s="23"/>
      <c r="I403" s="43"/>
      <c r="J403" s="43"/>
      <c r="K403" s="45"/>
      <c r="L403" s="46"/>
      <c r="M403" s="46"/>
      <c r="N403" s="46"/>
      <c r="O403" s="46"/>
      <c r="P403" s="46"/>
      <c r="Q403" s="46"/>
      <c r="R403" s="46"/>
      <c r="S403" s="46"/>
      <c r="T403" s="46"/>
      <c r="U403" s="46"/>
      <c r="V403" s="46"/>
      <c r="W403" s="46"/>
      <c r="X403" s="46"/>
      <c r="Y403" s="46"/>
      <c r="Z403" s="46"/>
      <c r="AA403" s="46"/>
      <c r="AB403" s="46"/>
      <c r="AC403" s="46"/>
      <c r="AD403" s="46"/>
      <c r="AE403" s="46"/>
      <c r="AF403" s="46"/>
      <c r="AG403" s="46"/>
      <c r="AH403" s="46"/>
      <c r="AI403" s="46"/>
      <c r="AJ403" s="46"/>
      <c r="AK403" s="46"/>
      <c r="AL403" s="47"/>
      <c r="AM403" s="47"/>
      <c r="AN403" s="47"/>
      <c r="AO403" s="47"/>
      <c r="AP403" s="47"/>
      <c r="AQ403" s="48"/>
      <c r="AR403" s="49"/>
      <c r="AS403" s="49"/>
      <c r="AT403" s="49"/>
      <c r="AU403" s="1"/>
      <c r="AV403" s="1"/>
      <c r="AW403" s="1"/>
      <c r="AX403" s="1"/>
      <c r="AY403" s="1"/>
      <c r="AZ403" s="1"/>
      <c r="BA403" s="1"/>
      <c r="BB403" s="1"/>
      <c r="BC403" s="1"/>
      <c r="BD403" s="1"/>
      <c r="BE403" s="1"/>
      <c r="BF403" s="1"/>
      <c r="BG403" s="1"/>
      <c r="BH403" s="1"/>
      <c r="BI403" s="1"/>
      <c r="BJ403" s="1"/>
      <c r="BK403" s="1"/>
      <c r="BL403" s="1"/>
      <c r="BM403" s="1"/>
      <c r="BN403" s="1"/>
    </row>
    <row r="404" spans="1:66" ht="15.75" customHeight="1" x14ac:dyDescent="0.25">
      <c r="A404" s="43"/>
      <c r="B404" s="50"/>
      <c r="C404" s="51"/>
      <c r="D404" s="43"/>
      <c r="E404" s="43"/>
      <c r="F404" s="43"/>
      <c r="G404" s="44"/>
      <c r="H404" s="23"/>
      <c r="I404" s="43"/>
      <c r="J404" s="43"/>
      <c r="K404" s="45"/>
      <c r="L404" s="46"/>
      <c r="M404" s="46"/>
      <c r="N404" s="46"/>
      <c r="O404" s="46"/>
      <c r="P404" s="46"/>
      <c r="Q404" s="46"/>
      <c r="R404" s="46"/>
      <c r="S404" s="46"/>
      <c r="T404" s="46"/>
      <c r="U404" s="46"/>
      <c r="V404" s="46"/>
      <c r="W404" s="46"/>
      <c r="X404" s="46"/>
      <c r="Y404" s="46"/>
      <c r="Z404" s="46"/>
      <c r="AA404" s="46"/>
      <c r="AB404" s="46"/>
      <c r="AC404" s="46"/>
      <c r="AD404" s="46"/>
      <c r="AE404" s="46"/>
      <c r="AF404" s="46"/>
      <c r="AG404" s="46"/>
      <c r="AH404" s="46"/>
      <c r="AI404" s="46"/>
      <c r="AJ404" s="46"/>
      <c r="AK404" s="46"/>
      <c r="AL404" s="47"/>
      <c r="AM404" s="47"/>
      <c r="AN404" s="47"/>
      <c r="AO404" s="47"/>
      <c r="AP404" s="47"/>
      <c r="AQ404" s="48"/>
      <c r="AR404" s="49"/>
      <c r="AS404" s="49"/>
      <c r="AT404" s="49"/>
      <c r="AU404" s="1"/>
      <c r="AV404" s="1"/>
      <c r="AW404" s="1"/>
      <c r="AX404" s="1"/>
      <c r="AY404" s="1"/>
      <c r="AZ404" s="1"/>
      <c r="BA404" s="1"/>
      <c r="BB404" s="1"/>
      <c r="BC404" s="1"/>
      <c r="BD404" s="1"/>
      <c r="BE404" s="1"/>
      <c r="BF404" s="1"/>
      <c r="BG404" s="1"/>
      <c r="BH404" s="1"/>
      <c r="BI404" s="1"/>
      <c r="BJ404" s="1"/>
      <c r="BK404" s="1"/>
      <c r="BL404" s="1"/>
      <c r="BM404" s="1"/>
      <c r="BN404" s="1"/>
    </row>
    <row r="405" spans="1:66" ht="15.75" customHeight="1" x14ac:dyDescent="0.25">
      <c r="A405" s="43"/>
      <c r="B405" s="50"/>
      <c r="C405" s="51"/>
      <c r="D405" s="43"/>
      <c r="E405" s="43"/>
      <c r="F405" s="43"/>
      <c r="G405" s="44"/>
      <c r="H405" s="23"/>
      <c r="I405" s="43"/>
      <c r="J405" s="43"/>
      <c r="K405" s="45"/>
      <c r="L405" s="46"/>
      <c r="M405" s="46"/>
      <c r="N405" s="46"/>
      <c r="O405" s="46"/>
      <c r="P405" s="46"/>
      <c r="Q405" s="46"/>
      <c r="R405" s="46"/>
      <c r="S405" s="46"/>
      <c r="T405" s="46"/>
      <c r="U405" s="46"/>
      <c r="V405" s="46"/>
      <c r="W405" s="46"/>
      <c r="X405" s="46"/>
      <c r="Y405" s="46"/>
      <c r="Z405" s="46"/>
      <c r="AA405" s="46"/>
      <c r="AB405" s="46"/>
      <c r="AC405" s="46"/>
      <c r="AD405" s="46"/>
      <c r="AE405" s="46"/>
      <c r="AF405" s="46"/>
      <c r="AG405" s="46"/>
      <c r="AH405" s="46"/>
      <c r="AI405" s="46"/>
      <c r="AJ405" s="46"/>
      <c r="AK405" s="46"/>
      <c r="AL405" s="47"/>
      <c r="AM405" s="47"/>
      <c r="AN405" s="47"/>
      <c r="AO405" s="47"/>
      <c r="AP405" s="47"/>
      <c r="AQ405" s="48"/>
      <c r="AR405" s="49"/>
      <c r="AS405" s="49"/>
      <c r="AT405" s="49"/>
      <c r="AU405" s="1"/>
      <c r="AV405" s="1"/>
      <c r="AW405" s="1"/>
      <c r="AX405" s="1"/>
      <c r="AY405" s="1"/>
      <c r="AZ405" s="1"/>
      <c r="BA405" s="1"/>
      <c r="BB405" s="1"/>
      <c r="BC405" s="1"/>
      <c r="BD405" s="1"/>
      <c r="BE405" s="1"/>
      <c r="BF405" s="1"/>
      <c r="BG405" s="1"/>
      <c r="BH405" s="1"/>
      <c r="BI405" s="1"/>
      <c r="BJ405" s="1"/>
      <c r="BK405" s="1"/>
      <c r="BL405" s="1"/>
      <c r="BM405" s="1"/>
      <c r="BN405" s="1"/>
    </row>
    <row r="406" spans="1:66" ht="15.75" customHeight="1" x14ac:dyDescent="0.25">
      <c r="A406" s="43"/>
      <c r="B406" s="50"/>
      <c r="C406" s="51"/>
      <c r="D406" s="43"/>
      <c r="E406" s="43"/>
      <c r="F406" s="43"/>
      <c r="G406" s="44"/>
      <c r="H406" s="23"/>
      <c r="I406" s="43"/>
      <c r="J406" s="43"/>
      <c r="K406" s="45"/>
      <c r="L406" s="46"/>
      <c r="M406" s="46"/>
      <c r="N406" s="46"/>
      <c r="O406" s="46"/>
      <c r="P406" s="46"/>
      <c r="Q406" s="46"/>
      <c r="R406" s="46"/>
      <c r="S406" s="46"/>
      <c r="T406" s="46"/>
      <c r="U406" s="46"/>
      <c r="V406" s="46"/>
      <c r="W406" s="46"/>
      <c r="X406" s="46"/>
      <c r="Y406" s="46"/>
      <c r="Z406" s="46"/>
      <c r="AA406" s="46"/>
      <c r="AB406" s="46"/>
      <c r="AC406" s="46"/>
      <c r="AD406" s="46"/>
      <c r="AE406" s="46"/>
      <c r="AF406" s="46"/>
      <c r="AG406" s="46"/>
      <c r="AH406" s="46"/>
      <c r="AI406" s="46"/>
      <c r="AJ406" s="46"/>
      <c r="AK406" s="46"/>
      <c r="AL406" s="47"/>
      <c r="AM406" s="47"/>
      <c r="AN406" s="47"/>
      <c r="AO406" s="47"/>
      <c r="AP406" s="47"/>
      <c r="AQ406" s="48"/>
      <c r="AR406" s="49"/>
      <c r="AS406" s="49"/>
      <c r="AT406" s="49"/>
      <c r="AU406" s="1"/>
      <c r="AV406" s="1"/>
      <c r="AW406" s="1"/>
      <c r="AX406" s="1"/>
      <c r="AY406" s="1"/>
      <c r="AZ406" s="1"/>
      <c r="BA406" s="1"/>
      <c r="BB406" s="1"/>
      <c r="BC406" s="1"/>
      <c r="BD406" s="1"/>
      <c r="BE406" s="1"/>
      <c r="BF406" s="1"/>
      <c r="BG406" s="1"/>
      <c r="BH406" s="1"/>
      <c r="BI406" s="1"/>
      <c r="BJ406" s="1"/>
      <c r="BK406" s="1"/>
      <c r="BL406" s="1"/>
      <c r="BM406" s="1"/>
      <c r="BN406" s="1"/>
    </row>
    <row r="407" spans="1:66" ht="15.75" customHeight="1" x14ac:dyDescent="0.25">
      <c r="A407" s="43"/>
      <c r="B407" s="50"/>
      <c r="C407" s="51"/>
      <c r="D407" s="43"/>
      <c r="E407" s="43"/>
      <c r="F407" s="43"/>
      <c r="G407" s="44"/>
      <c r="H407" s="23"/>
      <c r="I407" s="43"/>
      <c r="J407" s="43"/>
      <c r="K407" s="45"/>
      <c r="L407" s="46"/>
      <c r="M407" s="46"/>
      <c r="N407" s="46"/>
      <c r="O407" s="46"/>
      <c r="P407" s="46"/>
      <c r="Q407" s="46"/>
      <c r="R407" s="46"/>
      <c r="S407" s="46"/>
      <c r="T407" s="46"/>
      <c r="U407" s="46"/>
      <c r="V407" s="46"/>
      <c r="W407" s="46"/>
      <c r="X407" s="46"/>
      <c r="Y407" s="46"/>
      <c r="Z407" s="46"/>
      <c r="AA407" s="46"/>
      <c r="AB407" s="46"/>
      <c r="AC407" s="46"/>
      <c r="AD407" s="46"/>
      <c r="AE407" s="46"/>
      <c r="AF407" s="46"/>
      <c r="AG407" s="46"/>
      <c r="AH407" s="46"/>
      <c r="AI407" s="46"/>
      <c r="AJ407" s="46"/>
      <c r="AK407" s="46"/>
      <c r="AL407" s="47"/>
      <c r="AM407" s="47"/>
      <c r="AN407" s="47"/>
      <c r="AO407" s="47"/>
      <c r="AP407" s="47"/>
      <c r="AQ407" s="48"/>
      <c r="AR407" s="49"/>
      <c r="AS407" s="49"/>
      <c r="AT407" s="49"/>
      <c r="AU407" s="1"/>
      <c r="AV407" s="1"/>
      <c r="AW407" s="1"/>
      <c r="AX407" s="1"/>
      <c r="AY407" s="1"/>
      <c r="AZ407" s="1"/>
      <c r="BA407" s="1"/>
      <c r="BB407" s="1"/>
      <c r="BC407" s="1"/>
      <c r="BD407" s="1"/>
      <c r="BE407" s="1"/>
      <c r="BF407" s="1"/>
      <c r="BG407" s="1"/>
      <c r="BH407" s="1"/>
      <c r="BI407" s="1"/>
      <c r="BJ407" s="1"/>
      <c r="BK407" s="1"/>
      <c r="BL407" s="1"/>
      <c r="BM407" s="1"/>
      <c r="BN407" s="1"/>
    </row>
    <row r="408" spans="1:66" ht="15.75" customHeight="1" x14ac:dyDescent="0.25">
      <c r="A408" s="43"/>
      <c r="B408" s="50"/>
      <c r="C408" s="51"/>
      <c r="D408" s="43"/>
      <c r="E408" s="43"/>
      <c r="F408" s="43"/>
      <c r="G408" s="44"/>
      <c r="H408" s="23"/>
      <c r="I408" s="43"/>
      <c r="J408" s="43"/>
      <c r="K408" s="45"/>
      <c r="L408" s="46"/>
      <c r="M408" s="46"/>
      <c r="N408" s="46"/>
      <c r="O408" s="46"/>
      <c r="P408" s="46"/>
      <c r="Q408" s="46"/>
      <c r="R408" s="46"/>
      <c r="S408" s="46"/>
      <c r="T408" s="46"/>
      <c r="U408" s="46"/>
      <c r="V408" s="46"/>
      <c r="W408" s="46"/>
      <c r="X408" s="46"/>
      <c r="Y408" s="46"/>
      <c r="Z408" s="46"/>
      <c r="AA408" s="46"/>
      <c r="AB408" s="46"/>
      <c r="AC408" s="46"/>
      <c r="AD408" s="46"/>
      <c r="AE408" s="46"/>
      <c r="AF408" s="46"/>
      <c r="AG408" s="46"/>
      <c r="AH408" s="46"/>
      <c r="AI408" s="46"/>
      <c r="AJ408" s="46"/>
      <c r="AK408" s="46"/>
      <c r="AL408" s="47"/>
      <c r="AM408" s="47"/>
      <c r="AN408" s="47"/>
      <c r="AO408" s="47"/>
      <c r="AP408" s="47"/>
      <c r="AQ408" s="48"/>
      <c r="AR408" s="49"/>
      <c r="AS408" s="49"/>
      <c r="AT408" s="49"/>
      <c r="AU408" s="1"/>
      <c r="AV408" s="1"/>
      <c r="AW408" s="1"/>
      <c r="AX408" s="1"/>
      <c r="AY408" s="1"/>
      <c r="AZ408" s="1"/>
      <c r="BA408" s="1"/>
      <c r="BB408" s="1"/>
      <c r="BC408" s="1"/>
      <c r="BD408" s="1"/>
      <c r="BE408" s="1"/>
      <c r="BF408" s="1"/>
      <c r="BG408" s="1"/>
      <c r="BH408" s="1"/>
      <c r="BI408" s="1"/>
      <c r="BJ408" s="1"/>
      <c r="BK408" s="1"/>
      <c r="BL408" s="1"/>
      <c r="BM408" s="1"/>
      <c r="BN408" s="1"/>
    </row>
    <row r="409" spans="1:66" ht="15.75" customHeight="1" x14ac:dyDescent="0.25">
      <c r="A409" s="43"/>
      <c r="B409" s="50"/>
      <c r="C409" s="51"/>
      <c r="D409" s="43"/>
      <c r="E409" s="43"/>
      <c r="F409" s="43"/>
      <c r="G409" s="44"/>
      <c r="H409" s="23"/>
      <c r="I409" s="43"/>
      <c r="J409" s="43"/>
      <c r="K409" s="45"/>
      <c r="L409" s="46"/>
      <c r="M409" s="46"/>
      <c r="N409" s="46"/>
      <c r="O409" s="46"/>
      <c r="P409" s="46"/>
      <c r="Q409" s="46"/>
      <c r="R409" s="46"/>
      <c r="S409" s="46"/>
      <c r="T409" s="46"/>
      <c r="U409" s="46"/>
      <c r="V409" s="46"/>
      <c r="W409" s="46"/>
      <c r="X409" s="46"/>
      <c r="Y409" s="46"/>
      <c r="Z409" s="46"/>
      <c r="AA409" s="46"/>
      <c r="AB409" s="46"/>
      <c r="AC409" s="46"/>
      <c r="AD409" s="46"/>
      <c r="AE409" s="46"/>
      <c r="AF409" s="46"/>
      <c r="AG409" s="46"/>
      <c r="AH409" s="46"/>
      <c r="AI409" s="46"/>
      <c r="AJ409" s="46"/>
      <c r="AK409" s="46"/>
      <c r="AL409" s="47"/>
      <c r="AM409" s="47"/>
      <c r="AN409" s="47"/>
      <c r="AO409" s="47"/>
      <c r="AP409" s="47"/>
      <c r="AQ409" s="48"/>
      <c r="AR409" s="49"/>
      <c r="AS409" s="49"/>
      <c r="AT409" s="49"/>
      <c r="AU409" s="1"/>
      <c r="AV409" s="1"/>
      <c r="AW409" s="1"/>
      <c r="AX409" s="1"/>
      <c r="AY409" s="1"/>
      <c r="AZ409" s="1"/>
      <c r="BA409" s="1"/>
      <c r="BB409" s="1"/>
      <c r="BC409" s="1"/>
      <c r="BD409" s="1"/>
      <c r="BE409" s="1"/>
      <c r="BF409" s="1"/>
      <c r="BG409" s="1"/>
      <c r="BH409" s="1"/>
      <c r="BI409" s="1"/>
      <c r="BJ409" s="1"/>
      <c r="BK409" s="1"/>
      <c r="BL409" s="1"/>
      <c r="BM409" s="1"/>
      <c r="BN409" s="1"/>
    </row>
    <row r="410" spans="1:66" ht="15.75" customHeight="1" x14ac:dyDescent="0.25">
      <c r="A410" s="43"/>
      <c r="B410" s="50"/>
      <c r="C410" s="51"/>
      <c r="D410" s="43"/>
      <c r="E410" s="43"/>
      <c r="F410" s="43"/>
      <c r="G410" s="44"/>
      <c r="H410" s="23"/>
      <c r="I410" s="43"/>
      <c r="J410" s="43"/>
      <c r="K410" s="45"/>
      <c r="L410" s="46"/>
      <c r="M410" s="46"/>
      <c r="N410" s="46"/>
      <c r="O410" s="46"/>
      <c r="P410" s="46"/>
      <c r="Q410" s="46"/>
      <c r="R410" s="46"/>
      <c r="S410" s="46"/>
      <c r="T410" s="46"/>
      <c r="U410" s="46"/>
      <c r="V410" s="46"/>
      <c r="W410" s="46"/>
      <c r="X410" s="46"/>
      <c r="Y410" s="46"/>
      <c r="Z410" s="46"/>
      <c r="AA410" s="46"/>
      <c r="AB410" s="46"/>
      <c r="AC410" s="46"/>
      <c r="AD410" s="46"/>
      <c r="AE410" s="46"/>
      <c r="AF410" s="46"/>
      <c r="AG410" s="46"/>
      <c r="AH410" s="46"/>
      <c r="AI410" s="46"/>
      <c r="AJ410" s="46"/>
      <c r="AK410" s="46"/>
      <c r="AL410" s="47"/>
      <c r="AM410" s="47"/>
      <c r="AN410" s="47"/>
      <c r="AO410" s="47"/>
      <c r="AP410" s="47"/>
      <c r="AQ410" s="48"/>
      <c r="AR410" s="49"/>
      <c r="AS410" s="49"/>
      <c r="AT410" s="49"/>
      <c r="AU410" s="1"/>
      <c r="AV410" s="1"/>
      <c r="AW410" s="1"/>
      <c r="AX410" s="1"/>
      <c r="AY410" s="1"/>
      <c r="AZ410" s="1"/>
      <c r="BA410" s="1"/>
      <c r="BB410" s="1"/>
      <c r="BC410" s="1"/>
      <c r="BD410" s="1"/>
      <c r="BE410" s="1"/>
      <c r="BF410" s="1"/>
      <c r="BG410" s="1"/>
      <c r="BH410" s="1"/>
      <c r="BI410" s="1"/>
      <c r="BJ410" s="1"/>
      <c r="BK410" s="1"/>
      <c r="BL410" s="1"/>
      <c r="BM410" s="1"/>
      <c r="BN410" s="1"/>
    </row>
    <row r="411" spans="1:66" ht="15.75" customHeight="1" x14ac:dyDescent="0.25">
      <c r="A411" s="43"/>
      <c r="B411" s="50"/>
      <c r="C411" s="51"/>
      <c r="D411" s="43"/>
      <c r="E411" s="43"/>
      <c r="F411" s="43"/>
      <c r="G411" s="44"/>
      <c r="H411" s="23"/>
      <c r="I411" s="43"/>
      <c r="J411" s="43"/>
      <c r="K411" s="45"/>
      <c r="L411" s="46"/>
      <c r="M411" s="46"/>
      <c r="N411" s="46"/>
      <c r="O411" s="46"/>
      <c r="P411" s="46"/>
      <c r="Q411" s="46"/>
      <c r="R411" s="46"/>
      <c r="S411" s="46"/>
      <c r="T411" s="46"/>
      <c r="U411" s="46"/>
      <c r="V411" s="46"/>
      <c r="W411" s="46"/>
      <c r="X411" s="46"/>
      <c r="Y411" s="46"/>
      <c r="Z411" s="46"/>
      <c r="AA411" s="46"/>
      <c r="AB411" s="46"/>
      <c r="AC411" s="46"/>
      <c r="AD411" s="46"/>
      <c r="AE411" s="46"/>
      <c r="AF411" s="46"/>
      <c r="AG411" s="46"/>
      <c r="AH411" s="46"/>
      <c r="AI411" s="46"/>
      <c r="AJ411" s="46"/>
      <c r="AK411" s="46"/>
      <c r="AL411" s="47"/>
      <c r="AM411" s="47"/>
      <c r="AN411" s="47"/>
      <c r="AO411" s="47"/>
      <c r="AP411" s="47"/>
      <c r="AQ411" s="48"/>
      <c r="AR411" s="49"/>
      <c r="AS411" s="49"/>
      <c r="AT411" s="49"/>
      <c r="AU411" s="1"/>
      <c r="AV411" s="1"/>
      <c r="AW411" s="1"/>
      <c r="AX411" s="1"/>
      <c r="AY411" s="1"/>
      <c r="AZ411" s="1"/>
      <c r="BA411" s="1"/>
      <c r="BB411" s="1"/>
      <c r="BC411" s="1"/>
      <c r="BD411" s="1"/>
      <c r="BE411" s="1"/>
      <c r="BF411" s="1"/>
      <c r="BG411" s="1"/>
      <c r="BH411" s="1"/>
      <c r="BI411" s="1"/>
      <c r="BJ411" s="1"/>
      <c r="BK411" s="1"/>
      <c r="BL411" s="1"/>
      <c r="BM411" s="1"/>
      <c r="BN411" s="1"/>
    </row>
    <row r="412" spans="1:66" ht="15.75" customHeight="1" x14ac:dyDescent="0.25">
      <c r="A412" s="43"/>
      <c r="B412" s="50"/>
      <c r="C412" s="51"/>
      <c r="D412" s="43"/>
      <c r="E412" s="43"/>
      <c r="F412" s="43"/>
      <c r="G412" s="44"/>
      <c r="H412" s="23"/>
      <c r="I412" s="43"/>
      <c r="J412" s="43"/>
      <c r="K412" s="45"/>
      <c r="L412" s="46"/>
      <c r="M412" s="46"/>
      <c r="N412" s="46"/>
      <c r="O412" s="46"/>
      <c r="P412" s="46"/>
      <c r="Q412" s="46"/>
      <c r="R412" s="46"/>
      <c r="S412" s="46"/>
      <c r="T412" s="46"/>
      <c r="U412" s="46"/>
      <c r="V412" s="46"/>
      <c r="W412" s="46"/>
      <c r="X412" s="46"/>
      <c r="Y412" s="46"/>
      <c r="Z412" s="46"/>
      <c r="AA412" s="46"/>
      <c r="AB412" s="46"/>
      <c r="AC412" s="46"/>
      <c r="AD412" s="46"/>
      <c r="AE412" s="46"/>
      <c r="AF412" s="46"/>
      <c r="AG412" s="46"/>
      <c r="AH412" s="46"/>
      <c r="AI412" s="46"/>
      <c r="AJ412" s="46"/>
      <c r="AK412" s="46"/>
      <c r="AL412" s="47"/>
      <c r="AM412" s="47"/>
      <c r="AN412" s="47"/>
      <c r="AO412" s="47"/>
      <c r="AP412" s="47"/>
      <c r="AQ412" s="48"/>
      <c r="AR412" s="49"/>
      <c r="AS412" s="49"/>
      <c r="AT412" s="49"/>
      <c r="AU412" s="1"/>
      <c r="AV412" s="1"/>
      <c r="AW412" s="1"/>
      <c r="AX412" s="1"/>
      <c r="AY412" s="1"/>
      <c r="AZ412" s="1"/>
      <c r="BA412" s="1"/>
      <c r="BB412" s="1"/>
      <c r="BC412" s="1"/>
      <c r="BD412" s="1"/>
      <c r="BE412" s="1"/>
      <c r="BF412" s="1"/>
      <c r="BG412" s="1"/>
      <c r="BH412" s="1"/>
      <c r="BI412" s="1"/>
      <c r="BJ412" s="1"/>
      <c r="BK412" s="1"/>
      <c r="BL412" s="1"/>
      <c r="BM412" s="1"/>
      <c r="BN412" s="1"/>
    </row>
    <row r="413" spans="1:66" ht="15.75" customHeight="1" x14ac:dyDescent="0.25">
      <c r="A413" s="43"/>
      <c r="B413" s="50"/>
      <c r="C413" s="51"/>
      <c r="D413" s="43"/>
      <c r="E413" s="43"/>
      <c r="F413" s="43"/>
      <c r="G413" s="44"/>
      <c r="H413" s="23"/>
      <c r="I413" s="43"/>
      <c r="J413" s="43"/>
      <c r="K413" s="45"/>
      <c r="L413" s="46"/>
      <c r="M413" s="46"/>
      <c r="N413" s="46"/>
      <c r="O413" s="46"/>
      <c r="P413" s="46"/>
      <c r="Q413" s="46"/>
      <c r="R413" s="46"/>
      <c r="S413" s="46"/>
      <c r="T413" s="46"/>
      <c r="U413" s="46"/>
      <c r="V413" s="46"/>
      <c r="W413" s="46"/>
      <c r="X413" s="46"/>
      <c r="Y413" s="46"/>
      <c r="Z413" s="46"/>
      <c r="AA413" s="46"/>
      <c r="AB413" s="46"/>
      <c r="AC413" s="46"/>
      <c r="AD413" s="46"/>
      <c r="AE413" s="46"/>
      <c r="AF413" s="46"/>
      <c r="AG413" s="46"/>
      <c r="AH413" s="46"/>
      <c r="AI413" s="46"/>
      <c r="AJ413" s="46"/>
      <c r="AK413" s="46"/>
      <c r="AL413" s="47"/>
      <c r="AM413" s="47"/>
      <c r="AN413" s="47"/>
      <c r="AO413" s="47"/>
      <c r="AP413" s="47"/>
      <c r="AQ413" s="48"/>
      <c r="AR413" s="49"/>
      <c r="AS413" s="49"/>
      <c r="AT413" s="49"/>
      <c r="AU413" s="1"/>
      <c r="AV413" s="1"/>
      <c r="AW413" s="1"/>
      <c r="AX413" s="1"/>
      <c r="AY413" s="1"/>
      <c r="AZ413" s="1"/>
      <c r="BA413" s="1"/>
      <c r="BB413" s="1"/>
      <c r="BC413" s="1"/>
      <c r="BD413" s="1"/>
      <c r="BE413" s="1"/>
      <c r="BF413" s="1"/>
      <c r="BG413" s="1"/>
      <c r="BH413" s="1"/>
      <c r="BI413" s="1"/>
      <c r="BJ413" s="1"/>
      <c r="BK413" s="1"/>
      <c r="BL413" s="1"/>
      <c r="BM413" s="1"/>
      <c r="BN413" s="1"/>
    </row>
    <row r="414" spans="1:66" ht="15.75" customHeight="1" x14ac:dyDescent="0.25">
      <c r="A414" s="43"/>
      <c r="B414" s="50"/>
      <c r="C414" s="51"/>
      <c r="D414" s="43"/>
      <c r="E414" s="43"/>
      <c r="F414" s="43"/>
      <c r="G414" s="44"/>
      <c r="H414" s="23"/>
      <c r="I414" s="43"/>
      <c r="J414" s="43"/>
      <c r="K414" s="45"/>
      <c r="L414" s="46"/>
      <c r="M414" s="46"/>
      <c r="N414" s="46"/>
      <c r="O414" s="46"/>
      <c r="P414" s="46"/>
      <c r="Q414" s="46"/>
      <c r="R414" s="46"/>
      <c r="S414" s="46"/>
      <c r="T414" s="46"/>
      <c r="U414" s="46"/>
      <c r="V414" s="46"/>
      <c r="W414" s="46"/>
      <c r="X414" s="46"/>
      <c r="Y414" s="46"/>
      <c r="Z414" s="46"/>
      <c r="AA414" s="46"/>
      <c r="AB414" s="46"/>
      <c r="AC414" s="46"/>
      <c r="AD414" s="46"/>
      <c r="AE414" s="46"/>
      <c r="AF414" s="46"/>
      <c r="AG414" s="46"/>
      <c r="AH414" s="46"/>
      <c r="AI414" s="46"/>
      <c r="AJ414" s="46"/>
      <c r="AK414" s="46"/>
      <c r="AL414" s="47"/>
      <c r="AM414" s="47"/>
      <c r="AN414" s="47"/>
      <c r="AO414" s="47"/>
      <c r="AP414" s="47"/>
      <c r="AQ414" s="48"/>
      <c r="AR414" s="49"/>
      <c r="AS414" s="49"/>
      <c r="AT414" s="49"/>
      <c r="AU414" s="1"/>
      <c r="AV414" s="1"/>
      <c r="AW414" s="1"/>
      <c r="AX414" s="1"/>
      <c r="AY414" s="1"/>
      <c r="AZ414" s="1"/>
      <c r="BA414" s="1"/>
      <c r="BB414" s="1"/>
      <c r="BC414" s="1"/>
      <c r="BD414" s="1"/>
      <c r="BE414" s="1"/>
      <c r="BF414" s="1"/>
      <c r="BG414" s="1"/>
      <c r="BH414" s="1"/>
      <c r="BI414" s="1"/>
      <c r="BJ414" s="1"/>
      <c r="BK414" s="1"/>
      <c r="BL414" s="1"/>
      <c r="BM414" s="1"/>
      <c r="BN414" s="1"/>
    </row>
    <row r="415" spans="1:66" ht="15.75" customHeight="1" x14ac:dyDescent="0.25">
      <c r="A415" s="43"/>
      <c r="B415" s="50"/>
      <c r="C415" s="51"/>
      <c r="D415" s="43"/>
      <c r="E415" s="43"/>
      <c r="F415" s="43"/>
      <c r="G415" s="44"/>
      <c r="H415" s="23"/>
      <c r="I415" s="43"/>
      <c r="J415" s="43"/>
      <c r="K415" s="45"/>
      <c r="L415" s="46"/>
      <c r="M415" s="46"/>
      <c r="N415" s="46"/>
      <c r="O415" s="46"/>
      <c r="P415" s="46"/>
      <c r="Q415" s="46"/>
      <c r="R415" s="46"/>
      <c r="S415" s="46"/>
      <c r="T415" s="46"/>
      <c r="U415" s="46"/>
      <c r="V415" s="46"/>
      <c r="W415" s="46"/>
      <c r="X415" s="46"/>
      <c r="Y415" s="46"/>
      <c r="Z415" s="46"/>
      <c r="AA415" s="46"/>
      <c r="AB415" s="46"/>
      <c r="AC415" s="46"/>
      <c r="AD415" s="46"/>
      <c r="AE415" s="46"/>
      <c r="AF415" s="46"/>
      <c r="AG415" s="46"/>
      <c r="AH415" s="46"/>
      <c r="AI415" s="46"/>
      <c r="AJ415" s="46"/>
      <c r="AK415" s="46"/>
      <c r="AL415" s="47"/>
      <c r="AM415" s="47"/>
      <c r="AN415" s="47"/>
      <c r="AO415" s="47"/>
      <c r="AP415" s="47"/>
      <c r="AQ415" s="48"/>
      <c r="AR415" s="49"/>
      <c r="AS415" s="49"/>
      <c r="AT415" s="49"/>
      <c r="AU415" s="1"/>
      <c r="AV415" s="1"/>
      <c r="AW415" s="1"/>
      <c r="AX415" s="1"/>
      <c r="AY415" s="1"/>
      <c r="AZ415" s="1"/>
      <c r="BA415" s="1"/>
      <c r="BB415" s="1"/>
      <c r="BC415" s="1"/>
      <c r="BD415" s="1"/>
      <c r="BE415" s="1"/>
      <c r="BF415" s="1"/>
      <c r="BG415" s="1"/>
      <c r="BH415" s="1"/>
      <c r="BI415" s="1"/>
      <c r="BJ415" s="1"/>
      <c r="BK415" s="1"/>
      <c r="BL415" s="1"/>
      <c r="BM415" s="1"/>
      <c r="BN415" s="1"/>
    </row>
    <row r="416" spans="1:66" ht="15.75" customHeight="1" x14ac:dyDescent="0.25">
      <c r="A416" s="43"/>
      <c r="B416" s="50"/>
      <c r="C416" s="51"/>
      <c r="D416" s="43"/>
      <c r="E416" s="43"/>
      <c r="F416" s="43"/>
      <c r="G416" s="44"/>
      <c r="H416" s="23"/>
      <c r="I416" s="43"/>
      <c r="J416" s="43"/>
      <c r="K416" s="45"/>
      <c r="L416" s="46"/>
      <c r="M416" s="46"/>
      <c r="N416" s="46"/>
      <c r="O416" s="46"/>
      <c r="P416" s="46"/>
      <c r="Q416" s="46"/>
      <c r="R416" s="46"/>
      <c r="S416" s="46"/>
      <c r="T416" s="46"/>
      <c r="U416" s="46"/>
      <c r="V416" s="46"/>
      <c r="W416" s="46"/>
      <c r="X416" s="46"/>
      <c r="Y416" s="46"/>
      <c r="Z416" s="46"/>
      <c r="AA416" s="46"/>
      <c r="AB416" s="46"/>
      <c r="AC416" s="46"/>
      <c r="AD416" s="46"/>
      <c r="AE416" s="46"/>
      <c r="AF416" s="46"/>
      <c r="AG416" s="46"/>
      <c r="AH416" s="46"/>
      <c r="AI416" s="46"/>
      <c r="AJ416" s="46"/>
      <c r="AK416" s="46"/>
      <c r="AL416" s="47"/>
      <c r="AM416" s="47"/>
      <c r="AN416" s="47"/>
      <c r="AO416" s="47"/>
      <c r="AP416" s="47"/>
      <c r="AQ416" s="48"/>
      <c r="AR416" s="49"/>
      <c r="AS416" s="49"/>
      <c r="AT416" s="49"/>
      <c r="AU416" s="1"/>
      <c r="AV416" s="1"/>
      <c r="AW416" s="1"/>
      <c r="AX416" s="1"/>
      <c r="AY416" s="1"/>
      <c r="AZ416" s="1"/>
      <c r="BA416" s="1"/>
      <c r="BB416" s="1"/>
      <c r="BC416" s="1"/>
      <c r="BD416" s="1"/>
      <c r="BE416" s="1"/>
      <c r="BF416" s="1"/>
      <c r="BG416" s="1"/>
      <c r="BH416" s="1"/>
      <c r="BI416" s="1"/>
      <c r="BJ416" s="1"/>
      <c r="BK416" s="1"/>
      <c r="BL416" s="1"/>
      <c r="BM416" s="1"/>
      <c r="BN416" s="1"/>
    </row>
    <row r="417" spans="1:66" ht="15.75" customHeight="1" x14ac:dyDescent="0.25">
      <c r="A417" s="43"/>
      <c r="B417" s="50"/>
      <c r="C417" s="51"/>
      <c r="D417" s="43"/>
      <c r="E417" s="43"/>
      <c r="F417" s="43"/>
      <c r="G417" s="44"/>
      <c r="H417" s="23"/>
      <c r="I417" s="43"/>
      <c r="J417" s="43"/>
      <c r="K417" s="45"/>
      <c r="L417" s="46"/>
      <c r="M417" s="46"/>
      <c r="N417" s="46"/>
      <c r="O417" s="46"/>
      <c r="P417" s="46"/>
      <c r="Q417" s="46"/>
      <c r="R417" s="46"/>
      <c r="S417" s="46"/>
      <c r="T417" s="46"/>
      <c r="U417" s="46"/>
      <c r="V417" s="46"/>
      <c r="W417" s="46"/>
      <c r="X417" s="46"/>
      <c r="Y417" s="46"/>
      <c r="Z417" s="46"/>
      <c r="AA417" s="46"/>
      <c r="AB417" s="46"/>
      <c r="AC417" s="46"/>
      <c r="AD417" s="46"/>
      <c r="AE417" s="46"/>
      <c r="AF417" s="46"/>
      <c r="AG417" s="46"/>
      <c r="AH417" s="46"/>
      <c r="AI417" s="46"/>
      <c r="AJ417" s="46"/>
      <c r="AK417" s="46"/>
      <c r="AL417" s="47"/>
      <c r="AM417" s="47"/>
      <c r="AN417" s="47"/>
      <c r="AO417" s="47"/>
      <c r="AP417" s="47"/>
      <c r="AQ417" s="48"/>
      <c r="AR417" s="49"/>
      <c r="AS417" s="49"/>
      <c r="AT417" s="49"/>
      <c r="AU417" s="1"/>
      <c r="AV417" s="1"/>
      <c r="AW417" s="1"/>
      <c r="AX417" s="1"/>
      <c r="AY417" s="1"/>
      <c r="AZ417" s="1"/>
      <c r="BA417" s="1"/>
      <c r="BB417" s="1"/>
      <c r="BC417" s="1"/>
      <c r="BD417" s="1"/>
      <c r="BE417" s="1"/>
      <c r="BF417" s="1"/>
      <c r="BG417" s="1"/>
      <c r="BH417" s="1"/>
      <c r="BI417" s="1"/>
      <c r="BJ417" s="1"/>
      <c r="BK417" s="1"/>
      <c r="BL417" s="1"/>
      <c r="BM417" s="1"/>
      <c r="BN417" s="1"/>
    </row>
    <row r="418" spans="1:66" ht="15.75" customHeight="1" x14ac:dyDescent="0.25">
      <c r="A418" s="43"/>
      <c r="B418" s="50"/>
      <c r="C418" s="51"/>
      <c r="D418" s="43"/>
      <c r="E418" s="43"/>
      <c r="F418" s="43"/>
      <c r="G418" s="44"/>
      <c r="H418" s="23"/>
      <c r="I418" s="43"/>
      <c r="J418" s="43"/>
      <c r="K418" s="45"/>
      <c r="L418" s="46"/>
      <c r="M418" s="46"/>
      <c r="N418" s="46"/>
      <c r="O418" s="46"/>
      <c r="P418" s="46"/>
      <c r="Q418" s="46"/>
      <c r="R418" s="46"/>
      <c r="S418" s="46"/>
      <c r="T418" s="46"/>
      <c r="U418" s="46"/>
      <c r="V418" s="46"/>
      <c r="W418" s="46"/>
      <c r="X418" s="46"/>
      <c r="Y418" s="46"/>
      <c r="Z418" s="46"/>
      <c r="AA418" s="46"/>
      <c r="AB418" s="46"/>
      <c r="AC418" s="46"/>
      <c r="AD418" s="46"/>
      <c r="AE418" s="46"/>
      <c r="AF418" s="46"/>
      <c r="AG418" s="46"/>
      <c r="AH418" s="46"/>
      <c r="AI418" s="46"/>
      <c r="AJ418" s="46"/>
      <c r="AK418" s="46"/>
      <c r="AL418" s="47"/>
      <c r="AM418" s="47"/>
      <c r="AN418" s="47"/>
      <c r="AO418" s="47"/>
      <c r="AP418" s="47"/>
      <c r="AQ418" s="48"/>
      <c r="AR418" s="49"/>
      <c r="AS418" s="49"/>
      <c r="AT418" s="49"/>
      <c r="AU418" s="1"/>
      <c r="AV418" s="1"/>
      <c r="AW418" s="1"/>
      <c r="AX418" s="1"/>
      <c r="AY418" s="1"/>
      <c r="AZ418" s="1"/>
      <c r="BA418" s="1"/>
      <c r="BB418" s="1"/>
      <c r="BC418" s="1"/>
      <c r="BD418" s="1"/>
      <c r="BE418" s="1"/>
      <c r="BF418" s="1"/>
      <c r="BG418" s="1"/>
      <c r="BH418" s="1"/>
      <c r="BI418" s="1"/>
      <c r="BJ418" s="1"/>
      <c r="BK418" s="1"/>
      <c r="BL418" s="1"/>
      <c r="BM418" s="1"/>
      <c r="BN418" s="1"/>
    </row>
    <row r="419" spans="1:66" ht="15.75" customHeight="1" x14ac:dyDescent="0.25">
      <c r="A419" s="43"/>
      <c r="B419" s="50"/>
      <c r="C419" s="51"/>
      <c r="D419" s="43"/>
      <c r="E419" s="43"/>
      <c r="F419" s="43"/>
      <c r="G419" s="44"/>
      <c r="H419" s="23"/>
      <c r="I419" s="43"/>
      <c r="J419" s="43"/>
      <c r="K419" s="45"/>
      <c r="L419" s="46"/>
      <c r="M419" s="46"/>
      <c r="N419" s="46"/>
      <c r="O419" s="46"/>
      <c r="P419" s="46"/>
      <c r="Q419" s="46"/>
      <c r="R419" s="46"/>
      <c r="S419" s="46"/>
      <c r="T419" s="46"/>
      <c r="U419" s="46"/>
      <c r="V419" s="46"/>
      <c r="W419" s="46"/>
      <c r="X419" s="46"/>
      <c r="Y419" s="46"/>
      <c r="Z419" s="46"/>
      <c r="AA419" s="46"/>
      <c r="AB419" s="46"/>
      <c r="AC419" s="46"/>
      <c r="AD419" s="46"/>
      <c r="AE419" s="46"/>
      <c r="AF419" s="46"/>
      <c r="AG419" s="46"/>
      <c r="AH419" s="46"/>
      <c r="AI419" s="46"/>
      <c r="AJ419" s="46"/>
      <c r="AK419" s="46"/>
      <c r="AL419" s="47"/>
      <c r="AM419" s="47"/>
      <c r="AN419" s="47"/>
      <c r="AO419" s="47"/>
      <c r="AP419" s="47"/>
      <c r="AQ419" s="48"/>
      <c r="AR419" s="49"/>
      <c r="AS419" s="49"/>
      <c r="AT419" s="49"/>
      <c r="AU419" s="1"/>
      <c r="AV419" s="1"/>
      <c r="AW419" s="1"/>
      <c r="AX419" s="1"/>
      <c r="AY419" s="1"/>
      <c r="AZ419" s="1"/>
      <c r="BA419" s="1"/>
      <c r="BB419" s="1"/>
      <c r="BC419" s="1"/>
      <c r="BD419" s="1"/>
      <c r="BE419" s="1"/>
      <c r="BF419" s="1"/>
      <c r="BG419" s="1"/>
      <c r="BH419" s="1"/>
      <c r="BI419" s="1"/>
      <c r="BJ419" s="1"/>
      <c r="BK419" s="1"/>
      <c r="BL419" s="1"/>
      <c r="BM419" s="1"/>
      <c r="BN419" s="1"/>
    </row>
    <row r="420" spans="1:66" ht="15.75" customHeight="1" x14ac:dyDescent="0.25">
      <c r="A420" s="43"/>
      <c r="B420" s="50"/>
      <c r="C420" s="51"/>
      <c r="D420" s="43"/>
      <c r="E420" s="43"/>
      <c r="F420" s="43"/>
      <c r="G420" s="44"/>
      <c r="H420" s="23"/>
      <c r="I420" s="43"/>
      <c r="J420" s="43"/>
      <c r="K420" s="45"/>
      <c r="L420" s="46"/>
      <c r="M420" s="46"/>
      <c r="N420" s="46"/>
      <c r="O420" s="46"/>
      <c r="P420" s="46"/>
      <c r="Q420" s="46"/>
      <c r="R420" s="46"/>
      <c r="S420" s="46"/>
      <c r="T420" s="46"/>
      <c r="U420" s="46"/>
      <c r="V420" s="46"/>
      <c r="W420" s="46"/>
      <c r="X420" s="46"/>
      <c r="Y420" s="46"/>
      <c r="Z420" s="46"/>
      <c r="AA420" s="46"/>
      <c r="AB420" s="46"/>
      <c r="AC420" s="46"/>
      <c r="AD420" s="46"/>
      <c r="AE420" s="46"/>
      <c r="AF420" s="46"/>
      <c r="AG420" s="46"/>
      <c r="AH420" s="46"/>
      <c r="AI420" s="46"/>
      <c r="AJ420" s="46"/>
      <c r="AK420" s="46"/>
      <c r="AL420" s="47"/>
      <c r="AM420" s="47"/>
      <c r="AN420" s="47"/>
      <c r="AO420" s="47"/>
      <c r="AP420" s="47"/>
      <c r="AQ420" s="48"/>
      <c r="AR420" s="49"/>
      <c r="AS420" s="49"/>
      <c r="AT420" s="49"/>
      <c r="AU420" s="1"/>
      <c r="AV420" s="1"/>
      <c r="AW420" s="1"/>
      <c r="AX420" s="1"/>
      <c r="AY420" s="1"/>
      <c r="AZ420" s="1"/>
      <c r="BA420" s="1"/>
      <c r="BB420" s="1"/>
      <c r="BC420" s="1"/>
      <c r="BD420" s="1"/>
      <c r="BE420" s="1"/>
      <c r="BF420" s="1"/>
      <c r="BG420" s="1"/>
      <c r="BH420" s="1"/>
      <c r="BI420" s="1"/>
      <c r="BJ420" s="1"/>
      <c r="BK420" s="1"/>
      <c r="BL420" s="1"/>
      <c r="BM420" s="1"/>
      <c r="BN420" s="1"/>
    </row>
    <row r="421" spans="1:66" ht="15.75" customHeight="1" x14ac:dyDescent="0.25">
      <c r="A421" s="43"/>
      <c r="B421" s="50"/>
      <c r="C421" s="51"/>
      <c r="D421" s="43"/>
      <c r="E421" s="43"/>
      <c r="F421" s="43"/>
      <c r="G421" s="44"/>
      <c r="H421" s="23"/>
      <c r="I421" s="43"/>
      <c r="J421" s="43"/>
      <c r="K421" s="45"/>
      <c r="L421" s="46"/>
      <c r="M421" s="46"/>
      <c r="N421" s="46"/>
      <c r="O421" s="46"/>
      <c r="P421" s="46"/>
      <c r="Q421" s="46"/>
      <c r="R421" s="46"/>
      <c r="S421" s="46"/>
      <c r="T421" s="46"/>
      <c r="U421" s="46"/>
      <c r="V421" s="46"/>
      <c r="W421" s="46"/>
      <c r="X421" s="46"/>
      <c r="Y421" s="46"/>
      <c r="Z421" s="46"/>
      <c r="AA421" s="46"/>
      <c r="AB421" s="46"/>
      <c r="AC421" s="46"/>
      <c r="AD421" s="46"/>
      <c r="AE421" s="46"/>
      <c r="AF421" s="46"/>
      <c r="AG421" s="46"/>
      <c r="AH421" s="46"/>
      <c r="AI421" s="46"/>
      <c r="AJ421" s="46"/>
      <c r="AK421" s="46"/>
      <c r="AL421" s="47"/>
      <c r="AM421" s="47"/>
      <c r="AN421" s="47"/>
      <c r="AO421" s="47"/>
      <c r="AP421" s="47"/>
      <c r="AQ421" s="48"/>
      <c r="AR421" s="49"/>
      <c r="AS421" s="49"/>
      <c r="AT421" s="49"/>
      <c r="AU421" s="1"/>
      <c r="AV421" s="1"/>
      <c r="AW421" s="1"/>
      <c r="AX421" s="1"/>
      <c r="AY421" s="1"/>
      <c r="AZ421" s="1"/>
      <c r="BA421" s="1"/>
      <c r="BB421" s="1"/>
      <c r="BC421" s="1"/>
      <c r="BD421" s="1"/>
      <c r="BE421" s="1"/>
      <c r="BF421" s="1"/>
      <c r="BG421" s="1"/>
      <c r="BH421" s="1"/>
      <c r="BI421" s="1"/>
      <c r="BJ421" s="1"/>
      <c r="BK421" s="1"/>
      <c r="BL421" s="1"/>
      <c r="BM421" s="1"/>
      <c r="BN421" s="1"/>
    </row>
    <row r="422" spans="1:66" ht="15.75" customHeight="1" x14ac:dyDescent="0.25">
      <c r="A422" s="43"/>
      <c r="B422" s="50"/>
      <c r="C422" s="51"/>
      <c r="D422" s="43"/>
      <c r="E422" s="43"/>
      <c r="F422" s="43"/>
      <c r="G422" s="44"/>
      <c r="H422" s="23"/>
      <c r="I422" s="43"/>
      <c r="J422" s="43"/>
      <c r="K422" s="45"/>
      <c r="L422" s="46"/>
      <c r="M422" s="46"/>
      <c r="N422" s="46"/>
      <c r="O422" s="46"/>
      <c r="P422" s="46"/>
      <c r="Q422" s="46"/>
      <c r="R422" s="46"/>
      <c r="S422" s="46"/>
      <c r="T422" s="46"/>
      <c r="U422" s="46"/>
      <c r="V422" s="46"/>
      <c r="W422" s="46"/>
      <c r="X422" s="46"/>
      <c r="Y422" s="46"/>
      <c r="Z422" s="46"/>
      <c r="AA422" s="46"/>
      <c r="AB422" s="46"/>
      <c r="AC422" s="46"/>
      <c r="AD422" s="46"/>
      <c r="AE422" s="46"/>
      <c r="AF422" s="46"/>
      <c r="AG422" s="46"/>
      <c r="AH422" s="46"/>
      <c r="AI422" s="46"/>
      <c r="AJ422" s="46"/>
      <c r="AK422" s="46"/>
      <c r="AL422" s="47"/>
      <c r="AM422" s="47"/>
      <c r="AN422" s="47"/>
      <c r="AO422" s="47"/>
      <c r="AP422" s="47"/>
      <c r="AQ422" s="48"/>
      <c r="AR422" s="49"/>
      <c r="AS422" s="49"/>
      <c r="AT422" s="49"/>
      <c r="AU422" s="1"/>
      <c r="AV422" s="1"/>
      <c r="AW422" s="1"/>
      <c r="AX422" s="1"/>
      <c r="AY422" s="1"/>
      <c r="AZ422" s="1"/>
      <c r="BA422" s="1"/>
      <c r="BB422" s="1"/>
      <c r="BC422" s="1"/>
      <c r="BD422" s="1"/>
      <c r="BE422" s="1"/>
      <c r="BF422" s="1"/>
      <c r="BG422" s="1"/>
      <c r="BH422" s="1"/>
      <c r="BI422" s="1"/>
      <c r="BJ422" s="1"/>
      <c r="BK422" s="1"/>
      <c r="BL422" s="1"/>
      <c r="BM422" s="1"/>
      <c r="BN422" s="1"/>
    </row>
    <row r="423" spans="1:66" ht="15.75" customHeight="1" x14ac:dyDescent="0.25">
      <c r="A423" s="43"/>
      <c r="B423" s="50"/>
      <c r="C423" s="51"/>
      <c r="D423" s="43"/>
      <c r="E423" s="43"/>
      <c r="F423" s="43"/>
      <c r="G423" s="44"/>
      <c r="H423" s="23"/>
      <c r="I423" s="43"/>
      <c r="J423" s="43"/>
      <c r="K423" s="45"/>
      <c r="L423" s="46"/>
      <c r="M423" s="46"/>
      <c r="N423" s="46"/>
      <c r="O423" s="46"/>
      <c r="P423" s="46"/>
      <c r="Q423" s="46"/>
      <c r="R423" s="46"/>
      <c r="S423" s="46"/>
      <c r="T423" s="46"/>
      <c r="U423" s="46"/>
      <c r="V423" s="46"/>
      <c r="W423" s="46"/>
      <c r="X423" s="46"/>
      <c r="Y423" s="46"/>
      <c r="Z423" s="46"/>
      <c r="AA423" s="46"/>
      <c r="AB423" s="46"/>
      <c r="AC423" s="46"/>
      <c r="AD423" s="46"/>
      <c r="AE423" s="46"/>
      <c r="AF423" s="46"/>
      <c r="AG423" s="46"/>
      <c r="AH423" s="46"/>
      <c r="AI423" s="46"/>
      <c r="AJ423" s="46"/>
      <c r="AK423" s="46"/>
      <c r="AL423" s="47"/>
      <c r="AM423" s="47"/>
      <c r="AN423" s="47"/>
      <c r="AO423" s="47"/>
      <c r="AP423" s="47"/>
      <c r="AQ423" s="48"/>
      <c r="AR423" s="49"/>
      <c r="AS423" s="49"/>
      <c r="AT423" s="49"/>
      <c r="AU423" s="1"/>
      <c r="AV423" s="1"/>
      <c r="AW423" s="1"/>
      <c r="AX423" s="1"/>
      <c r="AY423" s="1"/>
      <c r="AZ423" s="1"/>
      <c r="BA423" s="1"/>
      <c r="BB423" s="1"/>
      <c r="BC423" s="1"/>
      <c r="BD423" s="1"/>
      <c r="BE423" s="1"/>
      <c r="BF423" s="1"/>
      <c r="BG423" s="1"/>
      <c r="BH423" s="1"/>
      <c r="BI423" s="1"/>
      <c r="BJ423" s="1"/>
      <c r="BK423" s="1"/>
      <c r="BL423" s="1"/>
      <c r="BM423" s="1"/>
      <c r="BN423" s="1"/>
    </row>
    <row r="424" spans="1:66" ht="15.75" customHeight="1" x14ac:dyDescent="0.25">
      <c r="A424" s="43"/>
      <c r="B424" s="50"/>
      <c r="C424" s="51"/>
      <c r="D424" s="43"/>
      <c r="E424" s="43"/>
      <c r="F424" s="43"/>
      <c r="G424" s="44"/>
      <c r="H424" s="23"/>
      <c r="I424" s="43"/>
      <c r="J424" s="43"/>
      <c r="K424" s="45"/>
      <c r="L424" s="46"/>
      <c r="M424" s="46"/>
      <c r="N424" s="46"/>
      <c r="O424" s="46"/>
      <c r="P424" s="46"/>
      <c r="Q424" s="46"/>
      <c r="R424" s="46"/>
      <c r="S424" s="46"/>
      <c r="T424" s="46"/>
      <c r="U424" s="46"/>
      <c r="V424" s="46"/>
      <c r="W424" s="46"/>
      <c r="X424" s="46"/>
      <c r="Y424" s="46"/>
      <c r="Z424" s="46"/>
      <c r="AA424" s="46"/>
      <c r="AB424" s="46"/>
      <c r="AC424" s="46"/>
      <c r="AD424" s="46"/>
      <c r="AE424" s="46"/>
      <c r="AF424" s="46"/>
      <c r="AG424" s="46"/>
      <c r="AH424" s="46"/>
      <c r="AI424" s="46"/>
      <c r="AJ424" s="46"/>
      <c r="AK424" s="46"/>
      <c r="AL424" s="47"/>
      <c r="AM424" s="47"/>
      <c r="AN424" s="47"/>
      <c r="AO424" s="47"/>
      <c r="AP424" s="47"/>
      <c r="AQ424" s="48"/>
      <c r="AR424" s="49"/>
      <c r="AS424" s="49"/>
      <c r="AT424" s="49"/>
      <c r="AU424" s="1"/>
      <c r="AV424" s="1"/>
      <c r="AW424" s="1"/>
      <c r="AX424" s="1"/>
      <c r="AY424" s="1"/>
      <c r="AZ424" s="1"/>
      <c r="BA424" s="1"/>
      <c r="BB424" s="1"/>
      <c r="BC424" s="1"/>
      <c r="BD424" s="1"/>
      <c r="BE424" s="1"/>
      <c r="BF424" s="1"/>
      <c r="BG424" s="1"/>
      <c r="BH424" s="1"/>
      <c r="BI424" s="1"/>
      <c r="BJ424" s="1"/>
      <c r="BK424" s="1"/>
      <c r="BL424" s="1"/>
      <c r="BM424" s="1"/>
      <c r="BN424" s="1"/>
    </row>
    <row r="425" spans="1:66" ht="15.75" customHeight="1" x14ac:dyDescent="0.25">
      <c r="A425" s="43"/>
      <c r="B425" s="50"/>
      <c r="C425" s="51"/>
      <c r="D425" s="43"/>
      <c r="E425" s="43"/>
      <c r="F425" s="43"/>
      <c r="G425" s="44"/>
      <c r="H425" s="23"/>
      <c r="I425" s="43"/>
      <c r="J425" s="43"/>
      <c r="K425" s="45"/>
      <c r="L425" s="46"/>
      <c r="M425" s="46"/>
      <c r="N425" s="46"/>
      <c r="O425" s="46"/>
      <c r="P425" s="46"/>
      <c r="Q425" s="46"/>
      <c r="R425" s="46"/>
      <c r="S425" s="46"/>
      <c r="T425" s="46"/>
      <c r="U425" s="46"/>
      <c r="V425" s="46"/>
      <c r="W425" s="46"/>
      <c r="X425" s="46"/>
      <c r="Y425" s="46"/>
      <c r="Z425" s="46"/>
      <c r="AA425" s="46"/>
      <c r="AB425" s="46"/>
      <c r="AC425" s="46"/>
      <c r="AD425" s="46"/>
      <c r="AE425" s="46"/>
      <c r="AF425" s="46"/>
      <c r="AG425" s="46"/>
      <c r="AH425" s="46"/>
      <c r="AI425" s="46"/>
      <c r="AJ425" s="46"/>
      <c r="AK425" s="46"/>
      <c r="AL425" s="47"/>
      <c r="AM425" s="47"/>
      <c r="AN425" s="47"/>
      <c r="AO425" s="47"/>
      <c r="AP425" s="47"/>
      <c r="AQ425" s="48"/>
      <c r="AR425" s="49"/>
      <c r="AS425" s="49"/>
      <c r="AT425" s="49"/>
      <c r="AU425" s="1"/>
      <c r="AV425" s="1"/>
      <c r="AW425" s="1"/>
      <c r="AX425" s="1"/>
      <c r="AY425" s="1"/>
      <c r="AZ425" s="1"/>
      <c r="BA425" s="1"/>
      <c r="BB425" s="1"/>
      <c r="BC425" s="1"/>
      <c r="BD425" s="1"/>
      <c r="BE425" s="1"/>
      <c r="BF425" s="1"/>
      <c r="BG425" s="1"/>
      <c r="BH425" s="1"/>
      <c r="BI425" s="1"/>
      <c r="BJ425" s="1"/>
      <c r="BK425" s="1"/>
      <c r="BL425" s="1"/>
      <c r="BM425" s="1"/>
      <c r="BN425" s="1"/>
    </row>
    <row r="426" spans="1:66" ht="15.75" customHeight="1" x14ac:dyDescent="0.25">
      <c r="A426" s="43"/>
      <c r="B426" s="50"/>
      <c r="C426" s="51"/>
      <c r="D426" s="43"/>
      <c r="E426" s="43"/>
      <c r="F426" s="43"/>
      <c r="G426" s="44"/>
      <c r="H426" s="23"/>
      <c r="I426" s="43"/>
      <c r="J426" s="43"/>
      <c r="K426" s="45"/>
      <c r="L426" s="46"/>
      <c r="M426" s="46"/>
      <c r="N426" s="46"/>
      <c r="O426" s="46"/>
      <c r="P426" s="46"/>
      <c r="Q426" s="46"/>
      <c r="R426" s="46"/>
      <c r="S426" s="46"/>
      <c r="T426" s="46"/>
      <c r="U426" s="46"/>
      <c r="V426" s="46"/>
      <c r="W426" s="46"/>
      <c r="X426" s="46"/>
      <c r="Y426" s="46"/>
      <c r="Z426" s="46"/>
      <c r="AA426" s="46"/>
      <c r="AB426" s="46"/>
      <c r="AC426" s="46"/>
      <c r="AD426" s="46"/>
      <c r="AE426" s="46"/>
      <c r="AF426" s="46"/>
      <c r="AG426" s="46"/>
      <c r="AH426" s="46"/>
      <c r="AI426" s="46"/>
      <c r="AJ426" s="46"/>
      <c r="AK426" s="46"/>
      <c r="AL426" s="47"/>
      <c r="AM426" s="47"/>
      <c r="AN426" s="47"/>
      <c r="AO426" s="47"/>
      <c r="AP426" s="47"/>
      <c r="AQ426" s="48"/>
      <c r="AR426" s="49"/>
      <c r="AS426" s="49"/>
      <c r="AT426" s="49"/>
      <c r="AU426" s="1"/>
      <c r="AV426" s="1"/>
      <c r="AW426" s="1"/>
      <c r="AX426" s="1"/>
      <c r="AY426" s="1"/>
      <c r="AZ426" s="1"/>
      <c r="BA426" s="1"/>
      <c r="BB426" s="1"/>
      <c r="BC426" s="1"/>
      <c r="BD426" s="1"/>
      <c r="BE426" s="1"/>
      <c r="BF426" s="1"/>
      <c r="BG426" s="1"/>
      <c r="BH426" s="1"/>
      <c r="BI426" s="1"/>
      <c r="BJ426" s="1"/>
      <c r="BK426" s="1"/>
      <c r="BL426" s="1"/>
      <c r="BM426" s="1"/>
      <c r="BN426" s="1"/>
    </row>
    <row r="427" spans="1:66" ht="15.75" customHeight="1" x14ac:dyDescent="0.25">
      <c r="A427" s="43"/>
      <c r="B427" s="50"/>
      <c r="C427" s="51"/>
      <c r="D427" s="43"/>
      <c r="E427" s="43"/>
      <c r="F427" s="43"/>
      <c r="G427" s="44"/>
      <c r="H427" s="23"/>
      <c r="I427" s="43"/>
      <c r="J427" s="43"/>
      <c r="K427" s="45"/>
      <c r="L427" s="46"/>
      <c r="M427" s="46"/>
      <c r="N427" s="46"/>
      <c r="O427" s="46"/>
      <c r="P427" s="46"/>
      <c r="Q427" s="46"/>
      <c r="R427" s="46"/>
      <c r="S427" s="46"/>
      <c r="T427" s="46"/>
      <c r="U427" s="46"/>
      <c r="V427" s="46"/>
      <c r="W427" s="46"/>
      <c r="X427" s="46"/>
      <c r="Y427" s="46"/>
      <c r="Z427" s="46"/>
      <c r="AA427" s="46"/>
      <c r="AB427" s="46"/>
      <c r="AC427" s="46"/>
      <c r="AD427" s="46"/>
      <c r="AE427" s="46"/>
      <c r="AF427" s="46"/>
      <c r="AG427" s="46"/>
      <c r="AH427" s="46"/>
      <c r="AI427" s="46"/>
      <c r="AJ427" s="46"/>
      <c r="AK427" s="46"/>
      <c r="AL427" s="47"/>
      <c r="AM427" s="47"/>
      <c r="AN427" s="47"/>
      <c r="AO427" s="47"/>
      <c r="AP427" s="47"/>
      <c r="AQ427" s="48"/>
      <c r="AR427" s="49"/>
      <c r="AS427" s="49"/>
      <c r="AT427" s="49"/>
      <c r="AU427" s="1"/>
      <c r="AV427" s="1"/>
      <c r="AW427" s="1"/>
      <c r="AX427" s="1"/>
      <c r="AY427" s="1"/>
      <c r="AZ427" s="1"/>
      <c r="BA427" s="1"/>
      <c r="BB427" s="1"/>
      <c r="BC427" s="1"/>
      <c r="BD427" s="1"/>
      <c r="BE427" s="1"/>
      <c r="BF427" s="1"/>
      <c r="BG427" s="1"/>
      <c r="BH427" s="1"/>
      <c r="BI427" s="1"/>
      <c r="BJ427" s="1"/>
      <c r="BK427" s="1"/>
      <c r="BL427" s="1"/>
      <c r="BM427" s="1"/>
      <c r="BN427" s="1"/>
    </row>
    <row r="428" spans="1:66" ht="15.75" customHeight="1" x14ac:dyDescent="0.25">
      <c r="A428" s="43"/>
      <c r="B428" s="50"/>
      <c r="C428" s="51"/>
      <c r="D428" s="43"/>
      <c r="E428" s="43"/>
      <c r="F428" s="43"/>
      <c r="G428" s="44"/>
      <c r="H428" s="23"/>
      <c r="I428" s="43"/>
      <c r="J428" s="43"/>
      <c r="K428" s="45"/>
      <c r="L428" s="46"/>
      <c r="M428" s="46"/>
      <c r="N428" s="46"/>
      <c r="O428" s="46"/>
      <c r="P428" s="46"/>
      <c r="Q428" s="46"/>
      <c r="R428" s="46"/>
      <c r="S428" s="46"/>
      <c r="T428" s="46"/>
      <c r="U428" s="46"/>
      <c r="V428" s="46"/>
      <c r="W428" s="46"/>
      <c r="X428" s="46"/>
      <c r="Y428" s="46"/>
      <c r="Z428" s="46"/>
      <c r="AA428" s="46"/>
      <c r="AB428" s="46"/>
      <c r="AC428" s="46"/>
      <c r="AD428" s="46"/>
      <c r="AE428" s="46"/>
      <c r="AF428" s="46"/>
      <c r="AG428" s="46"/>
      <c r="AH428" s="46"/>
      <c r="AI428" s="46"/>
      <c r="AJ428" s="46"/>
      <c r="AK428" s="46"/>
      <c r="AL428" s="47"/>
      <c r="AM428" s="47"/>
      <c r="AN428" s="47"/>
      <c r="AO428" s="47"/>
      <c r="AP428" s="47"/>
      <c r="AQ428" s="48"/>
      <c r="AR428" s="49"/>
      <c r="AS428" s="49"/>
      <c r="AT428" s="49"/>
      <c r="AU428" s="1"/>
      <c r="AV428" s="1"/>
      <c r="AW428" s="1"/>
      <c r="AX428" s="1"/>
      <c r="AY428" s="1"/>
      <c r="AZ428" s="1"/>
      <c r="BA428" s="1"/>
      <c r="BB428" s="1"/>
      <c r="BC428" s="1"/>
      <c r="BD428" s="1"/>
      <c r="BE428" s="1"/>
      <c r="BF428" s="1"/>
      <c r="BG428" s="1"/>
      <c r="BH428" s="1"/>
      <c r="BI428" s="1"/>
      <c r="BJ428" s="1"/>
      <c r="BK428" s="1"/>
      <c r="BL428" s="1"/>
      <c r="BM428" s="1"/>
      <c r="BN428" s="1"/>
    </row>
    <row r="429" spans="1:66" ht="15.75" customHeight="1" x14ac:dyDescent="0.25">
      <c r="A429" s="43"/>
      <c r="B429" s="50"/>
      <c r="C429" s="51"/>
      <c r="D429" s="43"/>
      <c r="E429" s="43"/>
      <c r="F429" s="43"/>
      <c r="G429" s="44"/>
      <c r="H429" s="23"/>
      <c r="I429" s="43"/>
      <c r="J429" s="43"/>
      <c r="K429" s="45"/>
      <c r="L429" s="46"/>
      <c r="M429" s="46"/>
      <c r="N429" s="46"/>
      <c r="O429" s="46"/>
      <c r="P429" s="46"/>
      <c r="Q429" s="46"/>
      <c r="R429" s="46"/>
      <c r="S429" s="46"/>
      <c r="T429" s="46"/>
      <c r="U429" s="46"/>
      <c r="V429" s="46"/>
      <c r="W429" s="46"/>
      <c r="X429" s="46"/>
      <c r="Y429" s="46"/>
      <c r="Z429" s="46"/>
      <c r="AA429" s="46"/>
      <c r="AB429" s="46"/>
      <c r="AC429" s="46"/>
      <c r="AD429" s="46"/>
      <c r="AE429" s="46"/>
      <c r="AF429" s="46"/>
      <c r="AG429" s="46"/>
      <c r="AH429" s="46"/>
      <c r="AI429" s="46"/>
      <c r="AJ429" s="46"/>
      <c r="AK429" s="46"/>
      <c r="AL429" s="47"/>
      <c r="AM429" s="47"/>
      <c r="AN429" s="47"/>
      <c r="AO429" s="47"/>
      <c r="AP429" s="47"/>
      <c r="AQ429" s="48"/>
      <c r="AR429" s="49"/>
      <c r="AS429" s="49"/>
      <c r="AT429" s="49"/>
      <c r="AU429" s="1"/>
      <c r="AV429" s="1"/>
      <c r="AW429" s="1"/>
      <c r="AX429" s="1"/>
      <c r="AY429" s="1"/>
      <c r="AZ429" s="1"/>
      <c r="BA429" s="1"/>
      <c r="BB429" s="1"/>
      <c r="BC429" s="1"/>
      <c r="BD429" s="1"/>
      <c r="BE429" s="1"/>
      <c r="BF429" s="1"/>
      <c r="BG429" s="1"/>
      <c r="BH429" s="1"/>
      <c r="BI429" s="1"/>
      <c r="BJ429" s="1"/>
      <c r="BK429" s="1"/>
      <c r="BL429" s="1"/>
      <c r="BM429" s="1"/>
      <c r="BN429" s="1"/>
    </row>
    <row r="430" spans="1:66" ht="15.75" customHeight="1" x14ac:dyDescent="0.25">
      <c r="A430" s="43"/>
      <c r="B430" s="50"/>
      <c r="C430" s="51"/>
      <c r="D430" s="43"/>
      <c r="E430" s="43"/>
      <c r="F430" s="43"/>
      <c r="G430" s="44"/>
      <c r="H430" s="23"/>
      <c r="I430" s="43"/>
      <c r="J430" s="43"/>
      <c r="K430" s="45"/>
      <c r="L430" s="46"/>
      <c r="M430" s="46"/>
      <c r="N430" s="46"/>
      <c r="O430" s="46"/>
      <c r="P430" s="46"/>
      <c r="Q430" s="46"/>
      <c r="R430" s="46"/>
      <c r="S430" s="46"/>
      <c r="T430" s="46"/>
      <c r="U430" s="46"/>
      <c r="V430" s="46"/>
      <c r="W430" s="46"/>
      <c r="X430" s="46"/>
      <c r="Y430" s="46"/>
      <c r="Z430" s="46"/>
      <c r="AA430" s="46"/>
      <c r="AB430" s="46"/>
      <c r="AC430" s="46"/>
      <c r="AD430" s="46"/>
      <c r="AE430" s="46"/>
      <c r="AF430" s="46"/>
      <c r="AG430" s="46"/>
      <c r="AH430" s="46"/>
      <c r="AI430" s="46"/>
      <c r="AJ430" s="46"/>
      <c r="AK430" s="46"/>
      <c r="AL430" s="47"/>
      <c r="AM430" s="47"/>
      <c r="AN430" s="47"/>
      <c r="AO430" s="47"/>
      <c r="AP430" s="47"/>
      <c r="AQ430" s="48"/>
      <c r="AR430" s="49"/>
      <c r="AS430" s="49"/>
      <c r="AT430" s="49"/>
      <c r="AU430" s="1"/>
      <c r="AV430" s="1"/>
      <c r="AW430" s="1"/>
      <c r="AX430" s="1"/>
      <c r="AY430" s="1"/>
      <c r="AZ430" s="1"/>
      <c r="BA430" s="1"/>
      <c r="BB430" s="1"/>
      <c r="BC430" s="1"/>
      <c r="BD430" s="1"/>
      <c r="BE430" s="1"/>
      <c r="BF430" s="1"/>
      <c r="BG430" s="1"/>
      <c r="BH430" s="1"/>
      <c r="BI430" s="1"/>
      <c r="BJ430" s="1"/>
      <c r="BK430" s="1"/>
      <c r="BL430" s="1"/>
      <c r="BM430" s="1"/>
      <c r="BN430" s="1"/>
    </row>
    <row r="431" spans="1:66" ht="15.75" customHeight="1" x14ac:dyDescent="0.25">
      <c r="A431" s="43"/>
      <c r="B431" s="50"/>
      <c r="C431" s="51"/>
      <c r="D431" s="43"/>
      <c r="E431" s="43"/>
      <c r="F431" s="43"/>
      <c r="G431" s="44"/>
      <c r="H431" s="23"/>
      <c r="I431" s="43"/>
      <c r="J431" s="43"/>
      <c r="K431" s="45"/>
      <c r="L431" s="46"/>
      <c r="M431" s="46"/>
      <c r="N431" s="46"/>
      <c r="O431" s="46"/>
      <c r="P431" s="46"/>
      <c r="Q431" s="46"/>
      <c r="R431" s="46"/>
      <c r="S431" s="46"/>
      <c r="T431" s="46"/>
      <c r="U431" s="46"/>
      <c r="V431" s="46"/>
      <c r="W431" s="46"/>
      <c r="X431" s="46"/>
      <c r="Y431" s="46"/>
      <c r="Z431" s="46"/>
      <c r="AA431" s="46"/>
      <c r="AB431" s="46"/>
      <c r="AC431" s="46"/>
      <c r="AD431" s="46"/>
      <c r="AE431" s="46"/>
      <c r="AF431" s="46"/>
      <c r="AG431" s="46"/>
      <c r="AH431" s="46"/>
      <c r="AI431" s="46"/>
      <c r="AJ431" s="46"/>
      <c r="AK431" s="46"/>
      <c r="AL431" s="47"/>
      <c r="AM431" s="47"/>
      <c r="AN431" s="47"/>
      <c r="AO431" s="47"/>
      <c r="AP431" s="47"/>
      <c r="AQ431" s="48"/>
      <c r="AR431" s="49"/>
      <c r="AS431" s="49"/>
      <c r="AT431" s="49"/>
      <c r="AU431" s="1"/>
      <c r="AV431" s="1"/>
      <c r="AW431" s="1"/>
      <c r="AX431" s="1"/>
      <c r="AY431" s="1"/>
      <c r="AZ431" s="1"/>
      <c r="BA431" s="1"/>
      <c r="BB431" s="1"/>
      <c r="BC431" s="1"/>
      <c r="BD431" s="1"/>
      <c r="BE431" s="1"/>
      <c r="BF431" s="1"/>
      <c r="BG431" s="1"/>
      <c r="BH431" s="1"/>
      <c r="BI431" s="1"/>
      <c r="BJ431" s="1"/>
      <c r="BK431" s="1"/>
      <c r="BL431" s="1"/>
      <c r="BM431" s="1"/>
      <c r="BN431" s="1"/>
    </row>
    <row r="432" spans="1:66" ht="15.75" customHeight="1" x14ac:dyDescent="0.25">
      <c r="A432" s="43"/>
      <c r="B432" s="50"/>
      <c r="C432" s="51"/>
      <c r="D432" s="43"/>
      <c r="E432" s="43"/>
      <c r="F432" s="43"/>
      <c r="G432" s="44"/>
      <c r="H432" s="23"/>
      <c r="I432" s="43"/>
      <c r="J432" s="43"/>
      <c r="K432" s="45"/>
      <c r="L432" s="46"/>
      <c r="M432" s="46"/>
      <c r="N432" s="46"/>
      <c r="O432" s="46"/>
      <c r="P432" s="46"/>
      <c r="Q432" s="46"/>
      <c r="R432" s="46"/>
      <c r="S432" s="46"/>
      <c r="T432" s="46"/>
      <c r="U432" s="46"/>
      <c r="V432" s="46"/>
      <c r="W432" s="46"/>
      <c r="X432" s="46"/>
      <c r="Y432" s="46"/>
      <c r="Z432" s="46"/>
      <c r="AA432" s="46"/>
      <c r="AB432" s="46"/>
      <c r="AC432" s="46"/>
      <c r="AD432" s="46"/>
      <c r="AE432" s="46"/>
      <c r="AF432" s="46"/>
      <c r="AG432" s="46"/>
      <c r="AH432" s="46"/>
      <c r="AI432" s="46"/>
      <c r="AJ432" s="46"/>
      <c r="AK432" s="46"/>
      <c r="AL432" s="47"/>
      <c r="AM432" s="47"/>
      <c r="AN432" s="47"/>
      <c r="AO432" s="47"/>
      <c r="AP432" s="47"/>
      <c r="AQ432" s="48"/>
      <c r="AR432" s="49"/>
      <c r="AS432" s="49"/>
      <c r="AT432" s="49"/>
      <c r="AU432" s="1"/>
      <c r="AV432" s="1"/>
      <c r="AW432" s="1"/>
      <c r="AX432" s="1"/>
      <c r="AY432" s="1"/>
      <c r="AZ432" s="1"/>
      <c r="BA432" s="1"/>
      <c r="BB432" s="1"/>
      <c r="BC432" s="1"/>
      <c r="BD432" s="1"/>
      <c r="BE432" s="1"/>
      <c r="BF432" s="1"/>
      <c r="BG432" s="1"/>
      <c r="BH432" s="1"/>
      <c r="BI432" s="1"/>
      <c r="BJ432" s="1"/>
      <c r="BK432" s="1"/>
      <c r="BL432" s="1"/>
      <c r="BM432" s="1"/>
      <c r="BN432" s="1"/>
    </row>
    <row r="433" spans="1:66" ht="15.75" customHeight="1" x14ac:dyDescent="0.25">
      <c r="A433" s="43"/>
      <c r="B433" s="50"/>
      <c r="C433" s="51"/>
      <c r="D433" s="43"/>
      <c r="E433" s="43"/>
      <c r="F433" s="43"/>
      <c r="G433" s="44"/>
      <c r="H433" s="23"/>
      <c r="I433" s="43"/>
      <c r="J433" s="43"/>
      <c r="K433" s="45"/>
      <c r="L433" s="46"/>
      <c r="M433" s="46"/>
      <c r="N433" s="46"/>
      <c r="O433" s="46"/>
      <c r="P433" s="46"/>
      <c r="Q433" s="46"/>
      <c r="R433" s="46"/>
      <c r="S433" s="46"/>
      <c r="T433" s="46"/>
      <c r="U433" s="46"/>
      <c r="V433" s="46"/>
      <c r="W433" s="46"/>
      <c r="X433" s="46"/>
      <c r="Y433" s="46"/>
      <c r="Z433" s="46"/>
      <c r="AA433" s="46"/>
      <c r="AB433" s="46"/>
      <c r="AC433" s="46"/>
      <c r="AD433" s="46"/>
      <c r="AE433" s="46"/>
      <c r="AF433" s="46"/>
      <c r="AG433" s="46"/>
      <c r="AH433" s="46"/>
      <c r="AI433" s="46"/>
      <c r="AJ433" s="46"/>
      <c r="AK433" s="46"/>
      <c r="AL433" s="47"/>
      <c r="AM433" s="47"/>
      <c r="AN433" s="47"/>
      <c r="AO433" s="47"/>
      <c r="AP433" s="47"/>
      <c r="AQ433" s="48"/>
      <c r="AR433" s="49"/>
      <c r="AS433" s="49"/>
      <c r="AT433" s="49"/>
      <c r="AU433" s="1"/>
      <c r="AV433" s="1"/>
      <c r="AW433" s="1"/>
      <c r="AX433" s="1"/>
      <c r="AY433" s="1"/>
      <c r="AZ433" s="1"/>
      <c r="BA433" s="1"/>
      <c r="BB433" s="1"/>
      <c r="BC433" s="1"/>
      <c r="BD433" s="1"/>
      <c r="BE433" s="1"/>
      <c r="BF433" s="1"/>
      <c r="BG433" s="1"/>
      <c r="BH433" s="1"/>
      <c r="BI433" s="1"/>
      <c r="BJ433" s="1"/>
      <c r="BK433" s="1"/>
      <c r="BL433" s="1"/>
      <c r="BM433" s="1"/>
      <c r="BN433" s="1"/>
    </row>
    <row r="434" spans="1:66" ht="15.75" customHeight="1" x14ac:dyDescent="0.25">
      <c r="A434" s="43"/>
      <c r="B434" s="50"/>
      <c r="C434" s="51"/>
      <c r="D434" s="43"/>
      <c r="E434" s="43"/>
      <c r="F434" s="43"/>
      <c r="G434" s="44"/>
      <c r="H434" s="23"/>
      <c r="I434" s="43"/>
      <c r="J434" s="43"/>
      <c r="K434" s="45"/>
      <c r="L434" s="46"/>
      <c r="M434" s="46"/>
      <c r="N434" s="46"/>
      <c r="O434" s="46"/>
      <c r="P434" s="46"/>
      <c r="Q434" s="46"/>
      <c r="R434" s="46"/>
      <c r="S434" s="46"/>
      <c r="T434" s="46"/>
      <c r="U434" s="46"/>
      <c r="V434" s="46"/>
      <c r="W434" s="46"/>
      <c r="X434" s="46"/>
      <c r="Y434" s="46"/>
      <c r="Z434" s="46"/>
      <c r="AA434" s="46"/>
      <c r="AB434" s="46"/>
      <c r="AC434" s="46"/>
      <c r="AD434" s="46"/>
      <c r="AE434" s="46"/>
      <c r="AF434" s="46"/>
      <c r="AG434" s="46"/>
      <c r="AH434" s="46"/>
      <c r="AI434" s="46"/>
      <c r="AJ434" s="46"/>
      <c r="AK434" s="46"/>
      <c r="AL434" s="47"/>
      <c r="AM434" s="47"/>
      <c r="AN434" s="47"/>
      <c r="AO434" s="47"/>
      <c r="AP434" s="47"/>
      <c r="AQ434" s="48"/>
      <c r="AR434" s="49"/>
      <c r="AS434" s="49"/>
      <c r="AT434" s="49"/>
      <c r="AU434" s="1"/>
      <c r="AV434" s="1"/>
      <c r="AW434" s="1"/>
      <c r="AX434" s="1"/>
      <c r="AY434" s="1"/>
      <c r="AZ434" s="1"/>
      <c r="BA434" s="1"/>
      <c r="BB434" s="1"/>
      <c r="BC434" s="1"/>
      <c r="BD434" s="1"/>
      <c r="BE434" s="1"/>
      <c r="BF434" s="1"/>
      <c r="BG434" s="1"/>
      <c r="BH434" s="1"/>
      <c r="BI434" s="1"/>
      <c r="BJ434" s="1"/>
      <c r="BK434" s="1"/>
      <c r="BL434" s="1"/>
      <c r="BM434" s="1"/>
      <c r="BN434" s="1"/>
    </row>
    <row r="435" spans="1:66" ht="15.75" customHeight="1" x14ac:dyDescent="0.25">
      <c r="A435" s="43"/>
      <c r="B435" s="50"/>
      <c r="C435" s="51"/>
      <c r="D435" s="43"/>
      <c r="E435" s="43"/>
      <c r="F435" s="43"/>
      <c r="G435" s="44"/>
      <c r="H435" s="23"/>
      <c r="I435" s="43"/>
      <c r="J435" s="43"/>
      <c r="K435" s="45"/>
      <c r="L435" s="46"/>
      <c r="M435" s="46"/>
      <c r="N435" s="46"/>
      <c r="O435" s="46"/>
      <c r="P435" s="46"/>
      <c r="Q435" s="46"/>
      <c r="R435" s="46"/>
      <c r="S435" s="46"/>
      <c r="T435" s="46"/>
      <c r="U435" s="46"/>
      <c r="V435" s="46"/>
      <c r="W435" s="46"/>
      <c r="X435" s="46"/>
      <c r="Y435" s="46"/>
      <c r="Z435" s="46"/>
      <c r="AA435" s="46"/>
      <c r="AB435" s="46"/>
      <c r="AC435" s="46"/>
      <c r="AD435" s="46"/>
      <c r="AE435" s="46"/>
      <c r="AF435" s="46"/>
      <c r="AG435" s="46"/>
      <c r="AH435" s="46"/>
      <c r="AI435" s="46"/>
      <c r="AJ435" s="46"/>
      <c r="AK435" s="46"/>
      <c r="AL435" s="47"/>
      <c r="AM435" s="47"/>
      <c r="AN435" s="47"/>
      <c r="AO435" s="47"/>
      <c r="AP435" s="47"/>
      <c r="AQ435" s="48"/>
      <c r="AR435" s="49"/>
      <c r="AS435" s="49"/>
      <c r="AT435" s="49"/>
      <c r="AU435" s="1"/>
      <c r="AV435" s="1"/>
      <c r="AW435" s="1"/>
      <c r="AX435" s="1"/>
      <c r="AY435" s="1"/>
      <c r="AZ435" s="1"/>
      <c r="BA435" s="1"/>
      <c r="BB435" s="1"/>
      <c r="BC435" s="1"/>
      <c r="BD435" s="1"/>
      <c r="BE435" s="1"/>
      <c r="BF435" s="1"/>
      <c r="BG435" s="1"/>
      <c r="BH435" s="1"/>
      <c r="BI435" s="1"/>
      <c r="BJ435" s="1"/>
      <c r="BK435" s="1"/>
      <c r="BL435" s="1"/>
      <c r="BM435" s="1"/>
      <c r="BN435" s="1"/>
    </row>
    <row r="436" spans="1:66" ht="15.75" customHeight="1" x14ac:dyDescent="0.25">
      <c r="A436" s="43"/>
      <c r="B436" s="50"/>
      <c r="C436" s="51"/>
      <c r="D436" s="43"/>
      <c r="E436" s="43"/>
      <c r="F436" s="43"/>
      <c r="G436" s="44"/>
      <c r="H436" s="23"/>
      <c r="I436" s="43"/>
      <c r="J436" s="43"/>
      <c r="K436" s="45"/>
      <c r="L436" s="46"/>
      <c r="M436" s="46"/>
      <c r="N436" s="46"/>
      <c r="O436" s="46"/>
      <c r="P436" s="46"/>
      <c r="Q436" s="46"/>
      <c r="R436" s="46"/>
      <c r="S436" s="46"/>
      <c r="T436" s="46"/>
      <c r="U436" s="46"/>
      <c r="V436" s="46"/>
      <c r="W436" s="46"/>
      <c r="X436" s="46"/>
      <c r="Y436" s="46"/>
      <c r="Z436" s="46"/>
      <c r="AA436" s="46"/>
      <c r="AB436" s="46"/>
      <c r="AC436" s="46"/>
      <c r="AD436" s="46"/>
      <c r="AE436" s="46"/>
      <c r="AF436" s="46"/>
      <c r="AG436" s="46"/>
      <c r="AH436" s="46"/>
      <c r="AI436" s="46"/>
      <c r="AJ436" s="46"/>
      <c r="AK436" s="46"/>
      <c r="AL436" s="47"/>
      <c r="AM436" s="47"/>
      <c r="AN436" s="47"/>
      <c r="AO436" s="47"/>
      <c r="AP436" s="47"/>
      <c r="AQ436" s="48"/>
      <c r="AR436" s="49"/>
      <c r="AS436" s="49"/>
      <c r="AT436" s="49"/>
      <c r="AU436" s="1"/>
      <c r="AV436" s="1"/>
      <c r="AW436" s="1"/>
      <c r="AX436" s="1"/>
      <c r="AY436" s="1"/>
      <c r="AZ436" s="1"/>
      <c r="BA436" s="1"/>
      <c r="BB436" s="1"/>
      <c r="BC436" s="1"/>
      <c r="BD436" s="1"/>
      <c r="BE436" s="1"/>
      <c r="BF436" s="1"/>
      <c r="BG436" s="1"/>
      <c r="BH436" s="1"/>
      <c r="BI436" s="1"/>
      <c r="BJ436" s="1"/>
      <c r="BK436" s="1"/>
      <c r="BL436" s="1"/>
      <c r="BM436" s="1"/>
      <c r="BN436" s="1"/>
    </row>
    <row r="437" spans="1:66" ht="15.75" customHeight="1" x14ac:dyDescent="0.25">
      <c r="A437" s="43"/>
      <c r="B437" s="50"/>
      <c r="C437" s="51"/>
      <c r="D437" s="43"/>
      <c r="E437" s="43"/>
      <c r="F437" s="43"/>
      <c r="G437" s="44"/>
      <c r="H437" s="23"/>
      <c r="I437" s="43"/>
      <c r="J437" s="43"/>
      <c r="K437" s="45"/>
      <c r="L437" s="46"/>
      <c r="M437" s="46"/>
      <c r="N437" s="46"/>
      <c r="O437" s="46"/>
      <c r="P437" s="46"/>
      <c r="Q437" s="46"/>
      <c r="R437" s="46"/>
      <c r="S437" s="46"/>
      <c r="T437" s="46"/>
      <c r="U437" s="46"/>
      <c r="V437" s="46"/>
      <c r="W437" s="46"/>
      <c r="X437" s="46"/>
      <c r="Y437" s="46"/>
      <c r="Z437" s="46"/>
      <c r="AA437" s="46"/>
      <c r="AB437" s="46"/>
      <c r="AC437" s="46"/>
      <c r="AD437" s="46"/>
      <c r="AE437" s="46"/>
      <c r="AF437" s="46"/>
      <c r="AG437" s="46"/>
      <c r="AH437" s="46"/>
      <c r="AI437" s="46"/>
      <c r="AJ437" s="46"/>
      <c r="AK437" s="46"/>
      <c r="AL437" s="47"/>
      <c r="AM437" s="47"/>
      <c r="AN437" s="47"/>
      <c r="AO437" s="47"/>
      <c r="AP437" s="47"/>
      <c r="AQ437" s="48"/>
      <c r="AR437" s="49"/>
      <c r="AS437" s="49"/>
      <c r="AT437" s="49"/>
      <c r="AU437" s="1"/>
      <c r="AV437" s="1"/>
      <c r="AW437" s="1"/>
      <c r="AX437" s="1"/>
      <c r="AY437" s="1"/>
      <c r="AZ437" s="1"/>
      <c r="BA437" s="1"/>
      <c r="BB437" s="1"/>
      <c r="BC437" s="1"/>
      <c r="BD437" s="1"/>
      <c r="BE437" s="1"/>
      <c r="BF437" s="1"/>
      <c r="BG437" s="1"/>
      <c r="BH437" s="1"/>
      <c r="BI437" s="1"/>
      <c r="BJ437" s="1"/>
      <c r="BK437" s="1"/>
      <c r="BL437" s="1"/>
      <c r="BM437" s="1"/>
      <c r="BN437" s="1"/>
    </row>
    <row r="438" spans="1:66" ht="15.75" customHeight="1" x14ac:dyDescent="0.25">
      <c r="A438" s="43"/>
      <c r="B438" s="50"/>
      <c r="C438" s="51"/>
      <c r="D438" s="43"/>
      <c r="E438" s="43"/>
      <c r="F438" s="43"/>
      <c r="G438" s="44"/>
      <c r="H438" s="23"/>
      <c r="I438" s="43"/>
      <c r="J438" s="43"/>
      <c r="K438" s="45"/>
      <c r="L438" s="46"/>
      <c r="M438" s="46"/>
      <c r="N438" s="46"/>
      <c r="O438" s="46"/>
      <c r="P438" s="46"/>
      <c r="Q438" s="46"/>
      <c r="R438" s="46"/>
      <c r="S438" s="46"/>
      <c r="T438" s="46"/>
      <c r="U438" s="46"/>
      <c r="V438" s="46"/>
      <c r="W438" s="46"/>
      <c r="X438" s="46"/>
      <c r="Y438" s="46"/>
      <c r="Z438" s="46"/>
      <c r="AA438" s="46"/>
      <c r="AB438" s="46"/>
      <c r="AC438" s="46"/>
      <c r="AD438" s="46"/>
      <c r="AE438" s="46"/>
      <c r="AF438" s="46"/>
      <c r="AG438" s="46"/>
      <c r="AH438" s="46"/>
      <c r="AI438" s="46"/>
      <c r="AJ438" s="46"/>
      <c r="AK438" s="46"/>
      <c r="AL438" s="47"/>
      <c r="AM438" s="47"/>
      <c r="AN438" s="47"/>
      <c r="AO438" s="47"/>
      <c r="AP438" s="47"/>
      <c r="AQ438" s="48"/>
      <c r="AR438" s="49"/>
      <c r="AS438" s="49"/>
      <c r="AT438" s="49"/>
      <c r="AU438" s="1"/>
      <c r="AV438" s="1"/>
      <c r="AW438" s="1"/>
      <c r="AX438" s="1"/>
      <c r="AY438" s="1"/>
      <c r="AZ438" s="1"/>
      <c r="BA438" s="1"/>
      <c r="BB438" s="1"/>
      <c r="BC438" s="1"/>
      <c r="BD438" s="1"/>
      <c r="BE438" s="1"/>
      <c r="BF438" s="1"/>
      <c r="BG438" s="1"/>
      <c r="BH438" s="1"/>
      <c r="BI438" s="1"/>
      <c r="BJ438" s="1"/>
      <c r="BK438" s="1"/>
      <c r="BL438" s="1"/>
      <c r="BM438" s="1"/>
      <c r="BN438" s="1"/>
    </row>
    <row r="439" spans="1:66" ht="15.75" customHeight="1" x14ac:dyDescent="0.25">
      <c r="A439" s="43"/>
      <c r="B439" s="50"/>
      <c r="C439" s="51"/>
      <c r="D439" s="43"/>
      <c r="E439" s="43"/>
      <c r="F439" s="43"/>
      <c r="G439" s="44"/>
      <c r="H439" s="23"/>
      <c r="I439" s="43"/>
      <c r="J439" s="43"/>
      <c r="K439" s="45"/>
      <c r="L439" s="46"/>
      <c r="M439" s="46"/>
      <c r="N439" s="46"/>
      <c r="O439" s="46"/>
      <c r="P439" s="46"/>
      <c r="Q439" s="46"/>
      <c r="R439" s="46"/>
      <c r="S439" s="46"/>
      <c r="T439" s="46"/>
      <c r="U439" s="46"/>
      <c r="V439" s="46"/>
      <c r="W439" s="46"/>
      <c r="X439" s="46"/>
      <c r="Y439" s="46"/>
      <c r="Z439" s="46"/>
      <c r="AA439" s="46"/>
      <c r="AB439" s="46"/>
      <c r="AC439" s="46"/>
      <c r="AD439" s="46"/>
      <c r="AE439" s="46"/>
      <c r="AF439" s="46"/>
      <c r="AG439" s="46"/>
      <c r="AH439" s="46"/>
      <c r="AI439" s="46"/>
      <c r="AJ439" s="46"/>
      <c r="AK439" s="46"/>
      <c r="AL439" s="47"/>
      <c r="AM439" s="47"/>
      <c r="AN439" s="47"/>
      <c r="AO439" s="47"/>
      <c r="AP439" s="47"/>
      <c r="AQ439" s="48"/>
      <c r="AR439" s="49"/>
      <c r="AS439" s="49"/>
      <c r="AT439" s="49"/>
      <c r="AU439" s="1"/>
      <c r="AV439" s="1"/>
      <c r="AW439" s="1"/>
      <c r="AX439" s="1"/>
      <c r="AY439" s="1"/>
      <c r="AZ439" s="1"/>
      <c r="BA439" s="1"/>
      <c r="BB439" s="1"/>
      <c r="BC439" s="1"/>
      <c r="BD439" s="1"/>
      <c r="BE439" s="1"/>
      <c r="BF439" s="1"/>
      <c r="BG439" s="1"/>
      <c r="BH439" s="1"/>
      <c r="BI439" s="1"/>
      <c r="BJ439" s="1"/>
      <c r="BK439" s="1"/>
      <c r="BL439" s="1"/>
      <c r="BM439" s="1"/>
      <c r="BN439" s="1"/>
    </row>
    <row r="440" spans="1:66" ht="15.75" customHeight="1" x14ac:dyDescent="0.25">
      <c r="A440" s="43"/>
      <c r="B440" s="50"/>
      <c r="C440" s="51"/>
      <c r="D440" s="43"/>
      <c r="E440" s="43"/>
      <c r="F440" s="43"/>
      <c r="G440" s="44"/>
      <c r="H440" s="23"/>
      <c r="I440" s="43"/>
      <c r="J440" s="43"/>
      <c r="K440" s="45"/>
      <c r="L440" s="46"/>
      <c r="M440" s="46"/>
      <c r="N440" s="46"/>
      <c r="O440" s="46"/>
      <c r="P440" s="46"/>
      <c r="Q440" s="46"/>
      <c r="R440" s="46"/>
      <c r="S440" s="46"/>
      <c r="T440" s="46"/>
      <c r="U440" s="46"/>
      <c r="V440" s="46"/>
      <c r="W440" s="46"/>
      <c r="X440" s="46"/>
      <c r="Y440" s="46"/>
      <c r="Z440" s="46"/>
      <c r="AA440" s="46"/>
      <c r="AB440" s="46"/>
      <c r="AC440" s="46"/>
      <c r="AD440" s="46"/>
      <c r="AE440" s="46"/>
      <c r="AF440" s="46"/>
      <c r="AG440" s="46"/>
      <c r="AH440" s="46"/>
      <c r="AI440" s="46"/>
      <c r="AJ440" s="46"/>
      <c r="AK440" s="46"/>
      <c r="AL440" s="47"/>
      <c r="AM440" s="47"/>
      <c r="AN440" s="47"/>
      <c r="AO440" s="47"/>
      <c r="AP440" s="47"/>
      <c r="AQ440" s="48"/>
      <c r="AR440" s="49"/>
      <c r="AS440" s="49"/>
      <c r="AT440" s="49"/>
      <c r="AU440" s="1"/>
      <c r="AV440" s="1"/>
      <c r="AW440" s="1"/>
      <c r="AX440" s="1"/>
      <c r="AY440" s="1"/>
      <c r="AZ440" s="1"/>
      <c r="BA440" s="1"/>
      <c r="BB440" s="1"/>
      <c r="BC440" s="1"/>
      <c r="BD440" s="1"/>
      <c r="BE440" s="1"/>
      <c r="BF440" s="1"/>
      <c r="BG440" s="1"/>
      <c r="BH440" s="1"/>
      <c r="BI440" s="1"/>
      <c r="BJ440" s="1"/>
      <c r="BK440" s="1"/>
      <c r="BL440" s="1"/>
      <c r="BM440" s="1"/>
      <c r="BN440" s="1"/>
    </row>
    <row r="441" spans="1:66" ht="15.75" customHeight="1" x14ac:dyDescent="0.25">
      <c r="A441" s="43"/>
      <c r="B441" s="50"/>
      <c r="C441" s="51"/>
      <c r="D441" s="43"/>
      <c r="E441" s="43"/>
      <c r="F441" s="43"/>
      <c r="G441" s="44"/>
      <c r="H441" s="23"/>
      <c r="I441" s="43"/>
      <c r="J441" s="43"/>
      <c r="K441" s="45"/>
      <c r="L441" s="46"/>
      <c r="M441" s="46"/>
      <c r="N441" s="46"/>
      <c r="O441" s="46"/>
      <c r="P441" s="46"/>
      <c r="Q441" s="46"/>
      <c r="R441" s="46"/>
      <c r="S441" s="46"/>
      <c r="T441" s="46"/>
      <c r="U441" s="46"/>
      <c r="V441" s="46"/>
      <c r="W441" s="46"/>
      <c r="X441" s="46"/>
      <c r="Y441" s="46"/>
      <c r="Z441" s="46"/>
      <c r="AA441" s="46"/>
      <c r="AB441" s="46"/>
      <c r="AC441" s="46"/>
      <c r="AD441" s="46"/>
      <c r="AE441" s="46"/>
      <c r="AF441" s="46"/>
      <c r="AG441" s="46"/>
      <c r="AH441" s="46"/>
      <c r="AI441" s="46"/>
      <c r="AJ441" s="46"/>
      <c r="AK441" s="46"/>
      <c r="AL441" s="47"/>
      <c r="AM441" s="47"/>
      <c r="AN441" s="47"/>
      <c r="AO441" s="47"/>
      <c r="AP441" s="47"/>
      <c r="AQ441" s="48"/>
      <c r="AR441" s="49"/>
      <c r="AS441" s="49"/>
      <c r="AT441" s="49"/>
      <c r="AU441" s="1"/>
      <c r="AV441" s="1"/>
      <c r="AW441" s="1"/>
      <c r="AX441" s="1"/>
      <c r="AY441" s="1"/>
      <c r="AZ441" s="1"/>
      <c r="BA441" s="1"/>
      <c r="BB441" s="1"/>
      <c r="BC441" s="1"/>
      <c r="BD441" s="1"/>
      <c r="BE441" s="1"/>
      <c r="BF441" s="1"/>
      <c r="BG441" s="1"/>
      <c r="BH441" s="1"/>
      <c r="BI441" s="1"/>
      <c r="BJ441" s="1"/>
      <c r="BK441" s="1"/>
      <c r="BL441" s="1"/>
      <c r="BM441" s="1"/>
      <c r="BN441" s="1"/>
    </row>
    <row r="442" spans="1:66" ht="15.75" customHeight="1" x14ac:dyDescent="0.25">
      <c r="A442" s="43"/>
      <c r="B442" s="50"/>
      <c r="C442" s="51"/>
      <c r="D442" s="43"/>
      <c r="E442" s="43"/>
      <c r="F442" s="43"/>
      <c r="G442" s="44"/>
      <c r="H442" s="23"/>
      <c r="I442" s="43"/>
      <c r="J442" s="43"/>
      <c r="K442" s="45"/>
      <c r="L442" s="46"/>
      <c r="M442" s="46"/>
      <c r="N442" s="46"/>
      <c r="O442" s="46"/>
      <c r="P442" s="46"/>
      <c r="Q442" s="46"/>
      <c r="R442" s="46"/>
      <c r="S442" s="46"/>
      <c r="T442" s="46"/>
      <c r="U442" s="46"/>
      <c r="V442" s="46"/>
      <c r="W442" s="46"/>
      <c r="X442" s="46"/>
      <c r="Y442" s="46"/>
      <c r="Z442" s="46"/>
      <c r="AA442" s="46"/>
      <c r="AB442" s="46"/>
      <c r="AC442" s="46"/>
      <c r="AD442" s="46"/>
      <c r="AE442" s="46"/>
      <c r="AF442" s="46"/>
      <c r="AG442" s="46"/>
      <c r="AH442" s="46"/>
      <c r="AI442" s="46"/>
      <c r="AJ442" s="46"/>
      <c r="AK442" s="46"/>
      <c r="AL442" s="47"/>
      <c r="AM442" s="47"/>
      <c r="AN442" s="47"/>
      <c r="AO442" s="47"/>
      <c r="AP442" s="47"/>
      <c r="AQ442" s="48"/>
      <c r="AR442" s="49"/>
      <c r="AS442" s="49"/>
      <c r="AT442" s="49"/>
      <c r="AU442" s="1"/>
      <c r="AV442" s="1"/>
      <c r="AW442" s="1"/>
      <c r="AX442" s="1"/>
      <c r="AY442" s="1"/>
      <c r="AZ442" s="1"/>
      <c r="BA442" s="1"/>
      <c r="BB442" s="1"/>
      <c r="BC442" s="1"/>
      <c r="BD442" s="1"/>
      <c r="BE442" s="1"/>
      <c r="BF442" s="1"/>
      <c r="BG442" s="1"/>
      <c r="BH442" s="1"/>
      <c r="BI442" s="1"/>
      <c r="BJ442" s="1"/>
      <c r="BK442" s="1"/>
      <c r="BL442" s="1"/>
      <c r="BM442" s="1"/>
      <c r="BN442" s="1"/>
    </row>
    <row r="443" spans="1:66" ht="15.75" customHeight="1" x14ac:dyDescent="0.25">
      <c r="A443" s="43"/>
      <c r="B443" s="50"/>
      <c r="C443" s="51"/>
      <c r="D443" s="43"/>
      <c r="E443" s="43"/>
      <c r="F443" s="43"/>
      <c r="G443" s="44"/>
      <c r="H443" s="23"/>
      <c r="I443" s="43"/>
      <c r="J443" s="43"/>
      <c r="K443" s="45"/>
      <c r="L443" s="46"/>
      <c r="M443" s="46"/>
      <c r="N443" s="46"/>
      <c r="O443" s="46"/>
      <c r="P443" s="46"/>
      <c r="Q443" s="46"/>
      <c r="R443" s="46"/>
      <c r="S443" s="46"/>
      <c r="T443" s="46"/>
      <c r="U443" s="46"/>
      <c r="V443" s="46"/>
      <c r="W443" s="46"/>
      <c r="X443" s="46"/>
      <c r="Y443" s="46"/>
      <c r="Z443" s="46"/>
      <c r="AA443" s="46"/>
      <c r="AB443" s="46"/>
      <c r="AC443" s="46"/>
      <c r="AD443" s="46"/>
      <c r="AE443" s="46"/>
      <c r="AF443" s="46"/>
      <c r="AG443" s="46"/>
      <c r="AH443" s="46"/>
      <c r="AI443" s="46"/>
      <c r="AJ443" s="46"/>
      <c r="AK443" s="46"/>
      <c r="AL443" s="47"/>
      <c r="AM443" s="47"/>
      <c r="AN443" s="47"/>
      <c r="AO443" s="47"/>
      <c r="AP443" s="47"/>
      <c r="AQ443" s="48"/>
      <c r="AR443" s="49"/>
      <c r="AS443" s="49"/>
      <c r="AT443" s="49"/>
      <c r="AU443" s="1"/>
      <c r="AV443" s="1"/>
      <c r="AW443" s="1"/>
      <c r="AX443" s="1"/>
      <c r="AY443" s="1"/>
      <c r="AZ443" s="1"/>
      <c r="BA443" s="1"/>
      <c r="BB443" s="1"/>
      <c r="BC443" s="1"/>
      <c r="BD443" s="1"/>
      <c r="BE443" s="1"/>
      <c r="BF443" s="1"/>
      <c r="BG443" s="1"/>
      <c r="BH443" s="1"/>
      <c r="BI443" s="1"/>
      <c r="BJ443" s="1"/>
      <c r="BK443" s="1"/>
      <c r="BL443" s="1"/>
      <c r="BM443" s="1"/>
      <c r="BN443" s="1"/>
    </row>
    <row r="444" spans="1:66" ht="15.75" customHeight="1" x14ac:dyDescent="0.25">
      <c r="A444" s="43"/>
      <c r="B444" s="50"/>
      <c r="C444" s="51"/>
      <c r="D444" s="43"/>
      <c r="E444" s="43"/>
      <c r="F444" s="43"/>
      <c r="G444" s="44"/>
      <c r="H444" s="23"/>
      <c r="I444" s="43"/>
      <c r="J444" s="43"/>
      <c r="K444" s="45"/>
      <c r="L444" s="46"/>
      <c r="M444" s="46"/>
      <c r="N444" s="46"/>
      <c r="O444" s="46"/>
      <c r="P444" s="46"/>
      <c r="Q444" s="46"/>
      <c r="R444" s="46"/>
      <c r="S444" s="46"/>
      <c r="T444" s="46"/>
      <c r="U444" s="46"/>
      <c r="V444" s="46"/>
      <c r="W444" s="46"/>
      <c r="X444" s="46"/>
      <c r="Y444" s="46"/>
      <c r="Z444" s="46"/>
      <c r="AA444" s="46"/>
      <c r="AB444" s="46"/>
      <c r="AC444" s="46"/>
      <c r="AD444" s="46"/>
      <c r="AE444" s="46"/>
      <c r="AF444" s="46"/>
      <c r="AG444" s="46"/>
      <c r="AH444" s="46"/>
      <c r="AI444" s="46"/>
      <c r="AJ444" s="46"/>
      <c r="AK444" s="46"/>
      <c r="AL444" s="47"/>
      <c r="AM444" s="47"/>
      <c r="AN444" s="47"/>
      <c r="AO444" s="47"/>
      <c r="AP444" s="47"/>
      <c r="AQ444" s="48"/>
      <c r="AR444" s="49"/>
      <c r="AS444" s="49"/>
      <c r="AT444" s="49"/>
      <c r="AU444" s="1"/>
      <c r="AV444" s="1"/>
      <c r="AW444" s="1"/>
      <c r="AX444" s="1"/>
      <c r="AY444" s="1"/>
      <c r="AZ444" s="1"/>
      <c r="BA444" s="1"/>
      <c r="BB444" s="1"/>
      <c r="BC444" s="1"/>
      <c r="BD444" s="1"/>
      <c r="BE444" s="1"/>
      <c r="BF444" s="1"/>
      <c r="BG444" s="1"/>
      <c r="BH444" s="1"/>
      <c r="BI444" s="1"/>
      <c r="BJ444" s="1"/>
      <c r="BK444" s="1"/>
      <c r="BL444" s="1"/>
      <c r="BM444" s="1"/>
      <c r="BN444" s="1"/>
    </row>
    <row r="445" spans="1:66" ht="15.75" customHeight="1" x14ac:dyDescent="0.25">
      <c r="A445" s="43"/>
      <c r="B445" s="50"/>
      <c r="C445" s="51"/>
      <c r="D445" s="43"/>
      <c r="E445" s="43"/>
      <c r="F445" s="43"/>
      <c r="G445" s="44"/>
      <c r="H445" s="23"/>
      <c r="I445" s="43"/>
      <c r="J445" s="43"/>
      <c r="K445" s="45"/>
      <c r="L445" s="46"/>
      <c r="M445" s="46"/>
      <c r="N445" s="46"/>
      <c r="O445" s="46"/>
      <c r="P445" s="46"/>
      <c r="Q445" s="46"/>
      <c r="R445" s="46"/>
      <c r="S445" s="46"/>
      <c r="T445" s="46"/>
      <c r="U445" s="46"/>
      <c r="V445" s="46"/>
      <c r="W445" s="46"/>
      <c r="X445" s="46"/>
      <c r="Y445" s="46"/>
      <c r="Z445" s="46"/>
      <c r="AA445" s="46"/>
      <c r="AB445" s="46"/>
      <c r="AC445" s="46"/>
      <c r="AD445" s="46"/>
      <c r="AE445" s="46"/>
      <c r="AF445" s="46"/>
      <c r="AG445" s="46"/>
      <c r="AH445" s="46"/>
      <c r="AI445" s="46"/>
      <c r="AJ445" s="46"/>
      <c r="AK445" s="46"/>
      <c r="AL445" s="47"/>
      <c r="AM445" s="47"/>
      <c r="AN445" s="47"/>
      <c r="AO445" s="47"/>
      <c r="AP445" s="47"/>
      <c r="AQ445" s="48"/>
      <c r="AR445" s="49"/>
      <c r="AS445" s="49"/>
      <c r="AT445" s="49"/>
      <c r="AU445" s="1"/>
      <c r="AV445" s="1"/>
      <c r="AW445" s="1"/>
      <c r="AX445" s="1"/>
      <c r="AY445" s="1"/>
      <c r="AZ445" s="1"/>
      <c r="BA445" s="1"/>
      <c r="BB445" s="1"/>
      <c r="BC445" s="1"/>
      <c r="BD445" s="1"/>
      <c r="BE445" s="1"/>
      <c r="BF445" s="1"/>
      <c r="BG445" s="1"/>
      <c r="BH445" s="1"/>
      <c r="BI445" s="1"/>
      <c r="BJ445" s="1"/>
      <c r="BK445" s="1"/>
      <c r="BL445" s="1"/>
      <c r="BM445" s="1"/>
      <c r="BN445" s="1"/>
    </row>
    <row r="446" spans="1:66" ht="15.75" customHeight="1" x14ac:dyDescent="0.25">
      <c r="A446" s="43"/>
      <c r="B446" s="50"/>
      <c r="C446" s="51"/>
      <c r="D446" s="43"/>
      <c r="E446" s="43"/>
      <c r="F446" s="43"/>
      <c r="G446" s="44"/>
      <c r="H446" s="23"/>
      <c r="I446" s="43"/>
      <c r="J446" s="43"/>
      <c r="K446" s="45"/>
      <c r="L446" s="46"/>
      <c r="M446" s="46"/>
      <c r="N446" s="46"/>
      <c r="O446" s="46"/>
      <c r="P446" s="46"/>
      <c r="Q446" s="46"/>
      <c r="R446" s="46"/>
      <c r="S446" s="46"/>
      <c r="T446" s="46"/>
      <c r="U446" s="46"/>
      <c r="V446" s="46"/>
      <c r="W446" s="46"/>
      <c r="X446" s="46"/>
      <c r="Y446" s="46"/>
      <c r="Z446" s="46"/>
      <c r="AA446" s="46"/>
      <c r="AB446" s="46"/>
      <c r="AC446" s="46"/>
      <c r="AD446" s="46"/>
      <c r="AE446" s="46"/>
      <c r="AF446" s="46"/>
      <c r="AG446" s="46"/>
      <c r="AH446" s="46"/>
      <c r="AI446" s="46"/>
      <c r="AJ446" s="46"/>
      <c r="AK446" s="46"/>
      <c r="AL446" s="47"/>
      <c r="AM446" s="47"/>
      <c r="AN446" s="47"/>
      <c r="AO446" s="47"/>
      <c r="AP446" s="47"/>
      <c r="AQ446" s="48"/>
      <c r="AR446" s="49"/>
      <c r="AS446" s="49"/>
      <c r="AT446" s="49"/>
      <c r="AU446" s="1"/>
      <c r="AV446" s="1"/>
      <c r="AW446" s="1"/>
      <c r="AX446" s="1"/>
      <c r="AY446" s="1"/>
      <c r="AZ446" s="1"/>
      <c r="BA446" s="1"/>
      <c r="BB446" s="1"/>
      <c r="BC446" s="1"/>
      <c r="BD446" s="1"/>
      <c r="BE446" s="1"/>
      <c r="BF446" s="1"/>
      <c r="BG446" s="1"/>
      <c r="BH446" s="1"/>
      <c r="BI446" s="1"/>
      <c r="BJ446" s="1"/>
      <c r="BK446" s="1"/>
      <c r="BL446" s="1"/>
      <c r="BM446" s="1"/>
      <c r="BN446" s="1"/>
    </row>
    <row r="447" spans="1:66" ht="15.75" customHeight="1" x14ac:dyDescent="0.25">
      <c r="A447" s="43"/>
      <c r="B447" s="50"/>
      <c r="C447" s="51"/>
      <c r="D447" s="43"/>
      <c r="E447" s="43"/>
      <c r="F447" s="43"/>
      <c r="G447" s="44"/>
      <c r="H447" s="23"/>
      <c r="I447" s="43"/>
      <c r="J447" s="43"/>
      <c r="K447" s="45"/>
      <c r="L447" s="46"/>
      <c r="M447" s="46"/>
      <c r="N447" s="46"/>
      <c r="O447" s="46"/>
      <c r="P447" s="46"/>
      <c r="Q447" s="46"/>
      <c r="R447" s="46"/>
      <c r="S447" s="46"/>
      <c r="T447" s="46"/>
      <c r="U447" s="46"/>
      <c r="V447" s="46"/>
      <c r="W447" s="46"/>
      <c r="X447" s="46"/>
      <c r="Y447" s="46"/>
      <c r="Z447" s="46"/>
      <c r="AA447" s="46"/>
      <c r="AB447" s="46"/>
      <c r="AC447" s="46"/>
      <c r="AD447" s="46"/>
      <c r="AE447" s="46"/>
      <c r="AF447" s="46"/>
      <c r="AG447" s="46"/>
      <c r="AH447" s="46"/>
      <c r="AI447" s="46"/>
      <c r="AJ447" s="46"/>
      <c r="AK447" s="46"/>
      <c r="AL447" s="47"/>
      <c r="AM447" s="47"/>
      <c r="AN447" s="47"/>
      <c r="AO447" s="47"/>
      <c r="AP447" s="47"/>
      <c r="AQ447" s="48"/>
      <c r="AR447" s="49"/>
      <c r="AS447" s="49"/>
      <c r="AT447" s="49"/>
      <c r="AU447" s="1"/>
      <c r="AV447" s="1"/>
      <c r="AW447" s="1"/>
      <c r="AX447" s="1"/>
      <c r="AY447" s="1"/>
      <c r="AZ447" s="1"/>
      <c r="BA447" s="1"/>
      <c r="BB447" s="1"/>
      <c r="BC447" s="1"/>
      <c r="BD447" s="1"/>
      <c r="BE447" s="1"/>
      <c r="BF447" s="1"/>
      <c r="BG447" s="1"/>
      <c r="BH447" s="1"/>
      <c r="BI447" s="1"/>
      <c r="BJ447" s="1"/>
      <c r="BK447" s="1"/>
      <c r="BL447" s="1"/>
      <c r="BM447" s="1"/>
      <c r="BN447" s="1"/>
    </row>
    <row r="448" spans="1:66" ht="15.75" customHeight="1" x14ac:dyDescent="0.25">
      <c r="A448" s="43"/>
      <c r="B448" s="50"/>
      <c r="C448" s="51"/>
      <c r="D448" s="43"/>
      <c r="E448" s="43"/>
      <c r="F448" s="43"/>
      <c r="G448" s="44"/>
      <c r="H448" s="23"/>
      <c r="I448" s="43"/>
      <c r="J448" s="43"/>
      <c r="K448" s="45"/>
      <c r="L448" s="46"/>
      <c r="M448" s="46"/>
      <c r="N448" s="46"/>
      <c r="O448" s="46"/>
      <c r="P448" s="46"/>
      <c r="Q448" s="46"/>
      <c r="R448" s="46"/>
      <c r="S448" s="46"/>
      <c r="T448" s="46"/>
      <c r="U448" s="46"/>
      <c r="V448" s="46"/>
      <c r="W448" s="46"/>
      <c r="X448" s="46"/>
      <c r="Y448" s="46"/>
      <c r="Z448" s="46"/>
      <c r="AA448" s="46"/>
      <c r="AB448" s="46"/>
      <c r="AC448" s="46"/>
      <c r="AD448" s="46"/>
      <c r="AE448" s="46"/>
      <c r="AF448" s="46"/>
      <c r="AG448" s="46"/>
      <c r="AH448" s="46"/>
      <c r="AI448" s="46"/>
      <c r="AJ448" s="46"/>
      <c r="AK448" s="46"/>
      <c r="AL448" s="47"/>
      <c r="AM448" s="47"/>
      <c r="AN448" s="47"/>
      <c r="AO448" s="47"/>
      <c r="AP448" s="47"/>
      <c r="AQ448" s="48"/>
      <c r="AR448" s="49"/>
      <c r="AS448" s="49"/>
      <c r="AT448" s="49"/>
      <c r="AU448" s="1"/>
      <c r="AV448" s="1"/>
      <c r="AW448" s="1"/>
      <c r="AX448" s="1"/>
      <c r="AY448" s="1"/>
      <c r="AZ448" s="1"/>
      <c r="BA448" s="1"/>
      <c r="BB448" s="1"/>
      <c r="BC448" s="1"/>
      <c r="BD448" s="1"/>
      <c r="BE448" s="1"/>
      <c r="BF448" s="1"/>
      <c r="BG448" s="1"/>
      <c r="BH448" s="1"/>
      <c r="BI448" s="1"/>
      <c r="BJ448" s="1"/>
      <c r="BK448" s="1"/>
      <c r="BL448" s="1"/>
      <c r="BM448" s="1"/>
      <c r="BN448" s="1"/>
    </row>
    <row r="449" spans="1:66" ht="15.75" customHeight="1" x14ac:dyDescent="0.25">
      <c r="A449" s="43"/>
      <c r="B449" s="50"/>
      <c r="C449" s="51"/>
      <c r="D449" s="43"/>
      <c r="E449" s="43"/>
      <c r="F449" s="43"/>
      <c r="G449" s="44"/>
      <c r="H449" s="23"/>
      <c r="I449" s="43"/>
      <c r="J449" s="43"/>
      <c r="K449" s="45"/>
      <c r="L449" s="46"/>
      <c r="M449" s="46"/>
      <c r="N449" s="46"/>
      <c r="O449" s="46"/>
      <c r="P449" s="46"/>
      <c r="Q449" s="46"/>
      <c r="R449" s="46"/>
      <c r="S449" s="46"/>
      <c r="T449" s="46"/>
      <c r="U449" s="46"/>
      <c r="V449" s="46"/>
      <c r="W449" s="46"/>
      <c r="X449" s="46"/>
      <c r="Y449" s="46"/>
      <c r="Z449" s="46"/>
      <c r="AA449" s="46"/>
      <c r="AB449" s="46"/>
      <c r="AC449" s="46"/>
      <c r="AD449" s="46"/>
      <c r="AE449" s="46"/>
      <c r="AF449" s="46"/>
      <c r="AG449" s="46"/>
      <c r="AH449" s="46"/>
      <c r="AI449" s="46"/>
      <c r="AJ449" s="46"/>
      <c r="AK449" s="46"/>
      <c r="AL449" s="47"/>
      <c r="AM449" s="47"/>
      <c r="AN449" s="47"/>
      <c r="AO449" s="47"/>
      <c r="AP449" s="47"/>
      <c r="AQ449" s="48"/>
      <c r="AR449" s="49"/>
      <c r="AS449" s="49"/>
      <c r="AT449" s="49"/>
      <c r="AU449" s="1"/>
      <c r="AV449" s="1"/>
      <c r="AW449" s="1"/>
      <c r="AX449" s="1"/>
      <c r="AY449" s="1"/>
      <c r="AZ449" s="1"/>
      <c r="BA449" s="1"/>
      <c r="BB449" s="1"/>
      <c r="BC449" s="1"/>
      <c r="BD449" s="1"/>
      <c r="BE449" s="1"/>
      <c r="BF449" s="1"/>
      <c r="BG449" s="1"/>
      <c r="BH449" s="1"/>
      <c r="BI449" s="1"/>
      <c r="BJ449" s="1"/>
      <c r="BK449" s="1"/>
      <c r="BL449" s="1"/>
      <c r="BM449" s="1"/>
      <c r="BN449" s="1"/>
    </row>
    <row r="450" spans="1:66" ht="15.75" customHeight="1" x14ac:dyDescent="0.25">
      <c r="A450" s="43"/>
      <c r="B450" s="50"/>
      <c r="C450" s="51"/>
      <c r="D450" s="43"/>
      <c r="E450" s="43"/>
      <c r="F450" s="43"/>
      <c r="G450" s="44"/>
      <c r="H450" s="23"/>
      <c r="I450" s="43"/>
      <c r="J450" s="43"/>
      <c r="K450" s="45"/>
      <c r="L450" s="46"/>
      <c r="M450" s="46"/>
      <c r="N450" s="46"/>
      <c r="O450" s="46"/>
      <c r="P450" s="46"/>
      <c r="Q450" s="46"/>
      <c r="R450" s="46"/>
      <c r="S450" s="46"/>
      <c r="T450" s="46"/>
      <c r="U450" s="46"/>
      <c r="V450" s="46"/>
      <c r="W450" s="46"/>
      <c r="X450" s="46"/>
      <c r="Y450" s="46"/>
      <c r="Z450" s="46"/>
      <c r="AA450" s="46"/>
      <c r="AB450" s="46"/>
      <c r="AC450" s="46"/>
      <c r="AD450" s="46"/>
      <c r="AE450" s="46"/>
      <c r="AF450" s="46"/>
      <c r="AG450" s="46"/>
      <c r="AH450" s="46"/>
      <c r="AI450" s="46"/>
      <c r="AJ450" s="46"/>
      <c r="AK450" s="46"/>
      <c r="AL450" s="47"/>
      <c r="AM450" s="47"/>
      <c r="AN450" s="47"/>
      <c r="AO450" s="47"/>
      <c r="AP450" s="47"/>
      <c r="AQ450" s="48"/>
      <c r="AR450" s="49"/>
      <c r="AS450" s="49"/>
      <c r="AT450" s="49"/>
      <c r="AU450" s="1"/>
      <c r="AV450" s="1"/>
      <c r="AW450" s="1"/>
      <c r="AX450" s="1"/>
      <c r="AY450" s="1"/>
      <c r="AZ450" s="1"/>
      <c r="BA450" s="1"/>
      <c r="BB450" s="1"/>
      <c r="BC450" s="1"/>
      <c r="BD450" s="1"/>
      <c r="BE450" s="1"/>
      <c r="BF450" s="1"/>
      <c r="BG450" s="1"/>
      <c r="BH450" s="1"/>
      <c r="BI450" s="1"/>
      <c r="BJ450" s="1"/>
      <c r="BK450" s="1"/>
      <c r="BL450" s="1"/>
      <c r="BM450" s="1"/>
      <c r="BN450" s="1"/>
    </row>
    <row r="451" spans="1:66" ht="15.75" customHeight="1" x14ac:dyDescent="0.25">
      <c r="A451" s="43"/>
      <c r="B451" s="50"/>
      <c r="C451" s="51"/>
      <c r="D451" s="43"/>
      <c r="E451" s="43"/>
      <c r="F451" s="43"/>
      <c r="G451" s="44"/>
      <c r="H451" s="23"/>
      <c r="I451" s="43"/>
      <c r="J451" s="43"/>
      <c r="K451" s="45"/>
      <c r="L451" s="46"/>
      <c r="M451" s="46"/>
      <c r="N451" s="46"/>
      <c r="O451" s="46"/>
      <c r="P451" s="46"/>
      <c r="Q451" s="46"/>
      <c r="R451" s="46"/>
      <c r="S451" s="46"/>
      <c r="T451" s="46"/>
      <c r="U451" s="46"/>
      <c r="V451" s="46"/>
      <c r="W451" s="46"/>
      <c r="X451" s="46"/>
      <c r="Y451" s="46"/>
      <c r="Z451" s="46"/>
      <c r="AA451" s="46"/>
      <c r="AB451" s="46"/>
      <c r="AC451" s="46"/>
      <c r="AD451" s="46"/>
      <c r="AE451" s="46"/>
      <c r="AF451" s="46"/>
      <c r="AG451" s="46"/>
      <c r="AH451" s="46"/>
      <c r="AI451" s="46"/>
      <c r="AJ451" s="46"/>
      <c r="AK451" s="46"/>
      <c r="AL451" s="47"/>
      <c r="AM451" s="47"/>
      <c r="AN451" s="47"/>
      <c r="AO451" s="47"/>
      <c r="AP451" s="47"/>
      <c r="AQ451" s="48"/>
      <c r="AR451" s="49"/>
      <c r="AS451" s="49"/>
      <c r="AT451" s="49"/>
      <c r="AU451" s="1"/>
      <c r="AV451" s="1"/>
      <c r="AW451" s="1"/>
      <c r="AX451" s="1"/>
      <c r="AY451" s="1"/>
      <c r="AZ451" s="1"/>
      <c r="BA451" s="1"/>
      <c r="BB451" s="1"/>
      <c r="BC451" s="1"/>
      <c r="BD451" s="1"/>
      <c r="BE451" s="1"/>
      <c r="BF451" s="1"/>
      <c r="BG451" s="1"/>
      <c r="BH451" s="1"/>
      <c r="BI451" s="1"/>
      <c r="BJ451" s="1"/>
      <c r="BK451" s="1"/>
      <c r="BL451" s="1"/>
      <c r="BM451" s="1"/>
      <c r="BN451" s="1"/>
    </row>
    <row r="452" spans="1:66" ht="15.75" customHeight="1" x14ac:dyDescent="0.25">
      <c r="A452" s="43"/>
      <c r="B452" s="50"/>
      <c r="C452" s="51"/>
      <c r="D452" s="43"/>
      <c r="E452" s="43"/>
      <c r="F452" s="43"/>
      <c r="G452" s="44"/>
      <c r="H452" s="23"/>
      <c r="I452" s="43"/>
      <c r="J452" s="43"/>
      <c r="K452" s="45"/>
      <c r="L452" s="46"/>
      <c r="M452" s="46"/>
      <c r="N452" s="46"/>
      <c r="O452" s="46"/>
      <c r="P452" s="46"/>
      <c r="Q452" s="46"/>
      <c r="R452" s="46"/>
      <c r="S452" s="46"/>
      <c r="T452" s="46"/>
      <c r="U452" s="46"/>
      <c r="V452" s="46"/>
      <c r="W452" s="46"/>
      <c r="X452" s="46"/>
      <c r="Y452" s="46"/>
      <c r="Z452" s="46"/>
      <c r="AA452" s="46"/>
      <c r="AB452" s="46"/>
      <c r="AC452" s="46"/>
      <c r="AD452" s="46"/>
      <c r="AE452" s="46"/>
      <c r="AF452" s="46"/>
      <c r="AG452" s="46"/>
      <c r="AH452" s="46"/>
      <c r="AI452" s="46"/>
      <c r="AJ452" s="46"/>
      <c r="AK452" s="46"/>
      <c r="AL452" s="47"/>
      <c r="AM452" s="47"/>
      <c r="AN452" s="47"/>
      <c r="AO452" s="47"/>
      <c r="AP452" s="47"/>
      <c r="AQ452" s="48"/>
      <c r="AR452" s="49"/>
      <c r="AS452" s="49"/>
      <c r="AT452" s="49"/>
      <c r="AU452" s="1"/>
      <c r="AV452" s="1"/>
      <c r="AW452" s="1"/>
      <c r="AX452" s="1"/>
      <c r="AY452" s="1"/>
      <c r="AZ452" s="1"/>
      <c r="BA452" s="1"/>
      <c r="BB452" s="1"/>
      <c r="BC452" s="1"/>
      <c r="BD452" s="1"/>
      <c r="BE452" s="1"/>
      <c r="BF452" s="1"/>
      <c r="BG452" s="1"/>
      <c r="BH452" s="1"/>
      <c r="BI452" s="1"/>
      <c r="BJ452" s="1"/>
      <c r="BK452" s="1"/>
      <c r="BL452" s="1"/>
      <c r="BM452" s="1"/>
      <c r="BN452" s="1"/>
    </row>
    <row r="453" spans="1:66" ht="15.75" customHeight="1" x14ac:dyDescent="0.25">
      <c r="A453" s="43"/>
      <c r="B453" s="50"/>
      <c r="C453" s="51"/>
      <c r="D453" s="43"/>
      <c r="E453" s="43"/>
      <c r="F453" s="43"/>
      <c r="G453" s="44"/>
      <c r="H453" s="23"/>
      <c r="I453" s="43"/>
      <c r="J453" s="43"/>
      <c r="K453" s="45"/>
      <c r="L453" s="46"/>
      <c r="M453" s="46"/>
      <c r="N453" s="46"/>
      <c r="O453" s="46"/>
      <c r="P453" s="46"/>
      <c r="Q453" s="46"/>
      <c r="R453" s="46"/>
      <c r="S453" s="46"/>
      <c r="T453" s="46"/>
      <c r="U453" s="46"/>
      <c r="V453" s="46"/>
      <c r="W453" s="46"/>
      <c r="X453" s="46"/>
      <c r="Y453" s="46"/>
      <c r="Z453" s="46"/>
      <c r="AA453" s="46"/>
      <c r="AB453" s="46"/>
      <c r="AC453" s="46"/>
      <c r="AD453" s="46"/>
      <c r="AE453" s="46"/>
      <c r="AF453" s="46"/>
      <c r="AG453" s="46"/>
      <c r="AH453" s="46"/>
      <c r="AI453" s="46"/>
      <c r="AJ453" s="46"/>
      <c r="AK453" s="46"/>
      <c r="AL453" s="47"/>
      <c r="AM453" s="47"/>
      <c r="AN453" s="47"/>
      <c r="AO453" s="47"/>
      <c r="AP453" s="47"/>
      <c r="AQ453" s="48"/>
      <c r="AR453" s="49"/>
      <c r="AS453" s="49"/>
      <c r="AT453" s="49"/>
      <c r="AU453" s="1"/>
      <c r="AV453" s="1"/>
      <c r="AW453" s="1"/>
      <c r="AX453" s="1"/>
      <c r="AY453" s="1"/>
      <c r="AZ453" s="1"/>
      <c r="BA453" s="1"/>
      <c r="BB453" s="1"/>
      <c r="BC453" s="1"/>
      <c r="BD453" s="1"/>
      <c r="BE453" s="1"/>
      <c r="BF453" s="1"/>
      <c r="BG453" s="1"/>
      <c r="BH453" s="1"/>
      <c r="BI453" s="1"/>
      <c r="BJ453" s="1"/>
      <c r="BK453" s="1"/>
      <c r="BL453" s="1"/>
      <c r="BM453" s="1"/>
      <c r="BN453" s="1"/>
    </row>
    <row r="454" spans="1:66" ht="15.75" customHeight="1" x14ac:dyDescent="0.25">
      <c r="A454" s="43"/>
      <c r="B454" s="50"/>
      <c r="C454" s="51"/>
      <c r="D454" s="43"/>
      <c r="E454" s="43"/>
      <c r="F454" s="43"/>
      <c r="G454" s="44"/>
      <c r="H454" s="23"/>
      <c r="I454" s="43"/>
      <c r="J454" s="43"/>
      <c r="K454" s="45"/>
      <c r="L454" s="46"/>
      <c r="M454" s="46"/>
      <c r="N454" s="46"/>
      <c r="O454" s="46"/>
      <c r="P454" s="46"/>
      <c r="Q454" s="46"/>
      <c r="R454" s="46"/>
      <c r="S454" s="46"/>
      <c r="T454" s="46"/>
      <c r="U454" s="46"/>
      <c r="V454" s="46"/>
      <c r="W454" s="46"/>
      <c r="X454" s="46"/>
      <c r="Y454" s="46"/>
      <c r="Z454" s="46"/>
      <c r="AA454" s="46"/>
      <c r="AB454" s="46"/>
      <c r="AC454" s="46"/>
      <c r="AD454" s="46"/>
      <c r="AE454" s="46"/>
      <c r="AF454" s="46"/>
      <c r="AG454" s="46"/>
      <c r="AH454" s="46"/>
      <c r="AI454" s="46"/>
      <c r="AJ454" s="46"/>
      <c r="AK454" s="46"/>
      <c r="AL454" s="47"/>
      <c r="AM454" s="47"/>
      <c r="AN454" s="47"/>
      <c r="AO454" s="47"/>
      <c r="AP454" s="47"/>
      <c r="AQ454" s="48"/>
      <c r="AR454" s="49"/>
      <c r="AS454" s="49"/>
      <c r="AT454" s="49"/>
      <c r="AU454" s="1"/>
      <c r="AV454" s="1"/>
      <c r="AW454" s="1"/>
      <c r="AX454" s="1"/>
      <c r="AY454" s="1"/>
      <c r="AZ454" s="1"/>
      <c r="BA454" s="1"/>
      <c r="BB454" s="1"/>
      <c r="BC454" s="1"/>
      <c r="BD454" s="1"/>
      <c r="BE454" s="1"/>
      <c r="BF454" s="1"/>
      <c r="BG454" s="1"/>
      <c r="BH454" s="1"/>
      <c r="BI454" s="1"/>
      <c r="BJ454" s="1"/>
      <c r="BK454" s="1"/>
      <c r="BL454" s="1"/>
      <c r="BM454" s="1"/>
      <c r="BN454" s="1"/>
    </row>
    <row r="455" spans="1:66" ht="15.75" customHeight="1" x14ac:dyDescent="0.25">
      <c r="A455" s="43"/>
      <c r="B455" s="50"/>
      <c r="C455" s="51"/>
      <c r="D455" s="43"/>
      <c r="E455" s="43"/>
      <c r="F455" s="43"/>
      <c r="G455" s="44"/>
      <c r="H455" s="23"/>
      <c r="I455" s="43"/>
      <c r="J455" s="43"/>
      <c r="K455" s="45"/>
      <c r="L455" s="46"/>
      <c r="M455" s="46"/>
      <c r="N455" s="46"/>
      <c r="O455" s="46"/>
      <c r="P455" s="46"/>
      <c r="Q455" s="46"/>
      <c r="R455" s="46"/>
      <c r="S455" s="46"/>
      <c r="T455" s="46"/>
      <c r="U455" s="46"/>
      <c r="V455" s="46"/>
      <c r="W455" s="46"/>
      <c r="X455" s="46"/>
      <c r="Y455" s="46"/>
      <c r="Z455" s="46"/>
      <c r="AA455" s="46"/>
      <c r="AB455" s="46"/>
      <c r="AC455" s="46"/>
      <c r="AD455" s="46"/>
      <c r="AE455" s="46"/>
      <c r="AF455" s="46"/>
      <c r="AG455" s="46"/>
      <c r="AH455" s="46"/>
      <c r="AI455" s="46"/>
      <c r="AJ455" s="46"/>
      <c r="AK455" s="46"/>
      <c r="AL455" s="47"/>
      <c r="AM455" s="47"/>
      <c r="AN455" s="47"/>
      <c r="AO455" s="47"/>
      <c r="AP455" s="47"/>
      <c r="AQ455" s="48"/>
      <c r="AR455" s="49"/>
      <c r="AS455" s="49"/>
      <c r="AT455" s="49"/>
      <c r="AU455" s="1"/>
      <c r="AV455" s="1"/>
      <c r="AW455" s="1"/>
      <c r="AX455" s="1"/>
      <c r="AY455" s="1"/>
      <c r="AZ455" s="1"/>
      <c r="BA455" s="1"/>
      <c r="BB455" s="1"/>
      <c r="BC455" s="1"/>
      <c r="BD455" s="1"/>
      <c r="BE455" s="1"/>
      <c r="BF455" s="1"/>
      <c r="BG455" s="1"/>
      <c r="BH455" s="1"/>
      <c r="BI455" s="1"/>
      <c r="BJ455" s="1"/>
      <c r="BK455" s="1"/>
      <c r="BL455" s="1"/>
      <c r="BM455" s="1"/>
      <c r="BN455" s="1"/>
    </row>
    <row r="456" spans="1:66" ht="15.75" customHeight="1" x14ac:dyDescent="0.25">
      <c r="A456" s="43"/>
      <c r="B456" s="50"/>
      <c r="C456" s="51"/>
      <c r="D456" s="43"/>
      <c r="E456" s="43"/>
      <c r="F456" s="43"/>
      <c r="G456" s="44"/>
      <c r="H456" s="23"/>
      <c r="I456" s="43"/>
      <c r="J456" s="43"/>
      <c r="K456" s="45"/>
      <c r="L456" s="46"/>
      <c r="M456" s="46"/>
      <c r="N456" s="46"/>
      <c r="O456" s="46"/>
      <c r="P456" s="46"/>
      <c r="Q456" s="46"/>
      <c r="R456" s="46"/>
      <c r="S456" s="46"/>
      <c r="T456" s="46"/>
      <c r="U456" s="46"/>
      <c r="V456" s="46"/>
      <c r="W456" s="46"/>
      <c r="X456" s="46"/>
      <c r="Y456" s="46"/>
      <c r="Z456" s="46"/>
      <c r="AA456" s="46"/>
      <c r="AB456" s="46"/>
      <c r="AC456" s="46"/>
      <c r="AD456" s="46"/>
      <c r="AE456" s="46"/>
      <c r="AF456" s="46"/>
      <c r="AG456" s="46"/>
      <c r="AH456" s="46"/>
      <c r="AI456" s="46"/>
      <c r="AJ456" s="46"/>
      <c r="AK456" s="46"/>
      <c r="AL456" s="47"/>
      <c r="AM456" s="47"/>
      <c r="AN456" s="47"/>
      <c r="AO456" s="47"/>
      <c r="AP456" s="47"/>
      <c r="AQ456" s="48"/>
      <c r="AR456" s="49"/>
      <c r="AS456" s="49"/>
      <c r="AT456" s="49"/>
      <c r="AU456" s="1"/>
      <c r="AV456" s="1"/>
      <c r="AW456" s="1"/>
      <c r="AX456" s="1"/>
      <c r="AY456" s="1"/>
      <c r="AZ456" s="1"/>
      <c r="BA456" s="1"/>
      <c r="BB456" s="1"/>
      <c r="BC456" s="1"/>
      <c r="BD456" s="1"/>
      <c r="BE456" s="1"/>
      <c r="BF456" s="1"/>
      <c r="BG456" s="1"/>
      <c r="BH456" s="1"/>
      <c r="BI456" s="1"/>
      <c r="BJ456" s="1"/>
      <c r="BK456" s="1"/>
      <c r="BL456" s="1"/>
      <c r="BM456" s="1"/>
      <c r="BN456" s="1"/>
    </row>
    <row r="457" spans="1:66" ht="15.75" customHeight="1" x14ac:dyDescent="0.25">
      <c r="A457" s="43"/>
      <c r="B457" s="50"/>
      <c r="C457" s="51"/>
      <c r="D457" s="43"/>
      <c r="E457" s="43"/>
      <c r="F457" s="43"/>
      <c r="G457" s="44"/>
      <c r="H457" s="23"/>
      <c r="I457" s="43"/>
      <c r="J457" s="43"/>
      <c r="K457" s="45"/>
      <c r="L457" s="46"/>
      <c r="M457" s="46"/>
      <c r="N457" s="46"/>
      <c r="O457" s="46"/>
      <c r="P457" s="46"/>
      <c r="Q457" s="46"/>
      <c r="R457" s="46"/>
      <c r="S457" s="46"/>
      <c r="T457" s="46"/>
      <c r="U457" s="46"/>
      <c r="V457" s="46"/>
      <c r="W457" s="46"/>
      <c r="X457" s="46"/>
      <c r="Y457" s="46"/>
      <c r="Z457" s="46"/>
      <c r="AA457" s="46"/>
      <c r="AB457" s="46"/>
      <c r="AC457" s="46"/>
      <c r="AD457" s="46"/>
      <c r="AE457" s="46"/>
      <c r="AF457" s="46"/>
      <c r="AG457" s="46"/>
      <c r="AH457" s="46"/>
      <c r="AI457" s="46"/>
      <c r="AJ457" s="46"/>
      <c r="AK457" s="46"/>
      <c r="AL457" s="47"/>
      <c r="AM457" s="47"/>
      <c r="AN457" s="47"/>
      <c r="AO457" s="47"/>
      <c r="AP457" s="47"/>
      <c r="AQ457" s="48"/>
      <c r="AR457" s="49"/>
      <c r="AS457" s="49"/>
      <c r="AT457" s="49"/>
      <c r="AU457" s="1"/>
      <c r="AV457" s="1"/>
      <c r="AW457" s="1"/>
      <c r="AX457" s="1"/>
      <c r="AY457" s="1"/>
      <c r="AZ457" s="1"/>
      <c r="BA457" s="1"/>
      <c r="BB457" s="1"/>
      <c r="BC457" s="1"/>
      <c r="BD457" s="1"/>
      <c r="BE457" s="1"/>
      <c r="BF457" s="1"/>
      <c r="BG457" s="1"/>
      <c r="BH457" s="1"/>
      <c r="BI457" s="1"/>
      <c r="BJ457" s="1"/>
      <c r="BK457" s="1"/>
      <c r="BL457" s="1"/>
      <c r="BM457" s="1"/>
      <c r="BN457" s="1"/>
    </row>
    <row r="458" spans="1:66" ht="15.75" customHeight="1" x14ac:dyDescent="0.25">
      <c r="A458" s="43"/>
      <c r="B458" s="50"/>
      <c r="C458" s="51"/>
      <c r="D458" s="43"/>
      <c r="E458" s="43"/>
      <c r="F458" s="43"/>
      <c r="G458" s="44"/>
      <c r="H458" s="23"/>
      <c r="I458" s="43"/>
      <c r="J458" s="43"/>
      <c r="K458" s="45"/>
      <c r="L458" s="46"/>
      <c r="M458" s="46"/>
      <c r="N458" s="46"/>
      <c r="O458" s="46"/>
      <c r="P458" s="46"/>
      <c r="Q458" s="46"/>
      <c r="R458" s="46"/>
      <c r="S458" s="46"/>
      <c r="T458" s="46"/>
      <c r="U458" s="46"/>
      <c r="V458" s="46"/>
      <c r="W458" s="46"/>
      <c r="X458" s="46"/>
      <c r="Y458" s="46"/>
      <c r="Z458" s="46"/>
      <c r="AA458" s="46"/>
      <c r="AB458" s="46"/>
      <c r="AC458" s="46"/>
      <c r="AD458" s="46"/>
      <c r="AE458" s="46"/>
      <c r="AF458" s="46"/>
      <c r="AG458" s="46"/>
      <c r="AH458" s="46"/>
      <c r="AI458" s="46"/>
      <c r="AJ458" s="46"/>
      <c r="AK458" s="46"/>
      <c r="AL458" s="47"/>
      <c r="AM458" s="47"/>
      <c r="AN458" s="47"/>
      <c r="AO458" s="47"/>
      <c r="AP458" s="47"/>
      <c r="AQ458" s="48"/>
      <c r="AR458" s="49"/>
      <c r="AS458" s="49"/>
      <c r="AT458" s="49"/>
      <c r="AU458" s="1"/>
      <c r="AV458" s="1"/>
      <c r="AW458" s="1"/>
      <c r="AX458" s="1"/>
      <c r="AY458" s="1"/>
      <c r="AZ458" s="1"/>
      <c r="BA458" s="1"/>
      <c r="BB458" s="1"/>
      <c r="BC458" s="1"/>
      <c r="BD458" s="1"/>
      <c r="BE458" s="1"/>
      <c r="BF458" s="1"/>
      <c r="BG458" s="1"/>
      <c r="BH458" s="1"/>
      <c r="BI458" s="1"/>
      <c r="BJ458" s="1"/>
      <c r="BK458" s="1"/>
      <c r="BL458" s="1"/>
      <c r="BM458" s="1"/>
      <c r="BN458" s="1"/>
    </row>
    <row r="459" spans="1:66" ht="15.75" customHeight="1" x14ac:dyDescent="0.25">
      <c r="A459" s="43"/>
      <c r="B459" s="50"/>
      <c r="C459" s="51"/>
      <c r="D459" s="43"/>
      <c r="E459" s="43"/>
      <c r="F459" s="43"/>
      <c r="G459" s="44"/>
      <c r="H459" s="23"/>
      <c r="I459" s="43"/>
      <c r="J459" s="43"/>
      <c r="K459" s="45"/>
      <c r="L459" s="46"/>
      <c r="M459" s="46"/>
      <c r="N459" s="46"/>
      <c r="O459" s="46"/>
      <c r="P459" s="46"/>
      <c r="Q459" s="46"/>
      <c r="R459" s="46"/>
      <c r="S459" s="46"/>
      <c r="T459" s="46"/>
      <c r="U459" s="46"/>
      <c r="V459" s="46"/>
      <c r="W459" s="46"/>
      <c r="X459" s="46"/>
      <c r="Y459" s="46"/>
      <c r="Z459" s="46"/>
      <c r="AA459" s="46"/>
      <c r="AB459" s="46"/>
      <c r="AC459" s="46"/>
      <c r="AD459" s="46"/>
      <c r="AE459" s="46"/>
      <c r="AF459" s="46"/>
      <c r="AG459" s="46"/>
      <c r="AH459" s="46"/>
      <c r="AI459" s="46"/>
      <c r="AJ459" s="46"/>
      <c r="AK459" s="46"/>
      <c r="AL459" s="47"/>
      <c r="AM459" s="47"/>
      <c r="AN459" s="47"/>
      <c r="AO459" s="47"/>
      <c r="AP459" s="47"/>
      <c r="AQ459" s="48"/>
      <c r="AR459" s="49"/>
      <c r="AS459" s="49"/>
      <c r="AT459" s="49"/>
      <c r="AU459" s="1"/>
      <c r="AV459" s="1"/>
      <c r="AW459" s="1"/>
      <c r="AX459" s="1"/>
      <c r="AY459" s="1"/>
      <c r="AZ459" s="1"/>
      <c r="BA459" s="1"/>
      <c r="BB459" s="1"/>
      <c r="BC459" s="1"/>
      <c r="BD459" s="1"/>
      <c r="BE459" s="1"/>
      <c r="BF459" s="1"/>
      <c r="BG459" s="1"/>
      <c r="BH459" s="1"/>
      <c r="BI459" s="1"/>
      <c r="BJ459" s="1"/>
      <c r="BK459" s="1"/>
      <c r="BL459" s="1"/>
      <c r="BM459" s="1"/>
      <c r="BN459" s="1"/>
    </row>
    <row r="460" spans="1:66" ht="15.75" customHeight="1" x14ac:dyDescent="0.25">
      <c r="A460" s="43"/>
      <c r="B460" s="50"/>
      <c r="C460" s="51"/>
      <c r="D460" s="43"/>
      <c r="E460" s="43"/>
      <c r="F460" s="43"/>
      <c r="G460" s="44"/>
      <c r="H460" s="23"/>
      <c r="I460" s="43"/>
      <c r="J460" s="43"/>
      <c r="K460" s="45"/>
      <c r="L460" s="46"/>
      <c r="M460" s="46"/>
      <c r="N460" s="46"/>
      <c r="O460" s="46"/>
      <c r="P460" s="46"/>
      <c r="Q460" s="46"/>
      <c r="R460" s="46"/>
      <c r="S460" s="46"/>
      <c r="T460" s="46"/>
      <c r="U460" s="46"/>
      <c r="V460" s="46"/>
      <c r="W460" s="46"/>
      <c r="X460" s="46"/>
      <c r="Y460" s="46"/>
      <c r="Z460" s="46"/>
      <c r="AA460" s="46"/>
      <c r="AB460" s="46"/>
      <c r="AC460" s="46"/>
      <c r="AD460" s="46"/>
      <c r="AE460" s="46"/>
      <c r="AF460" s="46"/>
      <c r="AG460" s="46"/>
      <c r="AH460" s="46"/>
      <c r="AI460" s="46"/>
      <c r="AJ460" s="46"/>
      <c r="AK460" s="46"/>
      <c r="AL460" s="47"/>
      <c r="AM460" s="47"/>
      <c r="AN460" s="47"/>
      <c r="AO460" s="47"/>
      <c r="AP460" s="47"/>
      <c r="AQ460" s="48"/>
      <c r="AR460" s="49"/>
      <c r="AS460" s="49"/>
      <c r="AT460" s="49"/>
      <c r="AU460" s="1"/>
      <c r="AV460" s="1"/>
      <c r="AW460" s="1"/>
      <c r="AX460" s="1"/>
      <c r="AY460" s="1"/>
      <c r="AZ460" s="1"/>
      <c r="BA460" s="1"/>
      <c r="BB460" s="1"/>
      <c r="BC460" s="1"/>
      <c r="BD460" s="1"/>
      <c r="BE460" s="1"/>
      <c r="BF460" s="1"/>
      <c r="BG460" s="1"/>
      <c r="BH460" s="1"/>
      <c r="BI460" s="1"/>
      <c r="BJ460" s="1"/>
      <c r="BK460" s="1"/>
      <c r="BL460" s="1"/>
      <c r="BM460" s="1"/>
      <c r="BN460" s="1"/>
    </row>
    <row r="461" spans="1:66" ht="15.75" customHeight="1" x14ac:dyDescent="0.25">
      <c r="A461" s="43"/>
      <c r="B461" s="50"/>
      <c r="C461" s="51"/>
      <c r="D461" s="43"/>
      <c r="E461" s="43"/>
      <c r="F461" s="43"/>
      <c r="G461" s="44"/>
      <c r="H461" s="23"/>
      <c r="I461" s="43"/>
      <c r="J461" s="43"/>
      <c r="K461" s="45"/>
      <c r="L461" s="46"/>
      <c r="M461" s="46"/>
      <c r="N461" s="46"/>
      <c r="O461" s="46"/>
      <c r="P461" s="46"/>
      <c r="Q461" s="46"/>
      <c r="R461" s="46"/>
      <c r="S461" s="46"/>
      <c r="T461" s="46"/>
      <c r="U461" s="46"/>
      <c r="V461" s="46"/>
      <c r="W461" s="46"/>
      <c r="X461" s="46"/>
      <c r="Y461" s="46"/>
      <c r="Z461" s="46"/>
      <c r="AA461" s="46"/>
      <c r="AB461" s="46"/>
      <c r="AC461" s="46"/>
      <c r="AD461" s="46"/>
      <c r="AE461" s="46"/>
      <c r="AF461" s="46"/>
      <c r="AG461" s="46"/>
      <c r="AH461" s="46"/>
      <c r="AI461" s="46"/>
      <c r="AJ461" s="46"/>
      <c r="AK461" s="46"/>
      <c r="AL461" s="47"/>
      <c r="AM461" s="47"/>
      <c r="AN461" s="47"/>
      <c r="AO461" s="47"/>
      <c r="AP461" s="47"/>
      <c r="AQ461" s="48"/>
      <c r="AR461" s="49"/>
      <c r="AS461" s="49"/>
      <c r="AT461" s="49"/>
      <c r="AU461" s="1"/>
      <c r="AV461" s="1"/>
      <c r="AW461" s="1"/>
      <c r="AX461" s="1"/>
      <c r="AY461" s="1"/>
      <c r="AZ461" s="1"/>
      <c r="BA461" s="1"/>
      <c r="BB461" s="1"/>
      <c r="BC461" s="1"/>
      <c r="BD461" s="1"/>
      <c r="BE461" s="1"/>
      <c r="BF461" s="1"/>
      <c r="BG461" s="1"/>
      <c r="BH461" s="1"/>
      <c r="BI461" s="1"/>
      <c r="BJ461" s="1"/>
      <c r="BK461" s="1"/>
      <c r="BL461" s="1"/>
      <c r="BM461" s="1"/>
      <c r="BN461" s="1"/>
    </row>
    <row r="462" spans="1:66" ht="15.75" customHeight="1" x14ac:dyDescent="0.25">
      <c r="A462" s="43"/>
      <c r="B462" s="50"/>
      <c r="C462" s="51"/>
      <c r="D462" s="43"/>
      <c r="E462" s="43"/>
      <c r="F462" s="43"/>
      <c r="G462" s="44"/>
      <c r="H462" s="23"/>
      <c r="I462" s="43"/>
      <c r="J462" s="43"/>
      <c r="K462" s="45"/>
      <c r="L462" s="46"/>
      <c r="M462" s="46"/>
      <c r="N462" s="46"/>
      <c r="O462" s="46"/>
      <c r="P462" s="46"/>
      <c r="Q462" s="46"/>
      <c r="R462" s="46"/>
      <c r="S462" s="46"/>
      <c r="T462" s="46"/>
      <c r="U462" s="46"/>
      <c r="V462" s="46"/>
      <c r="W462" s="46"/>
      <c r="X462" s="46"/>
      <c r="Y462" s="46"/>
      <c r="Z462" s="46"/>
      <c r="AA462" s="46"/>
      <c r="AB462" s="46"/>
      <c r="AC462" s="46"/>
      <c r="AD462" s="46"/>
      <c r="AE462" s="46"/>
      <c r="AF462" s="46"/>
      <c r="AG462" s="46"/>
      <c r="AH462" s="46"/>
      <c r="AI462" s="46"/>
      <c r="AJ462" s="46"/>
      <c r="AK462" s="46"/>
      <c r="AL462" s="47"/>
      <c r="AM462" s="47"/>
      <c r="AN462" s="47"/>
      <c r="AO462" s="47"/>
      <c r="AP462" s="47"/>
      <c r="AQ462" s="48"/>
      <c r="AR462" s="49"/>
      <c r="AS462" s="49"/>
      <c r="AT462" s="49"/>
      <c r="AU462" s="1"/>
      <c r="AV462" s="1"/>
      <c r="AW462" s="1"/>
      <c r="AX462" s="1"/>
      <c r="AY462" s="1"/>
      <c r="AZ462" s="1"/>
      <c r="BA462" s="1"/>
      <c r="BB462" s="1"/>
      <c r="BC462" s="1"/>
      <c r="BD462" s="1"/>
      <c r="BE462" s="1"/>
      <c r="BF462" s="1"/>
      <c r="BG462" s="1"/>
      <c r="BH462" s="1"/>
      <c r="BI462" s="1"/>
      <c r="BJ462" s="1"/>
      <c r="BK462" s="1"/>
      <c r="BL462" s="1"/>
      <c r="BM462" s="1"/>
      <c r="BN462" s="1"/>
    </row>
    <row r="463" spans="1:66" ht="15.75" customHeight="1" x14ac:dyDescent="0.25">
      <c r="A463" s="43"/>
      <c r="B463" s="50"/>
      <c r="C463" s="51"/>
      <c r="D463" s="43"/>
      <c r="E463" s="43"/>
      <c r="F463" s="43"/>
      <c r="G463" s="44"/>
      <c r="H463" s="23"/>
      <c r="I463" s="43"/>
      <c r="J463" s="43"/>
      <c r="K463" s="45"/>
      <c r="L463" s="46"/>
      <c r="M463" s="46"/>
      <c r="N463" s="46"/>
      <c r="O463" s="46"/>
      <c r="P463" s="46"/>
      <c r="Q463" s="46"/>
      <c r="R463" s="46"/>
      <c r="S463" s="46"/>
      <c r="T463" s="46"/>
      <c r="U463" s="46"/>
      <c r="V463" s="46"/>
      <c r="W463" s="46"/>
      <c r="X463" s="46"/>
      <c r="Y463" s="46"/>
      <c r="Z463" s="46"/>
      <c r="AA463" s="46"/>
      <c r="AB463" s="46"/>
      <c r="AC463" s="46"/>
      <c r="AD463" s="46"/>
      <c r="AE463" s="46"/>
      <c r="AF463" s="46"/>
      <c r="AG463" s="46"/>
      <c r="AH463" s="46"/>
      <c r="AI463" s="46"/>
      <c r="AJ463" s="46"/>
      <c r="AK463" s="46"/>
      <c r="AL463" s="47"/>
      <c r="AM463" s="47"/>
      <c r="AN463" s="47"/>
      <c r="AO463" s="47"/>
      <c r="AP463" s="47"/>
      <c r="AQ463" s="48"/>
      <c r="AR463" s="49"/>
      <c r="AS463" s="49"/>
      <c r="AT463" s="49"/>
      <c r="AU463" s="1"/>
      <c r="AV463" s="1"/>
      <c r="AW463" s="1"/>
      <c r="AX463" s="1"/>
      <c r="AY463" s="1"/>
      <c r="AZ463" s="1"/>
      <c r="BA463" s="1"/>
      <c r="BB463" s="1"/>
      <c r="BC463" s="1"/>
      <c r="BD463" s="1"/>
      <c r="BE463" s="1"/>
      <c r="BF463" s="1"/>
      <c r="BG463" s="1"/>
      <c r="BH463" s="1"/>
      <c r="BI463" s="1"/>
      <c r="BJ463" s="1"/>
      <c r="BK463" s="1"/>
      <c r="BL463" s="1"/>
      <c r="BM463" s="1"/>
      <c r="BN463" s="1"/>
    </row>
    <row r="464" spans="1:66" ht="15.75" customHeight="1" x14ac:dyDescent="0.25">
      <c r="A464" s="43"/>
      <c r="B464" s="50"/>
      <c r="C464" s="51"/>
      <c r="D464" s="43"/>
      <c r="E464" s="43"/>
      <c r="F464" s="43"/>
      <c r="G464" s="44"/>
      <c r="H464" s="23"/>
      <c r="I464" s="43"/>
      <c r="J464" s="43"/>
      <c r="K464" s="45"/>
      <c r="L464" s="46"/>
      <c r="M464" s="46"/>
      <c r="N464" s="46"/>
      <c r="O464" s="46"/>
      <c r="P464" s="46"/>
      <c r="Q464" s="46"/>
      <c r="R464" s="46"/>
      <c r="S464" s="46"/>
      <c r="T464" s="46"/>
      <c r="U464" s="46"/>
      <c r="V464" s="46"/>
      <c r="W464" s="46"/>
      <c r="X464" s="46"/>
      <c r="Y464" s="46"/>
      <c r="Z464" s="46"/>
      <c r="AA464" s="46"/>
      <c r="AB464" s="46"/>
      <c r="AC464" s="46"/>
      <c r="AD464" s="46"/>
      <c r="AE464" s="46"/>
      <c r="AF464" s="46"/>
      <c r="AG464" s="46"/>
      <c r="AH464" s="46"/>
      <c r="AI464" s="46"/>
      <c r="AJ464" s="46"/>
      <c r="AK464" s="46"/>
      <c r="AL464" s="47"/>
      <c r="AM464" s="47"/>
      <c r="AN464" s="47"/>
      <c r="AO464" s="47"/>
      <c r="AP464" s="47"/>
      <c r="AQ464" s="48"/>
      <c r="AR464" s="49"/>
      <c r="AS464" s="49"/>
      <c r="AT464" s="49"/>
      <c r="AU464" s="1"/>
      <c r="AV464" s="1"/>
      <c r="AW464" s="1"/>
      <c r="AX464" s="1"/>
      <c r="AY464" s="1"/>
      <c r="AZ464" s="1"/>
      <c r="BA464" s="1"/>
      <c r="BB464" s="1"/>
      <c r="BC464" s="1"/>
      <c r="BD464" s="1"/>
      <c r="BE464" s="1"/>
      <c r="BF464" s="1"/>
      <c r="BG464" s="1"/>
      <c r="BH464" s="1"/>
      <c r="BI464" s="1"/>
      <c r="BJ464" s="1"/>
      <c r="BK464" s="1"/>
      <c r="BL464" s="1"/>
      <c r="BM464" s="1"/>
      <c r="BN464" s="1"/>
    </row>
    <row r="465" spans="1:66" ht="15.75" customHeight="1" x14ac:dyDescent="0.25">
      <c r="A465" s="1"/>
      <c r="B465" s="50"/>
      <c r="C465" s="51"/>
      <c r="D465" s="43"/>
      <c r="E465" s="43"/>
      <c r="F465" s="43"/>
      <c r="G465" s="44"/>
      <c r="H465" s="2"/>
      <c r="I465" s="2"/>
      <c r="J465" s="2"/>
      <c r="K465" s="2"/>
      <c r="L465" s="1" t="s">
        <v>33</v>
      </c>
      <c r="M465" s="1" t="s">
        <v>33</v>
      </c>
      <c r="N465" s="1" t="s">
        <v>33</v>
      </c>
      <c r="O465" s="1" t="s">
        <v>33</v>
      </c>
      <c r="P465" s="1" t="s">
        <v>33</v>
      </c>
      <c r="Q465" s="1" t="s">
        <v>33</v>
      </c>
      <c r="R465" s="1" t="s">
        <v>33</v>
      </c>
      <c r="S465" s="1" t="s">
        <v>33</v>
      </c>
      <c r="T465" s="1" t="s">
        <v>33</v>
      </c>
      <c r="U465" s="1" t="s">
        <v>33</v>
      </c>
      <c r="V465" s="1" t="s">
        <v>33</v>
      </c>
      <c r="W465" s="1" t="s">
        <v>33</v>
      </c>
      <c r="X465" s="1" t="s">
        <v>33</v>
      </c>
      <c r="Y465" s="1" t="s">
        <v>33</v>
      </c>
      <c r="Z465" s="1" t="s">
        <v>33</v>
      </c>
      <c r="AA465" s="2" t="s">
        <v>33</v>
      </c>
      <c r="AB465" s="1" t="s">
        <v>33</v>
      </c>
      <c r="AC465" s="1" t="s">
        <v>33</v>
      </c>
      <c r="AD465" s="1" t="s">
        <v>33</v>
      </c>
      <c r="AE465" s="1" t="s">
        <v>33</v>
      </c>
      <c r="AF465" s="1" t="s">
        <v>33</v>
      </c>
      <c r="AG465" s="1" t="s">
        <v>33</v>
      </c>
      <c r="AH465" s="1" t="s">
        <v>33</v>
      </c>
      <c r="AI465" s="1" t="s">
        <v>33</v>
      </c>
      <c r="AJ465" s="1" t="s">
        <v>33</v>
      </c>
      <c r="AK465" s="1" t="s">
        <v>33</v>
      </c>
      <c r="AL465" s="1" t="s">
        <v>33</v>
      </c>
      <c r="AM465" s="1" t="s">
        <v>33</v>
      </c>
      <c r="AN465" s="1" t="s">
        <v>33</v>
      </c>
      <c r="AO465" s="1" t="s">
        <v>33</v>
      </c>
      <c r="AP465" s="1" t="s">
        <v>33</v>
      </c>
      <c r="AQ465" s="1" t="s">
        <v>33</v>
      </c>
      <c r="AR465" s="1" t="s">
        <v>33</v>
      </c>
      <c r="AS465" s="1" t="s">
        <v>33</v>
      </c>
      <c r="AT465" s="1" t="s">
        <v>33</v>
      </c>
      <c r="AU465" s="1"/>
      <c r="AV465" s="1"/>
      <c r="AW465" s="1"/>
      <c r="AX465" s="1"/>
      <c r="AY465" s="1"/>
      <c r="AZ465" s="1"/>
      <c r="BA465" s="1"/>
      <c r="BB465" s="1"/>
      <c r="BC465" s="1"/>
      <c r="BD465" s="1"/>
      <c r="BE465" s="1"/>
      <c r="BF465" s="1"/>
      <c r="BG465" s="1"/>
      <c r="BH465" s="1"/>
      <c r="BI465" s="1"/>
      <c r="BJ465" s="1"/>
      <c r="BK465" s="1"/>
      <c r="BL465" s="1"/>
      <c r="BM465" s="1"/>
      <c r="BN465" s="1"/>
    </row>
    <row r="466" spans="1:66" ht="15.75" customHeight="1" x14ac:dyDescent="0.25">
      <c r="A466" s="1"/>
      <c r="B466" s="50"/>
      <c r="C466" s="51"/>
      <c r="D466" s="43"/>
      <c r="E466" s="43"/>
      <c r="F466" s="43"/>
      <c r="G466" s="44"/>
      <c r="H466" s="2"/>
      <c r="I466" s="2"/>
      <c r="J466" s="2"/>
      <c r="K466" s="2"/>
      <c r="L466" s="1" t="s">
        <v>33</v>
      </c>
      <c r="M466" s="1" t="s">
        <v>33</v>
      </c>
      <c r="N466" s="1" t="s">
        <v>33</v>
      </c>
      <c r="O466" s="1" t="s">
        <v>33</v>
      </c>
      <c r="P466" s="1" t="s">
        <v>33</v>
      </c>
      <c r="Q466" s="1" t="s">
        <v>33</v>
      </c>
      <c r="R466" s="1" t="s">
        <v>33</v>
      </c>
      <c r="S466" s="1" t="s">
        <v>33</v>
      </c>
      <c r="T466" s="1" t="s">
        <v>33</v>
      </c>
      <c r="U466" s="1" t="s">
        <v>33</v>
      </c>
      <c r="V466" s="1" t="s">
        <v>33</v>
      </c>
      <c r="W466" s="1" t="s">
        <v>33</v>
      </c>
      <c r="X466" s="1" t="s">
        <v>33</v>
      </c>
      <c r="Y466" s="1" t="s">
        <v>33</v>
      </c>
      <c r="Z466" s="1" t="s">
        <v>33</v>
      </c>
      <c r="AA466" s="2" t="s">
        <v>33</v>
      </c>
      <c r="AB466" s="1" t="s">
        <v>33</v>
      </c>
      <c r="AC466" s="1" t="s">
        <v>33</v>
      </c>
      <c r="AD466" s="1" t="s">
        <v>33</v>
      </c>
      <c r="AE466" s="1" t="s">
        <v>33</v>
      </c>
      <c r="AF466" s="1" t="s">
        <v>33</v>
      </c>
      <c r="AG466" s="1" t="s">
        <v>33</v>
      </c>
      <c r="AH466" s="1" t="s">
        <v>33</v>
      </c>
      <c r="AI466" s="1" t="s">
        <v>33</v>
      </c>
      <c r="AJ466" s="1" t="s">
        <v>33</v>
      </c>
      <c r="AK466" s="1" t="s">
        <v>33</v>
      </c>
      <c r="AL466" s="1" t="s">
        <v>33</v>
      </c>
      <c r="AM466" s="1" t="s">
        <v>33</v>
      </c>
      <c r="AN466" s="1" t="s">
        <v>33</v>
      </c>
      <c r="AO466" s="1" t="s">
        <v>33</v>
      </c>
      <c r="AP466" s="1" t="s">
        <v>33</v>
      </c>
      <c r="AQ466" s="1" t="s">
        <v>33</v>
      </c>
      <c r="AR466" s="1" t="s">
        <v>33</v>
      </c>
      <c r="AS466" s="1" t="s">
        <v>33</v>
      </c>
      <c r="AT466" s="1" t="s">
        <v>33</v>
      </c>
      <c r="AU466" s="1"/>
      <c r="AV466" s="1"/>
      <c r="AW466" s="1"/>
      <c r="AX466" s="1"/>
      <c r="AY466" s="1"/>
      <c r="AZ466" s="1"/>
      <c r="BA466" s="1"/>
      <c r="BB466" s="1"/>
      <c r="BC466" s="1"/>
      <c r="BD466" s="1"/>
      <c r="BE466" s="1"/>
      <c r="BF466" s="1"/>
      <c r="BG466" s="1"/>
      <c r="BH466" s="1"/>
      <c r="BI466" s="1"/>
      <c r="BJ466" s="1"/>
      <c r="BK466" s="1"/>
      <c r="BL466" s="1"/>
      <c r="BM466" s="1"/>
      <c r="BN466" s="1"/>
    </row>
    <row r="467" spans="1:66" ht="15.75" customHeight="1" x14ac:dyDescent="0.25">
      <c r="A467" s="1"/>
      <c r="B467" s="2"/>
      <c r="C467" s="3"/>
      <c r="D467" s="2"/>
      <c r="E467" s="52"/>
      <c r="F467" s="52"/>
      <c r="G467" s="52"/>
      <c r="H467" s="2"/>
      <c r="I467" s="2"/>
      <c r="J467" s="2"/>
      <c r="K467" s="2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2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  <c r="BA467" s="1"/>
      <c r="BB467" s="1"/>
      <c r="BC467" s="1"/>
      <c r="BD467" s="1"/>
      <c r="BE467" s="1"/>
      <c r="BF467" s="1"/>
      <c r="BG467" s="1"/>
      <c r="BH467" s="1"/>
      <c r="BI467" s="1"/>
      <c r="BJ467" s="1"/>
      <c r="BK467" s="1"/>
      <c r="BL467" s="1"/>
      <c r="BM467" s="1"/>
      <c r="BN467" s="1"/>
    </row>
    <row r="468" spans="1:66" ht="15.75" customHeight="1" x14ac:dyDescent="0.25">
      <c r="A468" s="1"/>
      <c r="B468" s="2"/>
      <c r="C468" s="3"/>
      <c r="D468" s="2"/>
      <c r="E468" s="52"/>
      <c r="F468" s="52"/>
      <c r="G468" s="52"/>
      <c r="H468" s="2"/>
      <c r="I468" s="2"/>
      <c r="J468" s="2"/>
      <c r="K468" s="2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2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  <c r="BA468" s="1"/>
      <c r="BB468" s="1"/>
      <c r="BC468" s="1"/>
      <c r="BD468" s="1"/>
      <c r="BE468" s="1"/>
      <c r="BF468" s="1"/>
      <c r="BG468" s="1"/>
      <c r="BH468" s="1"/>
      <c r="BI468" s="1"/>
      <c r="BJ468" s="1"/>
      <c r="BK468" s="1"/>
      <c r="BL468" s="1"/>
      <c r="BM468" s="1"/>
      <c r="BN468" s="1"/>
    </row>
    <row r="469" spans="1:66" ht="15.75" customHeight="1" x14ac:dyDescent="0.25">
      <c r="A469" s="1"/>
      <c r="B469" s="2"/>
      <c r="C469" s="3"/>
      <c r="D469" s="2"/>
      <c r="E469" s="52"/>
      <c r="F469" s="52"/>
      <c r="G469" s="52"/>
      <c r="H469" s="2"/>
      <c r="I469" s="2"/>
      <c r="J469" s="2"/>
      <c r="K469" s="2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2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  <c r="BA469" s="1"/>
      <c r="BB469" s="1"/>
      <c r="BC469" s="1"/>
      <c r="BD469" s="1"/>
      <c r="BE469" s="1"/>
      <c r="BF469" s="1"/>
      <c r="BG469" s="1"/>
      <c r="BH469" s="1"/>
      <c r="BI469" s="1"/>
      <c r="BJ469" s="1"/>
      <c r="BK469" s="1"/>
      <c r="BL469" s="1"/>
      <c r="BM469" s="1"/>
      <c r="BN469" s="1"/>
    </row>
    <row r="470" spans="1:66" ht="15.75" customHeight="1" x14ac:dyDescent="0.25">
      <c r="A470" s="1"/>
      <c r="B470" s="2"/>
      <c r="C470" s="3"/>
      <c r="D470" s="2"/>
      <c r="E470" s="52"/>
      <c r="F470" s="52"/>
      <c r="G470" s="52"/>
      <c r="H470" s="2"/>
      <c r="I470" s="2"/>
      <c r="J470" s="2"/>
      <c r="K470" s="2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2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  <c r="BA470" s="1"/>
      <c r="BB470" s="1"/>
      <c r="BC470" s="1"/>
      <c r="BD470" s="1"/>
      <c r="BE470" s="1"/>
      <c r="BF470" s="1"/>
      <c r="BG470" s="1"/>
      <c r="BH470" s="1"/>
      <c r="BI470" s="1"/>
      <c r="BJ470" s="1"/>
      <c r="BK470" s="1"/>
      <c r="BL470" s="1"/>
      <c r="BM470" s="1"/>
      <c r="BN470" s="1"/>
    </row>
    <row r="471" spans="1:66" ht="15.75" customHeight="1" x14ac:dyDescent="0.25">
      <c r="A471" s="1"/>
      <c r="B471" s="2"/>
      <c r="C471" s="3"/>
      <c r="D471" s="2"/>
      <c r="E471" s="52"/>
      <c r="F471" s="52"/>
      <c r="G471" s="52"/>
      <c r="H471" s="2"/>
      <c r="I471" s="2"/>
      <c r="J471" s="2"/>
      <c r="K471" s="2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2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  <c r="BA471" s="1"/>
      <c r="BB471" s="1"/>
      <c r="BC471" s="1"/>
      <c r="BD471" s="1"/>
      <c r="BE471" s="1"/>
      <c r="BF471" s="1"/>
      <c r="BG471" s="1"/>
      <c r="BH471" s="1"/>
      <c r="BI471" s="1"/>
      <c r="BJ471" s="1"/>
      <c r="BK471" s="1"/>
      <c r="BL471" s="1"/>
      <c r="BM471" s="1"/>
      <c r="BN471" s="1"/>
    </row>
    <row r="472" spans="1:66" ht="15.75" customHeight="1" x14ac:dyDescent="0.25">
      <c r="A472" s="1"/>
      <c r="B472" s="2"/>
      <c r="C472" s="3"/>
      <c r="D472" s="2"/>
      <c r="E472" s="52"/>
      <c r="F472" s="52"/>
      <c r="G472" s="52"/>
      <c r="H472" s="2"/>
      <c r="I472" s="2"/>
      <c r="J472" s="2"/>
      <c r="K472" s="2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2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  <c r="BA472" s="1"/>
      <c r="BB472" s="1"/>
      <c r="BC472" s="1"/>
      <c r="BD472" s="1"/>
      <c r="BE472" s="1"/>
      <c r="BF472" s="1"/>
      <c r="BG472" s="1"/>
      <c r="BH472" s="1"/>
      <c r="BI472" s="1"/>
      <c r="BJ472" s="1"/>
      <c r="BK472" s="1"/>
      <c r="BL472" s="1"/>
      <c r="BM472" s="1"/>
      <c r="BN472" s="1"/>
    </row>
    <row r="473" spans="1:66" ht="15.75" customHeight="1" x14ac:dyDescent="0.25">
      <c r="A473" s="1"/>
      <c r="B473" s="2"/>
      <c r="C473" s="3"/>
      <c r="D473" s="2"/>
      <c r="E473" s="52"/>
      <c r="F473" s="52"/>
      <c r="G473" s="52"/>
      <c r="H473" s="2"/>
      <c r="I473" s="2"/>
      <c r="J473" s="2"/>
      <c r="K473" s="2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2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  <c r="BA473" s="1"/>
      <c r="BB473" s="1"/>
      <c r="BC473" s="1"/>
      <c r="BD473" s="1"/>
      <c r="BE473" s="1"/>
      <c r="BF473" s="1"/>
      <c r="BG473" s="1"/>
      <c r="BH473" s="1"/>
      <c r="BI473" s="1"/>
      <c r="BJ473" s="1"/>
      <c r="BK473" s="1"/>
      <c r="BL473" s="1"/>
      <c r="BM473" s="1"/>
      <c r="BN473" s="1"/>
    </row>
    <row r="474" spans="1:66" ht="15.75" customHeight="1" x14ac:dyDescent="0.25">
      <c r="A474" s="1"/>
      <c r="B474" s="2"/>
      <c r="C474" s="3"/>
      <c r="D474" s="2"/>
      <c r="E474" s="52"/>
      <c r="F474" s="52"/>
      <c r="G474" s="52"/>
      <c r="H474" s="2"/>
      <c r="I474" s="2"/>
      <c r="J474" s="2"/>
      <c r="K474" s="2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2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  <c r="BA474" s="1"/>
      <c r="BB474" s="1"/>
      <c r="BC474" s="1"/>
      <c r="BD474" s="1"/>
      <c r="BE474" s="1"/>
      <c r="BF474" s="1"/>
      <c r="BG474" s="1"/>
      <c r="BH474" s="1"/>
      <c r="BI474" s="1"/>
      <c r="BJ474" s="1"/>
      <c r="BK474" s="1"/>
      <c r="BL474" s="1"/>
      <c r="BM474" s="1"/>
      <c r="BN474" s="1"/>
    </row>
    <row r="475" spans="1:66" ht="15.75" customHeight="1" x14ac:dyDescent="0.25">
      <c r="A475" s="1"/>
      <c r="B475" s="2"/>
      <c r="C475" s="3"/>
      <c r="D475" s="2"/>
      <c r="E475" s="52"/>
      <c r="F475" s="52"/>
      <c r="G475" s="52"/>
      <c r="H475" s="2"/>
      <c r="I475" s="2"/>
      <c r="J475" s="2"/>
      <c r="K475" s="2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2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  <c r="BA475" s="1"/>
      <c r="BB475" s="1"/>
      <c r="BC475" s="1"/>
      <c r="BD475" s="1"/>
      <c r="BE475" s="1"/>
      <c r="BF475" s="1"/>
      <c r="BG475" s="1"/>
      <c r="BH475" s="1"/>
      <c r="BI475" s="1"/>
      <c r="BJ475" s="1"/>
      <c r="BK475" s="1"/>
      <c r="BL475" s="1"/>
      <c r="BM475" s="1"/>
      <c r="BN475" s="1"/>
    </row>
    <row r="476" spans="1:66" ht="15.75" customHeight="1" x14ac:dyDescent="0.25">
      <c r="A476" s="1"/>
      <c r="B476" s="2"/>
      <c r="C476" s="3"/>
      <c r="D476" s="2"/>
      <c r="E476" s="52"/>
      <c r="F476" s="52"/>
      <c r="G476" s="52"/>
      <c r="H476" s="2"/>
      <c r="I476" s="2"/>
      <c r="J476" s="2"/>
      <c r="K476" s="2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2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  <c r="BA476" s="1"/>
      <c r="BB476" s="1"/>
      <c r="BC476" s="1"/>
      <c r="BD476" s="1"/>
      <c r="BE476" s="1"/>
      <c r="BF476" s="1"/>
      <c r="BG476" s="1"/>
      <c r="BH476" s="1"/>
      <c r="BI476" s="1"/>
      <c r="BJ476" s="1"/>
      <c r="BK476" s="1"/>
      <c r="BL476" s="1"/>
      <c r="BM476" s="1"/>
      <c r="BN476" s="1"/>
    </row>
    <row r="477" spans="1:66" ht="15.75" customHeight="1" x14ac:dyDescent="0.25">
      <c r="A477" s="1"/>
      <c r="B477" s="2"/>
      <c r="C477" s="3"/>
      <c r="D477" s="2"/>
      <c r="E477" s="52"/>
      <c r="F477" s="52"/>
      <c r="G477" s="52"/>
      <c r="H477" s="2"/>
      <c r="I477" s="2"/>
      <c r="J477" s="2"/>
      <c r="K477" s="2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2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  <c r="BA477" s="1"/>
      <c r="BB477" s="1"/>
      <c r="BC477" s="1"/>
      <c r="BD477" s="1"/>
      <c r="BE477" s="1"/>
      <c r="BF477" s="1"/>
      <c r="BG477" s="1"/>
      <c r="BH477" s="1"/>
      <c r="BI477" s="1"/>
      <c r="BJ477" s="1"/>
      <c r="BK477" s="1"/>
      <c r="BL477" s="1"/>
      <c r="BM477" s="1"/>
      <c r="BN477" s="1"/>
    </row>
    <row r="478" spans="1:66" ht="15.75" customHeight="1" x14ac:dyDescent="0.25">
      <c r="A478" s="1"/>
      <c r="B478" s="2"/>
      <c r="C478" s="3"/>
      <c r="D478" s="2"/>
      <c r="E478" s="52"/>
      <c r="F478" s="52"/>
      <c r="G478" s="52"/>
      <c r="H478" s="2"/>
      <c r="I478" s="2"/>
      <c r="J478" s="2"/>
      <c r="K478" s="2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2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  <c r="BA478" s="1"/>
      <c r="BB478" s="1"/>
      <c r="BC478" s="1"/>
      <c r="BD478" s="1"/>
      <c r="BE478" s="1"/>
      <c r="BF478" s="1"/>
      <c r="BG478" s="1"/>
      <c r="BH478" s="1"/>
      <c r="BI478" s="1"/>
      <c r="BJ478" s="1"/>
      <c r="BK478" s="1"/>
      <c r="BL478" s="1"/>
      <c r="BM478" s="1"/>
      <c r="BN478" s="1"/>
    </row>
    <row r="479" spans="1:66" ht="15.75" customHeight="1" x14ac:dyDescent="0.25">
      <c r="A479" s="1"/>
      <c r="B479" s="2"/>
      <c r="C479" s="3"/>
      <c r="D479" s="2"/>
      <c r="E479" s="52"/>
      <c r="F479" s="52"/>
      <c r="G479" s="52"/>
      <c r="H479" s="2"/>
      <c r="I479" s="2"/>
      <c r="J479" s="2"/>
      <c r="K479" s="2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2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  <c r="BA479" s="1"/>
      <c r="BB479" s="1"/>
      <c r="BC479" s="1"/>
      <c r="BD479" s="1"/>
      <c r="BE479" s="1"/>
      <c r="BF479" s="1"/>
      <c r="BG479" s="1"/>
      <c r="BH479" s="1"/>
      <c r="BI479" s="1"/>
      <c r="BJ479" s="1"/>
      <c r="BK479" s="1"/>
      <c r="BL479" s="1"/>
      <c r="BM479" s="1"/>
      <c r="BN479" s="1"/>
    </row>
    <row r="480" spans="1:66" ht="15.75" customHeight="1" x14ac:dyDescent="0.25">
      <c r="A480" s="1"/>
      <c r="B480" s="2"/>
      <c r="C480" s="3"/>
      <c r="D480" s="2"/>
      <c r="E480" s="52"/>
      <c r="F480" s="52"/>
      <c r="G480" s="52"/>
      <c r="H480" s="2"/>
      <c r="I480" s="2"/>
      <c r="J480" s="2"/>
      <c r="K480" s="2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2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  <c r="BA480" s="1"/>
      <c r="BB480" s="1"/>
      <c r="BC480" s="1"/>
      <c r="BD480" s="1"/>
      <c r="BE480" s="1"/>
      <c r="BF480" s="1"/>
      <c r="BG480" s="1"/>
      <c r="BH480" s="1"/>
      <c r="BI480" s="1"/>
      <c r="BJ480" s="1"/>
      <c r="BK480" s="1"/>
      <c r="BL480" s="1"/>
      <c r="BM480" s="1"/>
      <c r="BN480" s="1"/>
    </row>
    <row r="481" spans="1:66" ht="15.75" customHeight="1" x14ac:dyDescent="0.25">
      <c r="A481" s="1"/>
      <c r="B481" s="2"/>
      <c r="C481" s="3"/>
      <c r="D481" s="2"/>
      <c r="E481" s="52"/>
      <c r="F481" s="52"/>
      <c r="G481" s="52"/>
      <c r="H481" s="2"/>
      <c r="I481" s="2"/>
      <c r="J481" s="2"/>
      <c r="K481" s="2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2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  <c r="BA481" s="1"/>
      <c r="BB481" s="1"/>
      <c r="BC481" s="1"/>
      <c r="BD481" s="1"/>
      <c r="BE481" s="1"/>
      <c r="BF481" s="1"/>
      <c r="BG481" s="1"/>
      <c r="BH481" s="1"/>
      <c r="BI481" s="1"/>
      <c r="BJ481" s="1"/>
      <c r="BK481" s="1"/>
      <c r="BL481" s="1"/>
      <c r="BM481" s="1"/>
      <c r="BN481" s="1"/>
    </row>
    <row r="482" spans="1:66" ht="15.75" customHeight="1" x14ac:dyDescent="0.25">
      <c r="A482" s="1"/>
      <c r="B482" s="2"/>
      <c r="C482" s="3"/>
      <c r="D482" s="2"/>
      <c r="E482" s="52"/>
      <c r="F482" s="52"/>
      <c r="G482" s="52"/>
      <c r="H482" s="2"/>
      <c r="I482" s="2"/>
      <c r="J482" s="2"/>
      <c r="K482" s="2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2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  <c r="BA482" s="1"/>
      <c r="BB482" s="1"/>
      <c r="BC482" s="1"/>
      <c r="BD482" s="1"/>
      <c r="BE482" s="1"/>
      <c r="BF482" s="1"/>
      <c r="BG482" s="1"/>
      <c r="BH482" s="1"/>
      <c r="BI482" s="1"/>
      <c r="BJ482" s="1"/>
      <c r="BK482" s="1"/>
      <c r="BL482" s="1"/>
      <c r="BM482" s="1"/>
      <c r="BN482" s="1"/>
    </row>
    <row r="483" spans="1:66" ht="15.75" customHeight="1" x14ac:dyDescent="0.25">
      <c r="A483" s="1"/>
      <c r="B483" s="2"/>
      <c r="C483" s="3"/>
      <c r="D483" s="2"/>
      <c r="E483" s="52"/>
      <c r="F483" s="52"/>
      <c r="G483" s="52"/>
      <c r="H483" s="2"/>
      <c r="I483" s="2"/>
      <c r="J483" s="2"/>
      <c r="K483" s="2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2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  <c r="BA483" s="1"/>
      <c r="BB483" s="1"/>
      <c r="BC483" s="1"/>
      <c r="BD483" s="1"/>
      <c r="BE483" s="1"/>
      <c r="BF483" s="1"/>
      <c r="BG483" s="1"/>
      <c r="BH483" s="1"/>
      <c r="BI483" s="1"/>
      <c r="BJ483" s="1"/>
      <c r="BK483" s="1"/>
      <c r="BL483" s="1"/>
      <c r="BM483" s="1"/>
      <c r="BN483" s="1"/>
    </row>
    <row r="484" spans="1:66" ht="15.75" customHeight="1" x14ac:dyDescent="0.25">
      <c r="A484" s="1"/>
      <c r="B484" s="2"/>
      <c r="C484" s="3"/>
      <c r="D484" s="2"/>
      <c r="E484" s="52"/>
      <c r="F484" s="52"/>
      <c r="G484" s="52"/>
      <c r="H484" s="2"/>
      <c r="I484" s="2"/>
      <c r="J484" s="2"/>
      <c r="K484" s="2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2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  <c r="BA484" s="1"/>
      <c r="BB484" s="1"/>
      <c r="BC484" s="1"/>
      <c r="BD484" s="1"/>
      <c r="BE484" s="1"/>
      <c r="BF484" s="1"/>
      <c r="BG484" s="1"/>
      <c r="BH484" s="1"/>
      <c r="BI484" s="1"/>
      <c r="BJ484" s="1"/>
      <c r="BK484" s="1"/>
      <c r="BL484" s="1"/>
      <c r="BM484" s="1"/>
      <c r="BN484" s="1"/>
    </row>
    <row r="485" spans="1:66" ht="15.75" customHeight="1" x14ac:dyDescent="0.25">
      <c r="A485" s="1"/>
      <c r="B485" s="2"/>
      <c r="C485" s="3"/>
      <c r="D485" s="2"/>
      <c r="E485" s="52"/>
      <c r="F485" s="52"/>
      <c r="G485" s="52"/>
      <c r="H485" s="2"/>
      <c r="I485" s="2"/>
      <c r="J485" s="2"/>
      <c r="K485" s="2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2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  <c r="BA485" s="1"/>
      <c r="BB485" s="1"/>
      <c r="BC485" s="1"/>
      <c r="BD485" s="1"/>
      <c r="BE485" s="1"/>
      <c r="BF485" s="1"/>
      <c r="BG485" s="1"/>
      <c r="BH485" s="1"/>
      <c r="BI485" s="1"/>
      <c r="BJ485" s="1"/>
      <c r="BK485" s="1"/>
      <c r="BL485" s="1"/>
      <c r="BM485" s="1"/>
      <c r="BN485" s="1"/>
    </row>
    <row r="486" spans="1:66" ht="15.75" customHeight="1" x14ac:dyDescent="0.25">
      <c r="A486" s="1"/>
      <c r="B486" s="2"/>
      <c r="C486" s="3"/>
      <c r="D486" s="2"/>
      <c r="E486" s="52"/>
      <c r="F486" s="52"/>
      <c r="G486" s="52"/>
      <c r="H486" s="2"/>
      <c r="I486" s="2"/>
      <c r="J486" s="2"/>
      <c r="K486" s="2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2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  <c r="BA486" s="1"/>
      <c r="BB486" s="1"/>
      <c r="BC486" s="1"/>
      <c r="BD486" s="1"/>
      <c r="BE486" s="1"/>
      <c r="BF486" s="1"/>
      <c r="BG486" s="1"/>
      <c r="BH486" s="1"/>
      <c r="BI486" s="1"/>
      <c r="BJ486" s="1"/>
      <c r="BK486" s="1"/>
      <c r="BL486" s="1"/>
      <c r="BM486" s="1"/>
      <c r="BN486" s="1"/>
    </row>
    <row r="487" spans="1:66" ht="15.75" customHeight="1" x14ac:dyDescent="0.25">
      <c r="A487" s="1"/>
      <c r="B487" s="2"/>
      <c r="C487" s="3"/>
      <c r="D487" s="2"/>
      <c r="E487" s="52"/>
      <c r="F487" s="52"/>
      <c r="G487" s="52"/>
      <c r="H487" s="2"/>
      <c r="I487" s="2"/>
      <c r="J487" s="2"/>
      <c r="K487" s="2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2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  <c r="BA487" s="1"/>
      <c r="BB487" s="1"/>
      <c r="BC487" s="1"/>
      <c r="BD487" s="1"/>
      <c r="BE487" s="1"/>
      <c r="BF487" s="1"/>
      <c r="BG487" s="1"/>
      <c r="BH487" s="1"/>
      <c r="BI487" s="1"/>
      <c r="BJ487" s="1"/>
      <c r="BK487" s="1"/>
      <c r="BL487" s="1"/>
      <c r="BM487" s="1"/>
      <c r="BN487" s="1"/>
    </row>
    <row r="488" spans="1:66" ht="15.75" customHeight="1" x14ac:dyDescent="0.25">
      <c r="A488" s="1"/>
      <c r="B488" s="2"/>
      <c r="C488" s="3"/>
      <c r="D488" s="2"/>
      <c r="E488" s="52"/>
      <c r="F488" s="52"/>
      <c r="G488" s="52"/>
      <c r="H488" s="2"/>
      <c r="I488" s="2"/>
      <c r="J488" s="2"/>
      <c r="K488" s="2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2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  <c r="BA488" s="1"/>
      <c r="BB488" s="1"/>
      <c r="BC488" s="1"/>
      <c r="BD488" s="1"/>
      <c r="BE488" s="1"/>
      <c r="BF488" s="1"/>
      <c r="BG488" s="1"/>
      <c r="BH488" s="1"/>
      <c r="BI488" s="1"/>
      <c r="BJ488" s="1"/>
      <c r="BK488" s="1"/>
      <c r="BL488" s="1"/>
      <c r="BM488" s="1"/>
      <c r="BN488" s="1"/>
    </row>
    <row r="489" spans="1:66" ht="15.75" customHeight="1" x14ac:dyDescent="0.25">
      <c r="A489" s="1"/>
      <c r="B489" s="2"/>
      <c r="C489" s="3"/>
      <c r="D489" s="2"/>
      <c r="E489" s="52"/>
      <c r="F489" s="52"/>
      <c r="G489" s="52"/>
      <c r="H489" s="2"/>
      <c r="I489" s="2"/>
      <c r="J489" s="2"/>
      <c r="K489" s="2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2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  <c r="BA489" s="1"/>
      <c r="BB489" s="1"/>
      <c r="BC489" s="1"/>
      <c r="BD489" s="1"/>
      <c r="BE489" s="1"/>
      <c r="BF489" s="1"/>
      <c r="BG489" s="1"/>
      <c r="BH489" s="1"/>
      <c r="BI489" s="1"/>
      <c r="BJ489" s="1"/>
      <c r="BK489" s="1"/>
      <c r="BL489" s="1"/>
      <c r="BM489" s="1"/>
      <c r="BN489" s="1"/>
    </row>
    <row r="490" spans="1:66" ht="15.75" customHeight="1" x14ac:dyDescent="0.25">
      <c r="A490" s="1"/>
      <c r="B490" s="2"/>
      <c r="C490" s="3"/>
      <c r="D490" s="2"/>
      <c r="E490" s="52"/>
      <c r="F490" s="52"/>
      <c r="G490" s="52"/>
      <c r="H490" s="2"/>
      <c r="I490" s="2"/>
      <c r="J490" s="2"/>
      <c r="K490" s="2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2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  <c r="BA490" s="1"/>
      <c r="BB490" s="1"/>
      <c r="BC490" s="1"/>
      <c r="BD490" s="1"/>
      <c r="BE490" s="1"/>
      <c r="BF490" s="1"/>
      <c r="BG490" s="1"/>
      <c r="BH490" s="1"/>
      <c r="BI490" s="1"/>
      <c r="BJ490" s="1"/>
      <c r="BK490" s="1"/>
      <c r="BL490" s="1"/>
      <c r="BM490" s="1"/>
      <c r="BN490" s="1"/>
    </row>
    <row r="491" spans="1:66" ht="15.75" customHeight="1" x14ac:dyDescent="0.25">
      <c r="A491" s="1"/>
      <c r="B491" s="2"/>
      <c r="C491" s="3"/>
      <c r="D491" s="2"/>
      <c r="E491" s="52"/>
      <c r="F491" s="52"/>
      <c r="G491" s="52"/>
      <c r="H491" s="2"/>
      <c r="I491" s="2"/>
      <c r="J491" s="2"/>
      <c r="K491" s="2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2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  <c r="BA491" s="1"/>
      <c r="BB491" s="1"/>
      <c r="BC491" s="1"/>
      <c r="BD491" s="1"/>
      <c r="BE491" s="1"/>
      <c r="BF491" s="1"/>
      <c r="BG491" s="1"/>
      <c r="BH491" s="1"/>
      <c r="BI491" s="1"/>
      <c r="BJ491" s="1"/>
      <c r="BK491" s="1"/>
      <c r="BL491" s="1"/>
      <c r="BM491" s="1"/>
      <c r="BN491" s="1"/>
    </row>
    <row r="492" spans="1:66" ht="15.75" customHeight="1" x14ac:dyDescent="0.25">
      <c r="A492" s="1"/>
      <c r="B492" s="2"/>
      <c r="C492" s="3"/>
      <c r="D492" s="2"/>
      <c r="E492" s="52"/>
      <c r="F492" s="52"/>
      <c r="G492" s="52"/>
      <c r="H492" s="2"/>
      <c r="I492" s="2"/>
      <c r="J492" s="2"/>
      <c r="K492" s="2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2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  <c r="BA492" s="1"/>
      <c r="BB492" s="1"/>
      <c r="BC492" s="1"/>
      <c r="BD492" s="1"/>
      <c r="BE492" s="1"/>
      <c r="BF492" s="1"/>
      <c r="BG492" s="1"/>
      <c r="BH492" s="1"/>
      <c r="BI492" s="1"/>
      <c r="BJ492" s="1"/>
      <c r="BK492" s="1"/>
      <c r="BL492" s="1"/>
      <c r="BM492" s="1"/>
      <c r="BN492" s="1"/>
    </row>
    <row r="493" spans="1:66" ht="15.75" customHeight="1" x14ac:dyDescent="0.25">
      <c r="A493" s="1"/>
      <c r="B493" s="2"/>
      <c r="C493" s="3"/>
      <c r="D493" s="2"/>
      <c r="E493" s="52"/>
      <c r="F493" s="52"/>
      <c r="G493" s="52"/>
      <c r="H493" s="2"/>
      <c r="I493" s="2"/>
      <c r="J493" s="2"/>
      <c r="K493" s="2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2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  <c r="BA493" s="1"/>
      <c r="BB493" s="1"/>
      <c r="BC493" s="1"/>
      <c r="BD493" s="1"/>
      <c r="BE493" s="1"/>
      <c r="BF493" s="1"/>
      <c r="BG493" s="1"/>
      <c r="BH493" s="1"/>
      <c r="BI493" s="1"/>
      <c r="BJ493" s="1"/>
      <c r="BK493" s="1"/>
      <c r="BL493" s="1"/>
      <c r="BM493" s="1"/>
      <c r="BN493" s="1"/>
    </row>
    <row r="494" spans="1:66" ht="15.75" customHeight="1" x14ac:dyDescent="0.25">
      <c r="A494" s="1"/>
      <c r="B494" s="2"/>
      <c r="C494" s="3"/>
      <c r="D494" s="2"/>
      <c r="E494" s="52"/>
      <c r="F494" s="52"/>
      <c r="G494" s="52"/>
      <c r="H494" s="2"/>
      <c r="I494" s="2"/>
      <c r="J494" s="2"/>
      <c r="K494" s="2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2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  <c r="BA494" s="1"/>
      <c r="BB494" s="1"/>
      <c r="BC494" s="1"/>
      <c r="BD494" s="1"/>
      <c r="BE494" s="1"/>
      <c r="BF494" s="1"/>
      <c r="BG494" s="1"/>
      <c r="BH494" s="1"/>
      <c r="BI494" s="1"/>
      <c r="BJ494" s="1"/>
      <c r="BK494" s="1"/>
      <c r="BL494" s="1"/>
      <c r="BM494" s="1"/>
      <c r="BN494" s="1"/>
    </row>
    <row r="495" spans="1:66" ht="15.75" customHeight="1" x14ac:dyDescent="0.25">
      <c r="A495" s="1"/>
      <c r="B495" s="2"/>
      <c r="C495" s="3"/>
      <c r="D495" s="2"/>
      <c r="E495" s="52"/>
      <c r="F495" s="52"/>
      <c r="G495" s="52"/>
      <c r="H495" s="2"/>
      <c r="I495" s="2"/>
      <c r="J495" s="2"/>
      <c r="K495" s="2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2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  <c r="BA495" s="1"/>
      <c r="BB495" s="1"/>
      <c r="BC495" s="1"/>
      <c r="BD495" s="1"/>
      <c r="BE495" s="1"/>
      <c r="BF495" s="1"/>
      <c r="BG495" s="1"/>
      <c r="BH495" s="1"/>
      <c r="BI495" s="1"/>
      <c r="BJ495" s="1"/>
      <c r="BK495" s="1"/>
      <c r="BL495" s="1"/>
      <c r="BM495" s="1"/>
      <c r="BN495" s="1"/>
    </row>
    <row r="496" spans="1:66" ht="15.75" customHeight="1" x14ac:dyDescent="0.25">
      <c r="A496" s="1"/>
      <c r="B496" s="2"/>
      <c r="C496" s="3"/>
      <c r="D496" s="2"/>
      <c r="E496" s="52"/>
      <c r="F496" s="52"/>
      <c r="G496" s="52"/>
      <c r="H496" s="2"/>
      <c r="I496" s="2"/>
      <c r="J496" s="2"/>
      <c r="K496" s="2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2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  <c r="BA496" s="1"/>
      <c r="BB496" s="1"/>
      <c r="BC496" s="1"/>
      <c r="BD496" s="1"/>
      <c r="BE496" s="1"/>
      <c r="BF496" s="1"/>
      <c r="BG496" s="1"/>
      <c r="BH496" s="1"/>
      <c r="BI496" s="1"/>
      <c r="BJ496" s="1"/>
      <c r="BK496" s="1"/>
      <c r="BL496" s="1"/>
      <c r="BM496" s="1"/>
      <c r="BN496" s="1"/>
    </row>
    <row r="497" spans="1:66" ht="15.75" customHeight="1" x14ac:dyDescent="0.25">
      <c r="A497" s="1"/>
      <c r="B497" s="2"/>
      <c r="C497" s="3"/>
      <c r="D497" s="2"/>
      <c r="E497" s="52"/>
      <c r="F497" s="52"/>
      <c r="G497" s="52"/>
      <c r="H497" s="2"/>
      <c r="I497" s="2"/>
      <c r="J497" s="2"/>
      <c r="K497" s="2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2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  <c r="BA497" s="1"/>
      <c r="BB497" s="1"/>
      <c r="BC497" s="1"/>
      <c r="BD497" s="1"/>
      <c r="BE497" s="1"/>
      <c r="BF497" s="1"/>
      <c r="BG497" s="1"/>
      <c r="BH497" s="1"/>
      <c r="BI497" s="1"/>
      <c r="BJ497" s="1"/>
      <c r="BK497" s="1"/>
      <c r="BL497" s="1"/>
      <c r="BM497" s="1"/>
      <c r="BN497" s="1"/>
    </row>
    <row r="498" spans="1:66" ht="15.75" customHeight="1" x14ac:dyDescent="0.25">
      <c r="A498" s="1"/>
      <c r="B498" s="2"/>
      <c r="C498" s="3"/>
      <c r="D498" s="2"/>
      <c r="E498" s="52"/>
      <c r="F498" s="52"/>
      <c r="G498" s="52"/>
      <c r="H498" s="2"/>
      <c r="I498" s="2"/>
      <c r="J498" s="2"/>
      <c r="K498" s="2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2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  <c r="BA498" s="1"/>
      <c r="BB498" s="1"/>
      <c r="BC498" s="1"/>
      <c r="BD498" s="1"/>
      <c r="BE498" s="1"/>
      <c r="BF498" s="1"/>
      <c r="BG498" s="1"/>
      <c r="BH498" s="1"/>
      <c r="BI498" s="1"/>
      <c r="BJ498" s="1"/>
      <c r="BK498" s="1"/>
      <c r="BL498" s="1"/>
      <c r="BM498" s="1"/>
      <c r="BN498" s="1"/>
    </row>
    <row r="499" spans="1:66" ht="15.75" customHeight="1" x14ac:dyDescent="0.25">
      <c r="A499" s="1"/>
      <c r="B499" s="2"/>
      <c r="C499" s="3"/>
      <c r="D499" s="2"/>
      <c r="E499" s="52"/>
      <c r="F499" s="52"/>
      <c r="G499" s="52"/>
      <c r="H499" s="2"/>
      <c r="I499" s="2"/>
      <c r="J499" s="2"/>
      <c r="K499" s="2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2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  <c r="BA499" s="1"/>
      <c r="BB499" s="1"/>
      <c r="BC499" s="1"/>
      <c r="BD499" s="1"/>
      <c r="BE499" s="1"/>
      <c r="BF499" s="1"/>
      <c r="BG499" s="1"/>
      <c r="BH499" s="1"/>
      <c r="BI499" s="1"/>
      <c r="BJ499" s="1"/>
      <c r="BK499" s="1"/>
      <c r="BL499" s="1"/>
      <c r="BM499" s="1"/>
      <c r="BN499" s="1"/>
    </row>
    <row r="500" spans="1:66" ht="15.75" customHeight="1" x14ac:dyDescent="0.25">
      <c r="A500" s="1"/>
      <c r="B500" s="2"/>
      <c r="C500" s="3"/>
      <c r="D500" s="2"/>
      <c r="E500" s="52"/>
      <c r="F500" s="52"/>
      <c r="G500" s="52"/>
      <c r="H500" s="2"/>
      <c r="I500" s="2"/>
      <c r="J500" s="2"/>
      <c r="K500" s="2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2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  <c r="BA500" s="1"/>
      <c r="BB500" s="1"/>
      <c r="BC500" s="1"/>
      <c r="BD500" s="1"/>
      <c r="BE500" s="1"/>
      <c r="BF500" s="1"/>
      <c r="BG500" s="1"/>
      <c r="BH500" s="1"/>
      <c r="BI500" s="1"/>
      <c r="BJ500" s="1"/>
      <c r="BK500" s="1"/>
      <c r="BL500" s="1"/>
      <c r="BM500" s="1"/>
      <c r="BN500" s="1"/>
    </row>
    <row r="501" spans="1:66" ht="15.75" customHeight="1" x14ac:dyDescent="0.25">
      <c r="A501" s="1"/>
      <c r="B501" s="2"/>
      <c r="C501" s="3"/>
      <c r="D501" s="2"/>
      <c r="E501" s="52"/>
      <c r="F501" s="52"/>
      <c r="G501" s="52"/>
      <c r="H501" s="2"/>
      <c r="I501" s="2"/>
      <c r="J501" s="2"/>
      <c r="K501" s="2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2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1"/>
      <c r="AP501" s="1"/>
      <c r="AQ501" s="1"/>
      <c r="AR501" s="1"/>
      <c r="AS501" s="1"/>
      <c r="AT501" s="1"/>
      <c r="AU501" s="1"/>
      <c r="AV501" s="1"/>
      <c r="AW501" s="1"/>
      <c r="AX501" s="1"/>
      <c r="AY501" s="1"/>
      <c r="AZ501" s="1"/>
      <c r="BA501" s="1"/>
      <c r="BB501" s="1"/>
      <c r="BC501" s="1"/>
      <c r="BD501" s="1"/>
      <c r="BE501" s="1"/>
      <c r="BF501" s="1"/>
      <c r="BG501" s="1"/>
      <c r="BH501" s="1"/>
      <c r="BI501" s="1"/>
      <c r="BJ501" s="1"/>
      <c r="BK501" s="1"/>
      <c r="BL501" s="1"/>
      <c r="BM501" s="1"/>
      <c r="BN501" s="1"/>
    </row>
    <row r="502" spans="1:66" ht="15.75" customHeight="1" x14ac:dyDescent="0.25">
      <c r="A502" s="1"/>
      <c r="B502" s="2"/>
      <c r="C502" s="3"/>
      <c r="D502" s="2"/>
      <c r="E502" s="52"/>
      <c r="F502" s="52"/>
      <c r="G502" s="52"/>
      <c r="H502" s="2"/>
      <c r="I502" s="2"/>
      <c r="J502" s="2"/>
      <c r="K502" s="2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2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1"/>
      <c r="AP502" s="1"/>
      <c r="AQ502" s="1"/>
      <c r="AR502" s="1"/>
      <c r="AS502" s="1"/>
      <c r="AT502" s="1"/>
      <c r="AU502" s="1"/>
      <c r="AV502" s="1"/>
      <c r="AW502" s="1"/>
      <c r="AX502" s="1"/>
      <c r="AY502" s="1"/>
      <c r="AZ502" s="1"/>
      <c r="BA502" s="1"/>
      <c r="BB502" s="1"/>
      <c r="BC502" s="1"/>
      <c r="BD502" s="1"/>
      <c r="BE502" s="1"/>
      <c r="BF502" s="1"/>
      <c r="BG502" s="1"/>
      <c r="BH502" s="1"/>
      <c r="BI502" s="1"/>
      <c r="BJ502" s="1"/>
      <c r="BK502" s="1"/>
      <c r="BL502" s="1"/>
      <c r="BM502" s="1"/>
      <c r="BN502" s="1"/>
    </row>
    <row r="503" spans="1:66" ht="15.75" customHeight="1" x14ac:dyDescent="0.25">
      <c r="A503" s="1"/>
      <c r="B503" s="2"/>
      <c r="C503" s="3"/>
      <c r="D503" s="2"/>
      <c r="E503" s="52"/>
      <c r="F503" s="52"/>
      <c r="G503" s="52"/>
      <c r="H503" s="2"/>
      <c r="I503" s="2"/>
      <c r="J503" s="2"/>
      <c r="K503" s="2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2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1"/>
      <c r="AP503" s="1"/>
      <c r="AQ503" s="1"/>
      <c r="AR503" s="1"/>
      <c r="AS503" s="1"/>
      <c r="AT503" s="1"/>
      <c r="AU503" s="1"/>
      <c r="AV503" s="1"/>
      <c r="AW503" s="1"/>
      <c r="AX503" s="1"/>
      <c r="AY503" s="1"/>
      <c r="AZ503" s="1"/>
      <c r="BA503" s="1"/>
      <c r="BB503" s="1"/>
      <c r="BC503" s="1"/>
      <c r="BD503" s="1"/>
      <c r="BE503" s="1"/>
      <c r="BF503" s="1"/>
      <c r="BG503" s="1"/>
      <c r="BH503" s="1"/>
      <c r="BI503" s="1"/>
      <c r="BJ503" s="1"/>
      <c r="BK503" s="1"/>
      <c r="BL503" s="1"/>
      <c r="BM503" s="1"/>
      <c r="BN503" s="1"/>
    </row>
    <row r="504" spans="1:66" ht="15.75" customHeight="1" x14ac:dyDescent="0.25">
      <c r="A504" s="1"/>
      <c r="B504" s="2"/>
      <c r="C504" s="3"/>
      <c r="D504" s="2"/>
      <c r="E504" s="52"/>
      <c r="F504" s="52"/>
      <c r="G504" s="52"/>
      <c r="H504" s="2"/>
      <c r="I504" s="2"/>
      <c r="J504" s="2"/>
      <c r="K504" s="2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2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  <c r="AZ504" s="1"/>
      <c r="BA504" s="1"/>
      <c r="BB504" s="1"/>
      <c r="BC504" s="1"/>
      <c r="BD504" s="1"/>
      <c r="BE504" s="1"/>
      <c r="BF504" s="1"/>
      <c r="BG504" s="1"/>
      <c r="BH504" s="1"/>
      <c r="BI504" s="1"/>
      <c r="BJ504" s="1"/>
      <c r="BK504" s="1"/>
      <c r="BL504" s="1"/>
      <c r="BM504" s="1"/>
      <c r="BN504" s="1"/>
    </row>
    <row r="505" spans="1:66" ht="15.75" customHeight="1" x14ac:dyDescent="0.25">
      <c r="A505" s="1"/>
      <c r="B505" s="2"/>
      <c r="C505" s="3"/>
      <c r="D505" s="2"/>
      <c r="E505" s="52"/>
      <c r="F505" s="52"/>
      <c r="G505" s="52"/>
      <c r="H505" s="2"/>
      <c r="I505" s="2"/>
      <c r="J505" s="2"/>
      <c r="K505" s="2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2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  <c r="AZ505" s="1"/>
      <c r="BA505" s="1"/>
      <c r="BB505" s="1"/>
      <c r="BC505" s="1"/>
      <c r="BD505" s="1"/>
      <c r="BE505" s="1"/>
      <c r="BF505" s="1"/>
      <c r="BG505" s="1"/>
      <c r="BH505" s="1"/>
      <c r="BI505" s="1"/>
      <c r="BJ505" s="1"/>
      <c r="BK505" s="1"/>
      <c r="BL505" s="1"/>
      <c r="BM505" s="1"/>
      <c r="BN505" s="1"/>
    </row>
    <row r="506" spans="1:66" ht="15.75" customHeight="1" x14ac:dyDescent="0.25">
      <c r="A506" s="1"/>
      <c r="B506" s="2"/>
      <c r="C506" s="3"/>
      <c r="D506" s="2"/>
      <c r="E506" s="52"/>
      <c r="F506" s="52"/>
      <c r="G506" s="52"/>
      <c r="H506" s="2"/>
      <c r="I506" s="2"/>
      <c r="J506" s="2"/>
      <c r="K506" s="2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2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1"/>
      <c r="AP506" s="1"/>
      <c r="AQ506" s="1"/>
      <c r="AR506" s="1"/>
      <c r="AS506" s="1"/>
      <c r="AT506" s="1"/>
      <c r="AU506" s="1"/>
      <c r="AV506" s="1"/>
      <c r="AW506" s="1"/>
      <c r="AX506" s="1"/>
      <c r="AY506" s="1"/>
      <c r="AZ506" s="1"/>
      <c r="BA506" s="1"/>
      <c r="BB506" s="1"/>
      <c r="BC506" s="1"/>
      <c r="BD506" s="1"/>
      <c r="BE506" s="1"/>
      <c r="BF506" s="1"/>
      <c r="BG506" s="1"/>
      <c r="BH506" s="1"/>
      <c r="BI506" s="1"/>
      <c r="BJ506" s="1"/>
      <c r="BK506" s="1"/>
      <c r="BL506" s="1"/>
      <c r="BM506" s="1"/>
      <c r="BN506" s="1"/>
    </row>
    <row r="507" spans="1:66" ht="15.75" customHeight="1" x14ac:dyDescent="0.25">
      <c r="A507" s="1"/>
      <c r="B507" s="2"/>
      <c r="C507" s="3"/>
      <c r="D507" s="2"/>
      <c r="E507" s="52"/>
      <c r="F507" s="52"/>
      <c r="G507" s="52"/>
      <c r="H507" s="2"/>
      <c r="I507" s="2"/>
      <c r="J507" s="2"/>
      <c r="K507" s="2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2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1"/>
      <c r="AP507" s="1"/>
      <c r="AQ507" s="1"/>
      <c r="AR507" s="1"/>
      <c r="AS507" s="1"/>
      <c r="AT507" s="1"/>
      <c r="AU507" s="1"/>
      <c r="AV507" s="1"/>
      <c r="AW507" s="1"/>
      <c r="AX507" s="1"/>
      <c r="AY507" s="1"/>
      <c r="AZ507" s="1"/>
      <c r="BA507" s="1"/>
      <c r="BB507" s="1"/>
      <c r="BC507" s="1"/>
      <c r="BD507" s="1"/>
      <c r="BE507" s="1"/>
      <c r="BF507" s="1"/>
      <c r="BG507" s="1"/>
      <c r="BH507" s="1"/>
      <c r="BI507" s="1"/>
      <c r="BJ507" s="1"/>
      <c r="BK507" s="1"/>
      <c r="BL507" s="1"/>
      <c r="BM507" s="1"/>
      <c r="BN507" s="1"/>
    </row>
    <row r="508" spans="1:66" ht="15.75" customHeight="1" x14ac:dyDescent="0.25">
      <c r="A508" s="1"/>
      <c r="B508" s="2"/>
      <c r="C508" s="3"/>
      <c r="D508" s="2"/>
      <c r="E508" s="52"/>
      <c r="F508" s="52"/>
      <c r="G508" s="52"/>
      <c r="H508" s="2"/>
      <c r="I508" s="2"/>
      <c r="J508" s="2"/>
      <c r="K508" s="2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2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1"/>
      <c r="AP508" s="1"/>
      <c r="AQ508" s="1"/>
      <c r="AR508" s="1"/>
      <c r="AS508" s="1"/>
      <c r="AT508" s="1"/>
      <c r="AU508" s="1"/>
      <c r="AV508" s="1"/>
      <c r="AW508" s="1"/>
      <c r="AX508" s="1"/>
      <c r="AY508" s="1"/>
      <c r="AZ508" s="1"/>
      <c r="BA508" s="1"/>
      <c r="BB508" s="1"/>
      <c r="BC508" s="1"/>
      <c r="BD508" s="1"/>
      <c r="BE508" s="1"/>
      <c r="BF508" s="1"/>
      <c r="BG508" s="1"/>
      <c r="BH508" s="1"/>
      <c r="BI508" s="1"/>
      <c r="BJ508" s="1"/>
      <c r="BK508" s="1"/>
      <c r="BL508" s="1"/>
      <c r="BM508" s="1"/>
      <c r="BN508" s="1"/>
    </row>
    <row r="509" spans="1:66" ht="15.75" customHeight="1" x14ac:dyDescent="0.25">
      <c r="A509" s="1"/>
      <c r="B509" s="2"/>
      <c r="C509" s="3"/>
      <c r="D509" s="2"/>
      <c r="E509" s="52"/>
      <c r="F509" s="52"/>
      <c r="G509" s="52"/>
      <c r="H509" s="2"/>
      <c r="I509" s="2"/>
      <c r="J509" s="2"/>
      <c r="K509" s="2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2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1"/>
      <c r="AP509" s="1"/>
      <c r="AQ509" s="1"/>
      <c r="AR509" s="1"/>
      <c r="AS509" s="1"/>
      <c r="AT509" s="1"/>
      <c r="AU509" s="1"/>
      <c r="AV509" s="1"/>
      <c r="AW509" s="1"/>
      <c r="AX509" s="1"/>
      <c r="AY509" s="1"/>
      <c r="AZ509" s="1"/>
      <c r="BA509" s="1"/>
      <c r="BB509" s="1"/>
      <c r="BC509" s="1"/>
      <c r="BD509" s="1"/>
      <c r="BE509" s="1"/>
      <c r="BF509" s="1"/>
      <c r="BG509" s="1"/>
      <c r="BH509" s="1"/>
      <c r="BI509" s="1"/>
      <c r="BJ509" s="1"/>
      <c r="BK509" s="1"/>
      <c r="BL509" s="1"/>
      <c r="BM509" s="1"/>
      <c r="BN509" s="1"/>
    </row>
    <row r="510" spans="1:66" ht="15.75" customHeight="1" x14ac:dyDescent="0.25">
      <c r="A510" s="1"/>
      <c r="B510" s="2"/>
      <c r="C510" s="3"/>
      <c r="D510" s="2"/>
      <c r="E510" s="52"/>
      <c r="F510" s="52"/>
      <c r="G510" s="52"/>
      <c r="H510" s="2"/>
      <c r="I510" s="2"/>
      <c r="J510" s="2"/>
      <c r="K510" s="2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2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1"/>
      <c r="AZ510" s="1"/>
      <c r="BA510" s="1"/>
      <c r="BB510" s="1"/>
      <c r="BC510" s="1"/>
      <c r="BD510" s="1"/>
      <c r="BE510" s="1"/>
      <c r="BF510" s="1"/>
      <c r="BG510" s="1"/>
      <c r="BH510" s="1"/>
      <c r="BI510" s="1"/>
      <c r="BJ510" s="1"/>
      <c r="BK510" s="1"/>
      <c r="BL510" s="1"/>
      <c r="BM510" s="1"/>
      <c r="BN510" s="1"/>
    </row>
    <row r="511" spans="1:66" ht="15.75" customHeight="1" x14ac:dyDescent="0.25">
      <c r="A511" s="1"/>
      <c r="B511" s="2"/>
      <c r="C511" s="3"/>
      <c r="D511" s="2"/>
      <c r="E511" s="52"/>
      <c r="F511" s="52"/>
      <c r="G511" s="52"/>
      <c r="H511" s="2"/>
      <c r="I511" s="2"/>
      <c r="J511" s="2"/>
      <c r="K511" s="2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2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1"/>
      <c r="AP511" s="1"/>
      <c r="AQ511" s="1"/>
      <c r="AR511" s="1"/>
      <c r="AS511" s="1"/>
      <c r="AT511" s="1"/>
      <c r="AU511" s="1"/>
      <c r="AV511" s="1"/>
      <c r="AW511" s="1"/>
      <c r="AX511" s="1"/>
      <c r="AY511" s="1"/>
      <c r="AZ511" s="1"/>
      <c r="BA511" s="1"/>
      <c r="BB511" s="1"/>
      <c r="BC511" s="1"/>
      <c r="BD511" s="1"/>
      <c r="BE511" s="1"/>
      <c r="BF511" s="1"/>
      <c r="BG511" s="1"/>
      <c r="BH511" s="1"/>
      <c r="BI511" s="1"/>
      <c r="BJ511" s="1"/>
      <c r="BK511" s="1"/>
      <c r="BL511" s="1"/>
      <c r="BM511" s="1"/>
      <c r="BN511" s="1"/>
    </row>
    <row r="512" spans="1:66" ht="15.75" customHeight="1" x14ac:dyDescent="0.25">
      <c r="A512" s="1"/>
      <c r="B512" s="2"/>
      <c r="C512" s="3"/>
      <c r="D512" s="2"/>
      <c r="E512" s="52"/>
      <c r="F512" s="52"/>
      <c r="G512" s="52"/>
      <c r="H512" s="2"/>
      <c r="I512" s="2"/>
      <c r="J512" s="2"/>
      <c r="K512" s="2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2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1"/>
      <c r="AP512" s="1"/>
      <c r="AQ512" s="1"/>
      <c r="AR512" s="1"/>
      <c r="AS512" s="1"/>
      <c r="AT512" s="1"/>
      <c r="AU512" s="1"/>
      <c r="AV512" s="1"/>
      <c r="AW512" s="1"/>
      <c r="AX512" s="1"/>
      <c r="AY512" s="1"/>
      <c r="AZ512" s="1"/>
      <c r="BA512" s="1"/>
      <c r="BB512" s="1"/>
      <c r="BC512" s="1"/>
      <c r="BD512" s="1"/>
      <c r="BE512" s="1"/>
      <c r="BF512" s="1"/>
      <c r="BG512" s="1"/>
      <c r="BH512" s="1"/>
      <c r="BI512" s="1"/>
      <c r="BJ512" s="1"/>
      <c r="BK512" s="1"/>
      <c r="BL512" s="1"/>
      <c r="BM512" s="1"/>
      <c r="BN512" s="1"/>
    </row>
    <row r="513" spans="1:66" ht="15.75" customHeight="1" x14ac:dyDescent="0.25">
      <c r="A513" s="1"/>
      <c r="B513" s="2"/>
      <c r="C513" s="3"/>
      <c r="D513" s="2"/>
      <c r="E513" s="52"/>
      <c r="F513" s="52"/>
      <c r="G513" s="52"/>
      <c r="H513" s="2"/>
      <c r="I513" s="2"/>
      <c r="J513" s="2"/>
      <c r="K513" s="2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2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1"/>
      <c r="AP513" s="1"/>
      <c r="AQ513" s="1"/>
      <c r="AR513" s="1"/>
      <c r="AS513" s="1"/>
      <c r="AT513" s="1"/>
      <c r="AU513" s="1"/>
      <c r="AV513" s="1"/>
      <c r="AW513" s="1"/>
      <c r="AX513" s="1"/>
      <c r="AY513" s="1"/>
      <c r="AZ513" s="1"/>
      <c r="BA513" s="1"/>
      <c r="BB513" s="1"/>
      <c r="BC513" s="1"/>
      <c r="BD513" s="1"/>
      <c r="BE513" s="1"/>
      <c r="BF513" s="1"/>
      <c r="BG513" s="1"/>
      <c r="BH513" s="1"/>
      <c r="BI513" s="1"/>
      <c r="BJ513" s="1"/>
      <c r="BK513" s="1"/>
      <c r="BL513" s="1"/>
      <c r="BM513" s="1"/>
      <c r="BN513" s="1"/>
    </row>
    <row r="514" spans="1:66" ht="15.75" customHeight="1" x14ac:dyDescent="0.25">
      <c r="A514" s="1"/>
      <c r="B514" s="2"/>
      <c r="C514" s="3"/>
      <c r="D514" s="2"/>
      <c r="E514" s="52"/>
      <c r="F514" s="52"/>
      <c r="G514" s="52"/>
      <c r="H514" s="2"/>
      <c r="I514" s="2"/>
      <c r="J514" s="2"/>
      <c r="K514" s="2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2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1"/>
      <c r="AP514" s="1"/>
      <c r="AQ514" s="1"/>
      <c r="AR514" s="1"/>
      <c r="AS514" s="1"/>
      <c r="AT514" s="1"/>
      <c r="AU514" s="1"/>
      <c r="AV514" s="1"/>
      <c r="AW514" s="1"/>
      <c r="AX514" s="1"/>
      <c r="AY514" s="1"/>
      <c r="AZ514" s="1"/>
      <c r="BA514" s="1"/>
      <c r="BB514" s="1"/>
      <c r="BC514" s="1"/>
      <c r="BD514" s="1"/>
      <c r="BE514" s="1"/>
      <c r="BF514" s="1"/>
      <c r="BG514" s="1"/>
      <c r="BH514" s="1"/>
      <c r="BI514" s="1"/>
      <c r="BJ514" s="1"/>
      <c r="BK514" s="1"/>
      <c r="BL514" s="1"/>
      <c r="BM514" s="1"/>
      <c r="BN514" s="1"/>
    </row>
    <row r="515" spans="1:66" ht="15.75" customHeight="1" x14ac:dyDescent="0.25">
      <c r="A515" s="1"/>
      <c r="B515" s="2"/>
      <c r="C515" s="3"/>
      <c r="D515" s="2"/>
      <c r="E515" s="52"/>
      <c r="F515" s="52"/>
      <c r="G515" s="52"/>
      <c r="H515" s="2"/>
      <c r="I515" s="2"/>
      <c r="J515" s="2"/>
      <c r="K515" s="2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2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1"/>
      <c r="AP515" s="1"/>
      <c r="AQ515" s="1"/>
      <c r="AR515" s="1"/>
      <c r="AS515" s="1"/>
      <c r="AT515" s="1"/>
      <c r="AU515" s="1"/>
      <c r="AV515" s="1"/>
      <c r="AW515" s="1"/>
      <c r="AX515" s="1"/>
      <c r="AY515" s="1"/>
      <c r="AZ515" s="1"/>
      <c r="BA515" s="1"/>
      <c r="BB515" s="1"/>
      <c r="BC515" s="1"/>
      <c r="BD515" s="1"/>
      <c r="BE515" s="1"/>
      <c r="BF515" s="1"/>
      <c r="BG515" s="1"/>
      <c r="BH515" s="1"/>
      <c r="BI515" s="1"/>
      <c r="BJ515" s="1"/>
      <c r="BK515" s="1"/>
      <c r="BL515" s="1"/>
      <c r="BM515" s="1"/>
      <c r="BN515" s="1"/>
    </row>
    <row r="516" spans="1:66" ht="15.75" customHeight="1" x14ac:dyDescent="0.25">
      <c r="A516" s="1"/>
      <c r="B516" s="2"/>
      <c r="C516" s="3"/>
      <c r="D516" s="2"/>
      <c r="E516" s="52"/>
      <c r="F516" s="52"/>
      <c r="G516" s="52"/>
      <c r="H516" s="2"/>
      <c r="I516" s="2"/>
      <c r="J516" s="2"/>
      <c r="K516" s="2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2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1"/>
      <c r="AP516" s="1"/>
      <c r="AQ516" s="1"/>
      <c r="AR516" s="1"/>
      <c r="AS516" s="1"/>
      <c r="AT516" s="1"/>
      <c r="AU516" s="1"/>
      <c r="AV516" s="1"/>
      <c r="AW516" s="1"/>
      <c r="AX516" s="1"/>
      <c r="AY516" s="1"/>
      <c r="AZ516" s="1"/>
      <c r="BA516" s="1"/>
      <c r="BB516" s="1"/>
      <c r="BC516" s="1"/>
      <c r="BD516" s="1"/>
      <c r="BE516" s="1"/>
      <c r="BF516" s="1"/>
      <c r="BG516" s="1"/>
      <c r="BH516" s="1"/>
      <c r="BI516" s="1"/>
      <c r="BJ516" s="1"/>
      <c r="BK516" s="1"/>
      <c r="BL516" s="1"/>
      <c r="BM516" s="1"/>
      <c r="BN516" s="1"/>
    </row>
    <row r="517" spans="1:66" ht="15.75" customHeight="1" x14ac:dyDescent="0.25">
      <c r="A517" s="1"/>
      <c r="B517" s="2"/>
      <c r="C517" s="3"/>
      <c r="D517" s="2"/>
      <c r="E517" s="52"/>
      <c r="F517" s="52"/>
      <c r="G517" s="52"/>
      <c r="H517" s="2"/>
      <c r="I517" s="2"/>
      <c r="J517" s="2"/>
      <c r="K517" s="2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2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1"/>
      <c r="AP517" s="1"/>
      <c r="AQ517" s="1"/>
      <c r="AR517" s="1"/>
      <c r="AS517" s="1"/>
      <c r="AT517" s="1"/>
      <c r="AU517" s="1"/>
      <c r="AV517" s="1"/>
      <c r="AW517" s="1"/>
      <c r="AX517" s="1"/>
      <c r="AY517" s="1"/>
      <c r="AZ517" s="1"/>
      <c r="BA517" s="1"/>
      <c r="BB517" s="1"/>
      <c r="BC517" s="1"/>
      <c r="BD517" s="1"/>
      <c r="BE517" s="1"/>
      <c r="BF517" s="1"/>
      <c r="BG517" s="1"/>
      <c r="BH517" s="1"/>
      <c r="BI517" s="1"/>
      <c r="BJ517" s="1"/>
      <c r="BK517" s="1"/>
      <c r="BL517" s="1"/>
      <c r="BM517" s="1"/>
      <c r="BN517" s="1"/>
    </row>
    <row r="518" spans="1:66" ht="15.75" customHeight="1" x14ac:dyDescent="0.25">
      <c r="A518" s="1"/>
      <c r="B518" s="2"/>
      <c r="C518" s="3"/>
      <c r="D518" s="2"/>
      <c r="E518" s="52"/>
      <c r="F518" s="52"/>
      <c r="G518" s="52"/>
      <c r="H518" s="2"/>
      <c r="I518" s="2"/>
      <c r="J518" s="2"/>
      <c r="K518" s="2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2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1"/>
      <c r="AP518" s="1"/>
      <c r="AQ518" s="1"/>
      <c r="AR518" s="1"/>
      <c r="AS518" s="1"/>
      <c r="AT518" s="1"/>
      <c r="AU518" s="1"/>
      <c r="AV518" s="1"/>
      <c r="AW518" s="1"/>
      <c r="AX518" s="1"/>
      <c r="AY518" s="1"/>
      <c r="AZ518" s="1"/>
      <c r="BA518" s="1"/>
      <c r="BB518" s="1"/>
      <c r="BC518" s="1"/>
      <c r="BD518" s="1"/>
      <c r="BE518" s="1"/>
      <c r="BF518" s="1"/>
      <c r="BG518" s="1"/>
      <c r="BH518" s="1"/>
      <c r="BI518" s="1"/>
      <c r="BJ518" s="1"/>
      <c r="BK518" s="1"/>
      <c r="BL518" s="1"/>
      <c r="BM518" s="1"/>
      <c r="BN518" s="1"/>
    </row>
    <row r="519" spans="1:66" ht="15.75" customHeight="1" x14ac:dyDescent="0.25">
      <c r="A519" s="1"/>
      <c r="B519" s="2"/>
      <c r="C519" s="3"/>
      <c r="D519" s="2"/>
      <c r="E519" s="52"/>
      <c r="F519" s="52"/>
      <c r="G519" s="52"/>
      <c r="H519" s="2"/>
      <c r="I519" s="2"/>
      <c r="J519" s="2"/>
      <c r="K519" s="2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2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1"/>
      <c r="AP519" s="1"/>
      <c r="AQ519" s="1"/>
      <c r="AR519" s="1"/>
      <c r="AS519" s="1"/>
      <c r="AT519" s="1"/>
      <c r="AU519" s="1"/>
      <c r="AV519" s="1"/>
      <c r="AW519" s="1"/>
      <c r="AX519" s="1"/>
      <c r="AY519" s="1"/>
      <c r="AZ519" s="1"/>
      <c r="BA519" s="1"/>
      <c r="BB519" s="1"/>
      <c r="BC519" s="1"/>
      <c r="BD519" s="1"/>
      <c r="BE519" s="1"/>
      <c r="BF519" s="1"/>
      <c r="BG519" s="1"/>
      <c r="BH519" s="1"/>
      <c r="BI519" s="1"/>
      <c r="BJ519" s="1"/>
      <c r="BK519" s="1"/>
      <c r="BL519" s="1"/>
      <c r="BM519" s="1"/>
      <c r="BN519" s="1"/>
    </row>
    <row r="520" spans="1:66" ht="15.75" customHeight="1" x14ac:dyDescent="0.25">
      <c r="A520" s="1"/>
      <c r="B520" s="2"/>
      <c r="C520" s="3"/>
      <c r="D520" s="2"/>
      <c r="E520" s="52"/>
      <c r="F520" s="52"/>
      <c r="G520" s="52"/>
      <c r="H520" s="2"/>
      <c r="I520" s="2"/>
      <c r="J520" s="2"/>
      <c r="K520" s="2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2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1"/>
      <c r="AP520" s="1"/>
      <c r="AQ520" s="1"/>
      <c r="AR520" s="1"/>
      <c r="AS520" s="1"/>
      <c r="AT520" s="1"/>
      <c r="AU520" s="1"/>
      <c r="AV520" s="1"/>
      <c r="AW520" s="1"/>
      <c r="AX520" s="1"/>
      <c r="AY520" s="1"/>
      <c r="AZ520" s="1"/>
      <c r="BA520" s="1"/>
      <c r="BB520" s="1"/>
      <c r="BC520" s="1"/>
      <c r="BD520" s="1"/>
      <c r="BE520" s="1"/>
      <c r="BF520" s="1"/>
      <c r="BG520" s="1"/>
      <c r="BH520" s="1"/>
      <c r="BI520" s="1"/>
      <c r="BJ520" s="1"/>
      <c r="BK520" s="1"/>
      <c r="BL520" s="1"/>
      <c r="BM520" s="1"/>
      <c r="BN520" s="1"/>
    </row>
    <row r="521" spans="1:66" ht="15.75" customHeight="1" x14ac:dyDescent="0.25">
      <c r="A521" s="1"/>
      <c r="B521" s="2"/>
      <c r="C521" s="3"/>
      <c r="D521" s="2"/>
      <c r="E521" s="52"/>
      <c r="F521" s="52"/>
      <c r="G521" s="52"/>
      <c r="H521" s="2"/>
      <c r="I521" s="2"/>
      <c r="J521" s="2"/>
      <c r="K521" s="2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2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1"/>
      <c r="AP521" s="1"/>
      <c r="AQ521" s="1"/>
      <c r="AR521" s="1"/>
      <c r="AS521" s="1"/>
      <c r="AT521" s="1"/>
      <c r="AU521" s="1"/>
      <c r="AV521" s="1"/>
      <c r="AW521" s="1"/>
      <c r="AX521" s="1"/>
      <c r="AY521" s="1"/>
      <c r="AZ521" s="1"/>
      <c r="BA521" s="1"/>
      <c r="BB521" s="1"/>
      <c r="BC521" s="1"/>
      <c r="BD521" s="1"/>
      <c r="BE521" s="1"/>
      <c r="BF521" s="1"/>
      <c r="BG521" s="1"/>
      <c r="BH521" s="1"/>
      <c r="BI521" s="1"/>
      <c r="BJ521" s="1"/>
      <c r="BK521" s="1"/>
      <c r="BL521" s="1"/>
      <c r="BM521" s="1"/>
      <c r="BN521" s="1"/>
    </row>
    <row r="522" spans="1:66" ht="15.75" customHeight="1" x14ac:dyDescent="0.25">
      <c r="A522" s="1"/>
      <c r="B522" s="2"/>
      <c r="C522" s="3"/>
      <c r="D522" s="2"/>
      <c r="E522" s="52"/>
      <c r="F522" s="52"/>
      <c r="G522" s="52"/>
      <c r="H522" s="2"/>
      <c r="I522" s="2"/>
      <c r="J522" s="2"/>
      <c r="K522" s="2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2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1"/>
      <c r="AP522" s="1"/>
      <c r="AQ522" s="1"/>
      <c r="AR522" s="1"/>
      <c r="AS522" s="1"/>
      <c r="AT522" s="1"/>
      <c r="AU522" s="1"/>
      <c r="AV522" s="1"/>
      <c r="AW522" s="1"/>
      <c r="AX522" s="1"/>
      <c r="AY522" s="1"/>
      <c r="AZ522" s="1"/>
      <c r="BA522" s="1"/>
      <c r="BB522" s="1"/>
      <c r="BC522" s="1"/>
      <c r="BD522" s="1"/>
      <c r="BE522" s="1"/>
      <c r="BF522" s="1"/>
      <c r="BG522" s="1"/>
      <c r="BH522" s="1"/>
      <c r="BI522" s="1"/>
      <c r="BJ522" s="1"/>
      <c r="BK522" s="1"/>
      <c r="BL522" s="1"/>
      <c r="BM522" s="1"/>
      <c r="BN522" s="1"/>
    </row>
    <row r="523" spans="1:66" ht="15.75" customHeight="1" x14ac:dyDescent="0.25">
      <c r="A523" s="1"/>
      <c r="B523" s="2"/>
      <c r="C523" s="3"/>
      <c r="D523" s="2"/>
      <c r="E523" s="52"/>
      <c r="F523" s="52"/>
      <c r="G523" s="52"/>
      <c r="H523" s="2"/>
      <c r="I523" s="2"/>
      <c r="J523" s="2"/>
      <c r="K523" s="2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2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1"/>
      <c r="AZ523" s="1"/>
      <c r="BA523" s="1"/>
      <c r="BB523" s="1"/>
      <c r="BC523" s="1"/>
      <c r="BD523" s="1"/>
      <c r="BE523" s="1"/>
      <c r="BF523" s="1"/>
      <c r="BG523" s="1"/>
      <c r="BH523" s="1"/>
      <c r="BI523" s="1"/>
      <c r="BJ523" s="1"/>
      <c r="BK523" s="1"/>
      <c r="BL523" s="1"/>
      <c r="BM523" s="1"/>
      <c r="BN523" s="1"/>
    </row>
    <row r="524" spans="1:66" ht="15.75" customHeight="1" x14ac:dyDescent="0.25">
      <c r="A524" s="1"/>
      <c r="B524" s="2"/>
      <c r="C524" s="3"/>
      <c r="D524" s="2"/>
      <c r="E524" s="52"/>
      <c r="F524" s="52"/>
      <c r="G524" s="52"/>
      <c r="H524" s="2"/>
      <c r="I524" s="2"/>
      <c r="J524" s="2"/>
      <c r="K524" s="2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2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1"/>
      <c r="AP524" s="1"/>
      <c r="AQ524" s="1"/>
      <c r="AR524" s="1"/>
      <c r="AS524" s="1"/>
      <c r="AT524" s="1"/>
      <c r="AU524" s="1"/>
      <c r="AV524" s="1"/>
      <c r="AW524" s="1"/>
      <c r="AX524" s="1"/>
      <c r="AY524" s="1"/>
      <c r="AZ524" s="1"/>
      <c r="BA524" s="1"/>
      <c r="BB524" s="1"/>
      <c r="BC524" s="1"/>
      <c r="BD524" s="1"/>
      <c r="BE524" s="1"/>
      <c r="BF524" s="1"/>
      <c r="BG524" s="1"/>
      <c r="BH524" s="1"/>
      <c r="BI524" s="1"/>
      <c r="BJ524" s="1"/>
      <c r="BK524" s="1"/>
      <c r="BL524" s="1"/>
      <c r="BM524" s="1"/>
      <c r="BN524" s="1"/>
    </row>
    <row r="525" spans="1:66" ht="15.75" customHeight="1" x14ac:dyDescent="0.25">
      <c r="A525" s="1"/>
      <c r="B525" s="2"/>
      <c r="C525" s="3"/>
      <c r="D525" s="2"/>
      <c r="E525" s="52"/>
      <c r="F525" s="52"/>
      <c r="G525" s="52"/>
      <c r="H525" s="2"/>
      <c r="I525" s="2"/>
      <c r="J525" s="2"/>
      <c r="K525" s="2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2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1"/>
      <c r="AP525" s="1"/>
      <c r="AQ525" s="1"/>
      <c r="AR525" s="1"/>
      <c r="AS525" s="1"/>
      <c r="AT525" s="1"/>
      <c r="AU525" s="1"/>
      <c r="AV525" s="1"/>
      <c r="AW525" s="1"/>
      <c r="AX525" s="1"/>
      <c r="AY525" s="1"/>
      <c r="AZ525" s="1"/>
      <c r="BA525" s="1"/>
      <c r="BB525" s="1"/>
      <c r="BC525" s="1"/>
      <c r="BD525" s="1"/>
      <c r="BE525" s="1"/>
      <c r="BF525" s="1"/>
      <c r="BG525" s="1"/>
      <c r="BH525" s="1"/>
      <c r="BI525" s="1"/>
      <c r="BJ525" s="1"/>
      <c r="BK525" s="1"/>
      <c r="BL525" s="1"/>
      <c r="BM525" s="1"/>
      <c r="BN525" s="1"/>
    </row>
    <row r="526" spans="1:66" ht="15.75" customHeight="1" x14ac:dyDescent="0.25">
      <c r="A526" s="1"/>
      <c r="B526" s="2"/>
      <c r="C526" s="3"/>
      <c r="D526" s="2"/>
      <c r="E526" s="52"/>
      <c r="F526" s="52"/>
      <c r="G526" s="52"/>
      <c r="H526" s="2"/>
      <c r="I526" s="2"/>
      <c r="J526" s="2"/>
      <c r="K526" s="2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2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1"/>
      <c r="AP526" s="1"/>
      <c r="AQ526" s="1"/>
      <c r="AR526" s="1"/>
      <c r="AS526" s="1"/>
      <c r="AT526" s="1"/>
      <c r="AU526" s="1"/>
      <c r="AV526" s="1"/>
      <c r="AW526" s="1"/>
      <c r="AX526" s="1"/>
      <c r="AY526" s="1"/>
      <c r="AZ526" s="1"/>
      <c r="BA526" s="1"/>
      <c r="BB526" s="1"/>
      <c r="BC526" s="1"/>
      <c r="BD526" s="1"/>
      <c r="BE526" s="1"/>
      <c r="BF526" s="1"/>
      <c r="BG526" s="1"/>
      <c r="BH526" s="1"/>
      <c r="BI526" s="1"/>
      <c r="BJ526" s="1"/>
      <c r="BK526" s="1"/>
      <c r="BL526" s="1"/>
      <c r="BM526" s="1"/>
      <c r="BN526" s="1"/>
    </row>
    <row r="527" spans="1:66" ht="15.75" customHeight="1" x14ac:dyDescent="0.25">
      <c r="A527" s="1"/>
      <c r="B527" s="2"/>
      <c r="C527" s="3"/>
      <c r="D527" s="2"/>
      <c r="E527" s="52"/>
      <c r="F527" s="52"/>
      <c r="G527" s="52"/>
      <c r="H527" s="2"/>
      <c r="I527" s="2"/>
      <c r="J527" s="2"/>
      <c r="K527" s="2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2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1"/>
      <c r="AP527" s="1"/>
      <c r="AQ527" s="1"/>
      <c r="AR527" s="1"/>
      <c r="AS527" s="1"/>
      <c r="AT527" s="1"/>
      <c r="AU527" s="1"/>
      <c r="AV527" s="1"/>
      <c r="AW527" s="1"/>
      <c r="AX527" s="1"/>
      <c r="AY527" s="1"/>
      <c r="AZ527" s="1"/>
      <c r="BA527" s="1"/>
      <c r="BB527" s="1"/>
      <c r="BC527" s="1"/>
      <c r="BD527" s="1"/>
      <c r="BE527" s="1"/>
      <c r="BF527" s="1"/>
      <c r="BG527" s="1"/>
      <c r="BH527" s="1"/>
      <c r="BI527" s="1"/>
      <c r="BJ527" s="1"/>
      <c r="BK527" s="1"/>
      <c r="BL527" s="1"/>
      <c r="BM527" s="1"/>
      <c r="BN527" s="1"/>
    </row>
    <row r="528" spans="1:66" ht="15.75" customHeight="1" x14ac:dyDescent="0.25">
      <c r="A528" s="1"/>
      <c r="B528" s="2"/>
      <c r="C528" s="3"/>
      <c r="D528" s="2"/>
      <c r="E528" s="52"/>
      <c r="F528" s="52"/>
      <c r="G528" s="52"/>
      <c r="H528" s="2"/>
      <c r="I528" s="2"/>
      <c r="J528" s="2"/>
      <c r="K528" s="2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2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1"/>
      <c r="AZ528" s="1"/>
      <c r="BA528" s="1"/>
      <c r="BB528" s="1"/>
      <c r="BC528" s="1"/>
      <c r="BD528" s="1"/>
      <c r="BE528" s="1"/>
      <c r="BF528" s="1"/>
      <c r="BG528" s="1"/>
      <c r="BH528" s="1"/>
      <c r="BI528" s="1"/>
      <c r="BJ528" s="1"/>
      <c r="BK528" s="1"/>
      <c r="BL528" s="1"/>
      <c r="BM528" s="1"/>
      <c r="BN528" s="1"/>
    </row>
    <row r="529" spans="1:66" ht="15.75" customHeight="1" x14ac:dyDescent="0.25">
      <c r="A529" s="1"/>
      <c r="B529" s="2"/>
      <c r="C529" s="3"/>
      <c r="D529" s="2"/>
      <c r="E529" s="52"/>
      <c r="F529" s="52"/>
      <c r="G529" s="52"/>
      <c r="H529" s="2"/>
      <c r="I529" s="2"/>
      <c r="J529" s="2"/>
      <c r="K529" s="2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2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1"/>
      <c r="AZ529" s="1"/>
      <c r="BA529" s="1"/>
      <c r="BB529" s="1"/>
      <c r="BC529" s="1"/>
      <c r="BD529" s="1"/>
      <c r="BE529" s="1"/>
      <c r="BF529" s="1"/>
      <c r="BG529" s="1"/>
      <c r="BH529" s="1"/>
      <c r="BI529" s="1"/>
      <c r="BJ529" s="1"/>
      <c r="BK529" s="1"/>
      <c r="BL529" s="1"/>
      <c r="BM529" s="1"/>
      <c r="BN529" s="1"/>
    </row>
    <row r="530" spans="1:66" ht="15.75" customHeight="1" x14ac:dyDescent="0.25">
      <c r="A530" s="1"/>
      <c r="B530" s="2"/>
      <c r="C530" s="3"/>
      <c r="D530" s="2"/>
      <c r="E530" s="52"/>
      <c r="F530" s="52"/>
      <c r="G530" s="52"/>
      <c r="H530" s="2"/>
      <c r="I530" s="2"/>
      <c r="J530" s="2"/>
      <c r="K530" s="2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2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1"/>
      <c r="AP530" s="1"/>
      <c r="AQ530" s="1"/>
      <c r="AR530" s="1"/>
      <c r="AS530" s="1"/>
      <c r="AT530" s="1"/>
      <c r="AU530" s="1"/>
      <c r="AV530" s="1"/>
      <c r="AW530" s="1"/>
      <c r="AX530" s="1"/>
      <c r="AY530" s="1"/>
      <c r="AZ530" s="1"/>
      <c r="BA530" s="1"/>
      <c r="BB530" s="1"/>
      <c r="BC530" s="1"/>
      <c r="BD530" s="1"/>
      <c r="BE530" s="1"/>
      <c r="BF530" s="1"/>
      <c r="BG530" s="1"/>
      <c r="BH530" s="1"/>
      <c r="BI530" s="1"/>
      <c r="BJ530" s="1"/>
      <c r="BK530" s="1"/>
      <c r="BL530" s="1"/>
      <c r="BM530" s="1"/>
      <c r="BN530" s="1"/>
    </row>
    <row r="531" spans="1:66" ht="15.75" customHeight="1" x14ac:dyDescent="0.25">
      <c r="A531" s="1"/>
      <c r="B531" s="2"/>
      <c r="C531" s="3"/>
      <c r="D531" s="2"/>
      <c r="E531" s="52"/>
      <c r="F531" s="52"/>
      <c r="G531" s="52"/>
      <c r="H531" s="2"/>
      <c r="I531" s="2"/>
      <c r="J531" s="2"/>
      <c r="K531" s="2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2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1"/>
      <c r="AP531" s="1"/>
      <c r="AQ531" s="1"/>
      <c r="AR531" s="1"/>
      <c r="AS531" s="1"/>
      <c r="AT531" s="1"/>
      <c r="AU531" s="1"/>
      <c r="AV531" s="1"/>
      <c r="AW531" s="1"/>
      <c r="AX531" s="1"/>
      <c r="AY531" s="1"/>
      <c r="AZ531" s="1"/>
      <c r="BA531" s="1"/>
      <c r="BB531" s="1"/>
      <c r="BC531" s="1"/>
      <c r="BD531" s="1"/>
      <c r="BE531" s="1"/>
      <c r="BF531" s="1"/>
      <c r="BG531" s="1"/>
      <c r="BH531" s="1"/>
      <c r="BI531" s="1"/>
      <c r="BJ531" s="1"/>
      <c r="BK531" s="1"/>
      <c r="BL531" s="1"/>
      <c r="BM531" s="1"/>
      <c r="BN531" s="1"/>
    </row>
    <row r="532" spans="1:66" ht="15.75" customHeight="1" x14ac:dyDescent="0.25">
      <c r="A532" s="1"/>
      <c r="B532" s="2"/>
      <c r="C532" s="3"/>
      <c r="D532" s="2"/>
      <c r="E532" s="52"/>
      <c r="F532" s="52"/>
      <c r="G532" s="52"/>
      <c r="H532" s="2"/>
      <c r="I532" s="2"/>
      <c r="J532" s="2"/>
      <c r="K532" s="2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2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1"/>
      <c r="AP532" s="1"/>
      <c r="AQ532" s="1"/>
      <c r="AR532" s="1"/>
      <c r="AS532" s="1"/>
      <c r="AT532" s="1"/>
      <c r="AU532" s="1"/>
      <c r="AV532" s="1"/>
      <c r="AW532" s="1"/>
      <c r="AX532" s="1"/>
      <c r="AY532" s="1"/>
      <c r="AZ532" s="1"/>
      <c r="BA532" s="1"/>
      <c r="BB532" s="1"/>
      <c r="BC532" s="1"/>
      <c r="BD532" s="1"/>
      <c r="BE532" s="1"/>
      <c r="BF532" s="1"/>
      <c r="BG532" s="1"/>
      <c r="BH532" s="1"/>
      <c r="BI532" s="1"/>
      <c r="BJ532" s="1"/>
      <c r="BK532" s="1"/>
      <c r="BL532" s="1"/>
      <c r="BM532" s="1"/>
      <c r="BN532" s="1"/>
    </row>
    <row r="533" spans="1:66" ht="15.75" customHeight="1" x14ac:dyDescent="0.25">
      <c r="A533" s="1"/>
      <c r="B533" s="2"/>
      <c r="C533" s="3"/>
      <c r="D533" s="2"/>
      <c r="E533" s="52"/>
      <c r="F533" s="52"/>
      <c r="G533" s="52"/>
      <c r="H533" s="2"/>
      <c r="I533" s="2"/>
      <c r="J533" s="2"/>
      <c r="K533" s="2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2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1"/>
      <c r="AZ533" s="1"/>
      <c r="BA533" s="1"/>
      <c r="BB533" s="1"/>
      <c r="BC533" s="1"/>
      <c r="BD533" s="1"/>
      <c r="BE533" s="1"/>
      <c r="BF533" s="1"/>
      <c r="BG533" s="1"/>
      <c r="BH533" s="1"/>
      <c r="BI533" s="1"/>
      <c r="BJ533" s="1"/>
      <c r="BK533" s="1"/>
      <c r="BL533" s="1"/>
      <c r="BM533" s="1"/>
      <c r="BN533" s="1"/>
    </row>
    <row r="534" spans="1:66" ht="15.75" customHeight="1" x14ac:dyDescent="0.25">
      <c r="A534" s="1"/>
      <c r="B534" s="2"/>
      <c r="C534" s="3"/>
      <c r="D534" s="2"/>
      <c r="E534" s="52"/>
      <c r="F534" s="52"/>
      <c r="G534" s="52"/>
      <c r="H534" s="2"/>
      <c r="I534" s="2"/>
      <c r="J534" s="2"/>
      <c r="K534" s="2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2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1"/>
      <c r="AZ534" s="1"/>
      <c r="BA534" s="1"/>
      <c r="BB534" s="1"/>
      <c r="BC534" s="1"/>
      <c r="BD534" s="1"/>
      <c r="BE534" s="1"/>
      <c r="BF534" s="1"/>
      <c r="BG534" s="1"/>
      <c r="BH534" s="1"/>
      <c r="BI534" s="1"/>
      <c r="BJ534" s="1"/>
      <c r="BK534" s="1"/>
      <c r="BL534" s="1"/>
      <c r="BM534" s="1"/>
      <c r="BN534" s="1"/>
    </row>
    <row r="535" spans="1:66" ht="15.75" customHeight="1" x14ac:dyDescent="0.25">
      <c r="A535" s="1"/>
      <c r="B535" s="2"/>
      <c r="C535" s="3"/>
      <c r="D535" s="2"/>
      <c r="E535" s="52"/>
      <c r="F535" s="52"/>
      <c r="G535" s="52"/>
      <c r="H535" s="2"/>
      <c r="I535" s="2"/>
      <c r="J535" s="2"/>
      <c r="K535" s="2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2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1"/>
      <c r="AZ535" s="1"/>
      <c r="BA535" s="1"/>
      <c r="BB535" s="1"/>
      <c r="BC535" s="1"/>
      <c r="BD535" s="1"/>
      <c r="BE535" s="1"/>
      <c r="BF535" s="1"/>
      <c r="BG535" s="1"/>
      <c r="BH535" s="1"/>
      <c r="BI535" s="1"/>
      <c r="BJ535" s="1"/>
      <c r="BK535" s="1"/>
      <c r="BL535" s="1"/>
      <c r="BM535" s="1"/>
      <c r="BN535" s="1"/>
    </row>
    <row r="536" spans="1:66" ht="15.75" customHeight="1" x14ac:dyDescent="0.25">
      <c r="A536" s="1"/>
      <c r="B536" s="2"/>
      <c r="C536" s="3"/>
      <c r="D536" s="2"/>
      <c r="E536" s="52"/>
      <c r="F536" s="52"/>
      <c r="G536" s="52"/>
      <c r="H536" s="2"/>
      <c r="I536" s="2"/>
      <c r="J536" s="2"/>
      <c r="K536" s="2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2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1"/>
      <c r="AZ536" s="1"/>
      <c r="BA536" s="1"/>
      <c r="BB536" s="1"/>
      <c r="BC536" s="1"/>
      <c r="BD536" s="1"/>
      <c r="BE536" s="1"/>
      <c r="BF536" s="1"/>
      <c r="BG536" s="1"/>
      <c r="BH536" s="1"/>
      <c r="BI536" s="1"/>
      <c r="BJ536" s="1"/>
      <c r="BK536" s="1"/>
      <c r="BL536" s="1"/>
      <c r="BM536" s="1"/>
      <c r="BN536" s="1"/>
    </row>
    <row r="537" spans="1:66" ht="15.75" customHeight="1" x14ac:dyDescent="0.25">
      <c r="A537" s="1"/>
      <c r="B537" s="2"/>
      <c r="C537" s="3"/>
      <c r="D537" s="2"/>
      <c r="E537" s="52"/>
      <c r="F537" s="52"/>
      <c r="G537" s="52"/>
      <c r="H537" s="2"/>
      <c r="I537" s="2"/>
      <c r="J537" s="2"/>
      <c r="K537" s="2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2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1"/>
      <c r="AP537" s="1"/>
      <c r="AQ537" s="1"/>
      <c r="AR537" s="1"/>
      <c r="AS537" s="1"/>
      <c r="AT537" s="1"/>
      <c r="AU537" s="1"/>
      <c r="AV537" s="1"/>
      <c r="AW537" s="1"/>
      <c r="AX537" s="1"/>
      <c r="AY537" s="1"/>
      <c r="AZ537" s="1"/>
      <c r="BA537" s="1"/>
      <c r="BB537" s="1"/>
      <c r="BC537" s="1"/>
      <c r="BD537" s="1"/>
      <c r="BE537" s="1"/>
      <c r="BF537" s="1"/>
      <c r="BG537" s="1"/>
      <c r="BH537" s="1"/>
      <c r="BI537" s="1"/>
      <c r="BJ537" s="1"/>
      <c r="BK537" s="1"/>
      <c r="BL537" s="1"/>
      <c r="BM537" s="1"/>
      <c r="BN537" s="1"/>
    </row>
    <row r="538" spans="1:66" ht="15.75" customHeight="1" x14ac:dyDescent="0.25">
      <c r="A538" s="1"/>
      <c r="B538" s="2"/>
      <c r="C538" s="3"/>
      <c r="D538" s="2"/>
      <c r="E538" s="52"/>
      <c r="F538" s="52"/>
      <c r="G538" s="52"/>
      <c r="H538" s="2"/>
      <c r="I538" s="2"/>
      <c r="J538" s="2"/>
      <c r="K538" s="2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2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1"/>
      <c r="AP538" s="1"/>
      <c r="AQ538" s="1"/>
      <c r="AR538" s="1"/>
      <c r="AS538" s="1"/>
      <c r="AT538" s="1"/>
      <c r="AU538" s="1"/>
      <c r="AV538" s="1"/>
      <c r="AW538" s="1"/>
      <c r="AX538" s="1"/>
      <c r="AY538" s="1"/>
      <c r="AZ538" s="1"/>
      <c r="BA538" s="1"/>
      <c r="BB538" s="1"/>
      <c r="BC538" s="1"/>
      <c r="BD538" s="1"/>
      <c r="BE538" s="1"/>
      <c r="BF538" s="1"/>
      <c r="BG538" s="1"/>
      <c r="BH538" s="1"/>
      <c r="BI538" s="1"/>
      <c r="BJ538" s="1"/>
      <c r="BK538" s="1"/>
      <c r="BL538" s="1"/>
      <c r="BM538" s="1"/>
      <c r="BN538" s="1"/>
    </row>
    <row r="539" spans="1:66" ht="15.75" customHeight="1" x14ac:dyDescent="0.25">
      <c r="A539" s="1"/>
      <c r="B539" s="2"/>
      <c r="C539" s="3"/>
      <c r="D539" s="2"/>
      <c r="E539" s="52"/>
      <c r="F539" s="52"/>
      <c r="G539" s="52"/>
      <c r="H539" s="2"/>
      <c r="I539" s="2"/>
      <c r="J539" s="2"/>
      <c r="K539" s="2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2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1"/>
      <c r="AP539" s="1"/>
      <c r="AQ539" s="1"/>
      <c r="AR539" s="1"/>
      <c r="AS539" s="1"/>
      <c r="AT539" s="1"/>
      <c r="AU539" s="1"/>
      <c r="AV539" s="1"/>
      <c r="AW539" s="1"/>
      <c r="AX539" s="1"/>
      <c r="AY539" s="1"/>
      <c r="AZ539" s="1"/>
      <c r="BA539" s="1"/>
      <c r="BB539" s="1"/>
      <c r="BC539" s="1"/>
      <c r="BD539" s="1"/>
      <c r="BE539" s="1"/>
      <c r="BF539" s="1"/>
      <c r="BG539" s="1"/>
      <c r="BH539" s="1"/>
      <c r="BI539" s="1"/>
      <c r="BJ539" s="1"/>
      <c r="BK539" s="1"/>
      <c r="BL539" s="1"/>
      <c r="BM539" s="1"/>
      <c r="BN539" s="1"/>
    </row>
    <row r="540" spans="1:66" ht="15.75" customHeight="1" x14ac:dyDescent="0.25">
      <c r="A540" s="1"/>
      <c r="B540" s="2"/>
      <c r="C540" s="3"/>
      <c r="D540" s="2"/>
      <c r="E540" s="52"/>
      <c r="F540" s="52"/>
      <c r="G540" s="52"/>
      <c r="H540" s="2"/>
      <c r="I540" s="2"/>
      <c r="J540" s="2"/>
      <c r="K540" s="2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2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1"/>
      <c r="AP540" s="1"/>
      <c r="AQ540" s="1"/>
      <c r="AR540" s="1"/>
      <c r="AS540" s="1"/>
      <c r="AT540" s="1"/>
      <c r="AU540" s="1"/>
      <c r="AV540" s="1"/>
      <c r="AW540" s="1"/>
      <c r="AX540" s="1"/>
      <c r="AY540" s="1"/>
      <c r="AZ540" s="1"/>
      <c r="BA540" s="1"/>
      <c r="BB540" s="1"/>
      <c r="BC540" s="1"/>
      <c r="BD540" s="1"/>
      <c r="BE540" s="1"/>
      <c r="BF540" s="1"/>
      <c r="BG540" s="1"/>
      <c r="BH540" s="1"/>
      <c r="BI540" s="1"/>
      <c r="BJ540" s="1"/>
      <c r="BK540" s="1"/>
      <c r="BL540" s="1"/>
      <c r="BM540" s="1"/>
      <c r="BN540" s="1"/>
    </row>
    <row r="541" spans="1:66" ht="15.75" customHeight="1" x14ac:dyDescent="0.25">
      <c r="A541" s="1"/>
      <c r="B541" s="2"/>
      <c r="C541" s="3"/>
      <c r="D541" s="2"/>
      <c r="E541" s="52"/>
      <c r="F541" s="52"/>
      <c r="G541" s="52"/>
      <c r="H541" s="2"/>
      <c r="I541" s="2"/>
      <c r="J541" s="2"/>
      <c r="K541" s="2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2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1"/>
      <c r="AP541" s="1"/>
      <c r="AQ541" s="1"/>
      <c r="AR541" s="1"/>
      <c r="AS541" s="1"/>
      <c r="AT541" s="1"/>
      <c r="AU541" s="1"/>
      <c r="AV541" s="1"/>
      <c r="AW541" s="1"/>
      <c r="AX541" s="1"/>
      <c r="AY541" s="1"/>
      <c r="AZ541" s="1"/>
      <c r="BA541" s="1"/>
      <c r="BB541" s="1"/>
      <c r="BC541" s="1"/>
      <c r="BD541" s="1"/>
      <c r="BE541" s="1"/>
      <c r="BF541" s="1"/>
      <c r="BG541" s="1"/>
      <c r="BH541" s="1"/>
      <c r="BI541" s="1"/>
      <c r="BJ541" s="1"/>
      <c r="BK541" s="1"/>
      <c r="BL541" s="1"/>
      <c r="BM541" s="1"/>
      <c r="BN541" s="1"/>
    </row>
    <row r="542" spans="1:66" ht="15.75" customHeight="1" x14ac:dyDescent="0.25">
      <c r="A542" s="1"/>
      <c r="B542" s="2"/>
      <c r="C542" s="3"/>
      <c r="D542" s="2"/>
      <c r="E542" s="52"/>
      <c r="F542" s="52"/>
      <c r="G542" s="52"/>
      <c r="H542" s="2"/>
      <c r="I542" s="2"/>
      <c r="J542" s="2"/>
      <c r="K542" s="2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2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1"/>
      <c r="AP542" s="1"/>
      <c r="AQ542" s="1"/>
      <c r="AR542" s="1"/>
      <c r="AS542" s="1"/>
      <c r="AT542" s="1"/>
      <c r="AU542" s="1"/>
      <c r="AV542" s="1"/>
      <c r="AW542" s="1"/>
      <c r="AX542" s="1"/>
      <c r="AY542" s="1"/>
      <c r="AZ542" s="1"/>
      <c r="BA542" s="1"/>
      <c r="BB542" s="1"/>
      <c r="BC542" s="1"/>
      <c r="BD542" s="1"/>
      <c r="BE542" s="1"/>
      <c r="BF542" s="1"/>
      <c r="BG542" s="1"/>
      <c r="BH542" s="1"/>
      <c r="BI542" s="1"/>
      <c r="BJ542" s="1"/>
      <c r="BK542" s="1"/>
      <c r="BL542" s="1"/>
      <c r="BM542" s="1"/>
      <c r="BN542" s="1"/>
    </row>
    <row r="543" spans="1:66" ht="15.75" customHeight="1" x14ac:dyDescent="0.25">
      <c r="A543" s="1"/>
      <c r="B543" s="2"/>
      <c r="C543" s="3"/>
      <c r="D543" s="2"/>
      <c r="E543" s="52"/>
      <c r="F543" s="52"/>
      <c r="G543" s="52"/>
      <c r="H543" s="2"/>
      <c r="I543" s="2"/>
      <c r="J543" s="2"/>
      <c r="K543" s="2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2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1"/>
      <c r="AP543" s="1"/>
      <c r="AQ543" s="1"/>
      <c r="AR543" s="1"/>
      <c r="AS543" s="1"/>
      <c r="AT543" s="1"/>
      <c r="AU543" s="1"/>
      <c r="AV543" s="1"/>
      <c r="AW543" s="1"/>
      <c r="AX543" s="1"/>
      <c r="AY543" s="1"/>
      <c r="AZ543" s="1"/>
      <c r="BA543" s="1"/>
      <c r="BB543" s="1"/>
      <c r="BC543" s="1"/>
      <c r="BD543" s="1"/>
      <c r="BE543" s="1"/>
      <c r="BF543" s="1"/>
      <c r="BG543" s="1"/>
      <c r="BH543" s="1"/>
      <c r="BI543" s="1"/>
      <c r="BJ543" s="1"/>
      <c r="BK543" s="1"/>
      <c r="BL543" s="1"/>
      <c r="BM543" s="1"/>
      <c r="BN543" s="1"/>
    </row>
    <row r="544" spans="1:66" ht="15.75" customHeight="1" x14ac:dyDescent="0.25">
      <c r="A544" s="1"/>
      <c r="B544" s="2"/>
      <c r="C544" s="3"/>
      <c r="D544" s="2"/>
      <c r="E544" s="52"/>
      <c r="F544" s="52"/>
      <c r="G544" s="52"/>
      <c r="H544" s="2"/>
      <c r="I544" s="2"/>
      <c r="J544" s="2"/>
      <c r="K544" s="2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2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1"/>
      <c r="AP544" s="1"/>
      <c r="AQ544" s="1"/>
      <c r="AR544" s="1"/>
      <c r="AS544" s="1"/>
      <c r="AT544" s="1"/>
      <c r="AU544" s="1"/>
      <c r="AV544" s="1"/>
      <c r="AW544" s="1"/>
      <c r="AX544" s="1"/>
      <c r="AY544" s="1"/>
      <c r="AZ544" s="1"/>
      <c r="BA544" s="1"/>
      <c r="BB544" s="1"/>
      <c r="BC544" s="1"/>
      <c r="BD544" s="1"/>
      <c r="BE544" s="1"/>
      <c r="BF544" s="1"/>
      <c r="BG544" s="1"/>
      <c r="BH544" s="1"/>
      <c r="BI544" s="1"/>
      <c r="BJ544" s="1"/>
      <c r="BK544" s="1"/>
      <c r="BL544" s="1"/>
      <c r="BM544" s="1"/>
      <c r="BN544" s="1"/>
    </row>
    <row r="545" spans="1:66" ht="15.75" customHeight="1" x14ac:dyDescent="0.25">
      <c r="A545" s="1"/>
      <c r="B545" s="2"/>
      <c r="C545" s="3"/>
      <c r="D545" s="2"/>
      <c r="E545" s="52"/>
      <c r="F545" s="52"/>
      <c r="G545" s="52"/>
      <c r="H545" s="2"/>
      <c r="I545" s="2"/>
      <c r="J545" s="2"/>
      <c r="K545" s="2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2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1"/>
      <c r="AP545" s="1"/>
      <c r="AQ545" s="1"/>
      <c r="AR545" s="1"/>
      <c r="AS545" s="1"/>
      <c r="AT545" s="1"/>
      <c r="AU545" s="1"/>
      <c r="AV545" s="1"/>
      <c r="AW545" s="1"/>
      <c r="AX545" s="1"/>
      <c r="AY545" s="1"/>
      <c r="AZ545" s="1"/>
      <c r="BA545" s="1"/>
      <c r="BB545" s="1"/>
      <c r="BC545" s="1"/>
      <c r="BD545" s="1"/>
      <c r="BE545" s="1"/>
      <c r="BF545" s="1"/>
      <c r="BG545" s="1"/>
      <c r="BH545" s="1"/>
      <c r="BI545" s="1"/>
      <c r="BJ545" s="1"/>
      <c r="BK545" s="1"/>
      <c r="BL545" s="1"/>
      <c r="BM545" s="1"/>
      <c r="BN545" s="1"/>
    </row>
    <row r="546" spans="1:66" ht="15.75" customHeight="1" x14ac:dyDescent="0.25">
      <c r="A546" s="1"/>
      <c r="B546" s="2"/>
      <c r="C546" s="3"/>
      <c r="D546" s="2"/>
      <c r="E546" s="52"/>
      <c r="F546" s="52"/>
      <c r="G546" s="52"/>
      <c r="H546" s="2"/>
      <c r="I546" s="2"/>
      <c r="J546" s="2"/>
      <c r="K546" s="2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2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1"/>
      <c r="AP546" s="1"/>
      <c r="AQ546" s="1"/>
      <c r="AR546" s="1"/>
      <c r="AS546" s="1"/>
      <c r="AT546" s="1"/>
      <c r="AU546" s="1"/>
      <c r="AV546" s="1"/>
      <c r="AW546" s="1"/>
      <c r="AX546" s="1"/>
      <c r="AY546" s="1"/>
      <c r="AZ546" s="1"/>
      <c r="BA546" s="1"/>
      <c r="BB546" s="1"/>
      <c r="BC546" s="1"/>
      <c r="BD546" s="1"/>
      <c r="BE546" s="1"/>
      <c r="BF546" s="1"/>
      <c r="BG546" s="1"/>
      <c r="BH546" s="1"/>
      <c r="BI546" s="1"/>
      <c r="BJ546" s="1"/>
      <c r="BK546" s="1"/>
      <c r="BL546" s="1"/>
      <c r="BM546" s="1"/>
      <c r="BN546" s="1"/>
    </row>
    <row r="547" spans="1:66" ht="15.75" customHeight="1" x14ac:dyDescent="0.25">
      <c r="A547" s="1"/>
      <c r="B547" s="2"/>
      <c r="C547" s="3"/>
      <c r="D547" s="2"/>
      <c r="E547" s="52"/>
      <c r="F547" s="52"/>
      <c r="G547" s="52"/>
      <c r="H547" s="2"/>
      <c r="I547" s="2"/>
      <c r="J547" s="2"/>
      <c r="K547" s="2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2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1"/>
      <c r="AP547" s="1"/>
      <c r="AQ547" s="1"/>
      <c r="AR547" s="1"/>
      <c r="AS547" s="1"/>
      <c r="AT547" s="1"/>
      <c r="AU547" s="1"/>
      <c r="AV547" s="1"/>
      <c r="AW547" s="1"/>
      <c r="AX547" s="1"/>
      <c r="AY547" s="1"/>
      <c r="AZ547" s="1"/>
      <c r="BA547" s="1"/>
      <c r="BB547" s="1"/>
      <c r="BC547" s="1"/>
      <c r="BD547" s="1"/>
      <c r="BE547" s="1"/>
      <c r="BF547" s="1"/>
      <c r="BG547" s="1"/>
      <c r="BH547" s="1"/>
      <c r="BI547" s="1"/>
      <c r="BJ547" s="1"/>
      <c r="BK547" s="1"/>
      <c r="BL547" s="1"/>
      <c r="BM547" s="1"/>
      <c r="BN547" s="1"/>
    </row>
    <row r="548" spans="1:66" ht="15.75" customHeight="1" x14ac:dyDescent="0.25">
      <c r="A548" s="1"/>
      <c r="B548" s="2"/>
      <c r="C548" s="3"/>
      <c r="D548" s="2"/>
      <c r="E548" s="52"/>
      <c r="F548" s="52"/>
      <c r="G548" s="52"/>
      <c r="H548" s="2"/>
      <c r="I548" s="2"/>
      <c r="J548" s="2"/>
      <c r="K548" s="2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2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1"/>
      <c r="AP548" s="1"/>
      <c r="AQ548" s="1"/>
      <c r="AR548" s="1"/>
      <c r="AS548" s="1"/>
      <c r="AT548" s="1"/>
      <c r="AU548" s="1"/>
      <c r="AV548" s="1"/>
      <c r="AW548" s="1"/>
      <c r="AX548" s="1"/>
      <c r="AY548" s="1"/>
      <c r="AZ548" s="1"/>
      <c r="BA548" s="1"/>
      <c r="BB548" s="1"/>
      <c r="BC548" s="1"/>
      <c r="BD548" s="1"/>
      <c r="BE548" s="1"/>
      <c r="BF548" s="1"/>
      <c r="BG548" s="1"/>
      <c r="BH548" s="1"/>
      <c r="BI548" s="1"/>
      <c r="BJ548" s="1"/>
      <c r="BK548" s="1"/>
      <c r="BL548" s="1"/>
      <c r="BM548" s="1"/>
      <c r="BN548" s="1"/>
    </row>
    <row r="549" spans="1:66" ht="15.75" customHeight="1" x14ac:dyDescent="0.25">
      <c r="A549" s="1"/>
      <c r="B549" s="2"/>
      <c r="C549" s="3"/>
      <c r="D549" s="2"/>
      <c r="E549" s="52"/>
      <c r="F549" s="52"/>
      <c r="G549" s="52"/>
      <c r="H549" s="2"/>
      <c r="I549" s="2"/>
      <c r="J549" s="2"/>
      <c r="K549" s="2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2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1"/>
      <c r="AP549" s="1"/>
      <c r="AQ549" s="1"/>
      <c r="AR549" s="1"/>
      <c r="AS549" s="1"/>
      <c r="AT549" s="1"/>
      <c r="AU549" s="1"/>
      <c r="AV549" s="1"/>
      <c r="AW549" s="1"/>
      <c r="AX549" s="1"/>
      <c r="AY549" s="1"/>
      <c r="AZ549" s="1"/>
      <c r="BA549" s="1"/>
      <c r="BB549" s="1"/>
      <c r="BC549" s="1"/>
      <c r="BD549" s="1"/>
      <c r="BE549" s="1"/>
      <c r="BF549" s="1"/>
      <c r="BG549" s="1"/>
      <c r="BH549" s="1"/>
      <c r="BI549" s="1"/>
      <c r="BJ549" s="1"/>
      <c r="BK549" s="1"/>
      <c r="BL549" s="1"/>
      <c r="BM549" s="1"/>
      <c r="BN549" s="1"/>
    </row>
    <row r="550" spans="1:66" ht="15.75" customHeight="1" x14ac:dyDescent="0.25">
      <c r="A550" s="1"/>
      <c r="B550" s="2"/>
      <c r="C550" s="3"/>
      <c r="D550" s="2"/>
      <c r="E550" s="52"/>
      <c r="F550" s="52"/>
      <c r="G550" s="52"/>
      <c r="H550" s="2"/>
      <c r="I550" s="2"/>
      <c r="J550" s="2"/>
      <c r="K550" s="2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2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1"/>
      <c r="AP550" s="1"/>
      <c r="AQ550" s="1"/>
      <c r="AR550" s="1"/>
      <c r="AS550" s="1"/>
      <c r="AT550" s="1"/>
      <c r="AU550" s="1"/>
      <c r="AV550" s="1"/>
      <c r="AW550" s="1"/>
      <c r="AX550" s="1"/>
      <c r="AY550" s="1"/>
      <c r="AZ550" s="1"/>
      <c r="BA550" s="1"/>
      <c r="BB550" s="1"/>
      <c r="BC550" s="1"/>
      <c r="BD550" s="1"/>
      <c r="BE550" s="1"/>
      <c r="BF550" s="1"/>
      <c r="BG550" s="1"/>
      <c r="BH550" s="1"/>
      <c r="BI550" s="1"/>
      <c r="BJ550" s="1"/>
      <c r="BK550" s="1"/>
      <c r="BL550" s="1"/>
      <c r="BM550" s="1"/>
      <c r="BN550" s="1"/>
    </row>
    <row r="551" spans="1:66" ht="15.75" customHeight="1" x14ac:dyDescent="0.25">
      <c r="A551" s="1"/>
      <c r="B551" s="2"/>
      <c r="C551" s="3"/>
      <c r="D551" s="2"/>
      <c r="E551" s="52"/>
      <c r="F551" s="52"/>
      <c r="G551" s="52"/>
      <c r="H551" s="2"/>
      <c r="I551" s="2"/>
      <c r="J551" s="2"/>
      <c r="K551" s="2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2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1"/>
      <c r="AP551" s="1"/>
      <c r="AQ551" s="1"/>
      <c r="AR551" s="1"/>
      <c r="AS551" s="1"/>
      <c r="AT551" s="1"/>
      <c r="AU551" s="1"/>
      <c r="AV551" s="1"/>
      <c r="AW551" s="1"/>
      <c r="AX551" s="1"/>
      <c r="AY551" s="1"/>
      <c r="AZ551" s="1"/>
      <c r="BA551" s="1"/>
      <c r="BB551" s="1"/>
      <c r="BC551" s="1"/>
      <c r="BD551" s="1"/>
      <c r="BE551" s="1"/>
      <c r="BF551" s="1"/>
      <c r="BG551" s="1"/>
      <c r="BH551" s="1"/>
      <c r="BI551" s="1"/>
      <c r="BJ551" s="1"/>
      <c r="BK551" s="1"/>
      <c r="BL551" s="1"/>
      <c r="BM551" s="1"/>
      <c r="BN551" s="1"/>
    </row>
    <row r="552" spans="1:66" ht="15.75" customHeight="1" x14ac:dyDescent="0.25">
      <c r="A552" s="1"/>
      <c r="B552" s="2"/>
      <c r="C552" s="3"/>
      <c r="D552" s="2"/>
      <c r="E552" s="52"/>
      <c r="F552" s="52"/>
      <c r="G552" s="52"/>
      <c r="H552" s="2"/>
      <c r="I552" s="2"/>
      <c r="J552" s="2"/>
      <c r="K552" s="2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2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1"/>
      <c r="AP552" s="1"/>
      <c r="AQ552" s="1"/>
      <c r="AR552" s="1"/>
      <c r="AS552" s="1"/>
      <c r="AT552" s="1"/>
      <c r="AU552" s="1"/>
      <c r="AV552" s="1"/>
      <c r="AW552" s="1"/>
      <c r="AX552" s="1"/>
      <c r="AY552" s="1"/>
      <c r="AZ552" s="1"/>
      <c r="BA552" s="1"/>
      <c r="BB552" s="1"/>
      <c r="BC552" s="1"/>
      <c r="BD552" s="1"/>
      <c r="BE552" s="1"/>
      <c r="BF552" s="1"/>
      <c r="BG552" s="1"/>
      <c r="BH552" s="1"/>
      <c r="BI552" s="1"/>
      <c r="BJ552" s="1"/>
      <c r="BK552" s="1"/>
      <c r="BL552" s="1"/>
      <c r="BM552" s="1"/>
      <c r="BN552" s="1"/>
    </row>
    <row r="553" spans="1:66" ht="15.75" customHeight="1" x14ac:dyDescent="0.25">
      <c r="A553" s="1"/>
      <c r="B553" s="2"/>
      <c r="C553" s="3"/>
      <c r="D553" s="2"/>
      <c r="E553" s="52"/>
      <c r="F553" s="52"/>
      <c r="G553" s="52"/>
      <c r="H553" s="2"/>
      <c r="I553" s="2"/>
      <c r="J553" s="2"/>
      <c r="K553" s="2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2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1"/>
      <c r="AP553" s="1"/>
      <c r="AQ553" s="1"/>
      <c r="AR553" s="1"/>
      <c r="AS553" s="1"/>
      <c r="AT553" s="1"/>
      <c r="AU553" s="1"/>
      <c r="AV553" s="1"/>
      <c r="AW553" s="1"/>
      <c r="AX553" s="1"/>
      <c r="AY553" s="1"/>
      <c r="AZ553" s="1"/>
      <c r="BA553" s="1"/>
      <c r="BB553" s="1"/>
      <c r="BC553" s="1"/>
      <c r="BD553" s="1"/>
      <c r="BE553" s="1"/>
      <c r="BF553" s="1"/>
      <c r="BG553" s="1"/>
      <c r="BH553" s="1"/>
      <c r="BI553" s="1"/>
      <c r="BJ553" s="1"/>
      <c r="BK553" s="1"/>
      <c r="BL553" s="1"/>
      <c r="BM553" s="1"/>
      <c r="BN553" s="1"/>
    </row>
    <row r="554" spans="1:66" ht="15.75" customHeight="1" x14ac:dyDescent="0.25">
      <c r="A554" s="1"/>
      <c r="B554" s="2"/>
      <c r="C554" s="3"/>
      <c r="D554" s="2"/>
      <c r="E554" s="52"/>
      <c r="F554" s="52"/>
      <c r="G554" s="52"/>
      <c r="H554" s="2"/>
      <c r="I554" s="2"/>
      <c r="J554" s="2"/>
      <c r="K554" s="2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2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1"/>
      <c r="AP554" s="1"/>
      <c r="AQ554" s="1"/>
      <c r="AR554" s="1"/>
      <c r="AS554" s="1"/>
      <c r="AT554" s="1"/>
      <c r="AU554" s="1"/>
      <c r="AV554" s="1"/>
      <c r="AW554" s="1"/>
      <c r="AX554" s="1"/>
      <c r="AY554" s="1"/>
      <c r="AZ554" s="1"/>
      <c r="BA554" s="1"/>
      <c r="BB554" s="1"/>
      <c r="BC554" s="1"/>
      <c r="BD554" s="1"/>
      <c r="BE554" s="1"/>
      <c r="BF554" s="1"/>
      <c r="BG554" s="1"/>
      <c r="BH554" s="1"/>
      <c r="BI554" s="1"/>
      <c r="BJ554" s="1"/>
      <c r="BK554" s="1"/>
      <c r="BL554" s="1"/>
      <c r="BM554" s="1"/>
      <c r="BN554" s="1"/>
    </row>
    <row r="555" spans="1:66" ht="15.75" customHeight="1" x14ac:dyDescent="0.25">
      <c r="A555" s="1"/>
      <c r="B555" s="2"/>
      <c r="C555" s="3"/>
      <c r="D555" s="2"/>
      <c r="E555" s="52"/>
      <c r="F555" s="52"/>
      <c r="G555" s="52"/>
      <c r="H555" s="2"/>
      <c r="I555" s="2"/>
      <c r="J555" s="2"/>
      <c r="K555" s="2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2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1"/>
      <c r="AP555" s="1"/>
      <c r="AQ555" s="1"/>
      <c r="AR555" s="1"/>
      <c r="AS555" s="1"/>
      <c r="AT555" s="1"/>
      <c r="AU555" s="1"/>
      <c r="AV555" s="1"/>
      <c r="AW555" s="1"/>
      <c r="AX555" s="1"/>
      <c r="AY555" s="1"/>
      <c r="AZ555" s="1"/>
      <c r="BA555" s="1"/>
      <c r="BB555" s="1"/>
      <c r="BC555" s="1"/>
      <c r="BD555" s="1"/>
      <c r="BE555" s="1"/>
      <c r="BF555" s="1"/>
      <c r="BG555" s="1"/>
      <c r="BH555" s="1"/>
      <c r="BI555" s="1"/>
      <c r="BJ555" s="1"/>
      <c r="BK555" s="1"/>
      <c r="BL555" s="1"/>
      <c r="BM555" s="1"/>
      <c r="BN555" s="1"/>
    </row>
    <row r="556" spans="1:66" ht="15.75" customHeight="1" x14ac:dyDescent="0.25">
      <c r="A556" s="1"/>
      <c r="B556" s="2"/>
      <c r="C556" s="3"/>
      <c r="D556" s="2"/>
      <c r="E556" s="52"/>
      <c r="F556" s="52"/>
      <c r="G556" s="52"/>
      <c r="H556" s="2"/>
      <c r="I556" s="2"/>
      <c r="J556" s="2"/>
      <c r="K556" s="2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2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1"/>
      <c r="AP556" s="1"/>
      <c r="AQ556" s="1"/>
      <c r="AR556" s="1"/>
      <c r="AS556" s="1"/>
      <c r="AT556" s="1"/>
      <c r="AU556" s="1"/>
      <c r="AV556" s="1"/>
      <c r="AW556" s="1"/>
      <c r="AX556" s="1"/>
      <c r="AY556" s="1"/>
      <c r="AZ556" s="1"/>
      <c r="BA556" s="1"/>
      <c r="BB556" s="1"/>
      <c r="BC556" s="1"/>
      <c r="BD556" s="1"/>
      <c r="BE556" s="1"/>
      <c r="BF556" s="1"/>
      <c r="BG556" s="1"/>
      <c r="BH556" s="1"/>
      <c r="BI556" s="1"/>
      <c r="BJ556" s="1"/>
      <c r="BK556" s="1"/>
      <c r="BL556" s="1"/>
      <c r="BM556" s="1"/>
      <c r="BN556" s="1"/>
    </row>
    <row r="557" spans="1:66" ht="15.75" customHeight="1" x14ac:dyDescent="0.25">
      <c r="A557" s="1"/>
      <c r="B557" s="2"/>
      <c r="C557" s="3"/>
      <c r="D557" s="2"/>
      <c r="E557" s="52"/>
      <c r="F557" s="52"/>
      <c r="G557" s="52"/>
      <c r="H557" s="2"/>
      <c r="I557" s="2"/>
      <c r="J557" s="2"/>
      <c r="K557" s="2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2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1"/>
      <c r="AP557" s="1"/>
      <c r="AQ557" s="1"/>
      <c r="AR557" s="1"/>
      <c r="AS557" s="1"/>
      <c r="AT557" s="1"/>
      <c r="AU557" s="1"/>
      <c r="AV557" s="1"/>
      <c r="AW557" s="1"/>
      <c r="AX557" s="1"/>
      <c r="AY557" s="1"/>
      <c r="AZ557" s="1"/>
      <c r="BA557" s="1"/>
      <c r="BB557" s="1"/>
      <c r="BC557" s="1"/>
      <c r="BD557" s="1"/>
      <c r="BE557" s="1"/>
      <c r="BF557" s="1"/>
      <c r="BG557" s="1"/>
      <c r="BH557" s="1"/>
      <c r="BI557" s="1"/>
      <c r="BJ557" s="1"/>
      <c r="BK557" s="1"/>
      <c r="BL557" s="1"/>
      <c r="BM557" s="1"/>
      <c r="BN557" s="1"/>
    </row>
    <row r="558" spans="1:66" ht="15.75" customHeight="1" x14ac:dyDescent="0.25">
      <c r="A558" s="1"/>
      <c r="B558" s="2"/>
      <c r="C558" s="3"/>
      <c r="D558" s="2"/>
      <c r="E558" s="52"/>
      <c r="F558" s="52"/>
      <c r="G558" s="52"/>
      <c r="H558" s="2"/>
      <c r="I558" s="2"/>
      <c r="J558" s="2"/>
      <c r="K558" s="2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2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1"/>
      <c r="AO558" s="1"/>
      <c r="AP558" s="1"/>
      <c r="AQ558" s="1"/>
      <c r="AR558" s="1"/>
      <c r="AS558" s="1"/>
      <c r="AT558" s="1"/>
      <c r="AU558" s="1"/>
      <c r="AV558" s="1"/>
      <c r="AW558" s="1"/>
      <c r="AX558" s="1"/>
      <c r="AY558" s="1"/>
      <c r="AZ558" s="1"/>
      <c r="BA558" s="1"/>
      <c r="BB558" s="1"/>
      <c r="BC558" s="1"/>
      <c r="BD558" s="1"/>
      <c r="BE558" s="1"/>
      <c r="BF558" s="1"/>
      <c r="BG558" s="1"/>
      <c r="BH558" s="1"/>
      <c r="BI558" s="1"/>
      <c r="BJ558" s="1"/>
      <c r="BK558" s="1"/>
      <c r="BL558" s="1"/>
      <c r="BM558" s="1"/>
      <c r="BN558" s="1"/>
    </row>
    <row r="559" spans="1:66" ht="15.75" customHeight="1" x14ac:dyDescent="0.25">
      <c r="A559" s="1"/>
      <c r="B559" s="2"/>
      <c r="C559" s="3"/>
      <c r="D559" s="2"/>
      <c r="E559" s="52"/>
      <c r="F559" s="52"/>
      <c r="G559" s="52"/>
      <c r="H559" s="2"/>
      <c r="I559" s="2"/>
      <c r="J559" s="2"/>
      <c r="K559" s="2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2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1"/>
      <c r="AO559" s="1"/>
      <c r="AP559" s="1"/>
      <c r="AQ559" s="1"/>
      <c r="AR559" s="1"/>
      <c r="AS559" s="1"/>
      <c r="AT559" s="1"/>
      <c r="AU559" s="1"/>
      <c r="AV559" s="1"/>
      <c r="AW559" s="1"/>
      <c r="AX559" s="1"/>
      <c r="AY559" s="1"/>
      <c r="AZ559" s="1"/>
      <c r="BA559" s="1"/>
      <c r="BB559" s="1"/>
      <c r="BC559" s="1"/>
      <c r="BD559" s="1"/>
      <c r="BE559" s="1"/>
      <c r="BF559" s="1"/>
      <c r="BG559" s="1"/>
      <c r="BH559" s="1"/>
      <c r="BI559" s="1"/>
      <c r="BJ559" s="1"/>
      <c r="BK559" s="1"/>
      <c r="BL559" s="1"/>
      <c r="BM559" s="1"/>
      <c r="BN559" s="1"/>
    </row>
    <row r="560" spans="1:66" ht="15.75" customHeight="1" x14ac:dyDescent="0.25">
      <c r="A560" s="1"/>
      <c r="B560" s="2"/>
      <c r="C560" s="3"/>
      <c r="D560" s="2"/>
      <c r="E560" s="52"/>
      <c r="F560" s="52"/>
      <c r="G560" s="52"/>
      <c r="H560" s="2"/>
      <c r="I560" s="2"/>
      <c r="J560" s="2"/>
      <c r="K560" s="2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2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1"/>
      <c r="AO560" s="1"/>
      <c r="AP560" s="1"/>
      <c r="AQ560" s="1"/>
      <c r="AR560" s="1"/>
      <c r="AS560" s="1"/>
      <c r="AT560" s="1"/>
      <c r="AU560" s="1"/>
      <c r="AV560" s="1"/>
      <c r="AW560" s="1"/>
      <c r="AX560" s="1"/>
      <c r="AY560" s="1"/>
      <c r="AZ560" s="1"/>
      <c r="BA560" s="1"/>
      <c r="BB560" s="1"/>
      <c r="BC560" s="1"/>
      <c r="BD560" s="1"/>
      <c r="BE560" s="1"/>
      <c r="BF560" s="1"/>
      <c r="BG560" s="1"/>
      <c r="BH560" s="1"/>
      <c r="BI560" s="1"/>
      <c r="BJ560" s="1"/>
      <c r="BK560" s="1"/>
      <c r="BL560" s="1"/>
      <c r="BM560" s="1"/>
      <c r="BN560" s="1"/>
    </row>
    <row r="561" spans="1:66" ht="15.75" customHeight="1" x14ac:dyDescent="0.25">
      <c r="A561" s="1"/>
      <c r="B561" s="2"/>
      <c r="C561" s="3"/>
      <c r="D561" s="2"/>
      <c r="E561" s="52"/>
      <c r="F561" s="52"/>
      <c r="G561" s="52"/>
      <c r="H561" s="2"/>
      <c r="I561" s="2"/>
      <c r="J561" s="2"/>
      <c r="K561" s="2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2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1"/>
      <c r="AO561" s="1"/>
      <c r="AP561" s="1"/>
      <c r="AQ561" s="1"/>
      <c r="AR561" s="1"/>
      <c r="AS561" s="1"/>
      <c r="AT561" s="1"/>
      <c r="AU561" s="1"/>
      <c r="AV561" s="1"/>
      <c r="AW561" s="1"/>
      <c r="AX561" s="1"/>
      <c r="AY561" s="1"/>
      <c r="AZ561" s="1"/>
      <c r="BA561" s="1"/>
      <c r="BB561" s="1"/>
      <c r="BC561" s="1"/>
      <c r="BD561" s="1"/>
      <c r="BE561" s="1"/>
      <c r="BF561" s="1"/>
      <c r="BG561" s="1"/>
      <c r="BH561" s="1"/>
      <c r="BI561" s="1"/>
      <c r="BJ561" s="1"/>
      <c r="BK561" s="1"/>
      <c r="BL561" s="1"/>
      <c r="BM561" s="1"/>
      <c r="BN561" s="1"/>
    </row>
    <row r="562" spans="1:66" ht="15.75" customHeight="1" x14ac:dyDescent="0.25">
      <c r="A562" s="1"/>
      <c r="B562" s="2"/>
      <c r="C562" s="3"/>
      <c r="D562" s="2"/>
      <c r="E562" s="52"/>
      <c r="F562" s="52"/>
      <c r="G562" s="52"/>
      <c r="H562" s="2"/>
      <c r="I562" s="2"/>
      <c r="J562" s="2"/>
      <c r="K562" s="2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2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1"/>
      <c r="AO562" s="1"/>
      <c r="AP562" s="1"/>
      <c r="AQ562" s="1"/>
      <c r="AR562" s="1"/>
      <c r="AS562" s="1"/>
      <c r="AT562" s="1"/>
      <c r="AU562" s="1"/>
      <c r="AV562" s="1"/>
      <c r="AW562" s="1"/>
      <c r="AX562" s="1"/>
      <c r="AY562" s="1"/>
      <c r="AZ562" s="1"/>
      <c r="BA562" s="1"/>
      <c r="BB562" s="1"/>
      <c r="BC562" s="1"/>
      <c r="BD562" s="1"/>
      <c r="BE562" s="1"/>
      <c r="BF562" s="1"/>
      <c r="BG562" s="1"/>
      <c r="BH562" s="1"/>
      <c r="BI562" s="1"/>
      <c r="BJ562" s="1"/>
      <c r="BK562" s="1"/>
      <c r="BL562" s="1"/>
      <c r="BM562" s="1"/>
      <c r="BN562" s="1"/>
    </row>
    <row r="563" spans="1:66" ht="15.75" customHeight="1" x14ac:dyDescent="0.25">
      <c r="A563" s="1"/>
      <c r="B563" s="2"/>
      <c r="C563" s="3"/>
      <c r="D563" s="2"/>
      <c r="E563" s="52"/>
      <c r="F563" s="52"/>
      <c r="G563" s="52"/>
      <c r="H563" s="2"/>
      <c r="I563" s="2"/>
      <c r="J563" s="2"/>
      <c r="K563" s="2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2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1"/>
      <c r="AO563" s="1"/>
      <c r="AP563" s="1"/>
      <c r="AQ563" s="1"/>
      <c r="AR563" s="1"/>
      <c r="AS563" s="1"/>
      <c r="AT563" s="1"/>
      <c r="AU563" s="1"/>
      <c r="AV563" s="1"/>
      <c r="AW563" s="1"/>
      <c r="AX563" s="1"/>
      <c r="AY563" s="1"/>
      <c r="AZ563" s="1"/>
      <c r="BA563" s="1"/>
      <c r="BB563" s="1"/>
      <c r="BC563" s="1"/>
      <c r="BD563" s="1"/>
      <c r="BE563" s="1"/>
      <c r="BF563" s="1"/>
      <c r="BG563" s="1"/>
      <c r="BH563" s="1"/>
      <c r="BI563" s="1"/>
      <c r="BJ563" s="1"/>
      <c r="BK563" s="1"/>
      <c r="BL563" s="1"/>
      <c r="BM563" s="1"/>
      <c r="BN563" s="1"/>
    </row>
    <row r="564" spans="1:66" ht="15.75" customHeight="1" x14ac:dyDescent="0.25">
      <c r="A564" s="1"/>
      <c r="B564" s="2"/>
      <c r="C564" s="3"/>
      <c r="D564" s="2"/>
      <c r="E564" s="52"/>
      <c r="F564" s="52"/>
      <c r="G564" s="52"/>
      <c r="H564" s="2"/>
      <c r="I564" s="2"/>
      <c r="J564" s="2"/>
      <c r="K564" s="2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2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1"/>
      <c r="AO564" s="1"/>
      <c r="AP564" s="1"/>
      <c r="AQ564" s="1"/>
      <c r="AR564" s="1"/>
      <c r="AS564" s="1"/>
      <c r="AT564" s="1"/>
      <c r="AU564" s="1"/>
      <c r="AV564" s="1"/>
      <c r="AW564" s="1"/>
      <c r="AX564" s="1"/>
      <c r="AY564" s="1"/>
      <c r="AZ564" s="1"/>
      <c r="BA564" s="1"/>
      <c r="BB564" s="1"/>
      <c r="BC564" s="1"/>
      <c r="BD564" s="1"/>
      <c r="BE564" s="1"/>
      <c r="BF564" s="1"/>
      <c r="BG564" s="1"/>
      <c r="BH564" s="1"/>
      <c r="BI564" s="1"/>
      <c r="BJ564" s="1"/>
      <c r="BK564" s="1"/>
      <c r="BL564" s="1"/>
      <c r="BM564" s="1"/>
      <c r="BN564" s="1"/>
    </row>
    <row r="565" spans="1:66" ht="15.75" customHeight="1" x14ac:dyDescent="0.25">
      <c r="A565" s="1"/>
      <c r="B565" s="2"/>
      <c r="C565" s="3"/>
      <c r="D565" s="2"/>
      <c r="E565" s="52"/>
      <c r="F565" s="52"/>
      <c r="G565" s="52"/>
      <c r="H565" s="2"/>
      <c r="I565" s="2"/>
      <c r="J565" s="2"/>
      <c r="K565" s="2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2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1"/>
      <c r="AO565" s="1"/>
      <c r="AP565" s="1"/>
      <c r="AQ565" s="1"/>
      <c r="AR565" s="1"/>
      <c r="AS565" s="1"/>
      <c r="AT565" s="1"/>
      <c r="AU565" s="1"/>
      <c r="AV565" s="1"/>
      <c r="AW565" s="1"/>
      <c r="AX565" s="1"/>
      <c r="AY565" s="1"/>
      <c r="AZ565" s="1"/>
      <c r="BA565" s="1"/>
      <c r="BB565" s="1"/>
      <c r="BC565" s="1"/>
      <c r="BD565" s="1"/>
      <c r="BE565" s="1"/>
      <c r="BF565" s="1"/>
      <c r="BG565" s="1"/>
      <c r="BH565" s="1"/>
      <c r="BI565" s="1"/>
      <c r="BJ565" s="1"/>
      <c r="BK565" s="1"/>
      <c r="BL565" s="1"/>
      <c r="BM565" s="1"/>
      <c r="BN565" s="1"/>
    </row>
    <row r="566" spans="1:66" ht="15.75" customHeight="1" x14ac:dyDescent="0.25">
      <c r="A566" s="1"/>
      <c r="B566" s="2"/>
      <c r="C566" s="3"/>
      <c r="D566" s="2"/>
      <c r="E566" s="52"/>
      <c r="F566" s="52"/>
      <c r="G566" s="52"/>
      <c r="H566" s="2"/>
      <c r="I566" s="2"/>
      <c r="J566" s="2"/>
      <c r="K566" s="2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2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1"/>
      <c r="AO566" s="1"/>
      <c r="AP566" s="1"/>
      <c r="AQ566" s="1"/>
      <c r="AR566" s="1"/>
      <c r="AS566" s="1"/>
      <c r="AT566" s="1"/>
      <c r="AU566" s="1"/>
      <c r="AV566" s="1"/>
      <c r="AW566" s="1"/>
      <c r="AX566" s="1"/>
      <c r="AY566" s="1"/>
      <c r="AZ566" s="1"/>
      <c r="BA566" s="1"/>
      <c r="BB566" s="1"/>
      <c r="BC566" s="1"/>
      <c r="BD566" s="1"/>
      <c r="BE566" s="1"/>
      <c r="BF566" s="1"/>
      <c r="BG566" s="1"/>
      <c r="BH566" s="1"/>
      <c r="BI566" s="1"/>
      <c r="BJ566" s="1"/>
      <c r="BK566" s="1"/>
      <c r="BL566" s="1"/>
      <c r="BM566" s="1"/>
      <c r="BN566" s="1"/>
    </row>
    <row r="567" spans="1:66" ht="15.75" customHeight="1" x14ac:dyDescent="0.25">
      <c r="A567" s="1"/>
      <c r="B567" s="2"/>
      <c r="C567" s="3"/>
      <c r="D567" s="2"/>
      <c r="E567" s="52"/>
      <c r="F567" s="52"/>
      <c r="G567" s="52"/>
      <c r="H567" s="2"/>
      <c r="I567" s="2"/>
      <c r="J567" s="2"/>
      <c r="K567" s="2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2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1"/>
      <c r="AO567" s="1"/>
      <c r="AP567" s="1"/>
      <c r="AQ567" s="1"/>
      <c r="AR567" s="1"/>
      <c r="AS567" s="1"/>
      <c r="AT567" s="1"/>
      <c r="AU567" s="1"/>
      <c r="AV567" s="1"/>
      <c r="AW567" s="1"/>
      <c r="AX567" s="1"/>
      <c r="AY567" s="1"/>
      <c r="AZ567" s="1"/>
      <c r="BA567" s="1"/>
      <c r="BB567" s="1"/>
      <c r="BC567" s="1"/>
      <c r="BD567" s="1"/>
      <c r="BE567" s="1"/>
      <c r="BF567" s="1"/>
      <c r="BG567" s="1"/>
      <c r="BH567" s="1"/>
      <c r="BI567" s="1"/>
      <c r="BJ567" s="1"/>
      <c r="BK567" s="1"/>
      <c r="BL567" s="1"/>
      <c r="BM567" s="1"/>
      <c r="BN567" s="1"/>
    </row>
    <row r="568" spans="1:66" ht="15.75" customHeight="1" x14ac:dyDescent="0.25">
      <c r="A568" s="1"/>
      <c r="B568" s="2"/>
      <c r="C568" s="3"/>
      <c r="D568" s="2"/>
      <c r="E568" s="52"/>
      <c r="F568" s="52"/>
      <c r="G568" s="52"/>
      <c r="H568" s="2"/>
      <c r="I568" s="2"/>
      <c r="J568" s="2"/>
      <c r="K568" s="2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2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1"/>
      <c r="AO568" s="1"/>
      <c r="AP568" s="1"/>
      <c r="AQ568" s="1"/>
      <c r="AR568" s="1"/>
      <c r="AS568" s="1"/>
      <c r="AT568" s="1"/>
      <c r="AU568" s="1"/>
      <c r="AV568" s="1"/>
      <c r="AW568" s="1"/>
      <c r="AX568" s="1"/>
      <c r="AY568" s="1"/>
      <c r="AZ568" s="1"/>
      <c r="BA568" s="1"/>
      <c r="BB568" s="1"/>
      <c r="BC568" s="1"/>
      <c r="BD568" s="1"/>
      <c r="BE568" s="1"/>
      <c r="BF568" s="1"/>
      <c r="BG568" s="1"/>
      <c r="BH568" s="1"/>
      <c r="BI568" s="1"/>
      <c r="BJ568" s="1"/>
      <c r="BK568" s="1"/>
      <c r="BL568" s="1"/>
      <c r="BM568" s="1"/>
      <c r="BN568" s="1"/>
    </row>
    <row r="569" spans="1:66" ht="15.75" customHeight="1" x14ac:dyDescent="0.25">
      <c r="A569" s="1"/>
      <c r="B569" s="2"/>
      <c r="C569" s="3"/>
      <c r="D569" s="2"/>
      <c r="E569" s="52"/>
      <c r="F569" s="52"/>
      <c r="G569" s="52"/>
      <c r="H569" s="2"/>
      <c r="I569" s="2"/>
      <c r="J569" s="2"/>
      <c r="K569" s="2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2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1"/>
      <c r="AO569" s="1"/>
      <c r="AP569" s="1"/>
      <c r="AQ569" s="1"/>
      <c r="AR569" s="1"/>
      <c r="AS569" s="1"/>
      <c r="AT569" s="1"/>
      <c r="AU569" s="1"/>
      <c r="AV569" s="1"/>
      <c r="AW569" s="1"/>
      <c r="AX569" s="1"/>
      <c r="AY569" s="1"/>
      <c r="AZ569" s="1"/>
      <c r="BA569" s="1"/>
      <c r="BB569" s="1"/>
      <c r="BC569" s="1"/>
      <c r="BD569" s="1"/>
      <c r="BE569" s="1"/>
      <c r="BF569" s="1"/>
      <c r="BG569" s="1"/>
      <c r="BH569" s="1"/>
      <c r="BI569" s="1"/>
      <c r="BJ569" s="1"/>
      <c r="BK569" s="1"/>
      <c r="BL569" s="1"/>
      <c r="BM569" s="1"/>
      <c r="BN569" s="1"/>
    </row>
    <row r="570" spans="1:66" ht="15.75" customHeight="1" x14ac:dyDescent="0.25">
      <c r="A570" s="1"/>
      <c r="B570" s="2"/>
      <c r="C570" s="3"/>
      <c r="D570" s="2"/>
      <c r="E570" s="52"/>
      <c r="F570" s="52"/>
      <c r="G570" s="52"/>
      <c r="H570" s="2"/>
      <c r="I570" s="2"/>
      <c r="J570" s="2"/>
      <c r="K570" s="2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2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1"/>
      <c r="AO570" s="1"/>
      <c r="AP570" s="1"/>
      <c r="AQ570" s="1"/>
      <c r="AR570" s="1"/>
      <c r="AS570" s="1"/>
      <c r="AT570" s="1"/>
      <c r="AU570" s="1"/>
      <c r="AV570" s="1"/>
      <c r="AW570" s="1"/>
      <c r="AX570" s="1"/>
      <c r="AY570" s="1"/>
      <c r="AZ570" s="1"/>
      <c r="BA570" s="1"/>
      <c r="BB570" s="1"/>
      <c r="BC570" s="1"/>
      <c r="BD570" s="1"/>
      <c r="BE570" s="1"/>
      <c r="BF570" s="1"/>
      <c r="BG570" s="1"/>
      <c r="BH570" s="1"/>
      <c r="BI570" s="1"/>
      <c r="BJ570" s="1"/>
      <c r="BK570" s="1"/>
      <c r="BL570" s="1"/>
      <c r="BM570" s="1"/>
      <c r="BN570" s="1"/>
    </row>
    <row r="571" spans="1:66" ht="15.75" customHeight="1" x14ac:dyDescent="0.25">
      <c r="A571" s="1"/>
      <c r="B571" s="2"/>
      <c r="C571" s="3"/>
      <c r="D571" s="2"/>
      <c r="E571" s="52"/>
      <c r="F571" s="52"/>
      <c r="G571" s="52"/>
      <c r="H571" s="2"/>
      <c r="I571" s="2"/>
      <c r="J571" s="2"/>
      <c r="K571" s="2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2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  <c r="AO571" s="1"/>
      <c r="AP571" s="1"/>
      <c r="AQ571" s="1"/>
      <c r="AR571" s="1"/>
      <c r="AS571" s="1"/>
      <c r="AT571" s="1"/>
      <c r="AU571" s="1"/>
      <c r="AV571" s="1"/>
      <c r="AW571" s="1"/>
      <c r="AX571" s="1"/>
      <c r="AY571" s="1"/>
      <c r="AZ571" s="1"/>
      <c r="BA571" s="1"/>
      <c r="BB571" s="1"/>
      <c r="BC571" s="1"/>
      <c r="BD571" s="1"/>
      <c r="BE571" s="1"/>
      <c r="BF571" s="1"/>
      <c r="BG571" s="1"/>
      <c r="BH571" s="1"/>
      <c r="BI571" s="1"/>
      <c r="BJ571" s="1"/>
      <c r="BK571" s="1"/>
      <c r="BL571" s="1"/>
      <c r="BM571" s="1"/>
      <c r="BN571" s="1"/>
    </row>
    <row r="572" spans="1:66" ht="15.75" customHeight="1" x14ac:dyDescent="0.25">
      <c r="A572" s="1"/>
      <c r="B572" s="2"/>
      <c r="C572" s="3"/>
      <c r="D572" s="2"/>
      <c r="E572" s="52"/>
      <c r="F572" s="52"/>
      <c r="G572" s="52"/>
      <c r="H572" s="2"/>
      <c r="I572" s="2"/>
      <c r="J572" s="2"/>
      <c r="K572" s="2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2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  <c r="AO572" s="1"/>
      <c r="AP572" s="1"/>
      <c r="AQ572" s="1"/>
      <c r="AR572" s="1"/>
      <c r="AS572" s="1"/>
      <c r="AT572" s="1"/>
      <c r="AU572" s="1"/>
      <c r="AV572" s="1"/>
      <c r="AW572" s="1"/>
      <c r="AX572" s="1"/>
      <c r="AY572" s="1"/>
      <c r="AZ572" s="1"/>
      <c r="BA572" s="1"/>
      <c r="BB572" s="1"/>
      <c r="BC572" s="1"/>
      <c r="BD572" s="1"/>
      <c r="BE572" s="1"/>
      <c r="BF572" s="1"/>
      <c r="BG572" s="1"/>
      <c r="BH572" s="1"/>
      <c r="BI572" s="1"/>
      <c r="BJ572" s="1"/>
      <c r="BK572" s="1"/>
      <c r="BL572" s="1"/>
      <c r="BM572" s="1"/>
      <c r="BN572" s="1"/>
    </row>
    <row r="573" spans="1:66" ht="15.75" customHeight="1" x14ac:dyDescent="0.25">
      <c r="A573" s="1"/>
      <c r="B573" s="2"/>
      <c r="C573" s="3"/>
      <c r="D573" s="2"/>
      <c r="E573" s="52"/>
      <c r="F573" s="52"/>
      <c r="G573" s="52"/>
      <c r="H573" s="2"/>
      <c r="I573" s="2"/>
      <c r="J573" s="2"/>
      <c r="K573" s="2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2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  <c r="AO573" s="1"/>
      <c r="AP573" s="1"/>
      <c r="AQ573" s="1"/>
      <c r="AR573" s="1"/>
      <c r="AS573" s="1"/>
      <c r="AT573" s="1"/>
      <c r="AU573" s="1"/>
      <c r="AV573" s="1"/>
      <c r="AW573" s="1"/>
      <c r="AX573" s="1"/>
      <c r="AY573" s="1"/>
      <c r="AZ573" s="1"/>
      <c r="BA573" s="1"/>
      <c r="BB573" s="1"/>
      <c r="BC573" s="1"/>
      <c r="BD573" s="1"/>
      <c r="BE573" s="1"/>
      <c r="BF573" s="1"/>
      <c r="BG573" s="1"/>
      <c r="BH573" s="1"/>
      <c r="BI573" s="1"/>
      <c r="BJ573" s="1"/>
      <c r="BK573" s="1"/>
      <c r="BL573" s="1"/>
      <c r="BM573" s="1"/>
      <c r="BN573" s="1"/>
    </row>
    <row r="574" spans="1:66" ht="15.75" customHeight="1" x14ac:dyDescent="0.25">
      <c r="A574" s="1"/>
      <c r="B574" s="2"/>
      <c r="C574" s="3"/>
      <c r="D574" s="2"/>
      <c r="E574" s="52"/>
      <c r="F574" s="52"/>
      <c r="G574" s="52"/>
      <c r="H574" s="2"/>
      <c r="I574" s="2"/>
      <c r="J574" s="2"/>
      <c r="K574" s="2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2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  <c r="AO574" s="1"/>
      <c r="AP574" s="1"/>
      <c r="AQ574" s="1"/>
      <c r="AR574" s="1"/>
      <c r="AS574" s="1"/>
      <c r="AT574" s="1"/>
      <c r="AU574" s="1"/>
      <c r="AV574" s="1"/>
      <c r="AW574" s="1"/>
      <c r="AX574" s="1"/>
      <c r="AY574" s="1"/>
      <c r="AZ574" s="1"/>
      <c r="BA574" s="1"/>
      <c r="BB574" s="1"/>
      <c r="BC574" s="1"/>
      <c r="BD574" s="1"/>
      <c r="BE574" s="1"/>
      <c r="BF574" s="1"/>
      <c r="BG574" s="1"/>
      <c r="BH574" s="1"/>
      <c r="BI574" s="1"/>
      <c r="BJ574" s="1"/>
      <c r="BK574" s="1"/>
      <c r="BL574" s="1"/>
      <c r="BM574" s="1"/>
      <c r="BN574" s="1"/>
    </row>
    <row r="575" spans="1:66" ht="15.75" customHeight="1" x14ac:dyDescent="0.25">
      <c r="A575" s="1"/>
      <c r="B575" s="2"/>
      <c r="C575" s="3"/>
      <c r="D575" s="2"/>
      <c r="E575" s="52"/>
      <c r="F575" s="52"/>
      <c r="G575" s="52"/>
      <c r="H575" s="2"/>
      <c r="I575" s="2"/>
      <c r="J575" s="2"/>
      <c r="K575" s="2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2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  <c r="AO575" s="1"/>
      <c r="AP575" s="1"/>
      <c r="AQ575" s="1"/>
      <c r="AR575" s="1"/>
      <c r="AS575" s="1"/>
      <c r="AT575" s="1"/>
      <c r="AU575" s="1"/>
      <c r="AV575" s="1"/>
      <c r="AW575" s="1"/>
      <c r="AX575" s="1"/>
      <c r="AY575" s="1"/>
      <c r="AZ575" s="1"/>
      <c r="BA575" s="1"/>
      <c r="BB575" s="1"/>
      <c r="BC575" s="1"/>
      <c r="BD575" s="1"/>
      <c r="BE575" s="1"/>
      <c r="BF575" s="1"/>
      <c r="BG575" s="1"/>
      <c r="BH575" s="1"/>
      <c r="BI575" s="1"/>
      <c r="BJ575" s="1"/>
      <c r="BK575" s="1"/>
      <c r="BL575" s="1"/>
      <c r="BM575" s="1"/>
      <c r="BN575" s="1"/>
    </row>
    <row r="576" spans="1:66" ht="15.75" customHeight="1" x14ac:dyDescent="0.25">
      <c r="A576" s="1"/>
      <c r="B576" s="2"/>
      <c r="C576" s="3"/>
      <c r="D576" s="2"/>
      <c r="E576" s="52"/>
      <c r="F576" s="52"/>
      <c r="G576" s="52"/>
      <c r="H576" s="2"/>
      <c r="I576" s="2"/>
      <c r="J576" s="2"/>
      <c r="K576" s="2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2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  <c r="AO576" s="1"/>
      <c r="AP576" s="1"/>
      <c r="AQ576" s="1"/>
      <c r="AR576" s="1"/>
      <c r="AS576" s="1"/>
      <c r="AT576" s="1"/>
      <c r="AU576" s="1"/>
      <c r="AV576" s="1"/>
      <c r="AW576" s="1"/>
      <c r="AX576" s="1"/>
      <c r="AY576" s="1"/>
      <c r="AZ576" s="1"/>
      <c r="BA576" s="1"/>
      <c r="BB576" s="1"/>
      <c r="BC576" s="1"/>
      <c r="BD576" s="1"/>
      <c r="BE576" s="1"/>
      <c r="BF576" s="1"/>
      <c r="BG576" s="1"/>
      <c r="BH576" s="1"/>
      <c r="BI576" s="1"/>
      <c r="BJ576" s="1"/>
      <c r="BK576" s="1"/>
      <c r="BL576" s="1"/>
      <c r="BM576" s="1"/>
      <c r="BN576" s="1"/>
    </row>
    <row r="577" spans="1:66" ht="15.75" customHeight="1" x14ac:dyDescent="0.25">
      <c r="A577" s="1"/>
      <c r="B577" s="2"/>
      <c r="C577" s="3"/>
      <c r="D577" s="2"/>
      <c r="E577" s="52"/>
      <c r="F577" s="52"/>
      <c r="G577" s="52"/>
      <c r="H577" s="2"/>
      <c r="I577" s="2"/>
      <c r="J577" s="2"/>
      <c r="K577" s="2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2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  <c r="AO577" s="1"/>
      <c r="AP577" s="1"/>
      <c r="AQ577" s="1"/>
      <c r="AR577" s="1"/>
      <c r="AS577" s="1"/>
      <c r="AT577" s="1"/>
      <c r="AU577" s="1"/>
      <c r="AV577" s="1"/>
      <c r="AW577" s="1"/>
      <c r="AX577" s="1"/>
      <c r="AY577" s="1"/>
      <c r="AZ577" s="1"/>
      <c r="BA577" s="1"/>
      <c r="BB577" s="1"/>
      <c r="BC577" s="1"/>
      <c r="BD577" s="1"/>
      <c r="BE577" s="1"/>
      <c r="BF577" s="1"/>
      <c r="BG577" s="1"/>
      <c r="BH577" s="1"/>
      <c r="BI577" s="1"/>
      <c r="BJ577" s="1"/>
      <c r="BK577" s="1"/>
      <c r="BL577" s="1"/>
      <c r="BM577" s="1"/>
      <c r="BN577" s="1"/>
    </row>
    <row r="578" spans="1:66" ht="15.75" customHeight="1" x14ac:dyDescent="0.25">
      <c r="A578" s="1"/>
      <c r="B578" s="2"/>
      <c r="C578" s="3"/>
      <c r="D578" s="2"/>
      <c r="E578" s="52"/>
      <c r="F578" s="52"/>
      <c r="G578" s="52"/>
      <c r="H578" s="2"/>
      <c r="I578" s="2"/>
      <c r="J578" s="2"/>
      <c r="K578" s="2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2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  <c r="AO578" s="1"/>
      <c r="AP578" s="1"/>
      <c r="AQ578" s="1"/>
      <c r="AR578" s="1"/>
      <c r="AS578" s="1"/>
      <c r="AT578" s="1"/>
      <c r="AU578" s="1"/>
      <c r="AV578" s="1"/>
      <c r="AW578" s="1"/>
      <c r="AX578" s="1"/>
      <c r="AY578" s="1"/>
      <c r="AZ578" s="1"/>
      <c r="BA578" s="1"/>
      <c r="BB578" s="1"/>
      <c r="BC578" s="1"/>
      <c r="BD578" s="1"/>
      <c r="BE578" s="1"/>
      <c r="BF578" s="1"/>
      <c r="BG578" s="1"/>
      <c r="BH578" s="1"/>
      <c r="BI578" s="1"/>
      <c r="BJ578" s="1"/>
      <c r="BK578" s="1"/>
      <c r="BL578" s="1"/>
      <c r="BM578" s="1"/>
      <c r="BN578" s="1"/>
    </row>
    <row r="579" spans="1:66" ht="15.75" customHeight="1" x14ac:dyDescent="0.25">
      <c r="A579" s="1"/>
      <c r="B579" s="2"/>
      <c r="C579" s="3"/>
      <c r="D579" s="2"/>
      <c r="E579" s="52"/>
      <c r="F579" s="52"/>
      <c r="G579" s="52"/>
      <c r="H579" s="2"/>
      <c r="I579" s="2"/>
      <c r="J579" s="2"/>
      <c r="K579" s="2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2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  <c r="AO579" s="1"/>
      <c r="AP579" s="1"/>
      <c r="AQ579" s="1"/>
      <c r="AR579" s="1"/>
      <c r="AS579" s="1"/>
      <c r="AT579" s="1"/>
      <c r="AU579" s="1"/>
      <c r="AV579" s="1"/>
      <c r="AW579" s="1"/>
      <c r="AX579" s="1"/>
      <c r="AY579" s="1"/>
      <c r="AZ579" s="1"/>
      <c r="BA579" s="1"/>
      <c r="BB579" s="1"/>
      <c r="BC579" s="1"/>
      <c r="BD579" s="1"/>
      <c r="BE579" s="1"/>
      <c r="BF579" s="1"/>
      <c r="BG579" s="1"/>
      <c r="BH579" s="1"/>
      <c r="BI579" s="1"/>
      <c r="BJ579" s="1"/>
      <c r="BK579" s="1"/>
      <c r="BL579" s="1"/>
      <c r="BM579" s="1"/>
      <c r="BN579" s="1"/>
    </row>
    <row r="580" spans="1:66" ht="15.75" customHeight="1" x14ac:dyDescent="0.25">
      <c r="A580" s="1"/>
      <c r="B580" s="2"/>
      <c r="C580" s="3"/>
      <c r="D580" s="2"/>
      <c r="E580" s="52"/>
      <c r="F580" s="52"/>
      <c r="G580" s="52"/>
      <c r="H580" s="2"/>
      <c r="I580" s="2"/>
      <c r="J580" s="2"/>
      <c r="K580" s="2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2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  <c r="AO580" s="1"/>
      <c r="AP580" s="1"/>
      <c r="AQ580" s="1"/>
      <c r="AR580" s="1"/>
      <c r="AS580" s="1"/>
      <c r="AT580" s="1"/>
      <c r="AU580" s="1"/>
      <c r="AV580" s="1"/>
      <c r="AW580" s="1"/>
      <c r="AX580" s="1"/>
      <c r="AY580" s="1"/>
      <c r="AZ580" s="1"/>
      <c r="BA580" s="1"/>
      <c r="BB580" s="1"/>
      <c r="BC580" s="1"/>
      <c r="BD580" s="1"/>
      <c r="BE580" s="1"/>
      <c r="BF580" s="1"/>
      <c r="BG580" s="1"/>
      <c r="BH580" s="1"/>
      <c r="BI580" s="1"/>
      <c r="BJ580" s="1"/>
      <c r="BK580" s="1"/>
      <c r="BL580" s="1"/>
      <c r="BM580" s="1"/>
      <c r="BN580" s="1"/>
    </row>
    <row r="581" spans="1:66" ht="15.75" customHeight="1" x14ac:dyDescent="0.25">
      <c r="A581" s="1"/>
      <c r="B581" s="2"/>
      <c r="C581" s="3"/>
      <c r="D581" s="2"/>
      <c r="E581" s="52"/>
      <c r="F581" s="52"/>
      <c r="G581" s="52"/>
      <c r="H581" s="2"/>
      <c r="I581" s="2"/>
      <c r="J581" s="2"/>
      <c r="K581" s="2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2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  <c r="AO581" s="1"/>
      <c r="AP581" s="1"/>
      <c r="AQ581" s="1"/>
      <c r="AR581" s="1"/>
      <c r="AS581" s="1"/>
      <c r="AT581" s="1"/>
      <c r="AU581" s="1"/>
      <c r="AV581" s="1"/>
      <c r="AW581" s="1"/>
      <c r="AX581" s="1"/>
      <c r="AY581" s="1"/>
      <c r="AZ581" s="1"/>
      <c r="BA581" s="1"/>
      <c r="BB581" s="1"/>
      <c r="BC581" s="1"/>
      <c r="BD581" s="1"/>
      <c r="BE581" s="1"/>
      <c r="BF581" s="1"/>
      <c r="BG581" s="1"/>
      <c r="BH581" s="1"/>
      <c r="BI581" s="1"/>
      <c r="BJ581" s="1"/>
      <c r="BK581" s="1"/>
      <c r="BL581" s="1"/>
      <c r="BM581" s="1"/>
      <c r="BN581" s="1"/>
    </row>
    <row r="582" spans="1:66" ht="15.75" customHeight="1" x14ac:dyDescent="0.25">
      <c r="A582" s="1"/>
      <c r="B582" s="2"/>
      <c r="C582" s="3"/>
      <c r="D582" s="2"/>
      <c r="E582" s="52"/>
      <c r="F582" s="52"/>
      <c r="G582" s="52"/>
      <c r="H582" s="2"/>
      <c r="I582" s="2"/>
      <c r="J582" s="2"/>
      <c r="K582" s="2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2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  <c r="AO582" s="1"/>
      <c r="AP582" s="1"/>
      <c r="AQ582" s="1"/>
      <c r="AR582" s="1"/>
      <c r="AS582" s="1"/>
      <c r="AT582" s="1"/>
      <c r="AU582" s="1"/>
      <c r="AV582" s="1"/>
      <c r="AW582" s="1"/>
      <c r="AX582" s="1"/>
      <c r="AY582" s="1"/>
      <c r="AZ582" s="1"/>
      <c r="BA582" s="1"/>
      <c r="BB582" s="1"/>
      <c r="BC582" s="1"/>
      <c r="BD582" s="1"/>
      <c r="BE582" s="1"/>
      <c r="BF582" s="1"/>
      <c r="BG582" s="1"/>
      <c r="BH582" s="1"/>
      <c r="BI582" s="1"/>
      <c r="BJ582" s="1"/>
      <c r="BK582" s="1"/>
      <c r="BL582" s="1"/>
      <c r="BM582" s="1"/>
      <c r="BN582" s="1"/>
    </row>
    <row r="583" spans="1:66" ht="15.75" customHeight="1" x14ac:dyDescent="0.25">
      <c r="A583" s="1"/>
      <c r="B583" s="2"/>
      <c r="C583" s="3"/>
      <c r="D583" s="2"/>
      <c r="E583" s="52"/>
      <c r="F583" s="52"/>
      <c r="G583" s="52"/>
      <c r="H583" s="2"/>
      <c r="I583" s="2"/>
      <c r="J583" s="2"/>
      <c r="K583" s="2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2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1"/>
      <c r="AO583" s="1"/>
      <c r="AP583" s="1"/>
      <c r="AQ583" s="1"/>
      <c r="AR583" s="1"/>
      <c r="AS583" s="1"/>
      <c r="AT583" s="1"/>
      <c r="AU583" s="1"/>
      <c r="AV583" s="1"/>
      <c r="AW583" s="1"/>
      <c r="AX583" s="1"/>
      <c r="AY583" s="1"/>
      <c r="AZ583" s="1"/>
      <c r="BA583" s="1"/>
      <c r="BB583" s="1"/>
      <c r="BC583" s="1"/>
      <c r="BD583" s="1"/>
      <c r="BE583" s="1"/>
      <c r="BF583" s="1"/>
      <c r="BG583" s="1"/>
      <c r="BH583" s="1"/>
      <c r="BI583" s="1"/>
      <c r="BJ583" s="1"/>
      <c r="BK583" s="1"/>
      <c r="BL583" s="1"/>
      <c r="BM583" s="1"/>
      <c r="BN583" s="1"/>
    </row>
    <row r="584" spans="1:66" ht="15.75" customHeight="1" x14ac:dyDescent="0.25">
      <c r="A584" s="1"/>
      <c r="B584" s="2"/>
      <c r="C584" s="3"/>
      <c r="D584" s="2"/>
      <c r="E584" s="52"/>
      <c r="F584" s="52"/>
      <c r="G584" s="52"/>
      <c r="H584" s="2"/>
      <c r="I584" s="2"/>
      <c r="J584" s="2"/>
      <c r="K584" s="2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2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1"/>
      <c r="AO584" s="1"/>
      <c r="AP584" s="1"/>
      <c r="AQ584" s="1"/>
      <c r="AR584" s="1"/>
      <c r="AS584" s="1"/>
      <c r="AT584" s="1"/>
      <c r="AU584" s="1"/>
      <c r="AV584" s="1"/>
      <c r="AW584" s="1"/>
      <c r="AX584" s="1"/>
      <c r="AY584" s="1"/>
      <c r="AZ584" s="1"/>
      <c r="BA584" s="1"/>
      <c r="BB584" s="1"/>
      <c r="BC584" s="1"/>
      <c r="BD584" s="1"/>
      <c r="BE584" s="1"/>
      <c r="BF584" s="1"/>
      <c r="BG584" s="1"/>
      <c r="BH584" s="1"/>
      <c r="BI584" s="1"/>
      <c r="BJ584" s="1"/>
      <c r="BK584" s="1"/>
      <c r="BL584" s="1"/>
      <c r="BM584" s="1"/>
      <c r="BN584" s="1"/>
    </row>
    <row r="585" spans="1:66" ht="15.75" customHeight="1" x14ac:dyDescent="0.25">
      <c r="A585" s="1"/>
      <c r="B585" s="2"/>
      <c r="C585" s="3"/>
      <c r="D585" s="2"/>
      <c r="E585" s="52"/>
      <c r="F585" s="52"/>
      <c r="G585" s="52"/>
      <c r="H585" s="2"/>
      <c r="I585" s="2"/>
      <c r="J585" s="2"/>
      <c r="K585" s="2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2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1"/>
      <c r="AO585" s="1"/>
      <c r="AP585" s="1"/>
      <c r="AQ585" s="1"/>
      <c r="AR585" s="1"/>
      <c r="AS585" s="1"/>
      <c r="AT585" s="1"/>
      <c r="AU585" s="1"/>
      <c r="AV585" s="1"/>
      <c r="AW585" s="1"/>
      <c r="AX585" s="1"/>
      <c r="AY585" s="1"/>
      <c r="AZ585" s="1"/>
      <c r="BA585" s="1"/>
      <c r="BB585" s="1"/>
      <c r="BC585" s="1"/>
      <c r="BD585" s="1"/>
      <c r="BE585" s="1"/>
      <c r="BF585" s="1"/>
      <c r="BG585" s="1"/>
      <c r="BH585" s="1"/>
      <c r="BI585" s="1"/>
      <c r="BJ585" s="1"/>
      <c r="BK585" s="1"/>
      <c r="BL585" s="1"/>
      <c r="BM585" s="1"/>
      <c r="BN585" s="1"/>
    </row>
    <row r="586" spans="1:66" ht="15.75" customHeight="1" x14ac:dyDescent="0.25">
      <c r="A586" s="1"/>
      <c r="B586" s="2"/>
      <c r="C586" s="3"/>
      <c r="D586" s="2"/>
      <c r="E586" s="52"/>
      <c r="F586" s="52"/>
      <c r="G586" s="52"/>
      <c r="H586" s="2"/>
      <c r="I586" s="2"/>
      <c r="J586" s="2"/>
      <c r="K586" s="2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2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1"/>
      <c r="AO586" s="1"/>
      <c r="AP586" s="1"/>
      <c r="AQ586" s="1"/>
      <c r="AR586" s="1"/>
      <c r="AS586" s="1"/>
      <c r="AT586" s="1"/>
      <c r="AU586" s="1"/>
      <c r="AV586" s="1"/>
      <c r="AW586" s="1"/>
      <c r="AX586" s="1"/>
      <c r="AY586" s="1"/>
      <c r="AZ586" s="1"/>
      <c r="BA586" s="1"/>
      <c r="BB586" s="1"/>
      <c r="BC586" s="1"/>
      <c r="BD586" s="1"/>
      <c r="BE586" s="1"/>
      <c r="BF586" s="1"/>
      <c r="BG586" s="1"/>
      <c r="BH586" s="1"/>
      <c r="BI586" s="1"/>
      <c r="BJ586" s="1"/>
      <c r="BK586" s="1"/>
      <c r="BL586" s="1"/>
      <c r="BM586" s="1"/>
      <c r="BN586" s="1"/>
    </row>
    <row r="587" spans="1:66" ht="15.75" customHeight="1" x14ac:dyDescent="0.25">
      <c r="A587" s="1"/>
      <c r="B587" s="2"/>
      <c r="C587" s="3"/>
      <c r="D587" s="2"/>
      <c r="E587" s="52"/>
      <c r="F587" s="52"/>
      <c r="G587" s="52"/>
      <c r="H587" s="2"/>
      <c r="I587" s="2"/>
      <c r="J587" s="2"/>
      <c r="K587" s="2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2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1"/>
      <c r="AO587" s="1"/>
      <c r="AP587" s="1"/>
      <c r="AQ587" s="1"/>
      <c r="AR587" s="1"/>
      <c r="AS587" s="1"/>
      <c r="AT587" s="1"/>
      <c r="AU587" s="1"/>
      <c r="AV587" s="1"/>
      <c r="AW587" s="1"/>
      <c r="AX587" s="1"/>
      <c r="AY587" s="1"/>
      <c r="AZ587" s="1"/>
      <c r="BA587" s="1"/>
      <c r="BB587" s="1"/>
      <c r="BC587" s="1"/>
      <c r="BD587" s="1"/>
      <c r="BE587" s="1"/>
      <c r="BF587" s="1"/>
      <c r="BG587" s="1"/>
      <c r="BH587" s="1"/>
      <c r="BI587" s="1"/>
      <c r="BJ587" s="1"/>
      <c r="BK587" s="1"/>
      <c r="BL587" s="1"/>
      <c r="BM587" s="1"/>
      <c r="BN587" s="1"/>
    </row>
    <row r="588" spans="1:66" ht="15.75" customHeight="1" x14ac:dyDescent="0.25">
      <c r="A588" s="1"/>
      <c r="B588" s="2"/>
      <c r="C588" s="3"/>
      <c r="D588" s="2"/>
      <c r="E588" s="52"/>
      <c r="F588" s="52"/>
      <c r="G588" s="52"/>
      <c r="H588" s="2"/>
      <c r="I588" s="2"/>
      <c r="J588" s="2"/>
      <c r="K588" s="2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2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1"/>
      <c r="AO588" s="1"/>
      <c r="AP588" s="1"/>
      <c r="AQ588" s="1"/>
      <c r="AR588" s="1"/>
      <c r="AS588" s="1"/>
      <c r="AT588" s="1"/>
      <c r="AU588" s="1"/>
      <c r="AV588" s="1"/>
      <c r="AW588" s="1"/>
      <c r="AX588" s="1"/>
      <c r="AY588" s="1"/>
      <c r="AZ588" s="1"/>
      <c r="BA588" s="1"/>
      <c r="BB588" s="1"/>
      <c r="BC588" s="1"/>
      <c r="BD588" s="1"/>
      <c r="BE588" s="1"/>
      <c r="BF588" s="1"/>
      <c r="BG588" s="1"/>
      <c r="BH588" s="1"/>
      <c r="BI588" s="1"/>
      <c r="BJ588" s="1"/>
      <c r="BK588" s="1"/>
      <c r="BL588" s="1"/>
      <c r="BM588" s="1"/>
      <c r="BN588" s="1"/>
    </row>
    <row r="589" spans="1:66" ht="15.75" customHeight="1" x14ac:dyDescent="0.25">
      <c r="A589" s="1"/>
      <c r="B589" s="2"/>
      <c r="C589" s="3"/>
      <c r="D589" s="2"/>
      <c r="E589" s="52"/>
      <c r="F589" s="52"/>
      <c r="G589" s="52"/>
      <c r="H589" s="2"/>
      <c r="I589" s="2"/>
      <c r="J589" s="2"/>
      <c r="K589" s="2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2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1"/>
      <c r="AO589" s="1"/>
      <c r="AP589" s="1"/>
      <c r="AQ589" s="1"/>
      <c r="AR589" s="1"/>
      <c r="AS589" s="1"/>
      <c r="AT589" s="1"/>
      <c r="AU589" s="1"/>
      <c r="AV589" s="1"/>
      <c r="AW589" s="1"/>
      <c r="AX589" s="1"/>
      <c r="AY589" s="1"/>
      <c r="AZ589" s="1"/>
      <c r="BA589" s="1"/>
      <c r="BB589" s="1"/>
      <c r="BC589" s="1"/>
      <c r="BD589" s="1"/>
      <c r="BE589" s="1"/>
      <c r="BF589" s="1"/>
      <c r="BG589" s="1"/>
      <c r="BH589" s="1"/>
      <c r="BI589" s="1"/>
      <c r="BJ589" s="1"/>
      <c r="BK589" s="1"/>
      <c r="BL589" s="1"/>
      <c r="BM589" s="1"/>
      <c r="BN589" s="1"/>
    </row>
    <row r="590" spans="1:66" ht="15.75" customHeight="1" x14ac:dyDescent="0.25">
      <c r="A590" s="1"/>
      <c r="B590" s="2"/>
      <c r="C590" s="3"/>
      <c r="D590" s="2"/>
      <c r="E590" s="52"/>
      <c r="F590" s="52"/>
      <c r="G590" s="52"/>
      <c r="H590" s="2"/>
      <c r="I590" s="2"/>
      <c r="J590" s="2"/>
      <c r="K590" s="2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2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1"/>
      <c r="AO590" s="1"/>
      <c r="AP590" s="1"/>
      <c r="AQ590" s="1"/>
      <c r="AR590" s="1"/>
      <c r="AS590" s="1"/>
      <c r="AT590" s="1"/>
      <c r="AU590" s="1"/>
      <c r="AV590" s="1"/>
      <c r="AW590" s="1"/>
      <c r="AX590" s="1"/>
      <c r="AY590" s="1"/>
      <c r="AZ590" s="1"/>
      <c r="BA590" s="1"/>
      <c r="BB590" s="1"/>
      <c r="BC590" s="1"/>
      <c r="BD590" s="1"/>
      <c r="BE590" s="1"/>
      <c r="BF590" s="1"/>
      <c r="BG590" s="1"/>
      <c r="BH590" s="1"/>
      <c r="BI590" s="1"/>
      <c r="BJ590" s="1"/>
      <c r="BK590" s="1"/>
      <c r="BL590" s="1"/>
      <c r="BM590" s="1"/>
      <c r="BN590" s="1"/>
    </row>
    <row r="591" spans="1:66" ht="15.75" customHeight="1" x14ac:dyDescent="0.25">
      <c r="A591" s="1"/>
      <c r="B591" s="2"/>
      <c r="C591" s="3"/>
      <c r="D591" s="2"/>
      <c r="E591" s="52"/>
      <c r="F591" s="52"/>
      <c r="G591" s="52"/>
      <c r="H591" s="2"/>
      <c r="I591" s="2"/>
      <c r="J591" s="2"/>
      <c r="K591" s="2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2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1"/>
      <c r="AO591" s="1"/>
      <c r="AP591" s="1"/>
      <c r="AQ591" s="1"/>
      <c r="AR591" s="1"/>
      <c r="AS591" s="1"/>
      <c r="AT591" s="1"/>
      <c r="AU591" s="1"/>
      <c r="AV591" s="1"/>
      <c r="AW591" s="1"/>
      <c r="AX591" s="1"/>
      <c r="AY591" s="1"/>
      <c r="AZ591" s="1"/>
      <c r="BA591" s="1"/>
      <c r="BB591" s="1"/>
      <c r="BC591" s="1"/>
      <c r="BD591" s="1"/>
      <c r="BE591" s="1"/>
      <c r="BF591" s="1"/>
      <c r="BG591" s="1"/>
      <c r="BH591" s="1"/>
      <c r="BI591" s="1"/>
      <c r="BJ591" s="1"/>
      <c r="BK591" s="1"/>
      <c r="BL591" s="1"/>
      <c r="BM591" s="1"/>
      <c r="BN591" s="1"/>
    </row>
    <row r="592" spans="1:66" ht="15.75" customHeight="1" x14ac:dyDescent="0.25">
      <c r="A592" s="1"/>
      <c r="B592" s="2"/>
      <c r="C592" s="3"/>
      <c r="D592" s="2"/>
      <c r="E592" s="52"/>
      <c r="F592" s="52"/>
      <c r="G592" s="52"/>
      <c r="H592" s="2"/>
      <c r="I592" s="2"/>
      <c r="J592" s="2"/>
      <c r="K592" s="2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2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1"/>
      <c r="AO592" s="1"/>
      <c r="AP592" s="1"/>
      <c r="AQ592" s="1"/>
      <c r="AR592" s="1"/>
      <c r="AS592" s="1"/>
      <c r="AT592" s="1"/>
      <c r="AU592" s="1"/>
      <c r="AV592" s="1"/>
      <c r="AW592" s="1"/>
      <c r="AX592" s="1"/>
      <c r="AY592" s="1"/>
      <c r="AZ592" s="1"/>
      <c r="BA592" s="1"/>
      <c r="BB592" s="1"/>
      <c r="BC592" s="1"/>
      <c r="BD592" s="1"/>
      <c r="BE592" s="1"/>
      <c r="BF592" s="1"/>
      <c r="BG592" s="1"/>
      <c r="BH592" s="1"/>
      <c r="BI592" s="1"/>
      <c r="BJ592" s="1"/>
      <c r="BK592" s="1"/>
      <c r="BL592" s="1"/>
      <c r="BM592" s="1"/>
      <c r="BN592" s="1"/>
    </row>
    <row r="593" spans="1:66" ht="15.75" customHeight="1" x14ac:dyDescent="0.25">
      <c r="A593" s="1"/>
      <c r="B593" s="2"/>
      <c r="C593" s="3"/>
      <c r="D593" s="2"/>
      <c r="E593" s="52"/>
      <c r="F593" s="52"/>
      <c r="G593" s="52"/>
      <c r="H593" s="2"/>
      <c r="I593" s="2"/>
      <c r="J593" s="2"/>
      <c r="K593" s="2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2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1"/>
      <c r="AO593" s="1"/>
      <c r="AP593" s="1"/>
      <c r="AQ593" s="1"/>
      <c r="AR593" s="1"/>
      <c r="AS593" s="1"/>
      <c r="AT593" s="1"/>
      <c r="AU593" s="1"/>
      <c r="AV593" s="1"/>
      <c r="AW593" s="1"/>
      <c r="AX593" s="1"/>
      <c r="AY593" s="1"/>
      <c r="AZ593" s="1"/>
      <c r="BA593" s="1"/>
      <c r="BB593" s="1"/>
      <c r="BC593" s="1"/>
      <c r="BD593" s="1"/>
      <c r="BE593" s="1"/>
      <c r="BF593" s="1"/>
      <c r="BG593" s="1"/>
      <c r="BH593" s="1"/>
      <c r="BI593" s="1"/>
      <c r="BJ593" s="1"/>
      <c r="BK593" s="1"/>
      <c r="BL593" s="1"/>
      <c r="BM593" s="1"/>
      <c r="BN593" s="1"/>
    </row>
    <row r="594" spans="1:66" ht="15.75" customHeight="1" x14ac:dyDescent="0.25">
      <c r="A594" s="1"/>
      <c r="B594" s="2"/>
      <c r="C594" s="3"/>
      <c r="D594" s="2"/>
      <c r="E594" s="52"/>
      <c r="F594" s="52"/>
      <c r="G594" s="52"/>
      <c r="H594" s="2"/>
      <c r="I594" s="2"/>
      <c r="J594" s="2"/>
      <c r="K594" s="2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2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1"/>
      <c r="AO594" s="1"/>
      <c r="AP594" s="1"/>
      <c r="AQ594" s="1"/>
      <c r="AR594" s="1"/>
      <c r="AS594" s="1"/>
      <c r="AT594" s="1"/>
      <c r="AU594" s="1"/>
      <c r="AV594" s="1"/>
      <c r="AW594" s="1"/>
      <c r="AX594" s="1"/>
      <c r="AY594" s="1"/>
      <c r="AZ594" s="1"/>
      <c r="BA594" s="1"/>
      <c r="BB594" s="1"/>
      <c r="BC594" s="1"/>
      <c r="BD594" s="1"/>
      <c r="BE594" s="1"/>
      <c r="BF594" s="1"/>
      <c r="BG594" s="1"/>
      <c r="BH594" s="1"/>
      <c r="BI594" s="1"/>
      <c r="BJ594" s="1"/>
      <c r="BK594" s="1"/>
      <c r="BL594" s="1"/>
      <c r="BM594" s="1"/>
      <c r="BN594" s="1"/>
    </row>
    <row r="595" spans="1:66" ht="15.75" customHeight="1" x14ac:dyDescent="0.25">
      <c r="A595" s="1"/>
      <c r="B595" s="2"/>
      <c r="C595" s="3"/>
      <c r="D595" s="2"/>
      <c r="E595" s="52"/>
      <c r="F595" s="52"/>
      <c r="G595" s="52"/>
      <c r="H595" s="2"/>
      <c r="I595" s="2"/>
      <c r="J595" s="2"/>
      <c r="K595" s="2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2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1"/>
      <c r="AO595" s="1"/>
      <c r="AP595" s="1"/>
      <c r="AQ595" s="1"/>
      <c r="AR595" s="1"/>
      <c r="AS595" s="1"/>
      <c r="AT595" s="1"/>
      <c r="AU595" s="1"/>
      <c r="AV595" s="1"/>
      <c r="AW595" s="1"/>
      <c r="AX595" s="1"/>
      <c r="AY595" s="1"/>
      <c r="AZ595" s="1"/>
      <c r="BA595" s="1"/>
      <c r="BB595" s="1"/>
      <c r="BC595" s="1"/>
      <c r="BD595" s="1"/>
      <c r="BE595" s="1"/>
      <c r="BF595" s="1"/>
      <c r="BG595" s="1"/>
      <c r="BH595" s="1"/>
      <c r="BI595" s="1"/>
      <c r="BJ595" s="1"/>
      <c r="BK595" s="1"/>
      <c r="BL595" s="1"/>
      <c r="BM595" s="1"/>
      <c r="BN595" s="1"/>
    </row>
    <row r="596" spans="1:66" ht="15.75" customHeight="1" x14ac:dyDescent="0.25">
      <c r="A596" s="1"/>
      <c r="B596" s="2"/>
      <c r="C596" s="3"/>
      <c r="D596" s="2"/>
      <c r="E596" s="52"/>
      <c r="F596" s="52"/>
      <c r="G596" s="52"/>
      <c r="H596" s="2"/>
      <c r="I596" s="2"/>
      <c r="J596" s="2"/>
      <c r="K596" s="2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2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  <c r="AO596" s="1"/>
      <c r="AP596" s="1"/>
      <c r="AQ596" s="1"/>
      <c r="AR596" s="1"/>
      <c r="AS596" s="1"/>
      <c r="AT596" s="1"/>
      <c r="AU596" s="1"/>
      <c r="AV596" s="1"/>
      <c r="AW596" s="1"/>
      <c r="AX596" s="1"/>
      <c r="AY596" s="1"/>
      <c r="AZ596" s="1"/>
      <c r="BA596" s="1"/>
      <c r="BB596" s="1"/>
      <c r="BC596" s="1"/>
      <c r="BD596" s="1"/>
      <c r="BE596" s="1"/>
      <c r="BF596" s="1"/>
      <c r="BG596" s="1"/>
      <c r="BH596" s="1"/>
      <c r="BI596" s="1"/>
      <c r="BJ596" s="1"/>
      <c r="BK596" s="1"/>
      <c r="BL596" s="1"/>
      <c r="BM596" s="1"/>
      <c r="BN596" s="1"/>
    </row>
    <row r="597" spans="1:66" ht="15.75" customHeight="1" x14ac:dyDescent="0.25">
      <c r="A597" s="1"/>
      <c r="B597" s="2"/>
      <c r="C597" s="3"/>
      <c r="D597" s="2"/>
      <c r="E597" s="52"/>
      <c r="F597" s="52"/>
      <c r="G597" s="52"/>
      <c r="H597" s="2"/>
      <c r="I597" s="2"/>
      <c r="J597" s="2"/>
      <c r="K597" s="2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2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  <c r="AO597" s="1"/>
      <c r="AP597" s="1"/>
      <c r="AQ597" s="1"/>
      <c r="AR597" s="1"/>
      <c r="AS597" s="1"/>
      <c r="AT597" s="1"/>
      <c r="AU597" s="1"/>
      <c r="AV597" s="1"/>
      <c r="AW597" s="1"/>
      <c r="AX597" s="1"/>
      <c r="AY597" s="1"/>
      <c r="AZ597" s="1"/>
      <c r="BA597" s="1"/>
      <c r="BB597" s="1"/>
      <c r="BC597" s="1"/>
      <c r="BD597" s="1"/>
      <c r="BE597" s="1"/>
      <c r="BF597" s="1"/>
      <c r="BG597" s="1"/>
      <c r="BH597" s="1"/>
      <c r="BI597" s="1"/>
      <c r="BJ597" s="1"/>
      <c r="BK597" s="1"/>
      <c r="BL597" s="1"/>
      <c r="BM597" s="1"/>
      <c r="BN597" s="1"/>
    </row>
    <row r="598" spans="1:66" ht="15.75" customHeight="1" x14ac:dyDescent="0.25">
      <c r="A598" s="1"/>
      <c r="B598" s="2"/>
      <c r="C598" s="3"/>
      <c r="D598" s="2"/>
      <c r="E598" s="52"/>
      <c r="F598" s="52"/>
      <c r="G598" s="52"/>
      <c r="H598" s="2"/>
      <c r="I598" s="2"/>
      <c r="J598" s="2"/>
      <c r="K598" s="2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2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1"/>
      <c r="AZ598" s="1"/>
      <c r="BA598" s="1"/>
      <c r="BB598" s="1"/>
      <c r="BC598" s="1"/>
      <c r="BD598" s="1"/>
      <c r="BE598" s="1"/>
      <c r="BF598" s="1"/>
      <c r="BG598" s="1"/>
      <c r="BH598" s="1"/>
      <c r="BI598" s="1"/>
      <c r="BJ598" s="1"/>
      <c r="BK598" s="1"/>
      <c r="BL598" s="1"/>
      <c r="BM598" s="1"/>
      <c r="BN598" s="1"/>
    </row>
    <row r="599" spans="1:66" ht="15.75" customHeight="1" x14ac:dyDescent="0.25">
      <c r="A599" s="1"/>
      <c r="B599" s="2"/>
      <c r="C599" s="3"/>
      <c r="D599" s="2"/>
      <c r="E599" s="52"/>
      <c r="F599" s="52"/>
      <c r="G599" s="52"/>
      <c r="H599" s="2"/>
      <c r="I599" s="2"/>
      <c r="J599" s="2"/>
      <c r="K599" s="2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2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  <c r="AO599" s="1"/>
      <c r="AP599" s="1"/>
      <c r="AQ599" s="1"/>
      <c r="AR599" s="1"/>
      <c r="AS599" s="1"/>
      <c r="AT599" s="1"/>
      <c r="AU599" s="1"/>
      <c r="AV599" s="1"/>
      <c r="AW599" s="1"/>
      <c r="AX599" s="1"/>
      <c r="AY599" s="1"/>
      <c r="AZ599" s="1"/>
      <c r="BA599" s="1"/>
      <c r="BB599" s="1"/>
      <c r="BC599" s="1"/>
      <c r="BD599" s="1"/>
      <c r="BE599" s="1"/>
      <c r="BF599" s="1"/>
      <c r="BG599" s="1"/>
      <c r="BH599" s="1"/>
      <c r="BI599" s="1"/>
      <c r="BJ599" s="1"/>
      <c r="BK599" s="1"/>
      <c r="BL599" s="1"/>
      <c r="BM599" s="1"/>
      <c r="BN599" s="1"/>
    </row>
    <row r="600" spans="1:66" ht="15.75" customHeight="1" x14ac:dyDescent="0.25">
      <c r="A600" s="1"/>
      <c r="B600" s="2"/>
      <c r="C600" s="3"/>
      <c r="D600" s="2"/>
      <c r="E600" s="52"/>
      <c r="F600" s="52"/>
      <c r="G600" s="52"/>
      <c r="H600" s="2"/>
      <c r="I600" s="2"/>
      <c r="J600" s="2"/>
      <c r="K600" s="2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2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  <c r="AO600" s="1"/>
      <c r="AP600" s="1"/>
      <c r="AQ600" s="1"/>
      <c r="AR600" s="1"/>
      <c r="AS600" s="1"/>
      <c r="AT600" s="1"/>
      <c r="AU600" s="1"/>
      <c r="AV600" s="1"/>
      <c r="AW600" s="1"/>
      <c r="AX600" s="1"/>
      <c r="AY600" s="1"/>
      <c r="AZ600" s="1"/>
      <c r="BA600" s="1"/>
      <c r="BB600" s="1"/>
      <c r="BC600" s="1"/>
      <c r="BD600" s="1"/>
      <c r="BE600" s="1"/>
      <c r="BF600" s="1"/>
      <c r="BG600" s="1"/>
      <c r="BH600" s="1"/>
      <c r="BI600" s="1"/>
      <c r="BJ600" s="1"/>
      <c r="BK600" s="1"/>
      <c r="BL600" s="1"/>
      <c r="BM600" s="1"/>
      <c r="BN600" s="1"/>
    </row>
    <row r="601" spans="1:66" ht="15.75" customHeight="1" x14ac:dyDescent="0.25">
      <c r="A601" s="1"/>
      <c r="B601" s="2"/>
      <c r="C601" s="3"/>
      <c r="D601" s="2"/>
      <c r="E601" s="52"/>
      <c r="F601" s="52"/>
      <c r="G601" s="52"/>
      <c r="H601" s="2"/>
      <c r="I601" s="2"/>
      <c r="J601" s="2"/>
      <c r="K601" s="2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2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1"/>
      <c r="AO601" s="1"/>
      <c r="AP601" s="1"/>
      <c r="AQ601" s="1"/>
      <c r="AR601" s="1"/>
      <c r="AS601" s="1"/>
      <c r="AT601" s="1"/>
      <c r="AU601" s="1"/>
      <c r="AV601" s="1"/>
      <c r="AW601" s="1"/>
      <c r="AX601" s="1"/>
      <c r="AY601" s="1"/>
      <c r="AZ601" s="1"/>
      <c r="BA601" s="1"/>
      <c r="BB601" s="1"/>
      <c r="BC601" s="1"/>
      <c r="BD601" s="1"/>
      <c r="BE601" s="1"/>
      <c r="BF601" s="1"/>
      <c r="BG601" s="1"/>
      <c r="BH601" s="1"/>
      <c r="BI601" s="1"/>
      <c r="BJ601" s="1"/>
      <c r="BK601" s="1"/>
      <c r="BL601" s="1"/>
      <c r="BM601" s="1"/>
      <c r="BN601" s="1"/>
    </row>
    <row r="602" spans="1:66" ht="15.75" customHeight="1" x14ac:dyDescent="0.25">
      <c r="A602" s="1"/>
      <c r="B602" s="2"/>
      <c r="C602" s="3"/>
      <c r="D602" s="2"/>
      <c r="E602" s="52"/>
      <c r="F602" s="52"/>
      <c r="G602" s="52"/>
      <c r="H602" s="2"/>
      <c r="I602" s="2"/>
      <c r="J602" s="2"/>
      <c r="K602" s="2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2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  <c r="AO602" s="1"/>
      <c r="AP602" s="1"/>
      <c r="AQ602" s="1"/>
      <c r="AR602" s="1"/>
      <c r="AS602" s="1"/>
      <c r="AT602" s="1"/>
      <c r="AU602" s="1"/>
      <c r="AV602" s="1"/>
      <c r="AW602" s="1"/>
      <c r="AX602" s="1"/>
      <c r="AY602" s="1"/>
      <c r="AZ602" s="1"/>
      <c r="BA602" s="1"/>
      <c r="BB602" s="1"/>
      <c r="BC602" s="1"/>
      <c r="BD602" s="1"/>
      <c r="BE602" s="1"/>
      <c r="BF602" s="1"/>
      <c r="BG602" s="1"/>
      <c r="BH602" s="1"/>
      <c r="BI602" s="1"/>
      <c r="BJ602" s="1"/>
      <c r="BK602" s="1"/>
      <c r="BL602" s="1"/>
      <c r="BM602" s="1"/>
      <c r="BN602" s="1"/>
    </row>
    <row r="603" spans="1:66" ht="15.75" customHeight="1" x14ac:dyDescent="0.25">
      <c r="A603" s="1"/>
      <c r="B603" s="2"/>
      <c r="C603" s="3"/>
      <c r="D603" s="2"/>
      <c r="E603" s="52"/>
      <c r="F603" s="52"/>
      <c r="G603" s="52"/>
      <c r="H603" s="2"/>
      <c r="I603" s="2"/>
      <c r="J603" s="2"/>
      <c r="K603" s="2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2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1"/>
      <c r="AO603" s="1"/>
      <c r="AP603" s="1"/>
      <c r="AQ603" s="1"/>
      <c r="AR603" s="1"/>
      <c r="AS603" s="1"/>
      <c r="AT603" s="1"/>
      <c r="AU603" s="1"/>
      <c r="AV603" s="1"/>
      <c r="AW603" s="1"/>
      <c r="AX603" s="1"/>
      <c r="AY603" s="1"/>
      <c r="AZ603" s="1"/>
      <c r="BA603" s="1"/>
      <c r="BB603" s="1"/>
      <c r="BC603" s="1"/>
      <c r="BD603" s="1"/>
      <c r="BE603" s="1"/>
      <c r="BF603" s="1"/>
      <c r="BG603" s="1"/>
      <c r="BH603" s="1"/>
      <c r="BI603" s="1"/>
      <c r="BJ603" s="1"/>
      <c r="BK603" s="1"/>
      <c r="BL603" s="1"/>
      <c r="BM603" s="1"/>
      <c r="BN603" s="1"/>
    </row>
    <row r="604" spans="1:66" ht="15.75" customHeight="1" x14ac:dyDescent="0.25">
      <c r="A604" s="1"/>
      <c r="B604" s="2"/>
      <c r="C604" s="3"/>
      <c r="D604" s="2"/>
      <c r="E604" s="52"/>
      <c r="F604" s="52"/>
      <c r="G604" s="52"/>
      <c r="H604" s="2"/>
      <c r="I604" s="2"/>
      <c r="J604" s="2"/>
      <c r="K604" s="2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2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1"/>
      <c r="AO604" s="1"/>
      <c r="AP604" s="1"/>
      <c r="AQ604" s="1"/>
      <c r="AR604" s="1"/>
      <c r="AS604" s="1"/>
      <c r="AT604" s="1"/>
      <c r="AU604" s="1"/>
      <c r="AV604" s="1"/>
      <c r="AW604" s="1"/>
      <c r="AX604" s="1"/>
      <c r="AY604" s="1"/>
      <c r="AZ604" s="1"/>
      <c r="BA604" s="1"/>
      <c r="BB604" s="1"/>
      <c r="BC604" s="1"/>
      <c r="BD604" s="1"/>
      <c r="BE604" s="1"/>
      <c r="BF604" s="1"/>
      <c r="BG604" s="1"/>
      <c r="BH604" s="1"/>
      <c r="BI604" s="1"/>
      <c r="BJ604" s="1"/>
      <c r="BK604" s="1"/>
      <c r="BL604" s="1"/>
      <c r="BM604" s="1"/>
      <c r="BN604" s="1"/>
    </row>
    <row r="605" spans="1:66" ht="15.75" customHeight="1" x14ac:dyDescent="0.25">
      <c r="A605" s="1"/>
      <c r="B605" s="2"/>
      <c r="C605" s="3"/>
      <c r="D605" s="2"/>
      <c r="E605" s="52"/>
      <c r="F605" s="52"/>
      <c r="G605" s="52"/>
      <c r="H605" s="2"/>
      <c r="I605" s="2"/>
      <c r="J605" s="2"/>
      <c r="K605" s="2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2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1"/>
      <c r="AO605" s="1"/>
      <c r="AP605" s="1"/>
      <c r="AQ605" s="1"/>
      <c r="AR605" s="1"/>
      <c r="AS605" s="1"/>
      <c r="AT605" s="1"/>
      <c r="AU605" s="1"/>
      <c r="AV605" s="1"/>
      <c r="AW605" s="1"/>
      <c r="AX605" s="1"/>
      <c r="AY605" s="1"/>
      <c r="AZ605" s="1"/>
      <c r="BA605" s="1"/>
      <c r="BB605" s="1"/>
      <c r="BC605" s="1"/>
      <c r="BD605" s="1"/>
      <c r="BE605" s="1"/>
      <c r="BF605" s="1"/>
      <c r="BG605" s="1"/>
      <c r="BH605" s="1"/>
      <c r="BI605" s="1"/>
      <c r="BJ605" s="1"/>
      <c r="BK605" s="1"/>
      <c r="BL605" s="1"/>
      <c r="BM605" s="1"/>
      <c r="BN605" s="1"/>
    </row>
    <row r="606" spans="1:66" ht="15.75" customHeight="1" x14ac:dyDescent="0.25">
      <c r="A606" s="1"/>
      <c r="B606" s="2"/>
      <c r="C606" s="3"/>
      <c r="D606" s="2"/>
      <c r="E606" s="52"/>
      <c r="F606" s="52"/>
      <c r="G606" s="52"/>
      <c r="H606" s="2"/>
      <c r="I606" s="2"/>
      <c r="J606" s="2"/>
      <c r="K606" s="2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2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1"/>
      <c r="AO606" s="1"/>
      <c r="AP606" s="1"/>
      <c r="AQ606" s="1"/>
      <c r="AR606" s="1"/>
      <c r="AS606" s="1"/>
      <c r="AT606" s="1"/>
      <c r="AU606" s="1"/>
      <c r="AV606" s="1"/>
      <c r="AW606" s="1"/>
      <c r="AX606" s="1"/>
      <c r="AY606" s="1"/>
      <c r="AZ606" s="1"/>
      <c r="BA606" s="1"/>
      <c r="BB606" s="1"/>
      <c r="BC606" s="1"/>
      <c r="BD606" s="1"/>
      <c r="BE606" s="1"/>
      <c r="BF606" s="1"/>
      <c r="BG606" s="1"/>
      <c r="BH606" s="1"/>
      <c r="BI606" s="1"/>
      <c r="BJ606" s="1"/>
      <c r="BK606" s="1"/>
      <c r="BL606" s="1"/>
      <c r="BM606" s="1"/>
      <c r="BN606" s="1"/>
    </row>
    <row r="607" spans="1:66" ht="15.75" customHeight="1" x14ac:dyDescent="0.25">
      <c r="A607" s="1"/>
      <c r="B607" s="2"/>
      <c r="C607" s="3"/>
      <c r="D607" s="2"/>
      <c r="E607" s="52"/>
      <c r="F607" s="52"/>
      <c r="G607" s="52"/>
      <c r="H607" s="2"/>
      <c r="I607" s="2"/>
      <c r="J607" s="2"/>
      <c r="K607" s="2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2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1"/>
      <c r="AO607" s="1"/>
      <c r="AP607" s="1"/>
      <c r="AQ607" s="1"/>
      <c r="AR607" s="1"/>
      <c r="AS607" s="1"/>
      <c r="AT607" s="1"/>
      <c r="AU607" s="1"/>
      <c r="AV607" s="1"/>
      <c r="AW607" s="1"/>
      <c r="AX607" s="1"/>
      <c r="AY607" s="1"/>
      <c r="AZ607" s="1"/>
      <c r="BA607" s="1"/>
      <c r="BB607" s="1"/>
      <c r="BC607" s="1"/>
      <c r="BD607" s="1"/>
      <c r="BE607" s="1"/>
      <c r="BF607" s="1"/>
      <c r="BG607" s="1"/>
      <c r="BH607" s="1"/>
      <c r="BI607" s="1"/>
      <c r="BJ607" s="1"/>
      <c r="BK607" s="1"/>
      <c r="BL607" s="1"/>
      <c r="BM607" s="1"/>
      <c r="BN607" s="1"/>
    </row>
    <row r="608" spans="1:66" ht="15.75" customHeight="1" x14ac:dyDescent="0.25">
      <c r="A608" s="1"/>
      <c r="B608" s="2"/>
      <c r="C608" s="3"/>
      <c r="D608" s="2"/>
      <c r="E608" s="52"/>
      <c r="F608" s="52"/>
      <c r="G608" s="52"/>
      <c r="H608" s="2"/>
      <c r="I608" s="2"/>
      <c r="J608" s="2"/>
      <c r="K608" s="2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2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1"/>
      <c r="AO608" s="1"/>
      <c r="AP608" s="1"/>
      <c r="AQ608" s="1"/>
      <c r="AR608" s="1"/>
      <c r="AS608" s="1"/>
      <c r="AT608" s="1"/>
      <c r="AU608" s="1"/>
      <c r="AV608" s="1"/>
      <c r="AW608" s="1"/>
      <c r="AX608" s="1"/>
      <c r="AY608" s="1"/>
      <c r="AZ608" s="1"/>
      <c r="BA608" s="1"/>
      <c r="BB608" s="1"/>
      <c r="BC608" s="1"/>
      <c r="BD608" s="1"/>
      <c r="BE608" s="1"/>
      <c r="BF608" s="1"/>
      <c r="BG608" s="1"/>
      <c r="BH608" s="1"/>
      <c r="BI608" s="1"/>
      <c r="BJ608" s="1"/>
      <c r="BK608" s="1"/>
      <c r="BL608" s="1"/>
      <c r="BM608" s="1"/>
      <c r="BN608" s="1"/>
    </row>
    <row r="609" spans="1:66" ht="15.75" customHeight="1" x14ac:dyDescent="0.25">
      <c r="A609" s="1"/>
      <c r="B609" s="2"/>
      <c r="C609" s="3"/>
      <c r="D609" s="2"/>
      <c r="E609" s="52"/>
      <c r="F609" s="52"/>
      <c r="G609" s="52"/>
      <c r="H609" s="2"/>
      <c r="I609" s="2"/>
      <c r="J609" s="2"/>
      <c r="K609" s="2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2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  <c r="AO609" s="1"/>
      <c r="AP609" s="1"/>
      <c r="AQ609" s="1"/>
      <c r="AR609" s="1"/>
      <c r="AS609" s="1"/>
      <c r="AT609" s="1"/>
      <c r="AU609" s="1"/>
      <c r="AV609" s="1"/>
      <c r="AW609" s="1"/>
      <c r="AX609" s="1"/>
      <c r="AY609" s="1"/>
      <c r="AZ609" s="1"/>
      <c r="BA609" s="1"/>
      <c r="BB609" s="1"/>
      <c r="BC609" s="1"/>
      <c r="BD609" s="1"/>
      <c r="BE609" s="1"/>
      <c r="BF609" s="1"/>
      <c r="BG609" s="1"/>
      <c r="BH609" s="1"/>
      <c r="BI609" s="1"/>
      <c r="BJ609" s="1"/>
      <c r="BK609" s="1"/>
      <c r="BL609" s="1"/>
      <c r="BM609" s="1"/>
      <c r="BN609" s="1"/>
    </row>
    <row r="610" spans="1:66" ht="15.75" customHeight="1" x14ac:dyDescent="0.25">
      <c r="A610" s="1"/>
      <c r="B610" s="2"/>
      <c r="C610" s="3"/>
      <c r="D610" s="2"/>
      <c r="E610" s="52"/>
      <c r="F610" s="52"/>
      <c r="G610" s="52"/>
      <c r="H610" s="2"/>
      <c r="I610" s="2"/>
      <c r="J610" s="2"/>
      <c r="K610" s="2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2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1"/>
      <c r="AO610" s="1"/>
      <c r="AP610" s="1"/>
      <c r="AQ610" s="1"/>
      <c r="AR610" s="1"/>
      <c r="AS610" s="1"/>
      <c r="AT610" s="1"/>
      <c r="AU610" s="1"/>
      <c r="AV610" s="1"/>
      <c r="AW610" s="1"/>
      <c r="AX610" s="1"/>
      <c r="AY610" s="1"/>
      <c r="AZ610" s="1"/>
      <c r="BA610" s="1"/>
      <c r="BB610" s="1"/>
      <c r="BC610" s="1"/>
      <c r="BD610" s="1"/>
      <c r="BE610" s="1"/>
      <c r="BF610" s="1"/>
      <c r="BG610" s="1"/>
      <c r="BH610" s="1"/>
      <c r="BI610" s="1"/>
      <c r="BJ610" s="1"/>
      <c r="BK610" s="1"/>
      <c r="BL610" s="1"/>
      <c r="BM610" s="1"/>
      <c r="BN610" s="1"/>
    </row>
    <row r="611" spans="1:66" ht="15.75" customHeight="1" x14ac:dyDescent="0.25">
      <c r="A611" s="1"/>
      <c r="B611" s="2"/>
      <c r="C611" s="3"/>
      <c r="D611" s="2"/>
      <c r="E611" s="52"/>
      <c r="F611" s="52"/>
      <c r="G611" s="52"/>
      <c r="H611" s="2"/>
      <c r="I611" s="2"/>
      <c r="J611" s="2"/>
      <c r="K611" s="2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2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1"/>
      <c r="AO611" s="1"/>
      <c r="AP611" s="1"/>
      <c r="AQ611" s="1"/>
      <c r="AR611" s="1"/>
      <c r="AS611" s="1"/>
      <c r="AT611" s="1"/>
      <c r="AU611" s="1"/>
      <c r="AV611" s="1"/>
      <c r="AW611" s="1"/>
      <c r="AX611" s="1"/>
      <c r="AY611" s="1"/>
      <c r="AZ611" s="1"/>
      <c r="BA611" s="1"/>
      <c r="BB611" s="1"/>
      <c r="BC611" s="1"/>
      <c r="BD611" s="1"/>
      <c r="BE611" s="1"/>
      <c r="BF611" s="1"/>
      <c r="BG611" s="1"/>
      <c r="BH611" s="1"/>
      <c r="BI611" s="1"/>
      <c r="BJ611" s="1"/>
      <c r="BK611" s="1"/>
      <c r="BL611" s="1"/>
      <c r="BM611" s="1"/>
      <c r="BN611" s="1"/>
    </row>
    <row r="612" spans="1:66" ht="15.75" customHeight="1" x14ac:dyDescent="0.25">
      <c r="A612" s="1"/>
      <c r="B612" s="2"/>
      <c r="C612" s="3"/>
      <c r="D612" s="2"/>
      <c r="E612" s="52"/>
      <c r="F612" s="52"/>
      <c r="G612" s="52"/>
      <c r="H612" s="2"/>
      <c r="I612" s="2"/>
      <c r="J612" s="2"/>
      <c r="K612" s="2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2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1"/>
      <c r="AO612" s="1"/>
      <c r="AP612" s="1"/>
      <c r="AQ612" s="1"/>
      <c r="AR612" s="1"/>
      <c r="AS612" s="1"/>
      <c r="AT612" s="1"/>
      <c r="AU612" s="1"/>
      <c r="AV612" s="1"/>
      <c r="AW612" s="1"/>
      <c r="AX612" s="1"/>
      <c r="AY612" s="1"/>
      <c r="AZ612" s="1"/>
      <c r="BA612" s="1"/>
      <c r="BB612" s="1"/>
      <c r="BC612" s="1"/>
      <c r="BD612" s="1"/>
      <c r="BE612" s="1"/>
      <c r="BF612" s="1"/>
      <c r="BG612" s="1"/>
      <c r="BH612" s="1"/>
      <c r="BI612" s="1"/>
      <c r="BJ612" s="1"/>
      <c r="BK612" s="1"/>
      <c r="BL612" s="1"/>
      <c r="BM612" s="1"/>
      <c r="BN612" s="1"/>
    </row>
    <row r="613" spans="1:66" ht="15.75" customHeight="1" x14ac:dyDescent="0.25">
      <c r="A613" s="1"/>
      <c r="B613" s="2"/>
      <c r="C613" s="3"/>
      <c r="D613" s="2"/>
      <c r="E613" s="52"/>
      <c r="F613" s="52"/>
      <c r="G613" s="52"/>
      <c r="H613" s="2"/>
      <c r="I613" s="2"/>
      <c r="J613" s="2"/>
      <c r="K613" s="2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2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1"/>
      <c r="AO613" s="1"/>
      <c r="AP613" s="1"/>
      <c r="AQ613" s="1"/>
      <c r="AR613" s="1"/>
      <c r="AS613" s="1"/>
      <c r="AT613" s="1"/>
      <c r="AU613" s="1"/>
      <c r="AV613" s="1"/>
      <c r="AW613" s="1"/>
      <c r="AX613" s="1"/>
      <c r="AY613" s="1"/>
      <c r="AZ613" s="1"/>
      <c r="BA613" s="1"/>
      <c r="BB613" s="1"/>
      <c r="BC613" s="1"/>
      <c r="BD613" s="1"/>
      <c r="BE613" s="1"/>
      <c r="BF613" s="1"/>
      <c r="BG613" s="1"/>
      <c r="BH613" s="1"/>
      <c r="BI613" s="1"/>
      <c r="BJ613" s="1"/>
      <c r="BK613" s="1"/>
      <c r="BL613" s="1"/>
      <c r="BM613" s="1"/>
      <c r="BN613" s="1"/>
    </row>
    <row r="614" spans="1:66" ht="15.75" customHeight="1" x14ac:dyDescent="0.25">
      <c r="A614" s="1"/>
      <c r="B614" s="2"/>
      <c r="C614" s="3"/>
      <c r="D614" s="2"/>
      <c r="E614" s="52"/>
      <c r="F614" s="52"/>
      <c r="G614" s="52"/>
      <c r="H614" s="2"/>
      <c r="I614" s="2"/>
      <c r="J614" s="2"/>
      <c r="K614" s="2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2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1"/>
      <c r="AO614" s="1"/>
      <c r="AP614" s="1"/>
      <c r="AQ614" s="1"/>
      <c r="AR614" s="1"/>
      <c r="AS614" s="1"/>
      <c r="AT614" s="1"/>
      <c r="AU614" s="1"/>
      <c r="AV614" s="1"/>
      <c r="AW614" s="1"/>
      <c r="AX614" s="1"/>
      <c r="AY614" s="1"/>
      <c r="AZ614" s="1"/>
      <c r="BA614" s="1"/>
      <c r="BB614" s="1"/>
      <c r="BC614" s="1"/>
      <c r="BD614" s="1"/>
      <c r="BE614" s="1"/>
      <c r="BF614" s="1"/>
      <c r="BG614" s="1"/>
      <c r="BH614" s="1"/>
      <c r="BI614" s="1"/>
      <c r="BJ614" s="1"/>
      <c r="BK614" s="1"/>
      <c r="BL614" s="1"/>
      <c r="BM614" s="1"/>
      <c r="BN614" s="1"/>
    </row>
    <row r="615" spans="1:66" ht="15.75" customHeight="1" x14ac:dyDescent="0.25">
      <c r="A615" s="1"/>
      <c r="B615" s="2"/>
      <c r="C615" s="3"/>
      <c r="D615" s="2"/>
      <c r="E615" s="52"/>
      <c r="F615" s="52"/>
      <c r="G615" s="52"/>
      <c r="H615" s="2"/>
      <c r="I615" s="2"/>
      <c r="J615" s="2"/>
      <c r="K615" s="2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2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  <c r="AO615" s="1"/>
      <c r="AP615" s="1"/>
      <c r="AQ615" s="1"/>
      <c r="AR615" s="1"/>
      <c r="AS615" s="1"/>
      <c r="AT615" s="1"/>
      <c r="AU615" s="1"/>
      <c r="AV615" s="1"/>
      <c r="AW615" s="1"/>
      <c r="AX615" s="1"/>
      <c r="AY615" s="1"/>
      <c r="AZ615" s="1"/>
      <c r="BA615" s="1"/>
      <c r="BB615" s="1"/>
      <c r="BC615" s="1"/>
      <c r="BD615" s="1"/>
      <c r="BE615" s="1"/>
      <c r="BF615" s="1"/>
      <c r="BG615" s="1"/>
      <c r="BH615" s="1"/>
      <c r="BI615" s="1"/>
      <c r="BJ615" s="1"/>
      <c r="BK615" s="1"/>
      <c r="BL615" s="1"/>
      <c r="BM615" s="1"/>
      <c r="BN615" s="1"/>
    </row>
    <row r="616" spans="1:66" ht="15.75" customHeight="1" x14ac:dyDescent="0.25">
      <c r="A616" s="1"/>
      <c r="B616" s="2"/>
      <c r="C616" s="3"/>
      <c r="D616" s="2"/>
      <c r="E616" s="52"/>
      <c r="F616" s="52"/>
      <c r="G616" s="52"/>
      <c r="H616" s="2"/>
      <c r="I616" s="2"/>
      <c r="J616" s="2"/>
      <c r="K616" s="2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2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1"/>
      <c r="AO616" s="1"/>
      <c r="AP616" s="1"/>
      <c r="AQ616" s="1"/>
      <c r="AR616" s="1"/>
      <c r="AS616" s="1"/>
      <c r="AT616" s="1"/>
      <c r="AU616" s="1"/>
      <c r="AV616" s="1"/>
      <c r="AW616" s="1"/>
      <c r="AX616" s="1"/>
      <c r="AY616" s="1"/>
      <c r="AZ616" s="1"/>
      <c r="BA616" s="1"/>
      <c r="BB616" s="1"/>
      <c r="BC616" s="1"/>
      <c r="BD616" s="1"/>
      <c r="BE616" s="1"/>
      <c r="BF616" s="1"/>
      <c r="BG616" s="1"/>
      <c r="BH616" s="1"/>
      <c r="BI616" s="1"/>
      <c r="BJ616" s="1"/>
      <c r="BK616" s="1"/>
      <c r="BL616" s="1"/>
      <c r="BM616" s="1"/>
      <c r="BN616" s="1"/>
    </row>
    <row r="617" spans="1:66" ht="15.75" customHeight="1" x14ac:dyDescent="0.25">
      <c r="A617" s="1"/>
      <c r="B617" s="2"/>
      <c r="C617" s="3"/>
      <c r="D617" s="2"/>
      <c r="E617" s="52"/>
      <c r="F617" s="52"/>
      <c r="G617" s="52"/>
      <c r="H617" s="2"/>
      <c r="I617" s="2"/>
      <c r="J617" s="2"/>
      <c r="K617" s="2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2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1"/>
      <c r="AO617" s="1"/>
      <c r="AP617" s="1"/>
      <c r="AQ617" s="1"/>
      <c r="AR617" s="1"/>
      <c r="AS617" s="1"/>
      <c r="AT617" s="1"/>
      <c r="AU617" s="1"/>
      <c r="AV617" s="1"/>
      <c r="AW617" s="1"/>
      <c r="AX617" s="1"/>
      <c r="AY617" s="1"/>
      <c r="AZ617" s="1"/>
      <c r="BA617" s="1"/>
      <c r="BB617" s="1"/>
      <c r="BC617" s="1"/>
      <c r="BD617" s="1"/>
      <c r="BE617" s="1"/>
      <c r="BF617" s="1"/>
      <c r="BG617" s="1"/>
      <c r="BH617" s="1"/>
      <c r="BI617" s="1"/>
      <c r="BJ617" s="1"/>
      <c r="BK617" s="1"/>
      <c r="BL617" s="1"/>
      <c r="BM617" s="1"/>
      <c r="BN617" s="1"/>
    </row>
    <row r="618" spans="1:66" ht="15.75" customHeight="1" x14ac:dyDescent="0.25">
      <c r="A618" s="1"/>
      <c r="B618" s="2"/>
      <c r="C618" s="3"/>
      <c r="D618" s="2"/>
      <c r="E618" s="52"/>
      <c r="F618" s="52"/>
      <c r="G618" s="52"/>
      <c r="H618" s="2"/>
      <c r="I618" s="2"/>
      <c r="J618" s="2"/>
      <c r="K618" s="2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2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1"/>
      <c r="AZ618" s="1"/>
      <c r="BA618" s="1"/>
      <c r="BB618" s="1"/>
      <c r="BC618" s="1"/>
      <c r="BD618" s="1"/>
      <c r="BE618" s="1"/>
      <c r="BF618" s="1"/>
      <c r="BG618" s="1"/>
      <c r="BH618" s="1"/>
      <c r="BI618" s="1"/>
      <c r="BJ618" s="1"/>
      <c r="BK618" s="1"/>
      <c r="BL618" s="1"/>
      <c r="BM618" s="1"/>
      <c r="BN618" s="1"/>
    </row>
    <row r="619" spans="1:66" ht="15.75" customHeight="1" x14ac:dyDescent="0.25">
      <c r="A619" s="1"/>
      <c r="B619" s="2"/>
      <c r="C619" s="3"/>
      <c r="D619" s="2"/>
      <c r="E619" s="52"/>
      <c r="F619" s="52"/>
      <c r="G619" s="52"/>
      <c r="H619" s="2"/>
      <c r="I619" s="2"/>
      <c r="J619" s="2"/>
      <c r="K619" s="2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2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  <c r="AO619" s="1"/>
      <c r="AP619" s="1"/>
      <c r="AQ619" s="1"/>
      <c r="AR619" s="1"/>
      <c r="AS619" s="1"/>
      <c r="AT619" s="1"/>
      <c r="AU619" s="1"/>
      <c r="AV619" s="1"/>
      <c r="AW619" s="1"/>
      <c r="AX619" s="1"/>
      <c r="AY619" s="1"/>
      <c r="AZ619" s="1"/>
      <c r="BA619" s="1"/>
      <c r="BB619" s="1"/>
      <c r="BC619" s="1"/>
      <c r="BD619" s="1"/>
      <c r="BE619" s="1"/>
      <c r="BF619" s="1"/>
      <c r="BG619" s="1"/>
      <c r="BH619" s="1"/>
      <c r="BI619" s="1"/>
      <c r="BJ619" s="1"/>
      <c r="BK619" s="1"/>
      <c r="BL619" s="1"/>
      <c r="BM619" s="1"/>
      <c r="BN619" s="1"/>
    </row>
    <row r="620" spans="1:66" ht="15.75" customHeight="1" x14ac:dyDescent="0.25">
      <c r="A620" s="1"/>
      <c r="B620" s="2"/>
      <c r="C620" s="3"/>
      <c r="D620" s="2"/>
      <c r="E620" s="52"/>
      <c r="F620" s="52"/>
      <c r="G620" s="52"/>
      <c r="H620" s="2"/>
      <c r="I620" s="2"/>
      <c r="J620" s="2"/>
      <c r="K620" s="2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2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  <c r="AO620" s="1"/>
      <c r="AP620" s="1"/>
      <c r="AQ620" s="1"/>
      <c r="AR620" s="1"/>
      <c r="AS620" s="1"/>
      <c r="AT620" s="1"/>
      <c r="AU620" s="1"/>
      <c r="AV620" s="1"/>
      <c r="AW620" s="1"/>
      <c r="AX620" s="1"/>
      <c r="AY620" s="1"/>
      <c r="AZ620" s="1"/>
      <c r="BA620" s="1"/>
      <c r="BB620" s="1"/>
      <c r="BC620" s="1"/>
      <c r="BD620" s="1"/>
      <c r="BE620" s="1"/>
      <c r="BF620" s="1"/>
      <c r="BG620" s="1"/>
      <c r="BH620" s="1"/>
      <c r="BI620" s="1"/>
      <c r="BJ620" s="1"/>
      <c r="BK620" s="1"/>
      <c r="BL620" s="1"/>
      <c r="BM620" s="1"/>
      <c r="BN620" s="1"/>
    </row>
    <row r="621" spans="1:66" ht="15.75" customHeight="1" x14ac:dyDescent="0.25">
      <c r="A621" s="1"/>
      <c r="B621" s="2"/>
      <c r="C621" s="3"/>
      <c r="D621" s="2"/>
      <c r="E621" s="52"/>
      <c r="F621" s="52"/>
      <c r="G621" s="52"/>
      <c r="H621" s="2"/>
      <c r="I621" s="2"/>
      <c r="J621" s="2"/>
      <c r="K621" s="2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2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  <c r="AO621" s="1"/>
      <c r="AP621" s="1"/>
      <c r="AQ621" s="1"/>
      <c r="AR621" s="1"/>
      <c r="AS621" s="1"/>
      <c r="AT621" s="1"/>
      <c r="AU621" s="1"/>
      <c r="AV621" s="1"/>
      <c r="AW621" s="1"/>
      <c r="AX621" s="1"/>
      <c r="AY621" s="1"/>
      <c r="AZ621" s="1"/>
      <c r="BA621" s="1"/>
      <c r="BB621" s="1"/>
      <c r="BC621" s="1"/>
      <c r="BD621" s="1"/>
      <c r="BE621" s="1"/>
      <c r="BF621" s="1"/>
      <c r="BG621" s="1"/>
      <c r="BH621" s="1"/>
      <c r="BI621" s="1"/>
      <c r="BJ621" s="1"/>
      <c r="BK621" s="1"/>
      <c r="BL621" s="1"/>
      <c r="BM621" s="1"/>
      <c r="BN621" s="1"/>
    </row>
    <row r="622" spans="1:66" ht="15.75" customHeight="1" x14ac:dyDescent="0.25">
      <c r="A622" s="1"/>
      <c r="B622" s="2"/>
      <c r="C622" s="3"/>
      <c r="D622" s="2"/>
      <c r="E622" s="52"/>
      <c r="F622" s="52"/>
      <c r="G622" s="52"/>
      <c r="H622" s="2"/>
      <c r="I622" s="2"/>
      <c r="J622" s="2"/>
      <c r="K622" s="2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2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  <c r="AO622" s="1"/>
      <c r="AP622" s="1"/>
      <c r="AQ622" s="1"/>
      <c r="AR622" s="1"/>
      <c r="AS622" s="1"/>
      <c r="AT622" s="1"/>
      <c r="AU622" s="1"/>
      <c r="AV622" s="1"/>
      <c r="AW622" s="1"/>
      <c r="AX622" s="1"/>
      <c r="AY622" s="1"/>
      <c r="AZ622" s="1"/>
      <c r="BA622" s="1"/>
      <c r="BB622" s="1"/>
      <c r="BC622" s="1"/>
      <c r="BD622" s="1"/>
      <c r="BE622" s="1"/>
      <c r="BF622" s="1"/>
      <c r="BG622" s="1"/>
      <c r="BH622" s="1"/>
      <c r="BI622" s="1"/>
      <c r="BJ622" s="1"/>
      <c r="BK622" s="1"/>
      <c r="BL622" s="1"/>
      <c r="BM622" s="1"/>
      <c r="BN622" s="1"/>
    </row>
    <row r="623" spans="1:66" ht="15.75" customHeight="1" x14ac:dyDescent="0.25">
      <c r="A623" s="1"/>
      <c r="B623" s="2"/>
      <c r="C623" s="3"/>
      <c r="D623" s="2"/>
      <c r="E623" s="52"/>
      <c r="F623" s="52"/>
      <c r="G623" s="52"/>
      <c r="H623" s="2"/>
      <c r="I623" s="2"/>
      <c r="J623" s="2"/>
      <c r="K623" s="2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2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1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1"/>
      <c r="AZ623" s="1"/>
      <c r="BA623" s="1"/>
      <c r="BB623" s="1"/>
      <c r="BC623" s="1"/>
      <c r="BD623" s="1"/>
      <c r="BE623" s="1"/>
      <c r="BF623" s="1"/>
      <c r="BG623" s="1"/>
      <c r="BH623" s="1"/>
      <c r="BI623" s="1"/>
      <c r="BJ623" s="1"/>
      <c r="BK623" s="1"/>
      <c r="BL623" s="1"/>
      <c r="BM623" s="1"/>
      <c r="BN623" s="1"/>
    </row>
    <row r="624" spans="1:66" ht="15.75" customHeight="1" x14ac:dyDescent="0.25">
      <c r="A624" s="1"/>
      <c r="B624" s="2"/>
      <c r="C624" s="3"/>
      <c r="D624" s="2"/>
      <c r="E624" s="52"/>
      <c r="F624" s="52"/>
      <c r="G624" s="52"/>
      <c r="H624" s="2"/>
      <c r="I624" s="2"/>
      <c r="J624" s="2"/>
      <c r="K624" s="2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2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1"/>
      <c r="AO624" s="1"/>
      <c r="AP624" s="1"/>
      <c r="AQ624" s="1"/>
      <c r="AR624" s="1"/>
      <c r="AS624" s="1"/>
      <c r="AT624" s="1"/>
      <c r="AU624" s="1"/>
      <c r="AV624" s="1"/>
      <c r="AW624" s="1"/>
      <c r="AX624" s="1"/>
      <c r="AY624" s="1"/>
      <c r="AZ624" s="1"/>
      <c r="BA624" s="1"/>
      <c r="BB624" s="1"/>
      <c r="BC624" s="1"/>
      <c r="BD624" s="1"/>
      <c r="BE624" s="1"/>
      <c r="BF624" s="1"/>
      <c r="BG624" s="1"/>
      <c r="BH624" s="1"/>
      <c r="BI624" s="1"/>
      <c r="BJ624" s="1"/>
      <c r="BK624" s="1"/>
      <c r="BL624" s="1"/>
      <c r="BM624" s="1"/>
      <c r="BN624" s="1"/>
    </row>
    <row r="625" spans="1:66" ht="15.75" customHeight="1" x14ac:dyDescent="0.25">
      <c r="A625" s="1"/>
      <c r="B625" s="2"/>
      <c r="C625" s="3"/>
      <c r="D625" s="2"/>
      <c r="E625" s="52"/>
      <c r="F625" s="52"/>
      <c r="G625" s="52"/>
      <c r="H625" s="2"/>
      <c r="I625" s="2"/>
      <c r="J625" s="2"/>
      <c r="K625" s="2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2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1"/>
      <c r="AO625" s="1"/>
      <c r="AP625" s="1"/>
      <c r="AQ625" s="1"/>
      <c r="AR625" s="1"/>
      <c r="AS625" s="1"/>
      <c r="AT625" s="1"/>
      <c r="AU625" s="1"/>
      <c r="AV625" s="1"/>
      <c r="AW625" s="1"/>
      <c r="AX625" s="1"/>
      <c r="AY625" s="1"/>
      <c r="AZ625" s="1"/>
      <c r="BA625" s="1"/>
      <c r="BB625" s="1"/>
      <c r="BC625" s="1"/>
      <c r="BD625" s="1"/>
      <c r="BE625" s="1"/>
      <c r="BF625" s="1"/>
      <c r="BG625" s="1"/>
      <c r="BH625" s="1"/>
      <c r="BI625" s="1"/>
      <c r="BJ625" s="1"/>
      <c r="BK625" s="1"/>
      <c r="BL625" s="1"/>
      <c r="BM625" s="1"/>
      <c r="BN625" s="1"/>
    </row>
    <row r="626" spans="1:66" ht="15.75" customHeight="1" x14ac:dyDescent="0.25">
      <c r="A626" s="1"/>
      <c r="B626" s="2"/>
      <c r="C626" s="3"/>
      <c r="D626" s="2"/>
      <c r="E626" s="52"/>
      <c r="F626" s="52"/>
      <c r="G626" s="52"/>
      <c r="H626" s="2"/>
      <c r="I626" s="2"/>
      <c r="J626" s="2"/>
      <c r="K626" s="2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2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1"/>
      <c r="AO626" s="1"/>
      <c r="AP626" s="1"/>
      <c r="AQ626" s="1"/>
      <c r="AR626" s="1"/>
      <c r="AS626" s="1"/>
      <c r="AT626" s="1"/>
      <c r="AU626" s="1"/>
      <c r="AV626" s="1"/>
      <c r="AW626" s="1"/>
      <c r="AX626" s="1"/>
      <c r="AY626" s="1"/>
      <c r="AZ626" s="1"/>
      <c r="BA626" s="1"/>
      <c r="BB626" s="1"/>
      <c r="BC626" s="1"/>
      <c r="BD626" s="1"/>
      <c r="BE626" s="1"/>
      <c r="BF626" s="1"/>
      <c r="BG626" s="1"/>
      <c r="BH626" s="1"/>
      <c r="BI626" s="1"/>
      <c r="BJ626" s="1"/>
      <c r="BK626" s="1"/>
      <c r="BL626" s="1"/>
      <c r="BM626" s="1"/>
      <c r="BN626" s="1"/>
    </row>
    <row r="627" spans="1:66" ht="15.75" customHeight="1" x14ac:dyDescent="0.25">
      <c r="A627" s="1"/>
      <c r="B627" s="2"/>
      <c r="C627" s="3"/>
      <c r="D627" s="2"/>
      <c r="E627" s="52"/>
      <c r="F627" s="52"/>
      <c r="G627" s="52"/>
      <c r="H627" s="2"/>
      <c r="I627" s="2"/>
      <c r="J627" s="2"/>
      <c r="K627" s="2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2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1"/>
      <c r="AO627" s="1"/>
      <c r="AP627" s="1"/>
      <c r="AQ627" s="1"/>
      <c r="AR627" s="1"/>
      <c r="AS627" s="1"/>
      <c r="AT627" s="1"/>
      <c r="AU627" s="1"/>
      <c r="AV627" s="1"/>
      <c r="AW627" s="1"/>
      <c r="AX627" s="1"/>
      <c r="AY627" s="1"/>
      <c r="AZ627" s="1"/>
      <c r="BA627" s="1"/>
      <c r="BB627" s="1"/>
      <c r="BC627" s="1"/>
      <c r="BD627" s="1"/>
      <c r="BE627" s="1"/>
      <c r="BF627" s="1"/>
      <c r="BG627" s="1"/>
      <c r="BH627" s="1"/>
      <c r="BI627" s="1"/>
      <c r="BJ627" s="1"/>
      <c r="BK627" s="1"/>
      <c r="BL627" s="1"/>
      <c r="BM627" s="1"/>
      <c r="BN627" s="1"/>
    </row>
    <row r="628" spans="1:66" ht="15.75" customHeight="1" x14ac:dyDescent="0.25">
      <c r="A628" s="1"/>
      <c r="B628" s="2"/>
      <c r="C628" s="3"/>
      <c r="D628" s="2"/>
      <c r="E628" s="52"/>
      <c r="F628" s="52"/>
      <c r="G628" s="52"/>
      <c r="H628" s="2"/>
      <c r="I628" s="2"/>
      <c r="J628" s="2"/>
      <c r="K628" s="2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2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1"/>
      <c r="AO628" s="1"/>
      <c r="AP628" s="1"/>
      <c r="AQ628" s="1"/>
      <c r="AR628" s="1"/>
      <c r="AS628" s="1"/>
      <c r="AT628" s="1"/>
      <c r="AU628" s="1"/>
      <c r="AV628" s="1"/>
      <c r="AW628" s="1"/>
      <c r="AX628" s="1"/>
      <c r="AY628" s="1"/>
      <c r="AZ628" s="1"/>
      <c r="BA628" s="1"/>
      <c r="BB628" s="1"/>
      <c r="BC628" s="1"/>
      <c r="BD628" s="1"/>
      <c r="BE628" s="1"/>
      <c r="BF628" s="1"/>
      <c r="BG628" s="1"/>
      <c r="BH628" s="1"/>
      <c r="BI628" s="1"/>
      <c r="BJ628" s="1"/>
      <c r="BK628" s="1"/>
      <c r="BL628" s="1"/>
      <c r="BM628" s="1"/>
      <c r="BN628" s="1"/>
    </row>
    <row r="629" spans="1:66" ht="15.75" customHeight="1" x14ac:dyDescent="0.25">
      <c r="A629" s="1"/>
      <c r="B629" s="2"/>
      <c r="C629" s="3"/>
      <c r="D629" s="2"/>
      <c r="E629" s="52"/>
      <c r="F629" s="52"/>
      <c r="G629" s="52"/>
      <c r="H629" s="2"/>
      <c r="I629" s="2"/>
      <c r="J629" s="2"/>
      <c r="K629" s="2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2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1"/>
      <c r="AO629" s="1"/>
      <c r="AP629" s="1"/>
      <c r="AQ629" s="1"/>
      <c r="AR629" s="1"/>
      <c r="AS629" s="1"/>
      <c r="AT629" s="1"/>
      <c r="AU629" s="1"/>
      <c r="AV629" s="1"/>
      <c r="AW629" s="1"/>
      <c r="AX629" s="1"/>
      <c r="AY629" s="1"/>
      <c r="AZ629" s="1"/>
      <c r="BA629" s="1"/>
      <c r="BB629" s="1"/>
      <c r="BC629" s="1"/>
      <c r="BD629" s="1"/>
      <c r="BE629" s="1"/>
      <c r="BF629" s="1"/>
      <c r="BG629" s="1"/>
      <c r="BH629" s="1"/>
      <c r="BI629" s="1"/>
      <c r="BJ629" s="1"/>
      <c r="BK629" s="1"/>
      <c r="BL629" s="1"/>
      <c r="BM629" s="1"/>
      <c r="BN629" s="1"/>
    </row>
    <row r="630" spans="1:66" ht="15.75" customHeight="1" x14ac:dyDescent="0.25">
      <c r="A630" s="1"/>
      <c r="B630" s="2"/>
      <c r="C630" s="3"/>
      <c r="D630" s="2"/>
      <c r="E630" s="52"/>
      <c r="F630" s="52"/>
      <c r="G630" s="52"/>
      <c r="H630" s="2"/>
      <c r="I630" s="2"/>
      <c r="J630" s="2"/>
      <c r="K630" s="2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2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1"/>
      <c r="AO630" s="1"/>
      <c r="AP630" s="1"/>
      <c r="AQ630" s="1"/>
      <c r="AR630" s="1"/>
      <c r="AS630" s="1"/>
      <c r="AT630" s="1"/>
      <c r="AU630" s="1"/>
      <c r="AV630" s="1"/>
      <c r="AW630" s="1"/>
      <c r="AX630" s="1"/>
      <c r="AY630" s="1"/>
      <c r="AZ630" s="1"/>
      <c r="BA630" s="1"/>
      <c r="BB630" s="1"/>
      <c r="BC630" s="1"/>
      <c r="BD630" s="1"/>
      <c r="BE630" s="1"/>
      <c r="BF630" s="1"/>
      <c r="BG630" s="1"/>
      <c r="BH630" s="1"/>
      <c r="BI630" s="1"/>
      <c r="BJ630" s="1"/>
      <c r="BK630" s="1"/>
      <c r="BL630" s="1"/>
      <c r="BM630" s="1"/>
      <c r="BN630" s="1"/>
    </row>
    <row r="631" spans="1:66" ht="15.75" customHeight="1" x14ac:dyDescent="0.25">
      <c r="A631" s="1"/>
      <c r="B631" s="2"/>
      <c r="C631" s="3"/>
      <c r="D631" s="2"/>
      <c r="E631" s="52"/>
      <c r="F631" s="52"/>
      <c r="G631" s="52"/>
      <c r="H631" s="2"/>
      <c r="I631" s="2"/>
      <c r="J631" s="2"/>
      <c r="K631" s="2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2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1"/>
      <c r="AO631" s="1"/>
      <c r="AP631" s="1"/>
      <c r="AQ631" s="1"/>
      <c r="AR631" s="1"/>
      <c r="AS631" s="1"/>
      <c r="AT631" s="1"/>
      <c r="AU631" s="1"/>
      <c r="AV631" s="1"/>
      <c r="AW631" s="1"/>
      <c r="AX631" s="1"/>
      <c r="AY631" s="1"/>
      <c r="AZ631" s="1"/>
      <c r="BA631" s="1"/>
      <c r="BB631" s="1"/>
      <c r="BC631" s="1"/>
      <c r="BD631" s="1"/>
      <c r="BE631" s="1"/>
      <c r="BF631" s="1"/>
      <c r="BG631" s="1"/>
      <c r="BH631" s="1"/>
      <c r="BI631" s="1"/>
      <c r="BJ631" s="1"/>
      <c r="BK631" s="1"/>
      <c r="BL631" s="1"/>
      <c r="BM631" s="1"/>
      <c r="BN631" s="1"/>
    </row>
    <row r="632" spans="1:66" ht="15.75" customHeight="1" x14ac:dyDescent="0.25">
      <c r="A632" s="1"/>
      <c r="B632" s="2"/>
      <c r="C632" s="3"/>
      <c r="D632" s="2"/>
      <c r="E632" s="52"/>
      <c r="F632" s="52"/>
      <c r="G632" s="52"/>
      <c r="H632" s="2"/>
      <c r="I632" s="2"/>
      <c r="J632" s="2"/>
      <c r="K632" s="2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2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1"/>
      <c r="AO632" s="1"/>
      <c r="AP632" s="1"/>
      <c r="AQ632" s="1"/>
      <c r="AR632" s="1"/>
      <c r="AS632" s="1"/>
      <c r="AT632" s="1"/>
      <c r="AU632" s="1"/>
      <c r="AV632" s="1"/>
      <c r="AW632" s="1"/>
      <c r="AX632" s="1"/>
      <c r="AY632" s="1"/>
      <c r="AZ632" s="1"/>
      <c r="BA632" s="1"/>
      <c r="BB632" s="1"/>
      <c r="BC632" s="1"/>
      <c r="BD632" s="1"/>
      <c r="BE632" s="1"/>
      <c r="BF632" s="1"/>
      <c r="BG632" s="1"/>
      <c r="BH632" s="1"/>
      <c r="BI632" s="1"/>
      <c r="BJ632" s="1"/>
      <c r="BK632" s="1"/>
      <c r="BL632" s="1"/>
      <c r="BM632" s="1"/>
      <c r="BN632" s="1"/>
    </row>
    <row r="633" spans="1:66" ht="15.75" customHeight="1" x14ac:dyDescent="0.25">
      <c r="A633" s="1"/>
      <c r="B633" s="2"/>
      <c r="C633" s="3"/>
      <c r="D633" s="2"/>
      <c r="E633" s="52"/>
      <c r="F633" s="52"/>
      <c r="G633" s="52"/>
      <c r="H633" s="2"/>
      <c r="I633" s="2"/>
      <c r="J633" s="2"/>
      <c r="K633" s="2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2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1"/>
      <c r="AO633" s="1"/>
      <c r="AP633" s="1"/>
      <c r="AQ633" s="1"/>
      <c r="AR633" s="1"/>
      <c r="AS633" s="1"/>
      <c r="AT633" s="1"/>
      <c r="AU633" s="1"/>
      <c r="AV633" s="1"/>
      <c r="AW633" s="1"/>
      <c r="AX633" s="1"/>
      <c r="AY633" s="1"/>
      <c r="AZ633" s="1"/>
      <c r="BA633" s="1"/>
      <c r="BB633" s="1"/>
      <c r="BC633" s="1"/>
      <c r="BD633" s="1"/>
      <c r="BE633" s="1"/>
      <c r="BF633" s="1"/>
      <c r="BG633" s="1"/>
      <c r="BH633" s="1"/>
      <c r="BI633" s="1"/>
      <c r="BJ633" s="1"/>
      <c r="BK633" s="1"/>
      <c r="BL633" s="1"/>
      <c r="BM633" s="1"/>
      <c r="BN633" s="1"/>
    </row>
    <row r="634" spans="1:66" ht="15.75" customHeight="1" x14ac:dyDescent="0.25">
      <c r="A634" s="1"/>
      <c r="B634" s="2"/>
      <c r="C634" s="3"/>
      <c r="D634" s="2"/>
      <c r="E634" s="52"/>
      <c r="F634" s="52"/>
      <c r="G634" s="52"/>
      <c r="H634" s="2"/>
      <c r="I634" s="2"/>
      <c r="J634" s="2"/>
      <c r="K634" s="2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2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1"/>
      <c r="AO634" s="1"/>
      <c r="AP634" s="1"/>
      <c r="AQ634" s="1"/>
      <c r="AR634" s="1"/>
      <c r="AS634" s="1"/>
      <c r="AT634" s="1"/>
      <c r="AU634" s="1"/>
      <c r="AV634" s="1"/>
      <c r="AW634" s="1"/>
      <c r="AX634" s="1"/>
      <c r="AY634" s="1"/>
      <c r="AZ634" s="1"/>
      <c r="BA634" s="1"/>
      <c r="BB634" s="1"/>
      <c r="BC634" s="1"/>
      <c r="BD634" s="1"/>
      <c r="BE634" s="1"/>
      <c r="BF634" s="1"/>
      <c r="BG634" s="1"/>
      <c r="BH634" s="1"/>
      <c r="BI634" s="1"/>
      <c r="BJ634" s="1"/>
      <c r="BK634" s="1"/>
      <c r="BL634" s="1"/>
      <c r="BM634" s="1"/>
      <c r="BN634" s="1"/>
    </row>
    <row r="635" spans="1:66" ht="15.75" customHeight="1" x14ac:dyDescent="0.25">
      <c r="A635" s="1"/>
      <c r="B635" s="2"/>
      <c r="C635" s="3"/>
      <c r="D635" s="2"/>
      <c r="E635" s="52"/>
      <c r="F635" s="52"/>
      <c r="G635" s="52"/>
      <c r="H635" s="2"/>
      <c r="I635" s="2"/>
      <c r="J635" s="2"/>
      <c r="K635" s="2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2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1"/>
      <c r="AO635" s="1"/>
      <c r="AP635" s="1"/>
      <c r="AQ635" s="1"/>
      <c r="AR635" s="1"/>
      <c r="AS635" s="1"/>
      <c r="AT635" s="1"/>
      <c r="AU635" s="1"/>
      <c r="AV635" s="1"/>
      <c r="AW635" s="1"/>
      <c r="AX635" s="1"/>
      <c r="AY635" s="1"/>
      <c r="AZ635" s="1"/>
      <c r="BA635" s="1"/>
      <c r="BB635" s="1"/>
      <c r="BC635" s="1"/>
      <c r="BD635" s="1"/>
      <c r="BE635" s="1"/>
      <c r="BF635" s="1"/>
      <c r="BG635" s="1"/>
      <c r="BH635" s="1"/>
      <c r="BI635" s="1"/>
      <c r="BJ635" s="1"/>
      <c r="BK635" s="1"/>
      <c r="BL635" s="1"/>
      <c r="BM635" s="1"/>
      <c r="BN635" s="1"/>
    </row>
    <row r="636" spans="1:66" ht="15.75" customHeight="1" x14ac:dyDescent="0.25">
      <c r="A636" s="1"/>
      <c r="B636" s="2"/>
      <c r="C636" s="3"/>
      <c r="D636" s="2"/>
      <c r="E636" s="52"/>
      <c r="F636" s="52"/>
      <c r="G636" s="52"/>
      <c r="H636" s="2"/>
      <c r="I636" s="2"/>
      <c r="J636" s="2"/>
      <c r="K636" s="2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2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1"/>
      <c r="AO636" s="1"/>
      <c r="AP636" s="1"/>
      <c r="AQ636" s="1"/>
      <c r="AR636" s="1"/>
      <c r="AS636" s="1"/>
      <c r="AT636" s="1"/>
      <c r="AU636" s="1"/>
      <c r="AV636" s="1"/>
      <c r="AW636" s="1"/>
      <c r="AX636" s="1"/>
      <c r="AY636" s="1"/>
      <c r="AZ636" s="1"/>
      <c r="BA636" s="1"/>
      <c r="BB636" s="1"/>
      <c r="BC636" s="1"/>
      <c r="BD636" s="1"/>
      <c r="BE636" s="1"/>
      <c r="BF636" s="1"/>
      <c r="BG636" s="1"/>
      <c r="BH636" s="1"/>
      <c r="BI636" s="1"/>
      <c r="BJ636" s="1"/>
      <c r="BK636" s="1"/>
      <c r="BL636" s="1"/>
      <c r="BM636" s="1"/>
      <c r="BN636" s="1"/>
    </row>
    <row r="637" spans="1:66" ht="15.75" customHeight="1" x14ac:dyDescent="0.25">
      <c r="A637" s="1"/>
      <c r="B637" s="2"/>
      <c r="C637" s="3"/>
      <c r="D637" s="2"/>
      <c r="E637" s="52"/>
      <c r="F637" s="52"/>
      <c r="G637" s="52"/>
      <c r="H637" s="2"/>
      <c r="I637" s="2"/>
      <c r="J637" s="2"/>
      <c r="K637" s="2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2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1"/>
      <c r="AO637" s="1"/>
      <c r="AP637" s="1"/>
      <c r="AQ637" s="1"/>
      <c r="AR637" s="1"/>
      <c r="AS637" s="1"/>
      <c r="AT637" s="1"/>
      <c r="AU637" s="1"/>
      <c r="AV637" s="1"/>
      <c r="AW637" s="1"/>
      <c r="AX637" s="1"/>
      <c r="AY637" s="1"/>
      <c r="AZ637" s="1"/>
      <c r="BA637" s="1"/>
      <c r="BB637" s="1"/>
      <c r="BC637" s="1"/>
      <c r="BD637" s="1"/>
      <c r="BE637" s="1"/>
      <c r="BF637" s="1"/>
      <c r="BG637" s="1"/>
      <c r="BH637" s="1"/>
      <c r="BI637" s="1"/>
      <c r="BJ637" s="1"/>
      <c r="BK637" s="1"/>
      <c r="BL637" s="1"/>
      <c r="BM637" s="1"/>
      <c r="BN637" s="1"/>
    </row>
    <row r="638" spans="1:66" ht="15.75" customHeight="1" x14ac:dyDescent="0.25">
      <c r="A638" s="1"/>
      <c r="B638" s="2"/>
      <c r="C638" s="3"/>
      <c r="D638" s="2"/>
      <c r="E638" s="52"/>
      <c r="F638" s="52"/>
      <c r="G638" s="52"/>
      <c r="H638" s="2"/>
      <c r="I638" s="2"/>
      <c r="J638" s="2"/>
      <c r="K638" s="2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2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1"/>
      <c r="AO638" s="1"/>
      <c r="AP638" s="1"/>
      <c r="AQ638" s="1"/>
      <c r="AR638" s="1"/>
      <c r="AS638" s="1"/>
      <c r="AT638" s="1"/>
      <c r="AU638" s="1"/>
      <c r="AV638" s="1"/>
      <c r="AW638" s="1"/>
      <c r="AX638" s="1"/>
      <c r="AY638" s="1"/>
      <c r="AZ638" s="1"/>
      <c r="BA638" s="1"/>
      <c r="BB638" s="1"/>
      <c r="BC638" s="1"/>
      <c r="BD638" s="1"/>
      <c r="BE638" s="1"/>
      <c r="BF638" s="1"/>
      <c r="BG638" s="1"/>
      <c r="BH638" s="1"/>
      <c r="BI638" s="1"/>
      <c r="BJ638" s="1"/>
      <c r="BK638" s="1"/>
      <c r="BL638" s="1"/>
      <c r="BM638" s="1"/>
      <c r="BN638" s="1"/>
    </row>
    <row r="639" spans="1:66" ht="15.75" customHeight="1" x14ac:dyDescent="0.25">
      <c r="A639" s="1"/>
      <c r="B639" s="2"/>
      <c r="C639" s="3"/>
      <c r="D639" s="2"/>
      <c r="E639" s="52"/>
      <c r="F639" s="52"/>
      <c r="G639" s="52"/>
      <c r="H639" s="2"/>
      <c r="I639" s="2"/>
      <c r="J639" s="2"/>
      <c r="K639" s="2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2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1"/>
      <c r="AO639" s="1"/>
      <c r="AP639" s="1"/>
      <c r="AQ639" s="1"/>
      <c r="AR639" s="1"/>
      <c r="AS639" s="1"/>
      <c r="AT639" s="1"/>
      <c r="AU639" s="1"/>
      <c r="AV639" s="1"/>
      <c r="AW639" s="1"/>
      <c r="AX639" s="1"/>
      <c r="AY639" s="1"/>
      <c r="AZ639" s="1"/>
      <c r="BA639" s="1"/>
      <c r="BB639" s="1"/>
      <c r="BC639" s="1"/>
      <c r="BD639" s="1"/>
      <c r="BE639" s="1"/>
      <c r="BF639" s="1"/>
      <c r="BG639" s="1"/>
      <c r="BH639" s="1"/>
      <c r="BI639" s="1"/>
      <c r="BJ639" s="1"/>
      <c r="BK639" s="1"/>
      <c r="BL639" s="1"/>
      <c r="BM639" s="1"/>
      <c r="BN639" s="1"/>
    </row>
    <row r="640" spans="1:66" ht="15.75" customHeight="1" x14ac:dyDescent="0.25">
      <c r="A640" s="1"/>
      <c r="B640" s="2"/>
      <c r="C640" s="3"/>
      <c r="D640" s="2"/>
      <c r="E640" s="52"/>
      <c r="F640" s="52"/>
      <c r="G640" s="52"/>
      <c r="H640" s="2"/>
      <c r="I640" s="2"/>
      <c r="J640" s="2"/>
      <c r="K640" s="2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2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1"/>
      <c r="AO640" s="1"/>
      <c r="AP640" s="1"/>
      <c r="AQ640" s="1"/>
      <c r="AR640" s="1"/>
      <c r="AS640" s="1"/>
      <c r="AT640" s="1"/>
      <c r="AU640" s="1"/>
      <c r="AV640" s="1"/>
      <c r="AW640" s="1"/>
      <c r="AX640" s="1"/>
      <c r="AY640" s="1"/>
      <c r="AZ640" s="1"/>
      <c r="BA640" s="1"/>
      <c r="BB640" s="1"/>
      <c r="BC640" s="1"/>
      <c r="BD640" s="1"/>
      <c r="BE640" s="1"/>
      <c r="BF640" s="1"/>
      <c r="BG640" s="1"/>
      <c r="BH640" s="1"/>
      <c r="BI640" s="1"/>
      <c r="BJ640" s="1"/>
      <c r="BK640" s="1"/>
      <c r="BL640" s="1"/>
      <c r="BM640" s="1"/>
      <c r="BN640" s="1"/>
    </row>
    <row r="641" spans="1:66" ht="15.75" customHeight="1" x14ac:dyDescent="0.25">
      <c r="A641" s="1"/>
      <c r="B641" s="2"/>
      <c r="C641" s="3"/>
      <c r="D641" s="2"/>
      <c r="E641" s="52"/>
      <c r="F641" s="52"/>
      <c r="G641" s="52"/>
      <c r="H641" s="2"/>
      <c r="I641" s="2"/>
      <c r="J641" s="2"/>
      <c r="K641" s="2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2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1"/>
      <c r="AO641" s="1"/>
      <c r="AP641" s="1"/>
      <c r="AQ641" s="1"/>
      <c r="AR641" s="1"/>
      <c r="AS641" s="1"/>
      <c r="AT641" s="1"/>
      <c r="AU641" s="1"/>
      <c r="AV641" s="1"/>
      <c r="AW641" s="1"/>
      <c r="AX641" s="1"/>
      <c r="AY641" s="1"/>
      <c r="AZ641" s="1"/>
      <c r="BA641" s="1"/>
      <c r="BB641" s="1"/>
      <c r="BC641" s="1"/>
      <c r="BD641" s="1"/>
      <c r="BE641" s="1"/>
      <c r="BF641" s="1"/>
      <c r="BG641" s="1"/>
      <c r="BH641" s="1"/>
      <c r="BI641" s="1"/>
      <c r="BJ641" s="1"/>
      <c r="BK641" s="1"/>
      <c r="BL641" s="1"/>
      <c r="BM641" s="1"/>
      <c r="BN641" s="1"/>
    </row>
    <row r="642" spans="1:66" ht="15.75" customHeight="1" x14ac:dyDescent="0.25">
      <c r="A642" s="1"/>
      <c r="B642" s="2"/>
      <c r="C642" s="3"/>
      <c r="D642" s="2"/>
      <c r="E642" s="52"/>
      <c r="F642" s="52"/>
      <c r="G642" s="52"/>
      <c r="H642" s="2"/>
      <c r="I642" s="2"/>
      <c r="J642" s="2"/>
      <c r="K642" s="2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2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1"/>
      <c r="AO642" s="1"/>
      <c r="AP642" s="1"/>
      <c r="AQ642" s="1"/>
      <c r="AR642" s="1"/>
      <c r="AS642" s="1"/>
      <c r="AT642" s="1"/>
      <c r="AU642" s="1"/>
      <c r="AV642" s="1"/>
      <c r="AW642" s="1"/>
      <c r="AX642" s="1"/>
      <c r="AY642" s="1"/>
      <c r="AZ642" s="1"/>
      <c r="BA642" s="1"/>
      <c r="BB642" s="1"/>
      <c r="BC642" s="1"/>
      <c r="BD642" s="1"/>
      <c r="BE642" s="1"/>
      <c r="BF642" s="1"/>
      <c r="BG642" s="1"/>
      <c r="BH642" s="1"/>
      <c r="BI642" s="1"/>
      <c r="BJ642" s="1"/>
      <c r="BK642" s="1"/>
      <c r="BL642" s="1"/>
      <c r="BM642" s="1"/>
      <c r="BN642" s="1"/>
    </row>
    <row r="643" spans="1:66" ht="15.75" customHeight="1" x14ac:dyDescent="0.25">
      <c r="A643" s="1"/>
      <c r="B643" s="2"/>
      <c r="C643" s="3"/>
      <c r="D643" s="2"/>
      <c r="E643" s="52"/>
      <c r="F643" s="52"/>
      <c r="G643" s="52"/>
      <c r="H643" s="2"/>
      <c r="I643" s="2"/>
      <c r="J643" s="2"/>
      <c r="K643" s="2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2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1"/>
      <c r="AO643" s="1"/>
      <c r="AP643" s="1"/>
      <c r="AQ643" s="1"/>
      <c r="AR643" s="1"/>
      <c r="AS643" s="1"/>
      <c r="AT643" s="1"/>
      <c r="AU643" s="1"/>
      <c r="AV643" s="1"/>
      <c r="AW643" s="1"/>
      <c r="AX643" s="1"/>
      <c r="AY643" s="1"/>
      <c r="AZ643" s="1"/>
      <c r="BA643" s="1"/>
      <c r="BB643" s="1"/>
      <c r="BC643" s="1"/>
      <c r="BD643" s="1"/>
      <c r="BE643" s="1"/>
      <c r="BF643" s="1"/>
      <c r="BG643" s="1"/>
      <c r="BH643" s="1"/>
      <c r="BI643" s="1"/>
      <c r="BJ643" s="1"/>
      <c r="BK643" s="1"/>
      <c r="BL643" s="1"/>
      <c r="BM643" s="1"/>
      <c r="BN643" s="1"/>
    </row>
    <row r="644" spans="1:66" ht="15.75" customHeight="1" x14ac:dyDescent="0.25">
      <c r="A644" s="1"/>
      <c r="B644" s="2"/>
      <c r="C644" s="3"/>
      <c r="D644" s="2"/>
      <c r="E644" s="52"/>
      <c r="F644" s="52"/>
      <c r="G644" s="52"/>
      <c r="H644" s="2"/>
      <c r="I644" s="2"/>
      <c r="J644" s="2"/>
      <c r="K644" s="2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2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1"/>
      <c r="AO644" s="1"/>
      <c r="AP644" s="1"/>
      <c r="AQ644" s="1"/>
      <c r="AR644" s="1"/>
      <c r="AS644" s="1"/>
      <c r="AT644" s="1"/>
      <c r="AU644" s="1"/>
      <c r="AV644" s="1"/>
      <c r="AW644" s="1"/>
      <c r="AX644" s="1"/>
      <c r="AY644" s="1"/>
      <c r="AZ644" s="1"/>
      <c r="BA644" s="1"/>
      <c r="BB644" s="1"/>
      <c r="BC644" s="1"/>
      <c r="BD644" s="1"/>
      <c r="BE644" s="1"/>
      <c r="BF644" s="1"/>
      <c r="BG644" s="1"/>
      <c r="BH644" s="1"/>
      <c r="BI644" s="1"/>
      <c r="BJ644" s="1"/>
      <c r="BK644" s="1"/>
      <c r="BL644" s="1"/>
      <c r="BM644" s="1"/>
      <c r="BN644" s="1"/>
    </row>
    <row r="645" spans="1:66" ht="15.75" customHeight="1" x14ac:dyDescent="0.25">
      <c r="A645" s="1"/>
      <c r="B645" s="2"/>
      <c r="C645" s="3"/>
      <c r="D645" s="2"/>
      <c r="E645" s="52"/>
      <c r="F645" s="52"/>
      <c r="G645" s="52"/>
      <c r="H645" s="2"/>
      <c r="I645" s="2"/>
      <c r="J645" s="2"/>
      <c r="K645" s="2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2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1"/>
      <c r="AO645" s="1"/>
      <c r="AP645" s="1"/>
      <c r="AQ645" s="1"/>
      <c r="AR645" s="1"/>
      <c r="AS645" s="1"/>
      <c r="AT645" s="1"/>
      <c r="AU645" s="1"/>
      <c r="AV645" s="1"/>
      <c r="AW645" s="1"/>
      <c r="AX645" s="1"/>
      <c r="AY645" s="1"/>
      <c r="AZ645" s="1"/>
      <c r="BA645" s="1"/>
      <c r="BB645" s="1"/>
      <c r="BC645" s="1"/>
      <c r="BD645" s="1"/>
      <c r="BE645" s="1"/>
      <c r="BF645" s="1"/>
      <c r="BG645" s="1"/>
      <c r="BH645" s="1"/>
      <c r="BI645" s="1"/>
      <c r="BJ645" s="1"/>
      <c r="BK645" s="1"/>
      <c r="BL645" s="1"/>
      <c r="BM645" s="1"/>
      <c r="BN645" s="1"/>
    </row>
    <row r="646" spans="1:66" ht="15.75" customHeight="1" x14ac:dyDescent="0.25">
      <c r="A646" s="1"/>
      <c r="B646" s="2"/>
      <c r="C646" s="3"/>
      <c r="D646" s="2"/>
      <c r="E646" s="52"/>
      <c r="F646" s="52"/>
      <c r="G646" s="52"/>
      <c r="H646" s="2"/>
      <c r="I646" s="2"/>
      <c r="J646" s="2"/>
      <c r="K646" s="2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2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1"/>
      <c r="AO646" s="1"/>
      <c r="AP646" s="1"/>
      <c r="AQ646" s="1"/>
      <c r="AR646" s="1"/>
      <c r="AS646" s="1"/>
      <c r="AT646" s="1"/>
      <c r="AU646" s="1"/>
      <c r="AV646" s="1"/>
      <c r="AW646" s="1"/>
      <c r="AX646" s="1"/>
      <c r="AY646" s="1"/>
      <c r="AZ646" s="1"/>
      <c r="BA646" s="1"/>
      <c r="BB646" s="1"/>
      <c r="BC646" s="1"/>
      <c r="BD646" s="1"/>
      <c r="BE646" s="1"/>
      <c r="BF646" s="1"/>
      <c r="BG646" s="1"/>
      <c r="BH646" s="1"/>
      <c r="BI646" s="1"/>
      <c r="BJ646" s="1"/>
      <c r="BK646" s="1"/>
      <c r="BL646" s="1"/>
      <c r="BM646" s="1"/>
      <c r="BN646" s="1"/>
    </row>
    <row r="647" spans="1:66" ht="15.75" customHeight="1" x14ac:dyDescent="0.25">
      <c r="A647" s="1"/>
      <c r="B647" s="2"/>
      <c r="C647" s="3"/>
      <c r="D647" s="2"/>
      <c r="E647" s="52"/>
      <c r="F647" s="52"/>
      <c r="G647" s="52"/>
      <c r="H647" s="2"/>
      <c r="I647" s="2"/>
      <c r="J647" s="2"/>
      <c r="K647" s="2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2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1"/>
      <c r="AO647" s="1"/>
      <c r="AP647" s="1"/>
      <c r="AQ647" s="1"/>
      <c r="AR647" s="1"/>
      <c r="AS647" s="1"/>
      <c r="AT647" s="1"/>
      <c r="AU647" s="1"/>
      <c r="AV647" s="1"/>
      <c r="AW647" s="1"/>
      <c r="AX647" s="1"/>
      <c r="AY647" s="1"/>
      <c r="AZ647" s="1"/>
      <c r="BA647" s="1"/>
      <c r="BB647" s="1"/>
      <c r="BC647" s="1"/>
      <c r="BD647" s="1"/>
      <c r="BE647" s="1"/>
      <c r="BF647" s="1"/>
      <c r="BG647" s="1"/>
      <c r="BH647" s="1"/>
      <c r="BI647" s="1"/>
      <c r="BJ647" s="1"/>
      <c r="BK647" s="1"/>
      <c r="BL647" s="1"/>
      <c r="BM647" s="1"/>
      <c r="BN647" s="1"/>
    </row>
    <row r="648" spans="1:66" ht="15.75" customHeight="1" x14ac:dyDescent="0.25">
      <c r="A648" s="1"/>
      <c r="B648" s="2"/>
      <c r="C648" s="3"/>
      <c r="D648" s="2"/>
      <c r="E648" s="52"/>
      <c r="F648" s="52"/>
      <c r="G648" s="52"/>
      <c r="H648" s="2"/>
      <c r="I648" s="2"/>
      <c r="J648" s="2"/>
      <c r="K648" s="2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2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1"/>
      <c r="AO648" s="1"/>
      <c r="AP648" s="1"/>
      <c r="AQ648" s="1"/>
      <c r="AR648" s="1"/>
      <c r="AS648" s="1"/>
      <c r="AT648" s="1"/>
      <c r="AU648" s="1"/>
      <c r="AV648" s="1"/>
      <c r="AW648" s="1"/>
      <c r="AX648" s="1"/>
      <c r="AY648" s="1"/>
      <c r="AZ648" s="1"/>
      <c r="BA648" s="1"/>
      <c r="BB648" s="1"/>
      <c r="BC648" s="1"/>
      <c r="BD648" s="1"/>
      <c r="BE648" s="1"/>
      <c r="BF648" s="1"/>
      <c r="BG648" s="1"/>
      <c r="BH648" s="1"/>
      <c r="BI648" s="1"/>
      <c r="BJ648" s="1"/>
      <c r="BK648" s="1"/>
      <c r="BL648" s="1"/>
      <c r="BM648" s="1"/>
      <c r="BN648" s="1"/>
    </row>
    <row r="649" spans="1:66" ht="15.75" customHeight="1" x14ac:dyDescent="0.25">
      <c r="A649" s="1"/>
      <c r="B649" s="2"/>
      <c r="C649" s="3"/>
      <c r="D649" s="2"/>
      <c r="E649" s="52"/>
      <c r="F649" s="52"/>
      <c r="G649" s="52"/>
      <c r="H649" s="2"/>
      <c r="I649" s="2"/>
      <c r="J649" s="2"/>
      <c r="K649" s="2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2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1"/>
      <c r="AO649" s="1"/>
      <c r="AP649" s="1"/>
      <c r="AQ649" s="1"/>
      <c r="AR649" s="1"/>
      <c r="AS649" s="1"/>
      <c r="AT649" s="1"/>
      <c r="AU649" s="1"/>
      <c r="AV649" s="1"/>
      <c r="AW649" s="1"/>
      <c r="AX649" s="1"/>
      <c r="AY649" s="1"/>
      <c r="AZ649" s="1"/>
      <c r="BA649" s="1"/>
      <c r="BB649" s="1"/>
      <c r="BC649" s="1"/>
      <c r="BD649" s="1"/>
      <c r="BE649" s="1"/>
      <c r="BF649" s="1"/>
      <c r="BG649" s="1"/>
      <c r="BH649" s="1"/>
      <c r="BI649" s="1"/>
      <c r="BJ649" s="1"/>
      <c r="BK649" s="1"/>
      <c r="BL649" s="1"/>
      <c r="BM649" s="1"/>
      <c r="BN649" s="1"/>
    </row>
    <row r="650" spans="1:66" ht="15.75" customHeight="1" x14ac:dyDescent="0.25">
      <c r="A650" s="1"/>
      <c r="B650" s="2"/>
      <c r="C650" s="3"/>
      <c r="D650" s="2"/>
      <c r="E650" s="52"/>
      <c r="F650" s="52"/>
      <c r="G650" s="52"/>
      <c r="H650" s="2"/>
      <c r="I650" s="2"/>
      <c r="J650" s="2"/>
      <c r="K650" s="2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2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1"/>
      <c r="AO650" s="1"/>
      <c r="AP650" s="1"/>
      <c r="AQ650" s="1"/>
      <c r="AR650" s="1"/>
      <c r="AS650" s="1"/>
      <c r="AT650" s="1"/>
      <c r="AU650" s="1"/>
      <c r="AV650" s="1"/>
      <c r="AW650" s="1"/>
      <c r="AX650" s="1"/>
      <c r="AY650" s="1"/>
      <c r="AZ650" s="1"/>
      <c r="BA650" s="1"/>
      <c r="BB650" s="1"/>
      <c r="BC650" s="1"/>
      <c r="BD650" s="1"/>
      <c r="BE650" s="1"/>
      <c r="BF650" s="1"/>
      <c r="BG650" s="1"/>
      <c r="BH650" s="1"/>
      <c r="BI650" s="1"/>
      <c r="BJ650" s="1"/>
      <c r="BK650" s="1"/>
      <c r="BL650" s="1"/>
      <c r="BM650" s="1"/>
      <c r="BN650" s="1"/>
    </row>
    <row r="651" spans="1:66" ht="15.75" customHeight="1" x14ac:dyDescent="0.25">
      <c r="A651" s="1"/>
      <c r="B651" s="2"/>
      <c r="C651" s="3"/>
      <c r="D651" s="2"/>
      <c r="E651" s="52"/>
      <c r="F651" s="52"/>
      <c r="G651" s="52"/>
      <c r="H651" s="2"/>
      <c r="I651" s="2"/>
      <c r="J651" s="2"/>
      <c r="K651" s="2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2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1"/>
      <c r="AO651" s="1"/>
      <c r="AP651" s="1"/>
      <c r="AQ651" s="1"/>
      <c r="AR651" s="1"/>
      <c r="AS651" s="1"/>
      <c r="AT651" s="1"/>
      <c r="AU651" s="1"/>
      <c r="AV651" s="1"/>
      <c r="AW651" s="1"/>
      <c r="AX651" s="1"/>
      <c r="AY651" s="1"/>
      <c r="AZ651" s="1"/>
      <c r="BA651" s="1"/>
      <c r="BB651" s="1"/>
      <c r="BC651" s="1"/>
      <c r="BD651" s="1"/>
      <c r="BE651" s="1"/>
      <c r="BF651" s="1"/>
      <c r="BG651" s="1"/>
      <c r="BH651" s="1"/>
      <c r="BI651" s="1"/>
      <c r="BJ651" s="1"/>
      <c r="BK651" s="1"/>
      <c r="BL651" s="1"/>
      <c r="BM651" s="1"/>
      <c r="BN651" s="1"/>
    </row>
    <row r="652" spans="1:66" ht="15.75" customHeight="1" x14ac:dyDescent="0.25">
      <c r="A652" s="1"/>
      <c r="B652" s="2"/>
      <c r="C652" s="3"/>
      <c r="D652" s="2"/>
      <c r="E652" s="52"/>
      <c r="F652" s="52"/>
      <c r="G652" s="52"/>
      <c r="H652" s="2"/>
      <c r="I652" s="2"/>
      <c r="J652" s="2"/>
      <c r="K652" s="2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2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1"/>
      <c r="AO652" s="1"/>
      <c r="AP652" s="1"/>
      <c r="AQ652" s="1"/>
      <c r="AR652" s="1"/>
      <c r="AS652" s="1"/>
      <c r="AT652" s="1"/>
      <c r="AU652" s="1"/>
      <c r="AV652" s="1"/>
      <c r="AW652" s="1"/>
      <c r="AX652" s="1"/>
      <c r="AY652" s="1"/>
      <c r="AZ652" s="1"/>
      <c r="BA652" s="1"/>
      <c r="BB652" s="1"/>
      <c r="BC652" s="1"/>
      <c r="BD652" s="1"/>
      <c r="BE652" s="1"/>
      <c r="BF652" s="1"/>
      <c r="BG652" s="1"/>
      <c r="BH652" s="1"/>
      <c r="BI652" s="1"/>
      <c r="BJ652" s="1"/>
      <c r="BK652" s="1"/>
      <c r="BL652" s="1"/>
      <c r="BM652" s="1"/>
      <c r="BN652" s="1"/>
    </row>
    <row r="653" spans="1:66" ht="15.75" customHeight="1" x14ac:dyDescent="0.25">
      <c r="A653" s="1"/>
      <c r="B653" s="2"/>
      <c r="C653" s="3"/>
      <c r="D653" s="2"/>
      <c r="E653" s="52"/>
      <c r="F653" s="52"/>
      <c r="G653" s="52"/>
      <c r="H653" s="2"/>
      <c r="I653" s="2"/>
      <c r="J653" s="2"/>
      <c r="K653" s="2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2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1"/>
      <c r="AO653" s="1"/>
      <c r="AP653" s="1"/>
      <c r="AQ653" s="1"/>
      <c r="AR653" s="1"/>
      <c r="AS653" s="1"/>
      <c r="AT653" s="1"/>
      <c r="AU653" s="1"/>
      <c r="AV653" s="1"/>
      <c r="AW653" s="1"/>
      <c r="AX653" s="1"/>
      <c r="AY653" s="1"/>
      <c r="AZ653" s="1"/>
      <c r="BA653" s="1"/>
      <c r="BB653" s="1"/>
      <c r="BC653" s="1"/>
      <c r="BD653" s="1"/>
      <c r="BE653" s="1"/>
      <c r="BF653" s="1"/>
      <c r="BG653" s="1"/>
      <c r="BH653" s="1"/>
      <c r="BI653" s="1"/>
      <c r="BJ653" s="1"/>
      <c r="BK653" s="1"/>
      <c r="BL653" s="1"/>
      <c r="BM653" s="1"/>
      <c r="BN653" s="1"/>
    </row>
    <row r="654" spans="1:66" ht="15.75" customHeight="1" x14ac:dyDescent="0.25">
      <c r="A654" s="1"/>
      <c r="B654" s="2"/>
      <c r="C654" s="3"/>
      <c r="D654" s="2"/>
      <c r="E654" s="52"/>
      <c r="F654" s="52"/>
      <c r="G654" s="52"/>
      <c r="H654" s="2"/>
      <c r="I654" s="2"/>
      <c r="J654" s="2"/>
      <c r="K654" s="2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2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1"/>
      <c r="AO654" s="1"/>
      <c r="AP654" s="1"/>
      <c r="AQ654" s="1"/>
      <c r="AR654" s="1"/>
      <c r="AS654" s="1"/>
      <c r="AT654" s="1"/>
      <c r="AU654" s="1"/>
      <c r="AV654" s="1"/>
      <c r="AW654" s="1"/>
      <c r="AX654" s="1"/>
      <c r="AY654" s="1"/>
      <c r="AZ654" s="1"/>
      <c r="BA654" s="1"/>
      <c r="BB654" s="1"/>
      <c r="BC654" s="1"/>
      <c r="BD654" s="1"/>
      <c r="BE654" s="1"/>
      <c r="BF654" s="1"/>
      <c r="BG654" s="1"/>
      <c r="BH654" s="1"/>
      <c r="BI654" s="1"/>
      <c r="BJ654" s="1"/>
      <c r="BK654" s="1"/>
      <c r="BL654" s="1"/>
      <c r="BM654" s="1"/>
      <c r="BN654" s="1"/>
    </row>
    <row r="655" spans="1:66" ht="15.75" customHeight="1" x14ac:dyDescent="0.25">
      <c r="A655" s="1"/>
      <c r="B655" s="2"/>
      <c r="C655" s="3"/>
      <c r="D655" s="2"/>
      <c r="E655" s="52"/>
      <c r="F655" s="52"/>
      <c r="G655" s="52"/>
      <c r="H655" s="2"/>
      <c r="I655" s="2"/>
      <c r="J655" s="2"/>
      <c r="K655" s="2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2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1"/>
      <c r="AO655" s="1"/>
      <c r="AP655" s="1"/>
      <c r="AQ655" s="1"/>
      <c r="AR655" s="1"/>
      <c r="AS655" s="1"/>
      <c r="AT655" s="1"/>
      <c r="AU655" s="1"/>
      <c r="AV655" s="1"/>
      <c r="AW655" s="1"/>
      <c r="AX655" s="1"/>
      <c r="AY655" s="1"/>
      <c r="AZ655" s="1"/>
      <c r="BA655" s="1"/>
      <c r="BB655" s="1"/>
      <c r="BC655" s="1"/>
      <c r="BD655" s="1"/>
      <c r="BE655" s="1"/>
      <c r="BF655" s="1"/>
      <c r="BG655" s="1"/>
      <c r="BH655" s="1"/>
      <c r="BI655" s="1"/>
      <c r="BJ655" s="1"/>
      <c r="BK655" s="1"/>
      <c r="BL655" s="1"/>
      <c r="BM655" s="1"/>
      <c r="BN655" s="1"/>
    </row>
    <row r="656" spans="1:66" ht="15.75" customHeight="1" x14ac:dyDescent="0.25">
      <c r="A656" s="1"/>
      <c r="B656" s="2"/>
      <c r="C656" s="3"/>
      <c r="D656" s="2"/>
      <c r="E656" s="52"/>
      <c r="F656" s="52"/>
      <c r="G656" s="52"/>
      <c r="H656" s="2"/>
      <c r="I656" s="2"/>
      <c r="J656" s="2"/>
      <c r="K656" s="2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2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1"/>
      <c r="AO656" s="1"/>
      <c r="AP656" s="1"/>
      <c r="AQ656" s="1"/>
      <c r="AR656" s="1"/>
      <c r="AS656" s="1"/>
      <c r="AT656" s="1"/>
      <c r="AU656" s="1"/>
      <c r="AV656" s="1"/>
      <c r="AW656" s="1"/>
      <c r="AX656" s="1"/>
      <c r="AY656" s="1"/>
      <c r="AZ656" s="1"/>
      <c r="BA656" s="1"/>
      <c r="BB656" s="1"/>
      <c r="BC656" s="1"/>
      <c r="BD656" s="1"/>
      <c r="BE656" s="1"/>
      <c r="BF656" s="1"/>
      <c r="BG656" s="1"/>
      <c r="BH656" s="1"/>
      <c r="BI656" s="1"/>
      <c r="BJ656" s="1"/>
      <c r="BK656" s="1"/>
      <c r="BL656" s="1"/>
      <c r="BM656" s="1"/>
      <c r="BN656" s="1"/>
    </row>
    <row r="657" spans="1:66" ht="15.75" customHeight="1" x14ac:dyDescent="0.25">
      <c r="A657" s="1"/>
      <c r="B657" s="2"/>
      <c r="C657" s="3"/>
      <c r="D657" s="2"/>
      <c r="E657" s="52"/>
      <c r="F657" s="52"/>
      <c r="G657" s="52"/>
      <c r="H657" s="2"/>
      <c r="I657" s="2"/>
      <c r="J657" s="2"/>
      <c r="K657" s="2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2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1"/>
      <c r="AO657" s="1"/>
      <c r="AP657" s="1"/>
      <c r="AQ657" s="1"/>
      <c r="AR657" s="1"/>
      <c r="AS657" s="1"/>
      <c r="AT657" s="1"/>
      <c r="AU657" s="1"/>
      <c r="AV657" s="1"/>
      <c r="AW657" s="1"/>
      <c r="AX657" s="1"/>
      <c r="AY657" s="1"/>
      <c r="AZ657" s="1"/>
      <c r="BA657" s="1"/>
      <c r="BB657" s="1"/>
      <c r="BC657" s="1"/>
      <c r="BD657" s="1"/>
      <c r="BE657" s="1"/>
      <c r="BF657" s="1"/>
      <c r="BG657" s="1"/>
      <c r="BH657" s="1"/>
      <c r="BI657" s="1"/>
      <c r="BJ657" s="1"/>
      <c r="BK657" s="1"/>
      <c r="BL657" s="1"/>
      <c r="BM657" s="1"/>
      <c r="BN657" s="1"/>
    </row>
    <row r="658" spans="1:66" ht="15.75" customHeight="1" x14ac:dyDescent="0.25">
      <c r="A658" s="1"/>
      <c r="B658" s="2"/>
      <c r="C658" s="3"/>
      <c r="D658" s="2"/>
      <c r="E658" s="52"/>
      <c r="F658" s="52"/>
      <c r="G658" s="52"/>
      <c r="H658" s="2"/>
      <c r="I658" s="2"/>
      <c r="J658" s="2"/>
      <c r="K658" s="2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2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1"/>
      <c r="AO658" s="1"/>
      <c r="AP658" s="1"/>
      <c r="AQ658" s="1"/>
      <c r="AR658" s="1"/>
      <c r="AS658" s="1"/>
      <c r="AT658" s="1"/>
      <c r="AU658" s="1"/>
      <c r="AV658" s="1"/>
      <c r="AW658" s="1"/>
      <c r="AX658" s="1"/>
      <c r="AY658" s="1"/>
      <c r="AZ658" s="1"/>
      <c r="BA658" s="1"/>
      <c r="BB658" s="1"/>
      <c r="BC658" s="1"/>
      <c r="BD658" s="1"/>
      <c r="BE658" s="1"/>
      <c r="BF658" s="1"/>
      <c r="BG658" s="1"/>
      <c r="BH658" s="1"/>
      <c r="BI658" s="1"/>
      <c r="BJ658" s="1"/>
      <c r="BK658" s="1"/>
      <c r="BL658" s="1"/>
      <c r="BM658" s="1"/>
      <c r="BN658" s="1"/>
    </row>
    <row r="659" spans="1:66" ht="15.75" customHeight="1" x14ac:dyDescent="0.25">
      <c r="A659" s="1"/>
      <c r="B659" s="2"/>
      <c r="C659" s="3"/>
      <c r="D659" s="2"/>
      <c r="E659" s="52"/>
      <c r="F659" s="52"/>
      <c r="G659" s="52"/>
      <c r="H659" s="2"/>
      <c r="I659" s="2"/>
      <c r="J659" s="2"/>
      <c r="K659" s="2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2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1"/>
      <c r="AO659" s="1"/>
      <c r="AP659" s="1"/>
      <c r="AQ659" s="1"/>
      <c r="AR659" s="1"/>
      <c r="AS659" s="1"/>
      <c r="AT659" s="1"/>
      <c r="AU659" s="1"/>
      <c r="AV659" s="1"/>
      <c r="AW659" s="1"/>
      <c r="AX659" s="1"/>
      <c r="AY659" s="1"/>
      <c r="AZ659" s="1"/>
      <c r="BA659" s="1"/>
      <c r="BB659" s="1"/>
      <c r="BC659" s="1"/>
      <c r="BD659" s="1"/>
      <c r="BE659" s="1"/>
      <c r="BF659" s="1"/>
      <c r="BG659" s="1"/>
      <c r="BH659" s="1"/>
      <c r="BI659" s="1"/>
      <c r="BJ659" s="1"/>
      <c r="BK659" s="1"/>
      <c r="BL659" s="1"/>
      <c r="BM659" s="1"/>
      <c r="BN659" s="1"/>
    </row>
    <row r="660" spans="1:66" ht="15.75" customHeight="1" x14ac:dyDescent="0.25">
      <c r="A660" s="1"/>
      <c r="B660" s="2"/>
      <c r="C660" s="3"/>
      <c r="D660" s="2"/>
      <c r="E660" s="52"/>
      <c r="F660" s="52"/>
      <c r="G660" s="52"/>
      <c r="H660" s="2"/>
      <c r="I660" s="2"/>
      <c r="J660" s="2"/>
      <c r="K660" s="2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2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1"/>
      <c r="AO660" s="1"/>
      <c r="AP660" s="1"/>
      <c r="AQ660" s="1"/>
      <c r="AR660" s="1"/>
      <c r="AS660" s="1"/>
      <c r="AT660" s="1"/>
      <c r="AU660" s="1"/>
      <c r="AV660" s="1"/>
      <c r="AW660" s="1"/>
      <c r="AX660" s="1"/>
      <c r="AY660" s="1"/>
      <c r="AZ660" s="1"/>
      <c r="BA660" s="1"/>
      <c r="BB660" s="1"/>
      <c r="BC660" s="1"/>
      <c r="BD660" s="1"/>
      <c r="BE660" s="1"/>
      <c r="BF660" s="1"/>
      <c r="BG660" s="1"/>
      <c r="BH660" s="1"/>
      <c r="BI660" s="1"/>
      <c r="BJ660" s="1"/>
      <c r="BK660" s="1"/>
      <c r="BL660" s="1"/>
      <c r="BM660" s="1"/>
      <c r="BN660" s="1"/>
    </row>
    <row r="661" spans="1:66" ht="15.75" customHeight="1" x14ac:dyDescent="0.25">
      <c r="A661" s="1"/>
      <c r="B661" s="2"/>
      <c r="C661" s="3"/>
      <c r="D661" s="2"/>
      <c r="E661" s="52"/>
      <c r="F661" s="52"/>
      <c r="G661" s="52"/>
      <c r="H661" s="2"/>
      <c r="I661" s="2"/>
      <c r="J661" s="2"/>
      <c r="K661" s="2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2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1"/>
      <c r="AO661" s="1"/>
      <c r="AP661" s="1"/>
      <c r="AQ661" s="1"/>
      <c r="AR661" s="1"/>
      <c r="AS661" s="1"/>
      <c r="AT661" s="1"/>
      <c r="AU661" s="1"/>
      <c r="AV661" s="1"/>
      <c r="AW661" s="1"/>
      <c r="AX661" s="1"/>
      <c r="AY661" s="1"/>
      <c r="AZ661" s="1"/>
      <c r="BA661" s="1"/>
      <c r="BB661" s="1"/>
      <c r="BC661" s="1"/>
      <c r="BD661" s="1"/>
      <c r="BE661" s="1"/>
      <c r="BF661" s="1"/>
      <c r="BG661" s="1"/>
      <c r="BH661" s="1"/>
      <c r="BI661" s="1"/>
      <c r="BJ661" s="1"/>
      <c r="BK661" s="1"/>
      <c r="BL661" s="1"/>
      <c r="BM661" s="1"/>
      <c r="BN661" s="1"/>
    </row>
    <row r="662" spans="1:66" ht="15.75" customHeight="1" x14ac:dyDescent="0.25">
      <c r="A662" s="1"/>
      <c r="B662" s="2"/>
      <c r="C662" s="3"/>
      <c r="D662" s="2"/>
      <c r="E662" s="52"/>
      <c r="F662" s="52"/>
      <c r="G662" s="52"/>
      <c r="H662" s="2"/>
      <c r="I662" s="2"/>
      <c r="J662" s="2"/>
      <c r="K662" s="2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2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1"/>
      <c r="AO662" s="1"/>
      <c r="AP662" s="1"/>
      <c r="AQ662" s="1"/>
      <c r="AR662" s="1"/>
      <c r="AS662" s="1"/>
      <c r="AT662" s="1"/>
      <c r="AU662" s="1"/>
      <c r="AV662" s="1"/>
      <c r="AW662" s="1"/>
      <c r="AX662" s="1"/>
      <c r="AY662" s="1"/>
      <c r="AZ662" s="1"/>
      <c r="BA662" s="1"/>
      <c r="BB662" s="1"/>
      <c r="BC662" s="1"/>
      <c r="BD662" s="1"/>
      <c r="BE662" s="1"/>
      <c r="BF662" s="1"/>
      <c r="BG662" s="1"/>
      <c r="BH662" s="1"/>
      <c r="BI662" s="1"/>
      <c r="BJ662" s="1"/>
      <c r="BK662" s="1"/>
      <c r="BL662" s="1"/>
      <c r="BM662" s="1"/>
      <c r="BN662" s="1"/>
    </row>
    <row r="663" spans="1:66" ht="15.75" customHeight="1" x14ac:dyDescent="0.25">
      <c r="A663" s="1"/>
      <c r="B663" s="2"/>
      <c r="C663" s="3"/>
      <c r="D663" s="2"/>
      <c r="E663" s="52"/>
      <c r="F663" s="52"/>
      <c r="G663" s="52"/>
      <c r="H663" s="2"/>
      <c r="I663" s="2"/>
      <c r="J663" s="2"/>
      <c r="K663" s="2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2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1"/>
      <c r="AO663" s="1"/>
      <c r="AP663" s="1"/>
      <c r="AQ663" s="1"/>
      <c r="AR663" s="1"/>
      <c r="AS663" s="1"/>
      <c r="AT663" s="1"/>
      <c r="AU663" s="1"/>
      <c r="AV663" s="1"/>
      <c r="AW663" s="1"/>
      <c r="AX663" s="1"/>
      <c r="AY663" s="1"/>
      <c r="AZ663" s="1"/>
      <c r="BA663" s="1"/>
      <c r="BB663" s="1"/>
      <c r="BC663" s="1"/>
      <c r="BD663" s="1"/>
      <c r="BE663" s="1"/>
      <c r="BF663" s="1"/>
      <c r="BG663" s="1"/>
      <c r="BH663" s="1"/>
      <c r="BI663" s="1"/>
      <c r="BJ663" s="1"/>
      <c r="BK663" s="1"/>
      <c r="BL663" s="1"/>
      <c r="BM663" s="1"/>
      <c r="BN663" s="1"/>
    </row>
    <row r="664" spans="1:66" ht="15.75" customHeight="1" x14ac:dyDescent="0.25">
      <c r="A664" s="1"/>
      <c r="B664" s="2"/>
      <c r="C664" s="3"/>
      <c r="D664" s="2"/>
      <c r="E664" s="52"/>
      <c r="F664" s="52"/>
      <c r="G664" s="52"/>
      <c r="H664" s="2"/>
      <c r="I664" s="2"/>
      <c r="J664" s="2"/>
      <c r="K664" s="2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2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1"/>
      <c r="AO664" s="1"/>
      <c r="AP664" s="1"/>
      <c r="AQ664" s="1"/>
      <c r="AR664" s="1"/>
      <c r="AS664" s="1"/>
      <c r="AT664" s="1"/>
      <c r="AU664" s="1"/>
      <c r="AV664" s="1"/>
      <c r="AW664" s="1"/>
      <c r="AX664" s="1"/>
      <c r="AY664" s="1"/>
      <c r="AZ664" s="1"/>
      <c r="BA664" s="1"/>
      <c r="BB664" s="1"/>
      <c r="BC664" s="1"/>
      <c r="BD664" s="1"/>
      <c r="BE664" s="1"/>
      <c r="BF664" s="1"/>
      <c r="BG664" s="1"/>
      <c r="BH664" s="1"/>
      <c r="BI664" s="1"/>
      <c r="BJ664" s="1"/>
      <c r="BK664" s="1"/>
      <c r="BL664" s="1"/>
      <c r="BM664" s="1"/>
      <c r="BN664" s="1"/>
    </row>
    <row r="665" spans="1:66" ht="15.75" customHeight="1" x14ac:dyDescent="0.25">
      <c r="A665" s="1"/>
      <c r="B665" s="2"/>
      <c r="C665" s="3"/>
      <c r="D665" s="2"/>
      <c r="E665" s="52"/>
      <c r="F665" s="52"/>
      <c r="G665" s="52"/>
      <c r="H665" s="2"/>
      <c r="I665" s="2"/>
      <c r="J665" s="2"/>
      <c r="K665" s="2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2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1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Y665" s="1"/>
      <c r="AZ665" s="1"/>
      <c r="BA665" s="1"/>
      <c r="BB665" s="1"/>
      <c r="BC665" s="1"/>
      <c r="BD665" s="1"/>
      <c r="BE665" s="1"/>
      <c r="BF665" s="1"/>
      <c r="BG665" s="1"/>
      <c r="BH665" s="1"/>
      <c r="BI665" s="1"/>
      <c r="BJ665" s="1"/>
      <c r="BK665" s="1"/>
      <c r="BL665" s="1"/>
      <c r="BM665" s="1"/>
      <c r="BN665" s="1"/>
    </row>
    <row r="666" spans="1:66" ht="15.75" customHeight="1" x14ac:dyDescent="0.25">
      <c r="A666" s="1"/>
      <c r="B666" s="2"/>
      <c r="C666" s="3"/>
      <c r="D666" s="2"/>
      <c r="E666" s="52"/>
      <c r="F666" s="52"/>
      <c r="G666" s="52"/>
      <c r="H666" s="2"/>
      <c r="I666" s="2"/>
      <c r="J666" s="2"/>
      <c r="K666" s="2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2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1"/>
      <c r="AO666" s="1"/>
      <c r="AP666" s="1"/>
      <c r="AQ666" s="1"/>
      <c r="AR666" s="1"/>
      <c r="AS666" s="1"/>
      <c r="AT666" s="1"/>
      <c r="AU666" s="1"/>
      <c r="AV666" s="1"/>
      <c r="AW666" s="1"/>
      <c r="AX666" s="1"/>
      <c r="AY666" s="1"/>
      <c r="AZ666" s="1"/>
      <c r="BA666" s="1"/>
      <c r="BB666" s="1"/>
      <c r="BC666" s="1"/>
      <c r="BD666" s="1"/>
      <c r="BE666" s="1"/>
      <c r="BF666" s="1"/>
      <c r="BG666" s="1"/>
      <c r="BH666" s="1"/>
      <c r="BI666" s="1"/>
      <c r="BJ666" s="1"/>
      <c r="BK666" s="1"/>
      <c r="BL666" s="1"/>
      <c r="BM666" s="1"/>
      <c r="BN666" s="1"/>
    </row>
  </sheetData>
  <autoFilter ref="A16:AT464" xr:uid="{00000000-0009-0000-0000-000000000000}"/>
  <mergeCells count="26">
    <mergeCell ref="L1:P1"/>
    <mergeCell ref="Q1:U1"/>
    <mergeCell ref="V1:Z1"/>
    <mergeCell ref="AA1:AE1"/>
    <mergeCell ref="AF1:AJ1"/>
    <mergeCell ref="AL1:AP1"/>
    <mergeCell ref="AR1:AT1"/>
    <mergeCell ref="Q10:U10"/>
    <mergeCell ref="V10:Z10"/>
    <mergeCell ref="L11:P11"/>
    <mergeCell ref="Q11:U11"/>
    <mergeCell ref="V11:Z11"/>
    <mergeCell ref="AA11:AE11"/>
    <mergeCell ref="AF11:AK11"/>
    <mergeCell ref="AL11:AP11"/>
    <mergeCell ref="AA10:AE10"/>
    <mergeCell ref="AF10:AK10"/>
    <mergeCell ref="AR10:AT10"/>
    <mergeCell ref="L2:P2"/>
    <mergeCell ref="Q2:U2"/>
    <mergeCell ref="V2:Z2"/>
    <mergeCell ref="AA2:AE2"/>
    <mergeCell ref="AF2:AJ2"/>
    <mergeCell ref="AL2:AP2"/>
    <mergeCell ref="L10:P10"/>
    <mergeCell ref="AL10:AP10"/>
  </mergeCells>
  <conditionalFormatting sqref="L333:AT464 L17:AT326">
    <cfRule type="cellIs" dxfId="11" priority="1" operator="equal">
      <formula>3</formula>
    </cfRule>
  </conditionalFormatting>
  <conditionalFormatting sqref="L333:AT464 L17:AT326">
    <cfRule type="cellIs" dxfId="10" priority="2" operator="equal">
      <formula>1</formula>
    </cfRule>
  </conditionalFormatting>
  <conditionalFormatting sqref="A17:A464">
    <cfRule type="cellIs" dxfId="9" priority="3" operator="equal">
      <formula>"Sim"</formula>
    </cfRule>
  </conditionalFormatting>
  <conditionalFormatting sqref="L327:AT328">
    <cfRule type="cellIs" dxfId="8" priority="4" operator="equal">
      <formula>3</formula>
    </cfRule>
  </conditionalFormatting>
  <conditionalFormatting sqref="L327:AT328">
    <cfRule type="cellIs" dxfId="7" priority="5" operator="equal">
      <formula>1</formula>
    </cfRule>
  </conditionalFormatting>
  <conditionalFormatting sqref="L329:AT330">
    <cfRule type="cellIs" dxfId="6" priority="6" operator="equal">
      <formula>3</formula>
    </cfRule>
  </conditionalFormatting>
  <conditionalFormatting sqref="L329:AT330">
    <cfRule type="cellIs" dxfId="5" priority="7" operator="equal">
      <formula>1</formula>
    </cfRule>
  </conditionalFormatting>
  <conditionalFormatting sqref="L331:AT332">
    <cfRule type="cellIs" dxfId="4" priority="8" operator="equal">
      <formula>3</formula>
    </cfRule>
  </conditionalFormatting>
  <conditionalFormatting sqref="L331:AT332">
    <cfRule type="cellIs" dxfId="3" priority="9" operator="equal">
      <formula>1</formula>
    </cfRule>
  </conditionalFormatting>
  <pageMargins left="0.511811024" right="0.511811024" top="0.78740157499999996" bottom="0.78740157499999996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nta_carga_exclusao">
                <anchor moveWithCells="1" sizeWithCells="1">
                  <from>
                    <xdr:col>1</xdr:col>
                    <xdr:colOff>57150</xdr:colOff>
                    <xdr:row>4</xdr:row>
                    <xdr:rowOff>114300</xdr:rowOff>
                  </from>
                  <to>
                    <xdr:col>2</xdr:col>
                    <xdr:colOff>1181100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otina_inclusao">
                <anchor moveWithCells="1" sizeWithCells="1">
                  <from>
                    <xdr:col>2</xdr:col>
                    <xdr:colOff>1866900</xdr:colOff>
                    <xdr:row>4</xdr:row>
                    <xdr:rowOff>114300</xdr:rowOff>
                  </from>
                  <to>
                    <xdr:col>2</xdr:col>
                    <xdr:colOff>3848100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cm_check"/>
  <dimension ref="A1:AV1000"/>
  <sheetViews>
    <sheetView showGridLines="0" workbookViewId="0"/>
  </sheetViews>
  <sheetFormatPr defaultColWidth="12.625" defaultRowHeight="15" customHeight="1" x14ac:dyDescent="0.2"/>
  <cols>
    <col min="1" max="1" width="14.75" customWidth="1"/>
    <col min="2" max="2" width="19.25" customWidth="1"/>
    <col min="3" max="3" width="87.25" customWidth="1"/>
    <col min="4" max="4" width="10.5" customWidth="1"/>
    <col min="5" max="5" width="13.5" customWidth="1"/>
    <col min="6" max="6" width="17" customWidth="1"/>
    <col min="7" max="7" width="23.5" customWidth="1"/>
    <col min="8" max="8" width="1.25" customWidth="1"/>
    <col min="9" max="9" width="8.75" customWidth="1"/>
    <col min="10" max="10" width="6.75" customWidth="1"/>
    <col min="11" max="11" width="9.75" customWidth="1"/>
    <col min="12" max="16" width="5.25" customWidth="1"/>
    <col min="17" max="21" width="5.375" customWidth="1"/>
    <col min="22" max="26" width="5.875" customWidth="1"/>
    <col min="27" max="28" width="5" customWidth="1"/>
    <col min="29" max="29" width="7.125" customWidth="1"/>
    <col min="30" max="30" width="6.875" customWidth="1"/>
    <col min="31" max="31" width="6.375" customWidth="1"/>
    <col min="32" max="33" width="5" customWidth="1"/>
    <col min="34" max="34" width="7" customWidth="1"/>
    <col min="35" max="35" width="5.25" customWidth="1"/>
    <col min="36" max="36" width="6.125" customWidth="1"/>
    <col min="37" max="37" width="10" customWidth="1"/>
    <col min="38" max="41" width="11.875" customWidth="1"/>
    <col min="42" max="46" width="7.25" customWidth="1"/>
    <col min="47" max="48" width="8" customWidth="1"/>
  </cols>
  <sheetData>
    <row r="1" spans="1:48" ht="15.75" customHeight="1" x14ac:dyDescent="0.25">
      <c r="A1" s="1"/>
      <c r="B1" s="2"/>
      <c r="C1" s="3"/>
      <c r="D1" s="2"/>
      <c r="E1" s="52"/>
      <c r="F1" s="52"/>
      <c r="G1" s="52"/>
      <c r="H1" s="2"/>
      <c r="I1" s="2"/>
      <c r="J1" s="2"/>
      <c r="K1" s="2"/>
      <c r="L1" s="94" t="s">
        <v>0</v>
      </c>
      <c r="M1" s="95"/>
      <c r="N1" s="95"/>
      <c r="O1" s="95"/>
      <c r="P1" s="96"/>
      <c r="Q1" s="94" t="s">
        <v>0</v>
      </c>
      <c r="R1" s="95"/>
      <c r="S1" s="95"/>
      <c r="T1" s="95"/>
      <c r="U1" s="96"/>
      <c r="V1" s="94" t="s">
        <v>0</v>
      </c>
      <c r="W1" s="95"/>
      <c r="X1" s="95"/>
      <c r="Y1" s="95"/>
      <c r="Z1" s="96"/>
      <c r="AA1" s="94" t="s">
        <v>0</v>
      </c>
      <c r="AB1" s="95"/>
      <c r="AC1" s="95"/>
      <c r="AD1" s="95"/>
      <c r="AE1" s="96"/>
      <c r="AF1" s="94" t="s">
        <v>0</v>
      </c>
      <c r="AG1" s="95"/>
      <c r="AH1" s="95"/>
      <c r="AI1" s="95"/>
      <c r="AJ1" s="96"/>
      <c r="AK1" s="4"/>
      <c r="AL1" s="101" t="s">
        <v>1</v>
      </c>
      <c r="AM1" s="95"/>
      <c r="AN1" s="95"/>
      <c r="AO1" s="95"/>
      <c r="AP1" s="100"/>
      <c r="AQ1" s="5" t="s">
        <v>2</v>
      </c>
      <c r="AR1" s="102" t="s">
        <v>34</v>
      </c>
      <c r="AS1" s="95"/>
      <c r="AT1" s="96"/>
      <c r="AU1" s="1"/>
      <c r="AV1" s="1"/>
    </row>
    <row r="2" spans="1:48" ht="15.75" customHeight="1" x14ac:dyDescent="0.25">
      <c r="A2" s="1"/>
      <c r="B2" s="2"/>
      <c r="C2" s="3"/>
      <c r="D2" s="2"/>
      <c r="E2" s="52"/>
      <c r="F2" s="52"/>
      <c r="G2" s="53"/>
      <c r="H2" s="6"/>
      <c r="I2" s="6"/>
      <c r="J2" s="6"/>
      <c r="K2" s="6"/>
      <c r="L2" s="94" t="s">
        <v>4</v>
      </c>
      <c r="M2" s="95"/>
      <c r="N2" s="95"/>
      <c r="O2" s="95"/>
      <c r="P2" s="96"/>
      <c r="Q2" s="94" t="s">
        <v>5</v>
      </c>
      <c r="R2" s="95"/>
      <c r="S2" s="95"/>
      <c r="T2" s="95"/>
      <c r="U2" s="96"/>
      <c r="V2" s="94" t="s">
        <v>6</v>
      </c>
      <c r="W2" s="95"/>
      <c r="X2" s="95"/>
      <c r="Y2" s="95"/>
      <c r="Z2" s="96"/>
      <c r="AA2" s="94" t="s">
        <v>7</v>
      </c>
      <c r="AB2" s="95"/>
      <c r="AC2" s="95"/>
      <c r="AD2" s="95"/>
      <c r="AE2" s="96"/>
      <c r="AF2" s="94" t="s">
        <v>8</v>
      </c>
      <c r="AG2" s="95"/>
      <c r="AH2" s="95"/>
      <c r="AI2" s="95"/>
      <c r="AJ2" s="96"/>
      <c r="AK2" s="4"/>
      <c r="AL2" s="97" t="s">
        <v>7</v>
      </c>
      <c r="AM2" s="98"/>
      <c r="AN2" s="98"/>
      <c r="AO2" s="98"/>
      <c r="AP2" s="99"/>
      <c r="AQ2" s="5" t="s">
        <v>4</v>
      </c>
      <c r="AR2" s="7" t="s">
        <v>4</v>
      </c>
      <c r="AS2" s="7" t="s">
        <v>5</v>
      </c>
      <c r="AT2" s="7" t="s">
        <v>6</v>
      </c>
      <c r="AU2" s="1"/>
      <c r="AV2" s="1"/>
    </row>
    <row r="3" spans="1:48" ht="15.75" customHeight="1" x14ac:dyDescent="0.25">
      <c r="A3" s="1"/>
      <c r="B3" s="2"/>
      <c r="C3" s="3"/>
      <c r="D3" s="2"/>
      <c r="E3" s="52"/>
      <c r="F3" s="53"/>
      <c r="G3" s="53"/>
      <c r="H3" s="6"/>
      <c r="I3" s="6"/>
      <c r="J3" s="6"/>
      <c r="K3" s="9" t="s">
        <v>9</v>
      </c>
      <c r="L3" s="10" t="s">
        <v>10</v>
      </c>
      <c r="M3" s="10" t="s">
        <v>11</v>
      </c>
      <c r="N3" s="10" t="s">
        <v>12</v>
      </c>
      <c r="O3" s="10" t="s">
        <v>13</v>
      </c>
      <c r="P3" s="10" t="s">
        <v>14</v>
      </c>
      <c r="Q3" s="10" t="s">
        <v>10</v>
      </c>
      <c r="R3" s="10" t="s">
        <v>11</v>
      </c>
      <c r="S3" s="10" t="s">
        <v>12</v>
      </c>
      <c r="T3" s="10" t="s">
        <v>13</v>
      </c>
      <c r="U3" s="10" t="s">
        <v>14</v>
      </c>
      <c r="V3" s="10" t="s">
        <v>10</v>
      </c>
      <c r="W3" s="10" t="s">
        <v>11</v>
      </c>
      <c r="X3" s="10" t="s">
        <v>12</v>
      </c>
      <c r="Y3" s="10" t="s">
        <v>13</v>
      </c>
      <c r="Z3" s="10" t="s">
        <v>14</v>
      </c>
      <c r="AA3" s="10" t="s">
        <v>10</v>
      </c>
      <c r="AB3" s="10" t="s">
        <v>11</v>
      </c>
      <c r="AC3" s="10" t="s">
        <v>12</v>
      </c>
      <c r="AD3" s="10" t="s">
        <v>13</v>
      </c>
      <c r="AE3" s="10" t="s">
        <v>14</v>
      </c>
      <c r="AF3" s="10" t="s">
        <v>10</v>
      </c>
      <c r="AG3" s="10" t="s">
        <v>11</v>
      </c>
      <c r="AH3" s="10" t="s">
        <v>12</v>
      </c>
      <c r="AI3" s="10" t="s">
        <v>13</v>
      </c>
      <c r="AJ3" s="10" t="s">
        <v>14</v>
      </c>
      <c r="AK3" s="10" t="s">
        <v>15</v>
      </c>
      <c r="AL3" s="11" t="s">
        <v>10</v>
      </c>
      <c r="AM3" s="11" t="s">
        <v>11</v>
      </c>
      <c r="AN3" s="11" t="s">
        <v>12</v>
      </c>
      <c r="AO3" s="11" t="s">
        <v>13</v>
      </c>
      <c r="AP3" s="11" t="s">
        <v>14</v>
      </c>
      <c r="AQ3" s="12" t="s">
        <v>11</v>
      </c>
      <c r="AR3" s="13" t="s">
        <v>11</v>
      </c>
      <c r="AS3" s="13" t="s">
        <v>11</v>
      </c>
      <c r="AT3" s="13" t="s">
        <v>11</v>
      </c>
      <c r="AU3" s="1"/>
      <c r="AV3" s="1"/>
    </row>
    <row r="4" spans="1:48" ht="15.75" customHeight="1" x14ac:dyDescent="0.25">
      <c r="A4" s="14"/>
      <c r="B4" s="2"/>
      <c r="C4" s="19" t="str">
        <f>IF(OR(L4&gt;L7,M4&gt;M7,N4&gt;N7,O4&gt;O7,P4&gt;P7,Q4&gt;Q7,R4&gt;R7,S4&gt;S7,T4&gt;T7,U4&gt;U7,V4&gt;V7,W4&gt;W7,X4&gt;X7,Y4&gt;Y7,Z4&gt;Z7,AA4&gt;AA7,AB4&gt;AB7,AC4&gt;AC7,AD4&gt;AD7,AE4&gt;AE7,AF4&gt;AF7,AG4&gt;AG7,AH4&gt;AH7,AI4&gt;AI7,AJ4&gt;AJ7,AK4&gt;AK7,AM4&gt;AM7,AN4&gt;AN7,AL4&gt;AL7,AO4&gt;AO7,AP4&gt;AP7,AQ4&gt;AQ7,AR4&gt;AR7,AS4&gt;AS7,AT4,AT7),"Os itens obrigatórios superam o número 'ideal' em algum(ns) tamanho ----------&gt;","")</f>
        <v>Os itens obrigatórios superam o número 'ideal' em algum(ns) tamanho ----------&gt;</v>
      </c>
      <c r="D4" s="2"/>
      <c r="E4" s="52"/>
      <c r="F4" s="52"/>
      <c r="G4" s="53"/>
      <c r="H4" s="6"/>
      <c r="I4" s="6"/>
      <c r="J4" s="6"/>
      <c r="K4" s="17" t="s">
        <v>16</v>
      </c>
      <c r="L4" s="18">
        <f t="shared" ref="L4:AK4" si="0">COUNTIF(L17:L413,1)</f>
        <v>0</v>
      </c>
      <c r="M4" s="18">
        <f t="shared" si="0"/>
        <v>0</v>
      </c>
      <c r="N4" s="18">
        <f t="shared" si="0"/>
        <v>0</v>
      </c>
      <c r="O4" s="18">
        <f t="shared" si="0"/>
        <v>0</v>
      </c>
      <c r="P4" s="18">
        <f t="shared" si="0"/>
        <v>0</v>
      </c>
      <c r="Q4" s="18">
        <f t="shared" si="0"/>
        <v>0</v>
      </c>
      <c r="R4" s="18">
        <f t="shared" si="0"/>
        <v>0</v>
      </c>
      <c r="S4" s="18">
        <f t="shared" si="0"/>
        <v>0</v>
      </c>
      <c r="T4" s="18">
        <f t="shared" si="0"/>
        <v>0</v>
      </c>
      <c r="U4" s="18">
        <f t="shared" si="0"/>
        <v>0</v>
      </c>
      <c r="V4" s="18">
        <f t="shared" si="0"/>
        <v>0</v>
      </c>
      <c r="W4" s="18">
        <f t="shared" si="0"/>
        <v>0</v>
      </c>
      <c r="X4" s="18">
        <f t="shared" si="0"/>
        <v>0</v>
      </c>
      <c r="Y4" s="18">
        <f t="shared" si="0"/>
        <v>0</v>
      </c>
      <c r="Z4" s="18">
        <f t="shared" si="0"/>
        <v>0</v>
      </c>
      <c r="AA4" s="18">
        <f t="shared" si="0"/>
        <v>0</v>
      </c>
      <c r="AB4" s="18">
        <f t="shared" si="0"/>
        <v>0</v>
      </c>
      <c r="AC4" s="18">
        <f t="shared" si="0"/>
        <v>0</v>
      </c>
      <c r="AD4" s="18">
        <f t="shared" si="0"/>
        <v>0</v>
      </c>
      <c r="AE4" s="18">
        <f t="shared" si="0"/>
        <v>0</v>
      </c>
      <c r="AF4" s="18">
        <f t="shared" si="0"/>
        <v>0</v>
      </c>
      <c r="AG4" s="18">
        <f t="shared" si="0"/>
        <v>0</v>
      </c>
      <c r="AH4" s="18">
        <f t="shared" si="0"/>
        <v>0</v>
      </c>
      <c r="AI4" s="18">
        <f t="shared" si="0"/>
        <v>0</v>
      </c>
      <c r="AJ4" s="18">
        <f t="shared" si="0"/>
        <v>0</v>
      </c>
      <c r="AK4" s="18">
        <f t="shared" si="0"/>
        <v>0</v>
      </c>
      <c r="AL4" s="18">
        <f t="shared" ref="AL4:AT4" si="1">COUNTIF(AL17:AL116,1)</f>
        <v>0</v>
      </c>
      <c r="AM4" s="18">
        <f t="shared" si="1"/>
        <v>0</v>
      </c>
      <c r="AN4" s="18">
        <f t="shared" si="1"/>
        <v>0</v>
      </c>
      <c r="AO4" s="18">
        <f t="shared" si="1"/>
        <v>0</v>
      </c>
      <c r="AP4" s="18">
        <f t="shared" si="1"/>
        <v>0</v>
      </c>
      <c r="AQ4" s="18">
        <f t="shared" si="1"/>
        <v>0</v>
      </c>
      <c r="AR4" s="18">
        <f t="shared" si="1"/>
        <v>0</v>
      </c>
      <c r="AS4" s="18">
        <f t="shared" si="1"/>
        <v>0</v>
      </c>
      <c r="AT4" s="18">
        <f t="shared" si="1"/>
        <v>0</v>
      </c>
      <c r="AU4" s="1"/>
      <c r="AV4" s="1"/>
    </row>
    <row r="5" spans="1:48" ht="15.75" customHeight="1" x14ac:dyDescent="0.25">
      <c r="A5" s="1"/>
      <c r="B5" s="19"/>
      <c r="C5" s="3"/>
      <c r="D5" s="2"/>
      <c r="E5" s="52"/>
      <c r="F5" s="52"/>
      <c r="G5" s="53"/>
      <c r="H5" s="6"/>
      <c r="I5" s="6"/>
      <c r="J5" s="6"/>
      <c r="K5" s="17" t="s">
        <v>17</v>
      </c>
      <c r="L5" s="20">
        <f t="shared" ref="L5:AK5" si="2">COUNTIF(L17:L1002,3)</f>
        <v>0</v>
      </c>
      <c r="M5" s="20">
        <f t="shared" si="2"/>
        <v>0</v>
      </c>
      <c r="N5" s="20">
        <f t="shared" si="2"/>
        <v>0</v>
      </c>
      <c r="O5" s="20">
        <f t="shared" si="2"/>
        <v>0</v>
      </c>
      <c r="P5" s="20">
        <f t="shared" si="2"/>
        <v>0</v>
      </c>
      <c r="Q5" s="20">
        <f t="shared" si="2"/>
        <v>0</v>
      </c>
      <c r="R5" s="20">
        <f t="shared" si="2"/>
        <v>0</v>
      </c>
      <c r="S5" s="20">
        <f t="shared" si="2"/>
        <v>0</v>
      </c>
      <c r="T5" s="20">
        <f t="shared" si="2"/>
        <v>0</v>
      </c>
      <c r="U5" s="20">
        <f t="shared" si="2"/>
        <v>0</v>
      </c>
      <c r="V5" s="20">
        <f t="shared" si="2"/>
        <v>0</v>
      </c>
      <c r="W5" s="20">
        <f t="shared" si="2"/>
        <v>0</v>
      </c>
      <c r="X5" s="20">
        <f t="shared" si="2"/>
        <v>0</v>
      </c>
      <c r="Y5" s="20">
        <f t="shared" si="2"/>
        <v>0</v>
      </c>
      <c r="Z5" s="20">
        <f t="shared" si="2"/>
        <v>0</v>
      </c>
      <c r="AA5" s="20">
        <f t="shared" si="2"/>
        <v>0</v>
      </c>
      <c r="AB5" s="20">
        <f t="shared" si="2"/>
        <v>0</v>
      </c>
      <c r="AC5" s="20">
        <f t="shared" si="2"/>
        <v>0</v>
      </c>
      <c r="AD5" s="20">
        <f t="shared" si="2"/>
        <v>0</v>
      </c>
      <c r="AE5" s="20">
        <f t="shared" si="2"/>
        <v>0</v>
      </c>
      <c r="AF5" s="20">
        <f t="shared" si="2"/>
        <v>0</v>
      </c>
      <c r="AG5" s="20">
        <f t="shared" si="2"/>
        <v>0</v>
      </c>
      <c r="AH5" s="20">
        <f t="shared" si="2"/>
        <v>0</v>
      </c>
      <c r="AI5" s="20">
        <f t="shared" si="2"/>
        <v>0</v>
      </c>
      <c r="AJ5" s="20">
        <f t="shared" si="2"/>
        <v>0</v>
      </c>
      <c r="AK5" s="20">
        <f t="shared" si="2"/>
        <v>0</v>
      </c>
      <c r="AL5" s="20">
        <f t="shared" ref="AL5:AT5" si="3">COUNTIF(AL17:AL116,3)</f>
        <v>0</v>
      </c>
      <c r="AM5" s="20">
        <f t="shared" si="3"/>
        <v>0</v>
      </c>
      <c r="AN5" s="20">
        <f t="shared" si="3"/>
        <v>0</v>
      </c>
      <c r="AO5" s="20">
        <f t="shared" si="3"/>
        <v>0</v>
      </c>
      <c r="AP5" s="20">
        <f t="shared" si="3"/>
        <v>0</v>
      </c>
      <c r="AQ5" s="20">
        <f t="shared" si="3"/>
        <v>0</v>
      </c>
      <c r="AR5" s="20">
        <f t="shared" si="3"/>
        <v>0</v>
      </c>
      <c r="AS5" s="20">
        <f t="shared" si="3"/>
        <v>0</v>
      </c>
      <c r="AT5" s="20">
        <f t="shared" si="3"/>
        <v>0</v>
      </c>
      <c r="AU5" s="1"/>
      <c r="AV5" s="1"/>
    </row>
    <row r="6" spans="1:48" ht="15.75" customHeight="1" x14ac:dyDescent="0.25">
      <c r="A6" s="1"/>
      <c r="B6" s="2"/>
      <c r="C6" s="3"/>
      <c r="D6" s="2"/>
      <c r="E6" s="52"/>
      <c r="F6" s="52"/>
      <c r="G6" s="53"/>
      <c r="H6" s="6"/>
      <c r="I6" s="6"/>
      <c r="J6" s="6"/>
      <c r="K6" s="17" t="s">
        <v>18</v>
      </c>
      <c r="L6" s="54">
        <f t="shared" ref="L6:AT6" si="4">(L4+L5)</f>
        <v>0</v>
      </c>
      <c r="M6" s="54">
        <f t="shared" si="4"/>
        <v>0</v>
      </c>
      <c r="N6" s="54">
        <f t="shared" si="4"/>
        <v>0</v>
      </c>
      <c r="O6" s="54">
        <f t="shared" si="4"/>
        <v>0</v>
      </c>
      <c r="P6" s="54">
        <f t="shared" si="4"/>
        <v>0</v>
      </c>
      <c r="Q6" s="54">
        <f t="shared" si="4"/>
        <v>0</v>
      </c>
      <c r="R6" s="54">
        <f t="shared" si="4"/>
        <v>0</v>
      </c>
      <c r="S6" s="54">
        <f t="shared" si="4"/>
        <v>0</v>
      </c>
      <c r="T6" s="54">
        <f t="shared" si="4"/>
        <v>0</v>
      </c>
      <c r="U6" s="54">
        <f t="shared" si="4"/>
        <v>0</v>
      </c>
      <c r="V6" s="54">
        <f t="shared" si="4"/>
        <v>0</v>
      </c>
      <c r="W6" s="54">
        <f t="shared" si="4"/>
        <v>0</v>
      </c>
      <c r="X6" s="54">
        <f t="shared" si="4"/>
        <v>0</v>
      </c>
      <c r="Y6" s="54">
        <f t="shared" si="4"/>
        <v>0</v>
      </c>
      <c r="Z6" s="54">
        <f t="shared" si="4"/>
        <v>0</v>
      </c>
      <c r="AA6" s="54">
        <f t="shared" si="4"/>
        <v>0</v>
      </c>
      <c r="AB6" s="54">
        <f t="shared" si="4"/>
        <v>0</v>
      </c>
      <c r="AC6" s="54">
        <f t="shared" si="4"/>
        <v>0</v>
      </c>
      <c r="AD6" s="54">
        <f t="shared" si="4"/>
        <v>0</v>
      </c>
      <c r="AE6" s="54">
        <f t="shared" si="4"/>
        <v>0</v>
      </c>
      <c r="AF6" s="54">
        <f t="shared" si="4"/>
        <v>0</v>
      </c>
      <c r="AG6" s="54">
        <f t="shared" si="4"/>
        <v>0</v>
      </c>
      <c r="AH6" s="54">
        <f t="shared" si="4"/>
        <v>0</v>
      </c>
      <c r="AI6" s="54">
        <f t="shared" si="4"/>
        <v>0</v>
      </c>
      <c r="AJ6" s="54">
        <f t="shared" si="4"/>
        <v>0</v>
      </c>
      <c r="AK6" s="54">
        <f t="shared" si="4"/>
        <v>0</v>
      </c>
      <c r="AL6" s="54">
        <f t="shared" si="4"/>
        <v>0</v>
      </c>
      <c r="AM6" s="54">
        <f t="shared" si="4"/>
        <v>0</v>
      </c>
      <c r="AN6" s="54">
        <f t="shared" si="4"/>
        <v>0</v>
      </c>
      <c r="AO6" s="54">
        <f t="shared" si="4"/>
        <v>0</v>
      </c>
      <c r="AP6" s="54">
        <f t="shared" si="4"/>
        <v>0</v>
      </c>
      <c r="AQ6" s="54">
        <f t="shared" si="4"/>
        <v>0</v>
      </c>
      <c r="AR6" s="54">
        <f t="shared" si="4"/>
        <v>0</v>
      </c>
      <c r="AS6" s="54">
        <f t="shared" si="4"/>
        <v>0</v>
      </c>
      <c r="AT6" s="54">
        <f t="shared" si="4"/>
        <v>0</v>
      </c>
      <c r="AU6" s="1"/>
      <c r="AV6" s="1"/>
    </row>
    <row r="7" spans="1:48" ht="15.75" customHeight="1" x14ac:dyDescent="0.25">
      <c r="A7" s="2"/>
      <c r="B7" s="2"/>
      <c r="C7" s="2"/>
      <c r="D7" s="2"/>
      <c r="E7" s="52"/>
      <c r="F7" s="52"/>
      <c r="G7" s="52"/>
      <c r="H7" s="55"/>
      <c r="I7" s="56"/>
      <c r="J7" s="56"/>
      <c r="K7" s="57" t="s">
        <v>19</v>
      </c>
      <c r="L7" s="22">
        <v>30</v>
      </c>
      <c r="M7" s="22">
        <v>50</v>
      </c>
      <c r="N7" s="22">
        <v>70</v>
      </c>
      <c r="O7" s="22">
        <v>90</v>
      </c>
      <c r="P7" s="22">
        <v>100</v>
      </c>
      <c r="Q7" s="22">
        <v>45</v>
      </c>
      <c r="R7" s="22">
        <v>65</v>
      </c>
      <c r="S7" s="22">
        <v>85</v>
      </c>
      <c r="T7" s="22">
        <v>110</v>
      </c>
      <c r="U7" s="22">
        <v>130</v>
      </c>
      <c r="V7" s="22">
        <v>60</v>
      </c>
      <c r="W7" s="22">
        <v>70</v>
      </c>
      <c r="X7" s="22">
        <v>109</v>
      </c>
      <c r="Y7" s="22">
        <v>123</v>
      </c>
      <c r="Z7" s="22">
        <v>130</v>
      </c>
      <c r="AA7" s="22">
        <v>61</v>
      </c>
      <c r="AB7" s="22">
        <v>70</v>
      </c>
      <c r="AC7" s="22">
        <v>109</v>
      </c>
      <c r="AD7" s="22">
        <v>127</v>
      </c>
      <c r="AE7" s="22">
        <v>130</v>
      </c>
      <c r="AF7" s="22">
        <v>55</v>
      </c>
      <c r="AG7" s="22">
        <v>75</v>
      </c>
      <c r="AH7" s="22">
        <v>115</v>
      </c>
      <c r="AI7" s="22">
        <v>133</v>
      </c>
      <c r="AJ7" s="22">
        <v>140</v>
      </c>
      <c r="AK7" s="22">
        <v>140</v>
      </c>
      <c r="AL7" s="22">
        <v>0</v>
      </c>
      <c r="AM7" s="22">
        <v>0</v>
      </c>
      <c r="AN7" s="22">
        <v>0</v>
      </c>
      <c r="AO7" s="22">
        <v>0</v>
      </c>
      <c r="AP7" s="22">
        <v>0</v>
      </c>
      <c r="AQ7" s="22">
        <v>0</v>
      </c>
      <c r="AR7" s="22">
        <v>8</v>
      </c>
      <c r="AS7" s="22">
        <v>9</v>
      </c>
      <c r="AT7" s="22">
        <v>10</v>
      </c>
      <c r="AU7" s="2"/>
      <c r="AV7" s="2"/>
    </row>
    <row r="8" spans="1:48" ht="15.75" customHeight="1" x14ac:dyDescent="0.25">
      <c r="A8" s="2"/>
      <c r="B8" s="2"/>
      <c r="C8" s="3"/>
      <c r="D8" s="2"/>
      <c r="E8" s="52"/>
      <c r="F8" s="52"/>
      <c r="G8" s="52"/>
      <c r="H8" s="2"/>
      <c r="I8" s="2"/>
      <c r="J8" s="2"/>
      <c r="K8" s="2"/>
      <c r="L8" s="6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</row>
    <row r="9" spans="1:48" ht="15.75" customHeight="1" x14ac:dyDescent="0.25">
      <c r="A9" s="2"/>
      <c r="B9" s="2"/>
      <c r="C9" s="3"/>
      <c r="D9" s="2"/>
      <c r="E9" s="52"/>
      <c r="F9" s="52"/>
      <c r="G9" s="52"/>
      <c r="H9" s="2"/>
      <c r="I9" s="2"/>
      <c r="J9" s="2"/>
      <c r="K9" s="2"/>
      <c r="L9" s="6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</row>
    <row r="10" spans="1:48" ht="15.75" customHeight="1" x14ac:dyDescent="0.25">
      <c r="A10" s="2"/>
      <c r="B10" s="24" t="s">
        <v>20</v>
      </c>
      <c r="C10" s="25">
        <f>SORTEMP!B2</f>
        <v>0</v>
      </c>
      <c r="D10" s="2"/>
      <c r="E10" s="52"/>
      <c r="F10" s="52"/>
      <c r="G10" s="52"/>
      <c r="H10" s="2"/>
      <c r="I10" s="2"/>
      <c r="J10" s="2"/>
      <c r="K10" s="2"/>
      <c r="L10" s="6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</row>
    <row r="11" spans="1:48" ht="15.75" customHeight="1" x14ac:dyDescent="0.25">
      <c r="A11" s="8"/>
      <c r="B11" s="8"/>
      <c r="C11" s="23"/>
      <c r="D11" s="8"/>
      <c r="E11" s="58"/>
      <c r="F11" s="58"/>
      <c r="G11" s="58"/>
      <c r="H11" s="8"/>
      <c r="I11" s="8"/>
      <c r="J11" s="8"/>
      <c r="K11" s="8"/>
      <c r="L11" s="8" t="str">
        <f t="shared" ref="L11:AJ11" si="5">L12&amp;"-"&amp;L14&amp;"-"&amp;L15</f>
        <v>CONVENCIONAL-PP-CONVENCIONAL-PERFIL 1-PP</v>
      </c>
      <c r="M11" s="8" t="str">
        <f t="shared" si="5"/>
        <v>CONVENCIONAL-P-CONVENCIONAL-PERFIL 1-P</v>
      </c>
      <c r="N11" s="8" t="str">
        <f t="shared" si="5"/>
        <v>CONVENCIONAL-M-CONVENCIONAL-PERFIL 1-M</v>
      </c>
      <c r="O11" s="8" t="str">
        <f t="shared" si="5"/>
        <v>CONVENCIONAL-G-CONVENCIONAL-PERFIL 1-G</v>
      </c>
      <c r="P11" s="8" t="str">
        <f t="shared" si="5"/>
        <v>CONVENCIONAL-GG-CONVENCIONAL-PERFIL 1-GG</v>
      </c>
      <c r="Q11" s="8" t="str">
        <f t="shared" si="5"/>
        <v>CONVENCIONAL-PP-CONVENCIONAL-PERFIL 2-PP</v>
      </c>
      <c r="R11" s="8" t="str">
        <f t="shared" si="5"/>
        <v>CONVENCIONAL-P-CONVENCIONAL-PERFIL 2-P</v>
      </c>
      <c r="S11" s="8" t="str">
        <f t="shared" si="5"/>
        <v>CONVENCIONAL-M-CONVENCIONAL-PERFIL 2-M</v>
      </c>
      <c r="T11" s="8" t="str">
        <f t="shared" si="5"/>
        <v>CONVENCIONAL-G-CONVENCIONAL-PERFIL 2-G</v>
      </c>
      <c r="U11" s="8" t="str">
        <f t="shared" si="5"/>
        <v>CONVENCIONAL-GG-CONVENCIONAL-PERFIL 2-GG</v>
      </c>
      <c r="V11" s="8" t="str">
        <f t="shared" si="5"/>
        <v>CONVENCIONAL-PP-CONVENCIONAL-PERFIL 3-PP</v>
      </c>
      <c r="W11" s="8" t="str">
        <f t="shared" si="5"/>
        <v>CONVENCIONAL-P-CONVENCIONAL-PERFIL 3-P</v>
      </c>
      <c r="X11" s="8" t="str">
        <f t="shared" si="5"/>
        <v>CONVENCIONAL-M-CONVENCIONAL-PERFIL 3-M</v>
      </c>
      <c r="Y11" s="8" t="str">
        <f t="shared" si="5"/>
        <v>CONVENCIONAL-G-CONVENCIONAL-PERFIL 3-G</v>
      </c>
      <c r="Z11" s="8" t="str">
        <f t="shared" si="5"/>
        <v>CONVENCIONAL-GG-CONVENCIONAL-PERFIL 3-GG</v>
      </c>
      <c r="AA11" s="8" t="str">
        <f t="shared" si="5"/>
        <v>CONVENCIONAL-PP-CONVENCIONAL-PERFIL 4-PP</v>
      </c>
      <c r="AB11" s="8" t="str">
        <f t="shared" si="5"/>
        <v>CONVENCIONAL-P-CONVENCIONAL-PERFIL 4-P</v>
      </c>
      <c r="AC11" s="8" t="str">
        <f t="shared" si="5"/>
        <v>CONVENCIONAL-M-CONVENCIONAL-PERFIL 4-M</v>
      </c>
      <c r="AD11" s="8" t="str">
        <f t="shared" si="5"/>
        <v>CONVENCIONAL-G-CONVENCIONAL-PERFIL 4-G</v>
      </c>
      <c r="AE11" s="8" t="str">
        <f t="shared" si="5"/>
        <v>CONVENCIONAL-GG-CONVENCIONAL-PERFIL 4-GG</v>
      </c>
      <c r="AF11" s="8" t="str">
        <f t="shared" si="5"/>
        <v>CONVENCIONAL-PP-CONVENCIONAL-PERFIL 5-PP</v>
      </c>
      <c r="AG11" s="8" t="str">
        <f t="shared" si="5"/>
        <v>CONVENCIONAL-P-CONVENCIONAL-PERFIL 5-P</v>
      </c>
      <c r="AH11" s="8" t="str">
        <f t="shared" si="5"/>
        <v>CONVENCIONAL-M-CONVENCIONAL-PERFIL 5-M</v>
      </c>
      <c r="AI11" s="8" t="str">
        <f t="shared" si="5"/>
        <v>CONVENCIONAL-G-CONVENCIONAL-PERFIL 5-G</v>
      </c>
      <c r="AJ11" s="8" t="str">
        <f t="shared" si="5"/>
        <v>CONVENCIONAL-GG-CONVENCIONAL-PERFIL 5-GG</v>
      </c>
      <c r="AK11" s="8"/>
      <c r="AL11" s="8" t="str">
        <f>AL12&amp;"-"&amp;AL14&amp;"-"&amp;AL15</f>
        <v>COMPACTA-PP-COMPACTA-PERFIL 4-PP</v>
      </c>
      <c r="AM11" s="8"/>
      <c r="AN11" s="8"/>
      <c r="AO11" s="8"/>
      <c r="AP11" s="8"/>
      <c r="AQ11" s="8"/>
      <c r="AR11" s="8"/>
      <c r="AS11" s="8"/>
      <c r="AT11" s="8" t="str">
        <f>AT12&amp;"-"&amp;AT14&amp;"-"&amp;AT15</f>
        <v>QUIOSQUE-P-QUIOSQUE-PERFIL 3-P</v>
      </c>
      <c r="AU11" s="8"/>
      <c r="AV11" s="8"/>
    </row>
    <row r="12" spans="1:48" ht="21" customHeight="1" x14ac:dyDescent="0.25">
      <c r="A12" s="2"/>
      <c r="B12" s="2"/>
      <c r="C12" s="2"/>
      <c r="D12" s="2"/>
      <c r="E12" s="52"/>
      <c r="F12" s="53"/>
      <c r="G12" s="53"/>
      <c r="H12" s="6"/>
      <c r="I12" s="6"/>
      <c r="J12" s="6"/>
      <c r="K12" s="6"/>
      <c r="L12" s="59" t="s">
        <v>0</v>
      </c>
      <c r="M12" s="59" t="s">
        <v>0</v>
      </c>
      <c r="N12" s="59" t="s">
        <v>0</v>
      </c>
      <c r="O12" s="59" t="s">
        <v>0</v>
      </c>
      <c r="P12" s="59" t="s">
        <v>0</v>
      </c>
      <c r="Q12" s="59" t="s">
        <v>0</v>
      </c>
      <c r="R12" s="59" t="s">
        <v>0</v>
      </c>
      <c r="S12" s="59" t="s">
        <v>0</v>
      </c>
      <c r="T12" s="59" t="s">
        <v>0</v>
      </c>
      <c r="U12" s="59" t="s">
        <v>0</v>
      </c>
      <c r="V12" s="59" t="s">
        <v>0</v>
      </c>
      <c r="W12" s="59" t="s">
        <v>0</v>
      </c>
      <c r="X12" s="59" t="s">
        <v>0</v>
      </c>
      <c r="Y12" s="59" t="s">
        <v>0</v>
      </c>
      <c r="Z12" s="59" t="s">
        <v>0</v>
      </c>
      <c r="AA12" s="59" t="s">
        <v>0</v>
      </c>
      <c r="AB12" s="59" t="s">
        <v>0</v>
      </c>
      <c r="AC12" s="59" t="s">
        <v>0</v>
      </c>
      <c r="AD12" s="59" t="s">
        <v>0</v>
      </c>
      <c r="AE12" s="59" t="s">
        <v>0</v>
      </c>
      <c r="AF12" s="59" t="s">
        <v>0</v>
      </c>
      <c r="AG12" s="59" t="s">
        <v>0</v>
      </c>
      <c r="AH12" s="59" t="s">
        <v>0</v>
      </c>
      <c r="AI12" s="59" t="s">
        <v>0</v>
      </c>
      <c r="AJ12" s="59" t="s">
        <v>0</v>
      </c>
      <c r="AK12" s="59" t="s">
        <v>0</v>
      </c>
      <c r="AL12" s="60" t="s">
        <v>1</v>
      </c>
      <c r="AM12" s="60" t="s">
        <v>1</v>
      </c>
      <c r="AN12" s="60" t="s">
        <v>1</v>
      </c>
      <c r="AO12" s="60" t="s">
        <v>1</v>
      </c>
      <c r="AP12" s="60" t="s">
        <v>1</v>
      </c>
      <c r="AQ12" s="5" t="s">
        <v>2</v>
      </c>
      <c r="AR12" s="7" t="s">
        <v>3</v>
      </c>
      <c r="AS12" s="7" t="s">
        <v>3</v>
      </c>
      <c r="AT12" s="7" t="s">
        <v>3</v>
      </c>
      <c r="AU12" s="2"/>
      <c r="AV12" s="2"/>
    </row>
    <row r="13" spans="1:48" ht="21" customHeight="1" x14ac:dyDescent="0.25">
      <c r="A13" s="2"/>
      <c r="B13" s="2"/>
      <c r="C13" s="26"/>
      <c r="D13" s="2"/>
      <c r="E13" s="52"/>
      <c r="F13" s="53"/>
      <c r="G13" s="53"/>
      <c r="H13" s="6"/>
      <c r="I13" s="6"/>
      <c r="J13" s="6"/>
      <c r="K13" s="6"/>
      <c r="L13" s="59" t="s">
        <v>4</v>
      </c>
      <c r="M13" s="59" t="s">
        <v>4</v>
      </c>
      <c r="N13" s="59" t="s">
        <v>4</v>
      </c>
      <c r="O13" s="59" t="s">
        <v>4</v>
      </c>
      <c r="P13" s="59" t="s">
        <v>4</v>
      </c>
      <c r="Q13" s="59" t="s">
        <v>5</v>
      </c>
      <c r="R13" s="61" t="s">
        <v>5</v>
      </c>
      <c r="S13" s="61" t="s">
        <v>5</v>
      </c>
      <c r="T13" s="61" t="s">
        <v>5</v>
      </c>
      <c r="U13" s="61" t="s">
        <v>5</v>
      </c>
      <c r="V13" s="59" t="s">
        <v>6</v>
      </c>
      <c r="W13" s="61" t="s">
        <v>6</v>
      </c>
      <c r="X13" s="61" t="s">
        <v>6</v>
      </c>
      <c r="Y13" s="61" t="s">
        <v>6</v>
      </c>
      <c r="Z13" s="61" t="s">
        <v>6</v>
      </c>
      <c r="AA13" s="59" t="s">
        <v>7</v>
      </c>
      <c r="AB13" s="61" t="s">
        <v>7</v>
      </c>
      <c r="AC13" s="61" t="s">
        <v>7</v>
      </c>
      <c r="AD13" s="61" t="s">
        <v>7</v>
      </c>
      <c r="AE13" s="61" t="s">
        <v>7</v>
      </c>
      <c r="AF13" s="59" t="s">
        <v>8</v>
      </c>
      <c r="AG13" s="61" t="s">
        <v>8</v>
      </c>
      <c r="AH13" s="61" t="s">
        <v>8</v>
      </c>
      <c r="AI13" s="61" t="s">
        <v>8</v>
      </c>
      <c r="AJ13" s="61" t="s">
        <v>8</v>
      </c>
      <c r="AK13" s="4" t="s">
        <v>8</v>
      </c>
      <c r="AL13" s="62" t="s">
        <v>7</v>
      </c>
      <c r="AM13" s="62" t="s">
        <v>7</v>
      </c>
      <c r="AN13" s="62" t="s">
        <v>7</v>
      </c>
      <c r="AO13" s="62" t="s">
        <v>7</v>
      </c>
      <c r="AP13" s="62" t="s">
        <v>7</v>
      </c>
      <c r="AQ13" s="5" t="s">
        <v>4</v>
      </c>
      <c r="AR13" s="7" t="s">
        <v>4</v>
      </c>
      <c r="AS13" s="7" t="s">
        <v>5</v>
      </c>
      <c r="AT13" s="7" t="s">
        <v>6</v>
      </c>
      <c r="AU13" s="2"/>
      <c r="AV13" s="2"/>
    </row>
    <row r="14" spans="1:48" ht="15.75" customHeight="1" x14ac:dyDescent="0.25">
      <c r="A14" s="2"/>
      <c r="B14" s="2"/>
      <c r="C14" s="26"/>
      <c r="D14" s="2"/>
      <c r="E14" s="52"/>
      <c r="F14" s="53"/>
      <c r="G14" s="53"/>
      <c r="H14" s="6"/>
      <c r="I14" s="30"/>
      <c r="J14" s="30"/>
      <c r="K14" s="30"/>
      <c r="L14" s="31" t="s">
        <v>10</v>
      </c>
      <c r="M14" s="31" t="s">
        <v>11</v>
      </c>
      <c r="N14" s="31" t="s">
        <v>12</v>
      </c>
      <c r="O14" s="31" t="s">
        <v>13</v>
      </c>
      <c r="P14" s="31" t="s">
        <v>14</v>
      </c>
      <c r="Q14" s="31" t="s">
        <v>10</v>
      </c>
      <c r="R14" s="31" t="s">
        <v>11</v>
      </c>
      <c r="S14" s="31" t="s">
        <v>12</v>
      </c>
      <c r="T14" s="31" t="s">
        <v>13</v>
      </c>
      <c r="U14" s="31" t="s">
        <v>14</v>
      </c>
      <c r="V14" s="31" t="s">
        <v>10</v>
      </c>
      <c r="W14" s="31" t="s">
        <v>11</v>
      </c>
      <c r="X14" s="31" t="s">
        <v>12</v>
      </c>
      <c r="Y14" s="31" t="s">
        <v>13</v>
      </c>
      <c r="Z14" s="31" t="s">
        <v>14</v>
      </c>
      <c r="AA14" s="31" t="s">
        <v>10</v>
      </c>
      <c r="AB14" s="31" t="s">
        <v>11</v>
      </c>
      <c r="AC14" s="31" t="s">
        <v>12</v>
      </c>
      <c r="AD14" s="31" t="s">
        <v>13</v>
      </c>
      <c r="AE14" s="31" t="s">
        <v>14</v>
      </c>
      <c r="AF14" s="31" t="s">
        <v>10</v>
      </c>
      <c r="AG14" s="31" t="s">
        <v>11</v>
      </c>
      <c r="AH14" s="31" t="s">
        <v>12</v>
      </c>
      <c r="AI14" s="31" t="s">
        <v>13</v>
      </c>
      <c r="AJ14" s="31" t="s">
        <v>14</v>
      </c>
      <c r="AK14" s="31" t="s">
        <v>15</v>
      </c>
      <c r="AL14" s="11" t="s">
        <v>10</v>
      </c>
      <c r="AM14" s="11" t="s">
        <v>11</v>
      </c>
      <c r="AN14" s="11" t="s">
        <v>12</v>
      </c>
      <c r="AO14" s="11" t="s">
        <v>13</v>
      </c>
      <c r="AP14" s="11" t="s">
        <v>14</v>
      </c>
      <c r="AQ14" s="12" t="s">
        <v>11</v>
      </c>
      <c r="AR14" s="13" t="s">
        <v>11</v>
      </c>
      <c r="AS14" s="13" t="s">
        <v>11</v>
      </c>
      <c r="AT14" s="13" t="s">
        <v>11</v>
      </c>
      <c r="AU14" s="27"/>
      <c r="AV14" s="27"/>
    </row>
    <row r="15" spans="1:48" ht="24.75" customHeight="1" x14ac:dyDescent="0.25">
      <c r="A15" s="37"/>
      <c r="B15" s="63">
        <f>SUBTOTAL(3,B17:B1493)</f>
        <v>0</v>
      </c>
      <c r="C15" s="39"/>
      <c r="D15" s="37"/>
      <c r="E15" s="64"/>
      <c r="F15" s="65"/>
      <c r="G15" s="65"/>
      <c r="H15" s="41"/>
      <c r="I15" s="41"/>
      <c r="J15" s="41"/>
      <c r="K15" s="41"/>
      <c r="L15" s="41" t="s">
        <v>35</v>
      </c>
      <c r="M15" s="41" t="s">
        <v>36</v>
      </c>
      <c r="N15" s="41" t="s">
        <v>37</v>
      </c>
      <c r="O15" s="41" t="s">
        <v>38</v>
      </c>
      <c r="P15" s="41" t="s">
        <v>39</v>
      </c>
      <c r="Q15" s="41" t="s">
        <v>40</v>
      </c>
      <c r="R15" s="41" t="s">
        <v>41</v>
      </c>
      <c r="S15" s="41" t="s">
        <v>42</v>
      </c>
      <c r="T15" s="41" t="s">
        <v>43</v>
      </c>
      <c r="U15" s="41" t="s">
        <v>44</v>
      </c>
      <c r="V15" s="41" t="s">
        <v>45</v>
      </c>
      <c r="W15" s="41" t="s">
        <v>46</v>
      </c>
      <c r="X15" s="41" t="s">
        <v>47</v>
      </c>
      <c r="Y15" s="41" t="s">
        <v>48</v>
      </c>
      <c r="Z15" s="41" t="s">
        <v>49</v>
      </c>
      <c r="AA15" s="41" t="s">
        <v>50</v>
      </c>
      <c r="AB15" s="41" t="s">
        <v>51</v>
      </c>
      <c r="AC15" s="41" t="s">
        <v>52</v>
      </c>
      <c r="AD15" s="41" t="s">
        <v>53</v>
      </c>
      <c r="AE15" s="41" t="s">
        <v>54</v>
      </c>
      <c r="AF15" s="41" t="s">
        <v>55</v>
      </c>
      <c r="AG15" s="41" t="s">
        <v>56</v>
      </c>
      <c r="AH15" s="41" t="s">
        <v>57</v>
      </c>
      <c r="AI15" s="41" t="s">
        <v>58</v>
      </c>
      <c r="AJ15" s="41" t="s">
        <v>59</v>
      </c>
      <c r="AK15" s="41" t="s">
        <v>60</v>
      </c>
      <c r="AL15" s="41" t="s">
        <v>61</v>
      </c>
      <c r="AM15" s="41" t="s">
        <v>62</v>
      </c>
      <c r="AN15" s="41" t="s">
        <v>63</v>
      </c>
      <c r="AO15" s="41" t="s">
        <v>64</v>
      </c>
      <c r="AP15" s="41" t="s">
        <v>65</v>
      </c>
      <c r="AQ15" s="41" t="s">
        <v>66</v>
      </c>
      <c r="AR15" s="41" t="s">
        <v>67</v>
      </c>
      <c r="AS15" s="41" t="s">
        <v>68</v>
      </c>
      <c r="AT15" s="41" t="s">
        <v>69</v>
      </c>
      <c r="AU15" s="37"/>
      <c r="AV15" s="37"/>
    </row>
    <row r="16" spans="1:48" ht="20.25" customHeight="1" x14ac:dyDescent="0.25">
      <c r="A16" s="24" t="s">
        <v>23</v>
      </c>
      <c r="B16" s="24" t="s">
        <v>24</v>
      </c>
      <c r="C16" s="24" t="s">
        <v>25</v>
      </c>
      <c r="D16" s="24" t="s">
        <v>26</v>
      </c>
      <c r="E16" s="66" t="s">
        <v>27</v>
      </c>
      <c r="F16" s="66" t="s">
        <v>28</v>
      </c>
      <c r="G16" s="66" t="s">
        <v>29</v>
      </c>
      <c r="H16" s="24" t="s">
        <v>70</v>
      </c>
      <c r="I16" s="24" t="s">
        <v>31</v>
      </c>
      <c r="J16" s="24" t="s">
        <v>32</v>
      </c>
      <c r="K16" s="24" t="s">
        <v>18</v>
      </c>
      <c r="L16" s="19">
        <f>IFERROR(HLOOKUP(L15,'DIN SORTIM'!$4:$5,2,0),0)</f>
        <v>0</v>
      </c>
      <c r="M16" s="19">
        <f>IFERROR(HLOOKUP(M15,'DIN SORTIM'!$4:$5,2,0),0)</f>
        <v>0</v>
      </c>
      <c r="N16" s="19">
        <f>IFERROR(HLOOKUP(N15,'DIN SORTIM'!$4:$5,2,0),0)</f>
        <v>0</v>
      </c>
      <c r="O16" s="19">
        <f>IFERROR(HLOOKUP(O15,'DIN SORTIM'!$4:$5,2,0),0)</f>
        <v>0</v>
      </c>
      <c r="P16" s="19">
        <f>IFERROR(HLOOKUP(P15,'DIN SORTIM'!$4:$5,2,0),0)</f>
        <v>0</v>
      </c>
      <c r="Q16" s="19">
        <f>IFERROR(HLOOKUP(Q15,'DIN SORTIM'!$4:$5,2,0),0)</f>
        <v>0</v>
      </c>
      <c r="R16" s="19">
        <f>IFERROR(HLOOKUP(R15,'DIN SORTIM'!$4:$5,2,0),0)</f>
        <v>0</v>
      </c>
      <c r="S16" s="19">
        <f>IFERROR(HLOOKUP(S15,'DIN SORTIM'!$4:$5,2,0),0)</f>
        <v>0</v>
      </c>
      <c r="T16" s="19">
        <f>IFERROR(HLOOKUP(T15,'DIN SORTIM'!$4:$5,2,0),0)</f>
        <v>0</v>
      </c>
      <c r="U16" s="19">
        <f>IFERROR(HLOOKUP(U15,'DIN SORTIM'!$4:$5,2,0),0)</f>
        <v>0</v>
      </c>
      <c r="V16" s="19">
        <f>IFERROR(HLOOKUP(V15,'DIN SORTIM'!$4:$5,2,0),0)</f>
        <v>0</v>
      </c>
      <c r="W16" s="19">
        <f>IFERROR(HLOOKUP(W15,'DIN SORTIM'!$4:$5,2,0),0)</f>
        <v>0</v>
      </c>
      <c r="X16" s="19">
        <f>IFERROR(HLOOKUP(X15,'DIN SORTIM'!$4:$5,2,0),0)</f>
        <v>0</v>
      </c>
      <c r="Y16" s="19">
        <f>IFERROR(HLOOKUP(Y15,'DIN SORTIM'!$4:$5,2,0),0)</f>
        <v>0</v>
      </c>
      <c r="Z16" s="19">
        <f>IFERROR(HLOOKUP(Z15,'DIN SORTIM'!$4:$5,2,0),0)</f>
        <v>0</v>
      </c>
      <c r="AA16" s="19">
        <f>IFERROR(HLOOKUP(AA15,'DIN SORTIM'!$4:$5,2,0),0)</f>
        <v>0</v>
      </c>
      <c r="AB16" s="19">
        <f>IFERROR(HLOOKUP(AB15,'DIN SORTIM'!$4:$5,2,0),0)</f>
        <v>0</v>
      </c>
      <c r="AC16" s="19">
        <f>IFERROR(HLOOKUP(AC15,'DIN SORTIM'!$4:$5,2,0),0)</f>
        <v>0</v>
      </c>
      <c r="AD16" s="19">
        <f>IFERROR(HLOOKUP(AD15,'DIN SORTIM'!$4:$5,2,0),0)</f>
        <v>0</v>
      </c>
      <c r="AE16" s="19">
        <f>IFERROR(HLOOKUP(AE15,'DIN SORTIM'!$4:$5,2,0),0)</f>
        <v>0</v>
      </c>
      <c r="AF16" s="19">
        <f>IFERROR(HLOOKUP(AF15,'DIN SORTIM'!$4:$5,2,0),0)</f>
        <v>0</v>
      </c>
      <c r="AG16" s="19">
        <f>IFERROR(HLOOKUP(AG15,'DIN SORTIM'!$4:$5,2,0),0)</f>
        <v>0</v>
      </c>
      <c r="AH16" s="19">
        <f>IFERROR(HLOOKUP(AH15,'DIN SORTIM'!$4:$5,2,0),0)</f>
        <v>0</v>
      </c>
      <c r="AI16" s="19">
        <f>IFERROR(HLOOKUP(AI15,'DIN SORTIM'!$4:$5,2,0),0)</f>
        <v>0</v>
      </c>
      <c r="AJ16" s="19">
        <f>IFERROR(HLOOKUP(AJ15,'DIN SORTIM'!$4:$5,2,0),0)</f>
        <v>0</v>
      </c>
      <c r="AK16" s="19">
        <f>IFERROR(HLOOKUP(AK15,'DIN SORTIM'!$4:$5,2,0),0)</f>
        <v>0</v>
      </c>
      <c r="AL16" s="19">
        <f>IFERROR(HLOOKUP(AL15,'DIN SORTIM'!$4:$5,2,0),0)</f>
        <v>0</v>
      </c>
      <c r="AM16" s="19">
        <f>IFERROR(HLOOKUP(AM15,'DIN SORTIM'!$4:$5,2,0),0)</f>
        <v>0</v>
      </c>
      <c r="AN16" s="19">
        <f>IFERROR(HLOOKUP(AN15,'DIN SORTIM'!$4:$5,2,0),0)</f>
        <v>0</v>
      </c>
      <c r="AO16" s="19">
        <f>IFERROR(HLOOKUP(AO15,'DIN SORTIM'!$4:$5,2,0),0)</f>
        <v>0</v>
      </c>
      <c r="AP16" s="19">
        <f>IFERROR(HLOOKUP(AP15,'DIN SORTIM'!$4:$5,2,0),0)</f>
        <v>0</v>
      </c>
      <c r="AQ16" s="19">
        <f>IFERROR(HLOOKUP(AQ15,'DIN SORTIM'!$4:$5,2,0),0)</f>
        <v>0</v>
      </c>
      <c r="AR16" s="19">
        <f>IFERROR(HLOOKUP(AR15,'DIN SORTIM'!$4:$5,2,0),0)</f>
        <v>0</v>
      </c>
      <c r="AS16" s="19">
        <f>IFERROR(HLOOKUP(AS15,'DIN SORTIM'!$4:$5,2,0),0)</f>
        <v>0</v>
      </c>
      <c r="AT16" s="19">
        <f>IFERROR(HLOOKUP(AT15,'DIN SORTIM'!$4:$5,2,0),0)</f>
        <v>0</v>
      </c>
      <c r="AU16" s="2"/>
      <c r="AV16" s="2"/>
    </row>
    <row r="17" spans="1:48" ht="20.25" customHeight="1" x14ac:dyDescent="0.25">
      <c r="A17" s="43"/>
      <c r="B17" s="43"/>
      <c r="C17" s="44"/>
      <c r="D17" s="43"/>
      <c r="E17" s="43"/>
      <c r="F17" s="43"/>
      <c r="G17" s="44"/>
      <c r="H17" s="23"/>
      <c r="I17" s="43"/>
      <c r="J17" s="43"/>
      <c r="K17" s="45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6"/>
      <c r="AM17" s="46"/>
      <c r="AN17" s="46"/>
      <c r="AO17" s="46"/>
      <c r="AP17" s="46"/>
      <c r="AQ17" s="46"/>
      <c r="AR17" s="46"/>
      <c r="AS17" s="46"/>
      <c r="AT17" s="46"/>
      <c r="AU17" s="1"/>
      <c r="AV17" s="2"/>
    </row>
    <row r="18" spans="1:48" ht="20.25" customHeight="1" x14ac:dyDescent="0.25">
      <c r="A18" s="43"/>
      <c r="B18" s="43"/>
      <c r="C18" s="44"/>
      <c r="D18" s="43"/>
      <c r="E18" s="43"/>
      <c r="F18" s="43"/>
      <c r="G18" s="44"/>
      <c r="H18" s="23"/>
      <c r="I18" s="43"/>
      <c r="J18" s="43"/>
      <c r="K18" s="45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6"/>
      <c r="AM18" s="46"/>
      <c r="AN18" s="46"/>
      <c r="AO18" s="46"/>
      <c r="AP18" s="46"/>
      <c r="AQ18" s="46"/>
      <c r="AR18" s="46"/>
      <c r="AS18" s="46"/>
      <c r="AT18" s="46"/>
      <c r="AU18" s="1"/>
      <c r="AV18" s="2"/>
    </row>
    <row r="19" spans="1:48" ht="20.25" customHeight="1" x14ac:dyDescent="0.25">
      <c r="A19" s="43"/>
      <c r="B19" s="43"/>
      <c r="C19" s="44"/>
      <c r="D19" s="43"/>
      <c r="E19" s="43"/>
      <c r="F19" s="43"/>
      <c r="G19" s="44"/>
      <c r="H19" s="23"/>
      <c r="I19" s="43"/>
      <c r="J19" s="43"/>
      <c r="K19" s="45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6"/>
      <c r="AM19" s="46"/>
      <c r="AN19" s="46"/>
      <c r="AO19" s="46"/>
      <c r="AP19" s="46"/>
      <c r="AQ19" s="46"/>
      <c r="AR19" s="46"/>
      <c r="AS19" s="46"/>
      <c r="AT19" s="46"/>
      <c r="AU19" s="1"/>
      <c r="AV19" s="2"/>
    </row>
    <row r="20" spans="1:48" ht="20.25" customHeight="1" x14ac:dyDescent="0.25">
      <c r="A20" s="43"/>
      <c r="B20" s="43"/>
      <c r="C20" s="44"/>
      <c r="D20" s="43"/>
      <c r="E20" s="43"/>
      <c r="F20" s="43"/>
      <c r="G20" s="44"/>
      <c r="H20" s="23"/>
      <c r="I20" s="43"/>
      <c r="J20" s="43"/>
      <c r="K20" s="45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6"/>
      <c r="AM20" s="46"/>
      <c r="AN20" s="46"/>
      <c r="AO20" s="46"/>
      <c r="AP20" s="46"/>
      <c r="AQ20" s="46"/>
      <c r="AR20" s="46"/>
      <c r="AS20" s="46"/>
      <c r="AT20" s="46"/>
      <c r="AU20" s="1"/>
      <c r="AV20" s="2"/>
    </row>
    <row r="21" spans="1:48" ht="20.25" customHeight="1" x14ac:dyDescent="0.25">
      <c r="A21" s="43"/>
      <c r="B21" s="43"/>
      <c r="C21" s="44"/>
      <c r="D21" s="43"/>
      <c r="E21" s="43"/>
      <c r="F21" s="43"/>
      <c r="G21" s="44"/>
      <c r="H21" s="23"/>
      <c r="I21" s="43"/>
      <c r="J21" s="43"/>
      <c r="K21" s="45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B21" s="46"/>
      <c r="AC21" s="46"/>
      <c r="AD21" s="46"/>
      <c r="AE21" s="46"/>
      <c r="AF21" s="46"/>
      <c r="AG21" s="46"/>
      <c r="AH21" s="46"/>
      <c r="AI21" s="46"/>
      <c r="AJ21" s="46"/>
      <c r="AK21" s="46"/>
      <c r="AL21" s="46"/>
      <c r="AM21" s="46"/>
      <c r="AN21" s="46"/>
      <c r="AO21" s="46"/>
      <c r="AP21" s="46"/>
      <c r="AQ21" s="46"/>
      <c r="AR21" s="46"/>
      <c r="AS21" s="46"/>
      <c r="AT21" s="46"/>
      <c r="AU21" s="1"/>
      <c r="AV21" s="2"/>
    </row>
    <row r="22" spans="1:48" ht="20.25" customHeight="1" x14ac:dyDescent="0.25">
      <c r="A22" s="43"/>
      <c r="B22" s="43"/>
      <c r="C22" s="44"/>
      <c r="D22" s="43"/>
      <c r="E22" s="43"/>
      <c r="F22" s="43"/>
      <c r="G22" s="44"/>
      <c r="H22" s="23"/>
      <c r="I22" s="43"/>
      <c r="J22" s="43"/>
      <c r="K22" s="45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  <c r="AO22" s="46"/>
      <c r="AP22" s="46"/>
      <c r="AQ22" s="46"/>
      <c r="AR22" s="46"/>
      <c r="AS22" s="46"/>
      <c r="AT22" s="46"/>
      <c r="AU22" s="1"/>
      <c r="AV22" s="2"/>
    </row>
    <row r="23" spans="1:48" ht="20.25" customHeight="1" x14ac:dyDescent="0.25">
      <c r="A23" s="43"/>
      <c r="B23" s="43"/>
      <c r="C23" s="44"/>
      <c r="D23" s="43"/>
      <c r="E23" s="43"/>
      <c r="F23" s="43"/>
      <c r="G23" s="44"/>
      <c r="H23" s="23"/>
      <c r="I23" s="43"/>
      <c r="J23" s="43"/>
      <c r="K23" s="45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6"/>
      <c r="AM23" s="46"/>
      <c r="AN23" s="46"/>
      <c r="AO23" s="46"/>
      <c r="AP23" s="46"/>
      <c r="AQ23" s="46"/>
      <c r="AR23" s="46"/>
      <c r="AS23" s="46"/>
      <c r="AT23" s="46"/>
      <c r="AU23" s="1"/>
      <c r="AV23" s="2"/>
    </row>
    <row r="24" spans="1:48" ht="20.25" customHeight="1" x14ac:dyDescent="0.25">
      <c r="A24" s="43"/>
      <c r="B24" s="43"/>
      <c r="C24" s="44"/>
      <c r="D24" s="43"/>
      <c r="E24" s="43"/>
      <c r="F24" s="43"/>
      <c r="G24" s="44"/>
      <c r="H24" s="23"/>
      <c r="I24" s="43"/>
      <c r="J24" s="43"/>
      <c r="K24" s="45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6"/>
      <c r="AM24" s="46"/>
      <c r="AN24" s="46"/>
      <c r="AO24" s="46"/>
      <c r="AP24" s="46"/>
      <c r="AQ24" s="46"/>
      <c r="AR24" s="46"/>
      <c r="AS24" s="46"/>
      <c r="AT24" s="46"/>
      <c r="AU24" s="1"/>
      <c r="AV24" s="2"/>
    </row>
    <row r="25" spans="1:48" ht="20.25" customHeight="1" x14ac:dyDescent="0.25">
      <c r="A25" s="43"/>
      <c r="B25" s="43"/>
      <c r="C25" s="44"/>
      <c r="D25" s="43"/>
      <c r="E25" s="43"/>
      <c r="F25" s="43"/>
      <c r="G25" s="44"/>
      <c r="H25" s="23"/>
      <c r="I25" s="43"/>
      <c r="J25" s="43"/>
      <c r="K25" s="45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  <c r="AD25" s="46"/>
      <c r="AE25" s="46"/>
      <c r="AF25" s="46"/>
      <c r="AG25" s="46"/>
      <c r="AH25" s="46"/>
      <c r="AI25" s="46"/>
      <c r="AJ25" s="46"/>
      <c r="AK25" s="46"/>
      <c r="AL25" s="46"/>
      <c r="AM25" s="46"/>
      <c r="AN25" s="46"/>
      <c r="AO25" s="46"/>
      <c r="AP25" s="46"/>
      <c r="AQ25" s="46"/>
      <c r="AR25" s="46"/>
      <c r="AS25" s="46"/>
      <c r="AT25" s="46"/>
      <c r="AU25" s="1"/>
      <c r="AV25" s="2"/>
    </row>
    <row r="26" spans="1:48" ht="20.25" customHeight="1" x14ac:dyDescent="0.25">
      <c r="A26" s="43"/>
      <c r="B26" s="43"/>
      <c r="C26" s="44"/>
      <c r="D26" s="43"/>
      <c r="E26" s="43"/>
      <c r="F26" s="43"/>
      <c r="G26" s="44"/>
      <c r="H26" s="23"/>
      <c r="I26" s="43"/>
      <c r="J26" s="43"/>
      <c r="K26" s="45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  <c r="AD26" s="46"/>
      <c r="AE26" s="46"/>
      <c r="AF26" s="46"/>
      <c r="AG26" s="46"/>
      <c r="AH26" s="46"/>
      <c r="AI26" s="46"/>
      <c r="AJ26" s="46"/>
      <c r="AK26" s="46"/>
      <c r="AL26" s="46"/>
      <c r="AM26" s="46"/>
      <c r="AN26" s="46"/>
      <c r="AO26" s="46"/>
      <c r="AP26" s="46"/>
      <c r="AQ26" s="46"/>
      <c r="AR26" s="46"/>
      <c r="AS26" s="46"/>
      <c r="AT26" s="46"/>
      <c r="AU26" s="1"/>
      <c r="AV26" s="2"/>
    </row>
    <row r="27" spans="1:48" ht="20.25" customHeight="1" x14ac:dyDescent="0.25">
      <c r="A27" s="43"/>
      <c r="B27" s="43"/>
      <c r="C27" s="44"/>
      <c r="D27" s="43"/>
      <c r="E27" s="43"/>
      <c r="F27" s="43"/>
      <c r="G27" s="44"/>
      <c r="H27" s="23"/>
      <c r="I27" s="43"/>
      <c r="J27" s="43"/>
      <c r="K27" s="45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46"/>
      <c r="AD27" s="46"/>
      <c r="AE27" s="46"/>
      <c r="AF27" s="46"/>
      <c r="AG27" s="46"/>
      <c r="AH27" s="46"/>
      <c r="AI27" s="46"/>
      <c r="AJ27" s="46"/>
      <c r="AK27" s="46"/>
      <c r="AL27" s="46"/>
      <c r="AM27" s="46"/>
      <c r="AN27" s="46"/>
      <c r="AO27" s="46"/>
      <c r="AP27" s="46"/>
      <c r="AQ27" s="46"/>
      <c r="AR27" s="46"/>
      <c r="AS27" s="46"/>
      <c r="AT27" s="46"/>
      <c r="AU27" s="1"/>
      <c r="AV27" s="2"/>
    </row>
    <row r="28" spans="1:48" ht="20.25" customHeight="1" x14ac:dyDescent="0.25">
      <c r="A28" s="43"/>
      <c r="B28" s="43"/>
      <c r="C28" s="44"/>
      <c r="D28" s="43"/>
      <c r="E28" s="43"/>
      <c r="F28" s="43"/>
      <c r="G28" s="44"/>
      <c r="H28" s="23"/>
      <c r="I28" s="43"/>
      <c r="J28" s="43"/>
      <c r="K28" s="45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46"/>
      <c r="AC28" s="46"/>
      <c r="AD28" s="46"/>
      <c r="AE28" s="46"/>
      <c r="AF28" s="46"/>
      <c r="AG28" s="46"/>
      <c r="AH28" s="46"/>
      <c r="AI28" s="46"/>
      <c r="AJ28" s="46"/>
      <c r="AK28" s="46"/>
      <c r="AL28" s="46"/>
      <c r="AM28" s="46"/>
      <c r="AN28" s="46"/>
      <c r="AO28" s="46"/>
      <c r="AP28" s="46"/>
      <c r="AQ28" s="46"/>
      <c r="AR28" s="46"/>
      <c r="AS28" s="46"/>
      <c r="AT28" s="46"/>
      <c r="AU28" s="1"/>
      <c r="AV28" s="2"/>
    </row>
    <row r="29" spans="1:48" ht="20.25" customHeight="1" x14ac:dyDescent="0.25">
      <c r="A29" s="43"/>
      <c r="B29" s="43"/>
      <c r="C29" s="44"/>
      <c r="D29" s="43"/>
      <c r="E29" s="43"/>
      <c r="F29" s="43"/>
      <c r="G29" s="44"/>
      <c r="H29" s="23"/>
      <c r="I29" s="43"/>
      <c r="J29" s="43"/>
      <c r="K29" s="45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46"/>
      <c r="AC29" s="46"/>
      <c r="AD29" s="46"/>
      <c r="AE29" s="46"/>
      <c r="AF29" s="46"/>
      <c r="AG29" s="46"/>
      <c r="AH29" s="46"/>
      <c r="AI29" s="46"/>
      <c r="AJ29" s="46"/>
      <c r="AK29" s="46"/>
      <c r="AL29" s="46"/>
      <c r="AM29" s="46"/>
      <c r="AN29" s="46"/>
      <c r="AO29" s="46"/>
      <c r="AP29" s="46"/>
      <c r="AQ29" s="46"/>
      <c r="AR29" s="46"/>
      <c r="AS29" s="46"/>
      <c r="AT29" s="46"/>
      <c r="AU29" s="1"/>
      <c r="AV29" s="2"/>
    </row>
    <row r="30" spans="1:48" ht="20.25" customHeight="1" x14ac:dyDescent="0.25">
      <c r="A30" s="43"/>
      <c r="B30" s="43"/>
      <c r="C30" s="44"/>
      <c r="D30" s="43"/>
      <c r="E30" s="43"/>
      <c r="F30" s="43"/>
      <c r="G30" s="44"/>
      <c r="H30" s="23"/>
      <c r="I30" s="43"/>
      <c r="J30" s="43"/>
      <c r="K30" s="45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  <c r="AG30" s="46"/>
      <c r="AH30" s="46"/>
      <c r="AI30" s="46"/>
      <c r="AJ30" s="46"/>
      <c r="AK30" s="46"/>
      <c r="AL30" s="46"/>
      <c r="AM30" s="46"/>
      <c r="AN30" s="46"/>
      <c r="AO30" s="46"/>
      <c r="AP30" s="46"/>
      <c r="AQ30" s="46"/>
      <c r="AR30" s="46"/>
      <c r="AS30" s="46"/>
      <c r="AT30" s="46"/>
      <c r="AU30" s="1"/>
      <c r="AV30" s="2"/>
    </row>
    <row r="31" spans="1:48" ht="20.25" customHeight="1" x14ac:dyDescent="0.25">
      <c r="A31" s="43"/>
      <c r="B31" s="43"/>
      <c r="C31" s="44"/>
      <c r="D31" s="43"/>
      <c r="E31" s="43"/>
      <c r="F31" s="43"/>
      <c r="G31" s="44"/>
      <c r="H31" s="23"/>
      <c r="I31" s="43"/>
      <c r="J31" s="43"/>
      <c r="K31" s="45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  <c r="AG31" s="46"/>
      <c r="AH31" s="46"/>
      <c r="AI31" s="46"/>
      <c r="AJ31" s="46"/>
      <c r="AK31" s="46"/>
      <c r="AL31" s="46"/>
      <c r="AM31" s="46"/>
      <c r="AN31" s="46"/>
      <c r="AO31" s="46"/>
      <c r="AP31" s="46"/>
      <c r="AQ31" s="46"/>
      <c r="AR31" s="46"/>
      <c r="AS31" s="46"/>
      <c r="AT31" s="46"/>
      <c r="AU31" s="1"/>
      <c r="AV31" s="2"/>
    </row>
    <row r="32" spans="1:48" ht="20.25" customHeight="1" x14ac:dyDescent="0.25">
      <c r="A32" s="43"/>
      <c r="B32" s="43"/>
      <c r="C32" s="44"/>
      <c r="D32" s="43"/>
      <c r="E32" s="43"/>
      <c r="F32" s="43"/>
      <c r="G32" s="44"/>
      <c r="H32" s="23"/>
      <c r="I32" s="43"/>
      <c r="J32" s="43"/>
      <c r="K32" s="45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  <c r="AG32" s="46"/>
      <c r="AH32" s="46"/>
      <c r="AI32" s="46"/>
      <c r="AJ32" s="46"/>
      <c r="AK32" s="46"/>
      <c r="AL32" s="46"/>
      <c r="AM32" s="46"/>
      <c r="AN32" s="46"/>
      <c r="AO32" s="46"/>
      <c r="AP32" s="46"/>
      <c r="AQ32" s="46"/>
      <c r="AR32" s="46"/>
      <c r="AS32" s="46"/>
      <c r="AT32" s="46"/>
      <c r="AU32" s="1"/>
      <c r="AV32" s="2"/>
    </row>
    <row r="33" spans="1:48" ht="20.25" customHeight="1" x14ac:dyDescent="0.25">
      <c r="A33" s="43"/>
      <c r="B33" s="43"/>
      <c r="C33" s="44"/>
      <c r="D33" s="43"/>
      <c r="E33" s="43"/>
      <c r="F33" s="43"/>
      <c r="G33" s="44"/>
      <c r="H33" s="23"/>
      <c r="I33" s="43"/>
      <c r="J33" s="43"/>
      <c r="K33" s="45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  <c r="AG33" s="46"/>
      <c r="AH33" s="46"/>
      <c r="AI33" s="46"/>
      <c r="AJ33" s="46"/>
      <c r="AK33" s="46"/>
      <c r="AL33" s="46"/>
      <c r="AM33" s="46"/>
      <c r="AN33" s="46"/>
      <c r="AO33" s="46"/>
      <c r="AP33" s="46"/>
      <c r="AQ33" s="46"/>
      <c r="AR33" s="46"/>
      <c r="AS33" s="46"/>
      <c r="AT33" s="46"/>
      <c r="AU33" s="1"/>
      <c r="AV33" s="2"/>
    </row>
    <row r="34" spans="1:48" ht="20.25" customHeight="1" x14ac:dyDescent="0.25">
      <c r="A34" s="43"/>
      <c r="B34" s="43"/>
      <c r="C34" s="44"/>
      <c r="D34" s="43"/>
      <c r="E34" s="43"/>
      <c r="F34" s="43"/>
      <c r="G34" s="44"/>
      <c r="H34" s="23"/>
      <c r="I34" s="43"/>
      <c r="J34" s="43"/>
      <c r="K34" s="45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  <c r="AG34" s="46"/>
      <c r="AH34" s="46"/>
      <c r="AI34" s="46"/>
      <c r="AJ34" s="46"/>
      <c r="AK34" s="46"/>
      <c r="AL34" s="46"/>
      <c r="AM34" s="46"/>
      <c r="AN34" s="46"/>
      <c r="AO34" s="46"/>
      <c r="AP34" s="46"/>
      <c r="AQ34" s="46"/>
      <c r="AR34" s="46"/>
      <c r="AS34" s="46"/>
      <c r="AT34" s="46"/>
      <c r="AU34" s="1"/>
      <c r="AV34" s="2"/>
    </row>
    <row r="35" spans="1:48" ht="20.25" customHeight="1" x14ac:dyDescent="0.25">
      <c r="A35" s="43"/>
      <c r="B35" s="43"/>
      <c r="C35" s="44"/>
      <c r="D35" s="43"/>
      <c r="E35" s="43"/>
      <c r="F35" s="43"/>
      <c r="G35" s="44"/>
      <c r="H35" s="23"/>
      <c r="I35" s="43"/>
      <c r="J35" s="43"/>
      <c r="K35" s="45"/>
      <c r="L35" s="46"/>
      <c r="M35" s="46"/>
      <c r="N35" s="46"/>
      <c r="O35" s="46"/>
      <c r="P35" s="46"/>
      <c r="Q35" s="46"/>
      <c r="R35" s="46"/>
      <c r="S35" s="46"/>
      <c r="T35" s="46"/>
      <c r="U35" s="46"/>
      <c r="V35" s="46"/>
      <c r="W35" s="46"/>
      <c r="X35" s="46"/>
      <c r="Y35" s="46"/>
      <c r="Z35" s="46"/>
      <c r="AA35" s="46"/>
      <c r="AB35" s="46"/>
      <c r="AC35" s="46"/>
      <c r="AD35" s="46"/>
      <c r="AE35" s="46"/>
      <c r="AF35" s="46"/>
      <c r="AG35" s="46"/>
      <c r="AH35" s="46"/>
      <c r="AI35" s="46"/>
      <c r="AJ35" s="46"/>
      <c r="AK35" s="46"/>
      <c r="AL35" s="46"/>
      <c r="AM35" s="46"/>
      <c r="AN35" s="46"/>
      <c r="AO35" s="46"/>
      <c r="AP35" s="46"/>
      <c r="AQ35" s="46"/>
      <c r="AR35" s="46"/>
      <c r="AS35" s="46"/>
      <c r="AT35" s="46"/>
      <c r="AU35" s="1"/>
      <c r="AV35" s="2"/>
    </row>
    <row r="36" spans="1:48" ht="20.25" customHeight="1" x14ac:dyDescent="0.25">
      <c r="A36" s="43"/>
      <c r="B36" s="43"/>
      <c r="C36" s="44"/>
      <c r="D36" s="43"/>
      <c r="E36" s="43"/>
      <c r="F36" s="43"/>
      <c r="G36" s="44"/>
      <c r="H36" s="23"/>
      <c r="I36" s="43"/>
      <c r="J36" s="43"/>
      <c r="K36" s="45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  <c r="AA36" s="46"/>
      <c r="AB36" s="46"/>
      <c r="AC36" s="46"/>
      <c r="AD36" s="46"/>
      <c r="AE36" s="46"/>
      <c r="AF36" s="46"/>
      <c r="AG36" s="46"/>
      <c r="AH36" s="46"/>
      <c r="AI36" s="46"/>
      <c r="AJ36" s="46"/>
      <c r="AK36" s="46"/>
      <c r="AL36" s="46"/>
      <c r="AM36" s="46"/>
      <c r="AN36" s="46"/>
      <c r="AO36" s="46"/>
      <c r="AP36" s="46"/>
      <c r="AQ36" s="46"/>
      <c r="AR36" s="46"/>
      <c r="AS36" s="46"/>
      <c r="AT36" s="46"/>
      <c r="AU36" s="1"/>
      <c r="AV36" s="2"/>
    </row>
    <row r="37" spans="1:48" ht="20.25" customHeight="1" x14ac:dyDescent="0.25">
      <c r="A37" s="43"/>
      <c r="B37" s="43"/>
      <c r="C37" s="44"/>
      <c r="D37" s="43"/>
      <c r="E37" s="43"/>
      <c r="F37" s="43"/>
      <c r="G37" s="44"/>
      <c r="H37" s="23"/>
      <c r="I37" s="43"/>
      <c r="J37" s="43"/>
      <c r="K37" s="45"/>
      <c r="L37" s="46"/>
      <c r="M37" s="46"/>
      <c r="N37" s="46"/>
      <c r="O37" s="46"/>
      <c r="P37" s="46"/>
      <c r="Q37" s="46"/>
      <c r="R37" s="46"/>
      <c r="S37" s="46"/>
      <c r="T37" s="46"/>
      <c r="U37" s="46"/>
      <c r="V37" s="46"/>
      <c r="W37" s="46"/>
      <c r="X37" s="46"/>
      <c r="Y37" s="46"/>
      <c r="Z37" s="46"/>
      <c r="AA37" s="46"/>
      <c r="AB37" s="46"/>
      <c r="AC37" s="46"/>
      <c r="AD37" s="46"/>
      <c r="AE37" s="46"/>
      <c r="AF37" s="46"/>
      <c r="AG37" s="46"/>
      <c r="AH37" s="46"/>
      <c r="AI37" s="46"/>
      <c r="AJ37" s="46"/>
      <c r="AK37" s="46"/>
      <c r="AL37" s="46"/>
      <c r="AM37" s="46"/>
      <c r="AN37" s="46"/>
      <c r="AO37" s="46"/>
      <c r="AP37" s="46"/>
      <c r="AQ37" s="46"/>
      <c r="AR37" s="46"/>
      <c r="AS37" s="46"/>
      <c r="AT37" s="46"/>
      <c r="AU37" s="1"/>
      <c r="AV37" s="2"/>
    </row>
    <row r="38" spans="1:48" ht="20.25" customHeight="1" x14ac:dyDescent="0.25">
      <c r="A38" s="43"/>
      <c r="B38" s="43"/>
      <c r="C38" s="44"/>
      <c r="D38" s="43"/>
      <c r="E38" s="43"/>
      <c r="F38" s="43"/>
      <c r="G38" s="44"/>
      <c r="H38" s="23"/>
      <c r="I38" s="43"/>
      <c r="J38" s="43"/>
      <c r="K38" s="45"/>
      <c r="L38" s="46"/>
      <c r="M38" s="46"/>
      <c r="N38" s="46"/>
      <c r="O38" s="46"/>
      <c r="P38" s="46"/>
      <c r="Q38" s="46"/>
      <c r="R38" s="46"/>
      <c r="S38" s="46"/>
      <c r="T38" s="46"/>
      <c r="U38" s="46"/>
      <c r="V38" s="46"/>
      <c r="W38" s="46"/>
      <c r="X38" s="46"/>
      <c r="Y38" s="46"/>
      <c r="Z38" s="46"/>
      <c r="AA38" s="46"/>
      <c r="AB38" s="46"/>
      <c r="AC38" s="46"/>
      <c r="AD38" s="46"/>
      <c r="AE38" s="46"/>
      <c r="AF38" s="46"/>
      <c r="AG38" s="46"/>
      <c r="AH38" s="46"/>
      <c r="AI38" s="46"/>
      <c r="AJ38" s="46"/>
      <c r="AK38" s="46"/>
      <c r="AL38" s="46"/>
      <c r="AM38" s="46"/>
      <c r="AN38" s="46"/>
      <c r="AO38" s="46"/>
      <c r="AP38" s="46"/>
      <c r="AQ38" s="46"/>
      <c r="AR38" s="46"/>
      <c r="AS38" s="46"/>
      <c r="AT38" s="46"/>
      <c r="AU38" s="1"/>
      <c r="AV38" s="2"/>
    </row>
    <row r="39" spans="1:48" ht="20.25" customHeight="1" x14ac:dyDescent="0.25">
      <c r="A39" s="43"/>
      <c r="B39" s="43"/>
      <c r="C39" s="44"/>
      <c r="D39" s="43"/>
      <c r="E39" s="43"/>
      <c r="F39" s="43"/>
      <c r="G39" s="44"/>
      <c r="H39" s="23"/>
      <c r="I39" s="43"/>
      <c r="J39" s="43"/>
      <c r="K39" s="45"/>
      <c r="L39" s="46"/>
      <c r="M39" s="46"/>
      <c r="N39" s="46"/>
      <c r="O39" s="46"/>
      <c r="P39" s="46"/>
      <c r="Q39" s="46"/>
      <c r="R39" s="46"/>
      <c r="S39" s="46"/>
      <c r="T39" s="46"/>
      <c r="U39" s="46"/>
      <c r="V39" s="46"/>
      <c r="W39" s="46"/>
      <c r="X39" s="46"/>
      <c r="Y39" s="46"/>
      <c r="Z39" s="46"/>
      <c r="AA39" s="46"/>
      <c r="AB39" s="46"/>
      <c r="AC39" s="46"/>
      <c r="AD39" s="46"/>
      <c r="AE39" s="46"/>
      <c r="AF39" s="46"/>
      <c r="AG39" s="46"/>
      <c r="AH39" s="46"/>
      <c r="AI39" s="46"/>
      <c r="AJ39" s="46"/>
      <c r="AK39" s="46"/>
      <c r="AL39" s="46"/>
      <c r="AM39" s="46"/>
      <c r="AN39" s="46"/>
      <c r="AO39" s="46"/>
      <c r="AP39" s="46"/>
      <c r="AQ39" s="46"/>
      <c r="AR39" s="46"/>
      <c r="AS39" s="46"/>
      <c r="AT39" s="46"/>
      <c r="AU39" s="1"/>
      <c r="AV39" s="2"/>
    </row>
    <row r="40" spans="1:48" ht="20.25" customHeight="1" x14ac:dyDescent="0.25">
      <c r="A40" s="43"/>
      <c r="B40" s="43"/>
      <c r="C40" s="44"/>
      <c r="D40" s="43"/>
      <c r="E40" s="43"/>
      <c r="F40" s="43"/>
      <c r="G40" s="44"/>
      <c r="H40" s="23"/>
      <c r="I40" s="43"/>
      <c r="J40" s="43"/>
      <c r="K40" s="45"/>
      <c r="L40" s="46"/>
      <c r="M40" s="46"/>
      <c r="N40" s="46"/>
      <c r="O40" s="46"/>
      <c r="P40" s="46"/>
      <c r="Q40" s="46"/>
      <c r="R40" s="46"/>
      <c r="S40" s="46"/>
      <c r="T40" s="46"/>
      <c r="U40" s="46"/>
      <c r="V40" s="46"/>
      <c r="W40" s="46"/>
      <c r="X40" s="46"/>
      <c r="Y40" s="46"/>
      <c r="Z40" s="46"/>
      <c r="AA40" s="46"/>
      <c r="AB40" s="46"/>
      <c r="AC40" s="46"/>
      <c r="AD40" s="46"/>
      <c r="AE40" s="46"/>
      <c r="AF40" s="46"/>
      <c r="AG40" s="46"/>
      <c r="AH40" s="46"/>
      <c r="AI40" s="46"/>
      <c r="AJ40" s="46"/>
      <c r="AK40" s="46"/>
      <c r="AL40" s="46"/>
      <c r="AM40" s="46"/>
      <c r="AN40" s="46"/>
      <c r="AO40" s="46"/>
      <c r="AP40" s="46"/>
      <c r="AQ40" s="46"/>
      <c r="AR40" s="46"/>
      <c r="AS40" s="46"/>
      <c r="AT40" s="46"/>
      <c r="AU40" s="1"/>
      <c r="AV40" s="2"/>
    </row>
    <row r="41" spans="1:48" ht="20.25" customHeight="1" x14ac:dyDescent="0.25">
      <c r="A41" s="43"/>
      <c r="B41" s="43"/>
      <c r="C41" s="44"/>
      <c r="D41" s="43"/>
      <c r="E41" s="43"/>
      <c r="F41" s="43"/>
      <c r="G41" s="44"/>
      <c r="H41" s="23"/>
      <c r="I41" s="43"/>
      <c r="J41" s="43"/>
      <c r="K41" s="45"/>
      <c r="L41" s="46"/>
      <c r="M41" s="46"/>
      <c r="N41" s="46"/>
      <c r="O41" s="46"/>
      <c r="P41" s="46"/>
      <c r="Q41" s="46"/>
      <c r="R41" s="46"/>
      <c r="S41" s="46"/>
      <c r="T41" s="46"/>
      <c r="U41" s="46"/>
      <c r="V41" s="46"/>
      <c r="W41" s="46"/>
      <c r="X41" s="46"/>
      <c r="Y41" s="46"/>
      <c r="Z41" s="46"/>
      <c r="AA41" s="46"/>
      <c r="AB41" s="46"/>
      <c r="AC41" s="46"/>
      <c r="AD41" s="46"/>
      <c r="AE41" s="46"/>
      <c r="AF41" s="46"/>
      <c r="AG41" s="46"/>
      <c r="AH41" s="46"/>
      <c r="AI41" s="46"/>
      <c r="AJ41" s="46"/>
      <c r="AK41" s="46"/>
      <c r="AL41" s="46"/>
      <c r="AM41" s="46"/>
      <c r="AN41" s="46"/>
      <c r="AO41" s="46"/>
      <c r="AP41" s="46"/>
      <c r="AQ41" s="46"/>
      <c r="AR41" s="46"/>
      <c r="AS41" s="46"/>
      <c r="AT41" s="46"/>
      <c r="AU41" s="1"/>
      <c r="AV41" s="2"/>
    </row>
    <row r="42" spans="1:48" ht="20.25" customHeight="1" x14ac:dyDescent="0.25">
      <c r="A42" s="43"/>
      <c r="B42" s="43"/>
      <c r="C42" s="44"/>
      <c r="D42" s="43"/>
      <c r="E42" s="43"/>
      <c r="F42" s="43"/>
      <c r="G42" s="44"/>
      <c r="H42" s="23"/>
      <c r="I42" s="43"/>
      <c r="J42" s="43"/>
      <c r="K42" s="45"/>
      <c r="L42" s="46"/>
      <c r="M42" s="46"/>
      <c r="N42" s="46"/>
      <c r="O42" s="46"/>
      <c r="P42" s="46"/>
      <c r="Q42" s="46"/>
      <c r="R42" s="46"/>
      <c r="S42" s="46"/>
      <c r="T42" s="46"/>
      <c r="U42" s="46"/>
      <c r="V42" s="46"/>
      <c r="W42" s="46"/>
      <c r="X42" s="46"/>
      <c r="Y42" s="46"/>
      <c r="Z42" s="46"/>
      <c r="AA42" s="46"/>
      <c r="AB42" s="46"/>
      <c r="AC42" s="46"/>
      <c r="AD42" s="46"/>
      <c r="AE42" s="46"/>
      <c r="AF42" s="46"/>
      <c r="AG42" s="46"/>
      <c r="AH42" s="46"/>
      <c r="AI42" s="46"/>
      <c r="AJ42" s="46"/>
      <c r="AK42" s="46"/>
      <c r="AL42" s="46"/>
      <c r="AM42" s="46"/>
      <c r="AN42" s="46"/>
      <c r="AO42" s="46"/>
      <c r="AP42" s="46"/>
      <c r="AQ42" s="46"/>
      <c r="AR42" s="46"/>
      <c r="AS42" s="46"/>
      <c r="AT42" s="46"/>
      <c r="AU42" s="1"/>
      <c r="AV42" s="2"/>
    </row>
    <row r="43" spans="1:48" ht="20.25" customHeight="1" x14ac:dyDescent="0.25">
      <c r="A43" s="43"/>
      <c r="B43" s="43"/>
      <c r="C43" s="44"/>
      <c r="D43" s="43"/>
      <c r="E43" s="43"/>
      <c r="F43" s="43"/>
      <c r="G43" s="44"/>
      <c r="H43" s="23"/>
      <c r="I43" s="43"/>
      <c r="J43" s="43"/>
      <c r="K43" s="45"/>
      <c r="L43" s="46"/>
      <c r="M43" s="46"/>
      <c r="N43" s="46"/>
      <c r="O43" s="46"/>
      <c r="P43" s="46"/>
      <c r="Q43" s="46"/>
      <c r="R43" s="46"/>
      <c r="S43" s="46"/>
      <c r="T43" s="46"/>
      <c r="U43" s="46"/>
      <c r="V43" s="46"/>
      <c r="W43" s="46"/>
      <c r="X43" s="46"/>
      <c r="Y43" s="46"/>
      <c r="Z43" s="46"/>
      <c r="AA43" s="46"/>
      <c r="AB43" s="46"/>
      <c r="AC43" s="46"/>
      <c r="AD43" s="46"/>
      <c r="AE43" s="46"/>
      <c r="AF43" s="46"/>
      <c r="AG43" s="46"/>
      <c r="AH43" s="46"/>
      <c r="AI43" s="46"/>
      <c r="AJ43" s="46"/>
      <c r="AK43" s="46"/>
      <c r="AL43" s="46"/>
      <c r="AM43" s="46"/>
      <c r="AN43" s="46"/>
      <c r="AO43" s="46"/>
      <c r="AP43" s="46"/>
      <c r="AQ43" s="46"/>
      <c r="AR43" s="46"/>
      <c r="AS43" s="46"/>
      <c r="AT43" s="46"/>
      <c r="AU43" s="1"/>
      <c r="AV43" s="2"/>
    </row>
    <row r="44" spans="1:48" ht="20.25" customHeight="1" x14ac:dyDescent="0.25">
      <c r="A44" s="43"/>
      <c r="B44" s="43"/>
      <c r="C44" s="44"/>
      <c r="D44" s="43"/>
      <c r="E44" s="43"/>
      <c r="F44" s="43"/>
      <c r="G44" s="44"/>
      <c r="H44" s="23"/>
      <c r="I44" s="43"/>
      <c r="J44" s="43"/>
      <c r="K44" s="45"/>
      <c r="L44" s="46"/>
      <c r="M44" s="46"/>
      <c r="N44" s="46"/>
      <c r="O44" s="46"/>
      <c r="P44" s="46"/>
      <c r="Q44" s="46"/>
      <c r="R44" s="46"/>
      <c r="S44" s="46"/>
      <c r="T44" s="46"/>
      <c r="U44" s="46"/>
      <c r="V44" s="46"/>
      <c r="W44" s="46"/>
      <c r="X44" s="46"/>
      <c r="Y44" s="46"/>
      <c r="Z44" s="46"/>
      <c r="AA44" s="46"/>
      <c r="AB44" s="46"/>
      <c r="AC44" s="46"/>
      <c r="AD44" s="46"/>
      <c r="AE44" s="46"/>
      <c r="AF44" s="46"/>
      <c r="AG44" s="46"/>
      <c r="AH44" s="46"/>
      <c r="AI44" s="46"/>
      <c r="AJ44" s="46"/>
      <c r="AK44" s="46"/>
      <c r="AL44" s="46"/>
      <c r="AM44" s="46"/>
      <c r="AN44" s="46"/>
      <c r="AO44" s="46"/>
      <c r="AP44" s="46"/>
      <c r="AQ44" s="46"/>
      <c r="AR44" s="46"/>
      <c r="AS44" s="46"/>
      <c r="AT44" s="46"/>
      <c r="AU44" s="1"/>
      <c r="AV44" s="2"/>
    </row>
    <row r="45" spans="1:48" ht="20.25" customHeight="1" x14ac:dyDescent="0.25">
      <c r="A45" s="43"/>
      <c r="B45" s="43"/>
      <c r="C45" s="44"/>
      <c r="D45" s="43"/>
      <c r="E45" s="43"/>
      <c r="F45" s="43"/>
      <c r="G45" s="44"/>
      <c r="H45" s="23"/>
      <c r="I45" s="43"/>
      <c r="J45" s="43"/>
      <c r="K45" s="45"/>
      <c r="L45" s="46"/>
      <c r="M45" s="46"/>
      <c r="N45" s="46"/>
      <c r="O45" s="46"/>
      <c r="P45" s="46"/>
      <c r="Q45" s="46"/>
      <c r="R45" s="46"/>
      <c r="S45" s="46"/>
      <c r="T45" s="46"/>
      <c r="U45" s="46"/>
      <c r="V45" s="46"/>
      <c r="W45" s="46"/>
      <c r="X45" s="46"/>
      <c r="Y45" s="46"/>
      <c r="Z45" s="46"/>
      <c r="AA45" s="46"/>
      <c r="AB45" s="46"/>
      <c r="AC45" s="46"/>
      <c r="AD45" s="46"/>
      <c r="AE45" s="46"/>
      <c r="AF45" s="46"/>
      <c r="AG45" s="46"/>
      <c r="AH45" s="46"/>
      <c r="AI45" s="46"/>
      <c r="AJ45" s="46"/>
      <c r="AK45" s="46"/>
      <c r="AL45" s="46"/>
      <c r="AM45" s="46"/>
      <c r="AN45" s="46"/>
      <c r="AO45" s="46"/>
      <c r="AP45" s="46"/>
      <c r="AQ45" s="46"/>
      <c r="AR45" s="46"/>
      <c r="AS45" s="46"/>
      <c r="AT45" s="46"/>
      <c r="AU45" s="1"/>
      <c r="AV45" s="2"/>
    </row>
    <row r="46" spans="1:48" ht="20.25" customHeight="1" x14ac:dyDescent="0.25">
      <c r="A46" s="43"/>
      <c r="B46" s="43"/>
      <c r="C46" s="44"/>
      <c r="D46" s="43"/>
      <c r="E46" s="43"/>
      <c r="F46" s="43"/>
      <c r="G46" s="44"/>
      <c r="H46" s="23"/>
      <c r="I46" s="43"/>
      <c r="J46" s="43"/>
      <c r="K46" s="45"/>
      <c r="L46" s="46"/>
      <c r="M46" s="46"/>
      <c r="N46" s="46"/>
      <c r="O46" s="46"/>
      <c r="P46" s="46"/>
      <c r="Q46" s="46"/>
      <c r="R46" s="46"/>
      <c r="S46" s="46"/>
      <c r="T46" s="46"/>
      <c r="U46" s="46"/>
      <c r="V46" s="46"/>
      <c r="W46" s="46"/>
      <c r="X46" s="46"/>
      <c r="Y46" s="46"/>
      <c r="Z46" s="46"/>
      <c r="AA46" s="46"/>
      <c r="AB46" s="46"/>
      <c r="AC46" s="46"/>
      <c r="AD46" s="46"/>
      <c r="AE46" s="46"/>
      <c r="AF46" s="46"/>
      <c r="AG46" s="46"/>
      <c r="AH46" s="46"/>
      <c r="AI46" s="46"/>
      <c r="AJ46" s="46"/>
      <c r="AK46" s="46"/>
      <c r="AL46" s="46"/>
      <c r="AM46" s="46"/>
      <c r="AN46" s="46"/>
      <c r="AO46" s="46"/>
      <c r="AP46" s="46"/>
      <c r="AQ46" s="46"/>
      <c r="AR46" s="46"/>
      <c r="AS46" s="46"/>
      <c r="AT46" s="46"/>
      <c r="AU46" s="1"/>
      <c r="AV46" s="2"/>
    </row>
    <row r="47" spans="1:48" ht="20.25" customHeight="1" x14ac:dyDescent="0.25">
      <c r="A47" s="43"/>
      <c r="B47" s="43"/>
      <c r="C47" s="44"/>
      <c r="D47" s="43"/>
      <c r="E47" s="43"/>
      <c r="F47" s="43"/>
      <c r="G47" s="44"/>
      <c r="H47" s="23"/>
      <c r="I47" s="43"/>
      <c r="J47" s="43"/>
      <c r="K47" s="45"/>
      <c r="L47" s="46"/>
      <c r="M47" s="46"/>
      <c r="N47" s="46"/>
      <c r="O47" s="46"/>
      <c r="P47" s="46"/>
      <c r="Q47" s="46"/>
      <c r="R47" s="46"/>
      <c r="S47" s="46"/>
      <c r="T47" s="46"/>
      <c r="U47" s="46"/>
      <c r="V47" s="46"/>
      <c r="W47" s="46"/>
      <c r="X47" s="46"/>
      <c r="Y47" s="46"/>
      <c r="Z47" s="46"/>
      <c r="AA47" s="46"/>
      <c r="AB47" s="46"/>
      <c r="AC47" s="46"/>
      <c r="AD47" s="46"/>
      <c r="AE47" s="46"/>
      <c r="AF47" s="46"/>
      <c r="AG47" s="46"/>
      <c r="AH47" s="46"/>
      <c r="AI47" s="46"/>
      <c r="AJ47" s="46"/>
      <c r="AK47" s="46"/>
      <c r="AL47" s="46"/>
      <c r="AM47" s="46"/>
      <c r="AN47" s="46"/>
      <c r="AO47" s="46"/>
      <c r="AP47" s="46"/>
      <c r="AQ47" s="46"/>
      <c r="AR47" s="46"/>
      <c r="AS47" s="46"/>
      <c r="AT47" s="46"/>
      <c r="AU47" s="1"/>
      <c r="AV47" s="2"/>
    </row>
    <row r="48" spans="1:48" ht="20.25" customHeight="1" x14ac:dyDescent="0.25">
      <c r="A48" s="43"/>
      <c r="B48" s="43"/>
      <c r="C48" s="44"/>
      <c r="D48" s="43"/>
      <c r="E48" s="43"/>
      <c r="F48" s="43"/>
      <c r="G48" s="44"/>
      <c r="H48" s="23"/>
      <c r="I48" s="43"/>
      <c r="J48" s="43"/>
      <c r="K48" s="45"/>
      <c r="L48" s="46"/>
      <c r="M48" s="46"/>
      <c r="N48" s="46"/>
      <c r="O48" s="46"/>
      <c r="P48" s="46"/>
      <c r="Q48" s="46"/>
      <c r="R48" s="46"/>
      <c r="S48" s="46"/>
      <c r="T48" s="46"/>
      <c r="U48" s="46"/>
      <c r="V48" s="46"/>
      <c r="W48" s="46"/>
      <c r="X48" s="46"/>
      <c r="Y48" s="46"/>
      <c r="Z48" s="46"/>
      <c r="AA48" s="46"/>
      <c r="AB48" s="46"/>
      <c r="AC48" s="46"/>
      <c r="AD48" s="46"/>
      <c r="AE48" s="46"/>
      <c r="AF48" s="46"/>
      <c r="AG48" s="46"/>
      <c r="AH48" s="46"/>
      <c r="AI48" s="46"/>
      <c r="AJ48" s="46"/>
      <c r="AK48" s="46"/>
      <c r="AL48" s="46"/>
      <c r="AM48" s="46"/>
      <c r="AN48" s="46"/>
      <c r="AO48" s="46"/>
      <c r="AP48" s="46"/>
      <c r="AQ48" s="46"/>
      <c r="AR48" s="46"/>
      <c r="AS48" s="46"/>
      <c r="AT48" s="46"/>
      <c r="AU48" s="1"/>
      <c r="AV48" s="2"/>
    </row>
    <row r="49" spans="1:48" ht="20.25" customHeight="1" x14ac:dyDescent="0.25">
      <c r="A49" s="43"/>
      <c r="B49" s="43"/>
      <c r="C49" s="44"/>
      <c r="D49" s="43"/>
      <c r="E49" s="43"/>
      <c r="F49" s="43"/>
      <c r="G49" s="44"/>
      <c r="H49" s="23"/>
      <c r="I49" s="43"/>
      <c r="J49" s="43"/>
      <c r="K49" s="45"/>
      <c r="L49" s="46"/>
      <c r="M49" s="46"/>
      <c r="N49" s="46"/>
      <c r="O49" s="46"/>
      <c r="P49" s="46"/>
      <c r="Q49" s="46"/>
      <c r="R49" s="46"/>
      <c r="S49" s="46"/>
      <c r="T49" s="46"/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6"/>
      <c r="AF49" s="46"/>
      <c r="AG49" s="46"/>
      <c r="AH49" s="46"/>
      <c r="AI49" s="46"/>
      <c r="AJ49" s="46"/>
      <c r="AK49" s="46"/>
      <c r="AL49" s="46"/>
      <c r="AM49" s="46"/>
      <c r="AN49" s="46"/>
      <c r="AO49" s="46"/>
      <c r="AP49" s="46"/>
      <c r="AQ49" s="46"/>
      <c r="AR49" s="46"/>
      <c r="AS49" s="46"/>
      <c r="AT49" s="46"/>
      <c r="AU49" s="1"/>
      <c r="AV49" s="2"/>
    </row>
    <row r="50" spans="1:48" ht="20.25" customHeight="1" x14ac:dyDescent="0.25">
      <c r="A50" s="43"/>
      <c r="B50" s="43"/>
      <c r="C50" s="44"/>
      <c r="D50" s="43"/>
      <c r="E50" s="43"/>
      <c r="F50" s="43"/>
      <c r="G50" s="44"/>
      <c r="H50" s="23"/>
      <c r="I50" s="43"/>
      <c r="J50" s="43"/>
      <c r="K50" s="45"/>
      <c r="L50" s="46"/>
      <c r="M50" s="46"/>
      <c r="N50" s="46"/>
      <c r="O50" s="46"/>
      <c r="P50" s="46"/>
      <c r="Q50" s="46"/>
      <c r="R50" s="46"/>
      <c r="S50" s="46"/>
      <c r="T50" s="46"/>
      <c r="U50" s="46"/>
      <c r="V50" s="46"/>
      <c r="W50" s="46"/>
      <c r="X50" s="46"/>
      <c r="Y50" s="46"/>
      <c r="Z50" s="46"/>
      <c r="AA50" s="46"/>
      <c r="AB50" s="46"/>
      <c r="AC50" s="46"/>
      <c r="AD50" s="46"/>
      <c r="AE50" s="46"/>
      <c r="AF50" s="46"/>
      <c r="AG50" s="46"/>
      <c r="AH50" s="46"/>
      <c r="AI50" s="46"/>
      <c r="AJ50" s="46"/>
      <c r="AK50" s="46"/>
      <c r="AL50" s="46"/>
      <c r="AM50" s="46"/>
      <c r="AN50" s="46"/>
      <c r="AO50" s="46"/>
      <c r="AP50" s="46"/>
      <c r="AQ50" s="46"/>
      <c r="AR50" s="46"/>
      <c r="AS50" s="46"/>
      <c r="AT50" s="46"/>
      <c r="AU50" s="1"/>
      <c r="AV50" s="2"/>
    </row>
    <row r="51" spans="1:48" ht="20.25" customHeight="1" x14ac:dyDescent="0.25">
      <c r="A51" s="43"/>
      <c r="B51" s="43"/>
      <c r="C51" s="44"/>
      <c r="D51" s="43"/>
      <c r="E51" s="43"/>
      <c r="F51" s="43"/>
      <c r="G51" s="44"/>
      <c r="H51" s="23"/>
      <c r="I51" s="43"/>
      <c r="J51" s="43"/>
      <c r="K51" s="45"/>
      <c r="L51" s="46"/>
      <c r="M51" s="46"/>
      <c r="N51" s="46"/>
      <c r="O51" s="46"/>
      <c r="P51" s="46"/>
      <c r="Q51" s="46"/>
      <c r="R51" s="46"/>
      <c r="S51" s="46"/>
      <c r="T51" s="46"/>
      <c r="U51" s="46"/>
      <c r="V51" s="46"/>
      <c r="W51" s="46"/>
      <c r="X51" s="46"/>
      <c r="Y51" s="46"/>
      <c r="Z51" s="46"/>
      <c r="AA51" s="46"/>
      <c r="AB51" s="46"/>
      <c r="AC51" s="46"/>
      <c r="AD51" s="46"/>
      <c r="AE51" s="46"/>
      <c r="AF51" s="46"/>
      <c r="AG51" s="46"/>
      <c r="AH51" s="46"/>
      <c r="AI51" s="46"/>
      <c r="AJ51" s="46"/>
      <c r="AK51" s="46"/>
      <c r="AL51" s="46"/>
      <c r="AM51" s="46"/>
      <c r="AN51" s="46"/>
      <c r="AO51" s="46"/>
      <c r="AP51" s="46"/>
      <c r="AQ51" s="46"/>
      <c r="AR51" s="46"/>
      <c r="AS51" s="46"/>
      <c r="AT51" s="46"/>
      <c r="AU51" s="1"/>
      <c r="AV51" s="2"/>
    </row>
    <row r="52" spans="1:48" ht="20.25" customHeight="1" x14ac:dyDescent="0.25">
      <c r="A52" s="43"/>
      <c r="B52" s="43"/>
      <c r="C52" s="44"/>
      <c r="D52" s="43"/>
      <c r="E52" s="43"/>
      <c r="F52" s="43"/>
      <c r="G52" s="44"/>
      <c r="H52" s="23"/>
      <c r="I52" s="43"/>
      <c r="J52" s="43"/>
      <c r="K52" s="45"/>
      <c r="L52" s="46"/>
      <c r="M52" s="46"/>
      <c r="N52" s="46"/>
      <c r="O52" s="46"/>
      <c r="P52" s="46"/>
      <c r="Q52" s="46"/>
      <c r="R52" s="46"/>
      <c r="S52" s="46"/>
      <c r="T52" s="46"/>
      <c r="U52" s="46"/>
      <c r="V52" s="46"/>
      <c r="W52" s="46"/>
      <c r="X52" s="46"/>
      <c r="Y52" s="46"/>
      <c r="Z52" s="46"/>
      <c r="AA52" s="46"/>
      <c r="AB52" s="46"/>
      <c r="AC52" s="46"/>
      <c r="AD52" s="46"/>
      <c r="AE52" s="46"/>
      <c r="AF52" s="46"/>
      <c r="AG52" s="46"/>
      <c r="AH52" s="46"/>
      <c r="AI52" s="46"/>
      <c r="AJ52" s="46"/>
      <c r="AK52" s="46"/>
      <c r="AL52" s="46"/>
      <c r="AM52" s="46"/>
      <c r="AN52" s="46"/>
      <c r="AO52" s="46"/>
      <c r="AP52" s="46"/>
      <c r="AQ52" s="46"/>
      <c r="AR52" s="46"/>
      <c r="AS52" s="46"/>
      <c r="AT52" s="46"/>
      <c r="AU52" s="1"/>
      <c r="AV52" s="2"/>
    </row>
    <row r="53" spans="1:48" ht="20.25" customHeight="1" x14ac:dyDescent="0.25">
      <c r="A53" s="43"/>
      <c r="B53" s="43"/>
      <c r="C53" s="44"/>
      <c r="D53" s="43"/>
      <c r="E53" s="43"/>
      <c r="F53" s="43"/>
      <c r="G53" s="44"/>
      <c r="H53" s="23"/>
      <c r="I53" s="43"/>
      <c r="J53" s="43"/>
      <c r="K53" s="45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46"/>
      <c r="AA53" s="46"/>
      <c r="AB53" s="46"/>
      <c r="AC53" s="46"/>
      <c r="AD53" s="46"/>
      <c r="AE53" s="46"/>
      <c r="AF53" s="46"/>
      <c r="AG53" s="46"/>
      <c r="AH53" s="46"/>
      <c r="AI53" s="46"/>
      <c r="AJ53" s="46"/>
      <c r="AK53" s="46"/>
      <c r="AL53" s="46"/>
      <c r="AM53" s="46"/>
      <c r="AN53" s="46"/>
      <c r="AO53" s="46"/>
      <c r="AP53" s="46"/>
      <c r="AQ53" s="46"/>
      <c r="AR53" s="46"/>
      <c r="AS53" s="46"/>
      <c r="AT53" s="46"/>
      <c r="AU53" s="1"/>
      <c r="AV53" s="2"/>
    </row>
    <row r="54" spans="1:48" ht="20.25" customHeight="1" x14ac:dyDescent="0.25">
      <c r="A54" s="43"/>
      <c r="B54" s="43"/>
      <c r="C54" s="44"/>
      <c r="D54" s="43"/>
      <c r="E54" s="43"/>
      <c r="F54" s="43"/>
      <c r="G54" s="44"/>
      <c r="H54" s="23"/>
      <c r="I54" s="43"/>
      <c r="J54" s="43"/>
      <c r="K54" s="45"/>
      <c r="L54" s="46"/>
      <c r="M54" s="46"/>
      <c r="N54" s="46"/>
      <c r="O54" s="46"/>
      <c r="P54" s="46"/>
      <c r="Q54" s="46"/>
      <c r="R54" s="46"/>
      <c r="S54" s="46"/>
      <c r="T54" s="46"/>
      <c r="U54" s="46"/>
      <c r="V54" s="46"/>
      <c r="W54" s="46"/>
      <c r="X54" s="46"/>
      <c r="Y54" s="46"/>
      <c r="Z54" s="46"/>
      <c r="AA54" s="46"/>
      <c r="AB54" s="46"/>
      <c r="AC54" s="46"/>
      <c r="AD54" s="46"/>
      <c r="AE54" s="46"/>
      <c r="AF54" s="46"/>
      <c r="AG54" s="46"/>
      <c r="AH54" s="46"/>
      <c r="AI54" s="46"/>
      <c r="AJ54" s="46"/>
      <c r="AK54" s="46"/>
      <c r="AL54" s="46"/>
      <c r="AM54" s="46"/>
      <c r="AN54" s="46"/>
      <c r="AO54" s="46"/>
      <c r="AP54" s="46"/>
      <c r="AQ54" s="46"/>
      <c r="AR54" s="46"/>
      <c r="AS54" s="46"/>
      <c r="AT54" s="46"/>
      <c r="AU54" s="1"/>
      <c r="AV54" s="2"/>
    </row>
    <row r="55" spans="1:48" ht="20.25" customHeight="1" x14ac:dyDescent="0.25">
      <c r="A55" s="43"/>
      <c r="B55" s="43"/>
      <c r="C55" s="44"/>
      <c r="D55" s="43"/>
      <c r="E55" s="43"/>
      <c r="F55" s="43"/>
      <c r="G55" s="44"/>
      <c r="H55" s="23"/>
      <c r="I55" s="43"/>
      <c r="J55" s="43"/>
      <c r="K55" s="45"/>
      <c r="L55" s="46"/>
      <c r="M55" s="46"/>
      <c r="N55" s="46"/>
      <c r="O55" s="46"/>
      <c r="P55" s="46"/>
      <c r="Q55" s="46"/>
      <c r="R55" s="46"/>
      <c r="S55" s="46"/>
      <c r="T55" s="46"/>
      <c r="U55" s="46"/>
      <c r="V55" s="46"/>
      <c r="W55" s="46"/>
      <c r="X55" s="46"/>
      <c r="Y55" s="46"/>
      <c r="Z55" s="46"/>
      <c r="AA55" s="46"/>
      <c r="AB55" s="46"/>
      <c r="AC55" s="46"/>
      <c r="AD55" s="46"/>
      <c r="AE55" s="46"/>
      <c r="AF55" s="46"/>
      <c r="AG55" s="46"/>
      <c r="AH55" s="46"/>
      <c r="AI55" s="46"/>
      <c r="AJ55" s="46"/>
      <c r="AK55" s="46"/>
      <c r="AL55" s="46"/>
      <c r="AM55" s="46"/>
      <c r="AN55" s="46"/>
      <c r="AO55" s="46"/>
      <c r="AP55" s="46"/>
      <c r="AQ55" s="46"/>
      <c r="AR55" s="46"/>
      <c r="AS55" s="46"/>
      <c r="AT55" s="46"/>
      <c r="AU55" s="1"/>
      <c r="AV55" s="2"/>
    </row>
    <row r="56" spans="1:48" ht="20.25" customHeight="1" x14ac:dyDescent="0.25">
      <c r="A56" s="43"/>
      <c r="B56" s="43"/>
      <c r="C56" s="44"/>
      <c r="D56" s="43"/>
      <c r="E56" s="43"/>
      <c r="F56" s="43"/>
      <c r="G56" s="44"/>
      <c r="H56" s="23"/>
      <c r="I56" s="43"/>
      <c r="J56" s="43"/>
      <c r="K56" s="45"/>
      <c r="L56" s="46"/>
      <c r="M56" s="46"/>
      <c r="N56" s="46"/>
      <c r="O56" s="46"/>
      <c r="P56" s="46"/>
      <c r="Q56" s="46"/>
      <c r="R56" s="46"/>
      <c r="S56" s="46"/>
      <c r="T56" s="46"/>
      <c r="U56" s="46"/>
      <c r="V56" s="46"/>
      <c r="W56" s="46"/>
      <c r="X56" s="46"/>
      <c r="Y56" s="46"/>
      <c r="Z56" s="46"/>
      <c r="AA56" s="46"/>
      <c r="AB56" s="46"/>
      <c r="AC56" s="46"/>
      <c r="AD56" s="46"/>
      <c r="AE56" s="46"/>
      <c r="AF56" s="46"/>
      <c r="AG56" s="46"/>
      <c r="AH56" s="46"/>
      <c r="AI56" s="46"/>
      <c r="AJ56" s="46"/>
      <c r="AK56" s="46"/>
      <c r="AL56" s="46"/>
      <c r="AM56" s="46"/>
      <c r="AN56" s="46"/>
      <c r="AO56" s="46"/>
      <c r="AP56" s="46"/>
      <c r="AQ56" s="46"/>
      <c r="AR56" s="46"/>
      <c r="AS56" s="46"/>
      <c r="AT56" s="46"/>
      <c r="AU56" s="1"/>
      <c r="AV56" s="2"/>
    </row>
    <row r="57" spans="1:48" ht="20.25" customHeight="1" x14ac:dyDescent="0.25">
      <c r="A57" s="43"/>
      <c r="B57" s="43"/>
      <c r="C57" s="44"/>
      <c r="D57" s="43"/>
      <c r="E57" s="43"/>
      <c r="F57" s="43"/>
      <c r="G57" s="44"/>
      <c r="H57" s="23"/>
      <c r="I57" s="43"/>
      <c r="J57" s="43"/>
      <c r="K57" s="45"/>
      <c r="L57" s="46"/>
      <c r="M57" s="46"/>
      <c r="N57" s="46"/>
      <c r="O57" s="46"/>
      <c r="P57" s="46"/>
      <c r="Q57" s="46"/>
      <c r="R57" s="46"/>
      <c r="S57" s="46"/>
      <c r="T57" s="46"/>
      <c r="U57" s="46"/>
      <c r="V57" s="46"/>
      <c r="W57" s="46"/>
      <c r="X57" s="46"/>
      <c r="Y57" s="46"/>
      <c r="Z57" s="46"/>
      <c r="AA57" s="46"/>
      <c r="AB57" s="46"/>
      <c r="AC57" s="46"/>
      <c r="AD57" s="46"/>
      <c r="AE57" s="46"/>
      <c r="AF57" s="46"/>
      <c r="AG57" s="46"/>
      <c r="AH57" s="46"/>
      <c r="AI57" s="46"/>
      <c r="AJ57" s="46"/>
      <c r="AK57" s="46"/>
      <c r="AL57" s="46"/>
      <c r="AM57" s="46"/>
      <c r="AN57" s="46"/>
      <c r="AO57" s="46"/>
      <c r="AP57" s="46"/>
      <c r="AQ57" s="46"/>
      <c r="AR57" s="46"/>
      <c r="AS57" s="46"/>
      <c r="AT57" s="46"/>
      <c r="AU57" s="1"/>
      <c r="AV57" s="2"/>
    </row>
    <row r="58" spans="1:48" ht="20.25" customHeight="1" x14ac:dyDescent="0.25">
      <c r="A58" s="43"/>
      <c r="B58" s="43"/>
      <c r="C58" s="44"/>
      <c r="D58" s="43"/>
      <c r="E58" s="43"/>
      <c r="F58" s="43"/>
      <c r="G58" s="44"/>
      <c r="H58" s="23"/>
      <c r="I58" s="43"/>
      <c r="J58" s="43"/>
      <c r="K58" s="45"/>
      <c r="L58" s="46"/>
      <c r="M58" s="46"/>
      <c r="N58" s="46"/>
      <c r="O58" s="46"/>
      <c r="P58" s="46"/>
      <c r="Q58" s="46"/>
      <c r="R58" s="46"/>
      <c r="S58" s="46"/>
      <c r="T58" s="46"/>
      <c r="U58" s="46"/>
      <c r="V58" s="46"/>
      <c r="W58" s="46"/>
      <c r="X58" s="46"/>
      <c r="Y58" s="46"/>
      <c r="Z58" s="46"/>
      <c r="AA58" s="46"/>
      <c r="AB58" s="46"/>
      <c r="AC58" s="46"/>
      <c r="AD58" s="46"/>
      <c r="AE58" s="46"/>
      <c r="AF58" s="46"/>
      <c r="AG58" s="46"/>
      <c r="AH58" s="46"/>
      <c r="AI58" s="46"/>
      <c r="AJ58" s="46"/>
      <c r="AK58" s="46"/>
      <c r="AL58" s="46"/>
      <c r="AM58" s="46"/>
      <c r="AN58" s="46"/>
      <c r="AO58" s="46"/>
      <c r="AP58" s="46"/>
      <c r="AQ58" s="46"/>
      <c r="AR58" s="46"/>
      <c r="AS58" s="46"/>
      <c r="AT58" s="46"/>
      <c r="AU58" s="1"/>
      <c r="AV58" s="2"/>
    </row>
    <row r="59" spans="1:48" ht="20.25" customHeight="1" x14ac:dyDescent="0.25">
      <c r="A59" s="43"/>
      <c r="B59" s="43"/>
      <c r="C59" s="44"/>
      <c r="D59" s="43"/>
      <c r="E59" s="43"/>
      <c r="F59" s="43"/>
      <c r="G59" s="44"/>
      <c r="H59" s="23"/>
      <c r="I59" s="43"/>
      <c r="J59" s="43"/>
      <c r="K59" s="45"/>
      <c r="L59" s="46"/>
      <c r="M59" s="46"/>
      <c r="N59" s="46"/>
      <c r="O59" s="46"/>
      <c r="P59" s="46"/>
      <c r="Q59" s="46"/>
      <c r="R59" s="46"/>
      <c r="S59" s="46"/>
      <c r="T59" s="46"/>
      <c r="U59" s="46"/>
      <c r="V59" s="46"/>
      <c r="W59" s="46"/>
      <c r="X59" s="46"/>
      <c r="Y59" s="46"/>
      <c r="Z59" s="46"/>
      <c r="AA59" s="46"/>
      <c r="AB59" s="46"/>
      <c r="AC59" s="46"/>
      <c r="AD59" s="46"/>
      <c r="AE59" s="46"/>
      <c r="AF59" s="46"/>
      <c r="AG59" s="46"/>
      <c r="AH59" s="46"/>
      <c r="AI59" s="46"/>
      <c r="AJ59" s="46"/>
      <c r="AK59" s="46"/>
      <c r="AL59" s="46"/>
      <c r="AM59" s="46"/>
      <c r="AN59" s="46"/>
      <c r="AO59" s="46"/>
      <c r="AP59" s="46"/>
      <c r="AQ59" s="46"/>
      <c r="AR59" s="46"/>
      <c r="AS59" s="46"/>
      <c r="AT59" s="46"/>
      <c r="AU59" s="1"/>
      <c r="AV59" s="2"/>
    </row>
    <row r="60" spans="1:48" ht="20.25" customHeight="1" x14ac:dyDescent="0.25">
      <c r="A60" s="43"/>
      <c r="B60" s="43"/>
      <c r="C60" s="44"/>
      <c r="D60" s="43"/>
      <c r="E60" s="43"/>
      <c r="F60" s="43"/>
      <c r="G60" s="44"/>
      <c r="H60" s="23"/>
      <c r="I60" s="43"/>
      <c r="J60" s="43"/>
      <c r="K60" s="45"/>
      <c r="L60" s="46"/>
      <c r="M60" s="46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46"/>
      <c r="AB60" s="46"/>
      <c r="AC60" s="46"/>
      <c r="AD60" s="46"/>
      <c r="AE60" s="46"/>
      <c r="AF60" s="46"/>
      <c r="AG60" s="46"/>
      <c r="AH60" s="46"/>
      <c r="AI60" s="46"/>
      <c r="AJ60" s="46"/>
      <c r="AK60" s="46"/>
      <c r="AL60" s="46"/>
      <c r="AM60" s="46"/>
      <c r="AN60" s="46"/>
      <c r="AO60" s="46"/>
      <c r="AP60" s="46"/>
      <c r="AQ60" s="46"/>
      <c r="AR60" s="46"/>
      <c r="AS60" s="46"/>
      <c r="AT60" s="46"/>
      <c r="AU60" s="1"/>
      <c r="AV60" s="2"/>
    </row>
    <row r="61" spans="1:48" ht="20.25" customHeight="1" x14ac:dyDescent="0.25">
      <c r="A61" s="43"/>
      <c r="B61" s="43"/>
      <c r="C61" s="44"/>
      <c r="D61" s="43"/>
      <c r="E61" s="43"/>
      <c r="F61" s="43"/>
      <c r="G61" s="44"/>
      <c r="H61" s="23"/>
      <c r="I61" s="43"/>
      <c r="J61" s="43"/>
      <c r="K61" s="45"/>
      <c r="L61" s="46"/>
      <c r="M61" s="46"/>
      <c r="N61" s="46"/>
      <c r="O61" s="46"/>
      <c r="P61" s="46"/>
      <c r="Q61" s="46"/>
      <c r="R61" s="46"/>
      <c r="S61" s="46"/>
      <c r="T61" s="46"/>
      <c r="U61" s="46"/>
      <c r="V61" s="46"/>
      <c r="W61" s="46"/>
      <c r="X61" s="46"/>
      <c r="Y61" s="46"/>
      <c r="Z61" s="46"/>
      <c r="AA61" s="46"/>
      <c r="AB61" s="46"/>
      <c r="AC61" s="46"/>
      <c r="AD61" s="46"/>
      <c r="AE61" s="46"/>
      <c r="AF61" s="46"/>
      <c r="AG61" s="46"/>
      <c r="AH61" s="46"/>
      <c r="AI61" s="46"/>
      <c r="AJ61" s="46"/>
      <c r="AK61" s="46"/>
      <c r="AL61" s="46"/>
      <c r="AM61" s="46"/>
      <c r="AN61" s="46"/>
      <c r="AO61" s="46"/>
      <c r="AP61" s="46"/>
      <c r="AQ61" s="46"/>
      <c r="AR61" s="46"/>
      <c r="AS61" s="46"/>
      <c r="AT61" s="46"/>
      <c r="AU61" s="1"/>
      <c r="AV61" s="2"/>
    </row>
    <row r="62" spans="1:48" ht="20.25" customHeight="1" x14ac:dyDescent="0.25">
      <c r="A62" s="43"/>
      <c r="B62" s="43"/>
      <c r="C62" s="44"/>
      <c r="D62" s="43"/>
      <c r="E62" s="43"/>
      <c r="F62" s="43"/>
      <c r="G62" s="44"/>
      <c r="H62" s="23"/>
      <c r="I62" s="43"/>
      <c r="J62" s="43"/>
      <c r="K62" s="45"/>
      <c r="L62" s="46"/>
      <c r="M62" s="46"/>
      <c r="N62" s="46"/>
      <c r="O62" s="46"/>
      <c r="P62" s="46"/>
      <c r="Q62" s="46"/>
      <c r="R62" s="46"/>
      <c r="S62" s="46"/>
      <c r="T62" s="46"/>
      <c r="U62" s="46"/>
      <c r="V62" s="46"/>
      <c r="W62" s="46"/>
      <c r="X62" s="46"/>
      <c r="Y62" s="46"/>
      <c r="Z62" s="46"/>
      <c r="AA62" s="46"/>
      <c r="AB62" s="46"/>
      <c r="AC62" s="46"/>
      <c r="AD62" s="46"/>
      <c r="AE62" s="46"/>
      <c r="AF62" s="46"/>
      <c r="AG62" s="46"/>
      <c r="AH62" s="46"/>
      <c r="AI62" s="46"/>
      <c r="AJ62" s="46"/>
      <c r="AK62" s="46"/>
      <c r="AL62" s="46"/>
      <c r="AM62" s="46"/>
      <c r="AN62" s="46"/>
      <c r="AO62" s="46"/>
      <c r="AP62" s="46"/>
      <c r="AQ62" s="46"/>
      <c r="AR62" s="46"/>
      <c r="AS62" s="46"/>
      <c r="AT62" s="46"/>
      <c r="AU62" s="1"/>
      <c r="AV62" s="2"/>
    </row>
    <row r="63" spans="1:48" ht="20.25" customHeight="1" x14ac:dyDescent="0.25">
      <c r="A63" s="43"/>
      <c r="B63" s="43"/>
      <c r="C63" s="44"/>
      <c r="D63" s="43"/>
      <c r="E63" s="43"/>
      <c r="F63" s="43"/>
      <c r="G63" s="44"/>
      <c r="H63" s="23"/>
      <c r="I63" s="43"/>
      <c r="J63" s="43"/>
      <c r="K63" s="45"/>
      <c r="L63" s="46"/>
      <c r="M63" s="46"/>
      <c r="N63" s="46"/>
      <c r="O63" s="46"/>
      <c r="P63" s="46"/>
      <c r="Q63" s="46"/>
      <c r="R63" s="46"/>
      <c r="S63" s="46"/>
      <c r="T63" s="46"/>
      <c r="U63" s="46"/>
      <c r="V63" s="46"/>
      <c r="W63" s="46"/>
      <c r="X63" s="46"/>
      <c r="Y63" s="46"/>
      <c r="Z63" s="46"/>
      <c r="AA63" s="46"/>
      <c r="AB63" s="46"/>
      <c r="AC63" s="46"/>
      <c r="AD63" s="46"/>
      <c r="AE63" s="46"/>
      <c r="AF63" s="46"/>
      <c r="AG63" s="46"/>
      <c r="AH63" s="46"/>
      <c r="AI63" s="46"/>
      <c r="AJ63" s="46"/>
      <c r="AK63" s="46"/>
      <c r="AL63" s="46"/>
      <c r="AM63" s="46"/>
      <c r="AN63" s="46"/>
      <c r="AO63" s="46"/>
      <c r="AP63" s="46"/>
      <c r="AQ63" s="46"/>
      <c r="AR63" s="46"/>
      <c r="AS63" s="46"/>
      <c r="AT63" s="46"/>
      <c r="AU63" s="1"/>
      <c r="AV63" s="2"/>
    </row>
    <row r="64" spans="1:48" ht="20.25" customHeight="1" x14ac:dyDescent="0.25">
      <c r="A64" s="43"/>
      <c r="B64" s="43"/>
      <c r="C64" s="44"/>
      <c r="D64" s="43"/>
      <c r="E64" s="43"/>
      <c r="F64" s="43"/>
      <c r="G64" s="44"/>
      <c r="H64" s="23"/>
      <c r="I64" s="43"/>
      <c r="J64" s="43"/>
      <c r="K64" s="45"/>
      <c r="L64" s="46"/>
      <c r="M64" s="46"/>
      <c r="N64" s="46"/>
      <c r="O64" s="46"/>
      <c r="P64" s="46"/>
      <c r="Q64" s="46"/>
      <c r="R64" s="46"/>
      <c r="S64" s="46"/>
      <c r="T64" s="46"/>
      <c r="U64" s="46"/>
      <c r="V64" s="46"/>
      <c r="W64" s="46"/>
      <c r="X64" s="46"/>
      <c r="Y64" s="46"/>
      <c r="Z64" s="46"/>
      <c r="AA64" s="46"/>
      <c r="AB64" s="46"/>
      <c r="AC64" s="46"/>
      <c r="AD64" s="46"/>
      <c r="AE64" s="46"/>
      <c r="AF64" s="46"/>
      <c r="AG64" s="46"/>
      <c r="AH64" s="46"/>
      <c r="AI64" s="46"/>
      <c r="AJ64" s="46"/>
      <c r="AK64" s="46"/>
      <c r="AL64" s="46"/>
      <c r="AM64" s="46"/>
      <c r="AN64" s="46"/>
      <c r="AO64" s="46"/>
      <c r="AP64" s="46"/>
      <c r="AQ64" s="46"/>
      <c r="AR64" s="46"/>
      <c r="AS64" s="46"/>
      <c r="AT64" s="46"/>
      <c r="AU64" s="1"/>
      <c r="AV64" s="2"/>
    </row>
    <row r="65" spans="1:48" ht="20.25" customHeight="1" x14ac:dyDescent="0.25">
      <c r="A65" s="43"/>
      <c r="B65" s="43"/>
      <c r="C65" s="44"/>
      <c r="D65" s="43"/>
      <c r="E65" s="43"/>
      <c r="F65" s="43"/>
      <c r="G65" s="44"/>
      <c r="H65" s="23"/>
      <c r="I65" s="43"/>
      <c r="J65" s="43"/>
      <c r="K65" s="45"/>
      <c r="L65" s="46"/>
      <c r="M65" s="46"/>
      <c r="N65" s="46"/>
      <c r="O65" s="46"/>
      <c r="P65" s="46"/>
      <c r="Q65" s="46"/>
      <c r="R65" s="46"/>
      <c r="S65" s="46"/>
      <c r="T65" s="46"/>
      <c r="U65" s="46"/>
      <c r="V65" s="46"/>
      <c r="W65" s="46"/>
      <c r="X65" s="46"/>
      <c r="Y65" s="46"/>
      <c r="Z65" s="46"/>
      <c r="AA65" s="46"/>
      <c r="AB65" s="46"/>
      <c r="AC65" s="46"/>
      <c r="AD65" s="46"/>
      <c r="AE65" s="46"/>
      <c r="AF65" s="46"/>
      <c r="AG65" s="46"/>
      <c r="AH65" s="46"/>
      <c r="AI65" s="46"/>
      <c r="AJ65" s="46"/>
      <c r="AK65" s="46"/>
      <c r="AL65" s="46"/>
      <c r="AM65" s="46"/>
      <c r="AN65" s="46"/>
      <c r="AO65" s="46"/>
      <c r="AP65" s="46"/>
      <c r="AQ65" s="46"/>
      <c r="AR65" s="46"/>
      <c r="AS65" s="46"/>
      <c r="AT65" s="46"/>
      <c r="AU65" s="1"/>
      <c r="AV65" s="2"/>
    </row>
    <row r="66" spans="1:48" ht="20.25" customHeight="1" x14ac:dyDescent="0.25">
      <c r="A66" s="43"/>
      <c r="B66" s="43"/>
      <c r="C66" s="44"/>
      <c r="D66" s="43"/>
      <c r="E66" s="43"/>
      <c r="F66" s="43"/>
      <c r="G66" s="44"/>
      <c r="H66" s="23"/>
      <c r="I66" s="43"/>
      <c r="J66" s="43"/>
      <c r="K66" s="45"/>
      <c r="L66" s="46"/>
      <c r="M66" s="46"/>
      <c r="N66" s="46"/>
      <c r="O66" s="46"/>
      <c r="P66" s="46"/>
      <c r="Q66" s="46"/>
      <c r="R66" s="46"/>
      <c r="S66" s="46"/>
      <c r="T66" s="46"/>
      <c r="U66" s="46"/>
      <c r="V66" s="46"/>
      <c r="W66" s="46"/>
      <c r="X66" s="46"/>
      <c r="Y66" s="46"/>
      <c r="Z66" s="46"/>
      <c r="AA66" s="46"/>
      <c r="AB66" s="46"/>
      <c r="AC66" s="46"/>
      <c r="AD66" s="46"/>
      <c r="AE66" s="46"/>
      <c r="AF66" s="46"/>
      <c r="AG66" s="46"/>
      <c r="AH66" s="46"/>
      <c r="AI66" s="46"/>
      <c r="AJ66" s="46"/>
      <c r="AK66" s="46"/>
      <c r="AL66" s="46"/>
      <c r="AM66" s="46"/>
      <c r="AN66" s="46"/>
      <c r="AO66" s="46"/>
      <c r="AP66" s="46"/>
      <c r="AQ66" s="46"/>
      <c r="AR66" s="46"/>
      <c r="AS66" s="46"/>
      <c r="AT66" s="46"/>
      <c r="AU66" s="1"/>
      <c r="AV66" s="2"/>
    </row>
    <row r="67" spans="1:48" ht="20.25" customHeight="1" x14ac:dyDescent="0.25">
      <c r="A67" s="43"/>
      <c r="B67" s="43"/>
      <c r="C67" s="44"/>
      <c r="D67" s="43"/>
      <c r="E67" s="43"/>
      <c r="F67" s="43"/>
      <c r="G67" s="44"/>
      <c r="H67" s="23"/>
      <c r="I67" s="43"/>
      <c r="J67" s="43"/>
      <c r="K67" s="45"/>
      <c r="L67" s="46"/>
      <c r="M67" s="46"/>
      <c r="N67" s="46"/>
      <c r="O67" s="46"/>
      <c r="P67" s="46"/>
      <c r="Q67" s="46"/>
      <c r="R67" s="46"/>
      <c r="S67" s="46"/>
      <c r="T67" s="46"/>
      <c r="U67" s="46"/>
      <c r="V67" s="46"/>
      <c r="W67" s="46"/>
      <c r="X67" s="46"/>
      <c r="Y67" s="46"/>
      <c r="Z67" s="46"/>
      <c r="AA67" s="46"/>
      <c r="AB67" s="46"/>
      <c r="AC67" s="46"/>
      <c r="AD67" s="46"/>
      <c r="AE67" s="46"/>
      <c r="AF67" s="46"/>
      <c r="AG67" s="46"/>
      <c r="AH67" s="46"/>
      <c r="AI67" s="46"/>
      <c r="AJ67" s="46"/>
      <c r="AK67" s="46"/>
      <c r="AL67" s="46"/>
      <c r="AM67" s="46"/>
      <c r="AN67" s="46"/>
      <c r="AO67" s="46"/>
      <c r="AP67" s="46"/>
      <c r="AQ67" s="46"/>
      <c r="AR67" s="46"/>
      <c r="AS67" s="46"/>
      <c r="AT67" s="46"/>
      <c r="AU67" s="1"/>
      <c r="AV67" s="2"/>
    </row>
    <row r="68" spans="1:48" ht="20.25" customHeight="1" x14ac:dyDescent="0.25">
      <c r="A68" s="43"/>
      <c r="B68" s="43"/>
      <c r="C68" s="44"/>
      <c r="D68" s="43"/>
      <c r="E68" s="43"/>
      <c r="F68" s="43"/>
      <c r="G68" s="44"/>
      <c r="H68" s="23"/>
      <c r="I68" s="43"/>
      <c r="J68" s="43"/>
      <c r="K68" s="45"/>
      <c r="L68" s="46"/>
      <c r="M68" s="46"/>
      <c r="N68" s="46"/>
      <c r="O68" s="46"/>
      <c r="P68" s="46"/>
      <c r="Q68" s="46"/>
      <c r="R68" s="46"/>
      <c r="S68" s="46"/>
      <c r="T68" s="46"/>
      <c r="U68" s="46"/>
      <c r="V68" s="46"/>
      <c r="W68" s="46"/>
      <c r="X68" s="46"/>
      <c r="Y68" s="46"/>
      <c r="Z68" s="46"/>
      <c r="AA68" s="46"/>
      <c r="AB68" s="46"/>
      <c r="AC68" s="46"/>
      <c r="AD68" s="46"/>
      <c r="AE68" s="46"/>
      <c r="AF68" s="46"/>
      <c r="AG68" s="46"/>
      <c r="AH68" s="46"/>
      <c r="AI68" s="46"/>
      <c r="AJ68" s="46"/>
      <c r="AK68" s="46"/>
      <c r="AL68" s="46"/>
      <c r="AM68" s="46"/>
      <c r="AN68" s="46"/>
      <c r="AO68" s="46"/>
      <c r="AP68" s="46"/>
      <c r="AQ68" s="46"/>
      <c r="AR68" s="46"/>
      <c r="AS68" s="46"/>
      <c r="AT68" s="46"/>
      <c r="AU68" s="1"/>
      <c r="AV68" s="2"/>
    </row>
    <row r="69" spans="1:48" ht="20.25" customHeight="1" x14ac:dyDescent="0.25">
      <c r="A69" s="43"/>
      <c r="B69" s="43"/>
      <c r="C69" s="44"/>
      <c r="D69" s="43"/>
      <c r="E69" s="43"/>
      <c r="F69" s="43"/>
      <c r="G69" s="44"/>
      <c r="H69" s="23"/>
      <c r="I69" s="43"/>
      <c r="J69" s="43"/>
      <c r="K69" s="45"/>
      <c r="L69" s="46"/>
      <c r="M69" s="46"/>
      <c r="N69" s="46"/>
      <c r="O69" s="46"/>
      <c r="P69" s="46"/>
      <c r="Q69" s="46"/>
      <c r="R69" s="46"/>
      <c r="S69" s="46"/>
      <c r="T69" s="46"/>
      <c r="U69" s="46"/>
      <c r="V69" s="46"/>
      <c r="W69" s="46"/>
      <c r="X69" s="46"/>
      <c r="Y69" s="46"/>
      <c r="Z69" s="46"/>
      <c r="AA69" s="46"/>
      <c r="AB69" s="46"/>
      <c r="AC69" s="46"/>
      <c r="AD69" s="46"/>
      <c r="AE69" s="46"/>
      <c r="AF69" s="46"/>
      <c r="AG69" s="46"/>
      <c r="AH69" s="46"/>
      <c r="AI69" s="46"/>
      <c r="AJ69" s="46"/>
      <c r="AK69" s="46"/>
      <c r="AL69" s="46"/>
      <c r="AM69" s="46"/>
      <c r="AN69" s="46"/>
      <c r="AO69" s="46"/>
      <c r="AP69" s="46"/>
      <c r="AQ69" s="46"/>
      <c r="AR69" s="46"/>
      <c r="AS69" s="46"/>
      <c r="AT69" s="46"/>
      <c r="AU69" s="1"/>
      <c r="AV69" s="2"/>
    </row>
    <row r="70" spans="1:48" ht="20.25" customHeight="1" x14ac:dyDescent="0.25">
      <c r="A70" s="43"/>
      <c r="B70" s="43"/>
      <c r="C70" s="44"/>
      <c r="D70" s="43"/>
      <c r="E70" s="43"/>
      <c r="F70" s="43"/>
      <c r="G70" s="44"/>
      <c r="H70" s="23"/>
      <c r="I70" s="43"/>
      <c r="J70" s="43"/>
      <c r="K70" s="45"/>
      <c r="L70" s="46"/>
      <c r="M70" s="46"/>
      <c r="N70" s="46"/>
      <c r="O70" s="46"/>
      <c r="P70" s="46"/>
      <c r="Q70" s="46"/>
      <c r="R70" s="46"/>
      <c r="S70" s="46"/>
      <c r="T70" s="46"/>
      <c r="U70" s="46"/>
      <c r="V70" s="46"/>
      <c r="W70" s="46"/>
      <c r="X70" s="46"/>
      <c r="Y70" s="46"/>
      <c r="Z70" s="46"/>
      <c r="AA70" s="46"/>
      <c r="AB70" s="46"/>
      <c r="AC70" s="46"/>
      <c r="AD70" s="46"/>
      <c r="AE70" s="46"/>
      <c r="AF70" s="46"/>
      <c r="AG70" s="46"/>
      <c r="AH70" s="46"/>
      <c r="AI70" s="46"/>
      <c r="AJ70" s="46"/>
      <c r="AK70" s="46"/>
      <c r="AL70" s="46"/>
      <c r="AM70" s="46"/>
      <c r="AN70" s="46"/>
      <c r="AO70" s="46"/>
      <c r="AP70" s="46"/>
      <c r="AQ70" s="46"/>
      <c r="AR70" s="46"/>
      <c r="AS70" s="46"/>
      <c r="AT70" s="46"/>
      <c r="AU70" s="1"/>
      <c r="AV70" s="2"/>
    </row>
    <row r="71" spans="1:48" ht="20.25" customHeight="1" x14ac:dyDescent="0.25">
      <c r="A71" s="43"/>
      <c r="B71" s="43"/>
      <c r="C71" s="44"/>
      <c r="D71" s="43"/>
      <c r="E71" s="43"/>
      <c r="F71" s="43"/>
      <c r="G71" s="44"/>
      <c r="H71" s="23"/>
      <c r="I71" s="43"/>
      <c r="J71" s="43"/>
      <c r="K71" s="45"/>
      <c r="L71" s="46"/>
      <c r="M71" s="46"/>
      <c r="N71" s="46"/>
      <c r="O71" s="46"/>
      <c r="P71" s="46"/>
      <c r="Q71" s="46"/>
      <c r="R71" s="46"/>
      <c r="S71" s="46"/>
      <c r="T71" s="46"/>
      <c r="U71" s="46"/>
      <c r="V71" s="46"/>
      <c r="W71" s="46"/>
      <c r="X71" s="46"/>
      <c r="Y71" s="46"/>
      <c r="Z71" s="46"/>
      <c r="AA71" s="46"/>
      <c r="AB71" s="46"/>
      <c r="AC71" s="46"/>
      <c r="AD71" s="46"/>
      <c r="AE71" s="46"/>
      <c r="AF71" s="46"/>
      <c r="AG71" s="46"/>
      <c r="AH71" s="46"/>
      <c r="AI71" s="46"/>
      <c r="AJ71" s="46"/>
      <c r="AK71" s="46"/>
      <c r="AL71" s="46"/>
      <c r="AM71" s="46"/>
      <c r="AN71" s="46"/>
      <c r="AO71" s="46"/>
      <c r="AP71" s="46"/>
      <c r="AQ71" s="46"/>
      <c r="AR71" s="46"/>
      <c r="AS71" s="46"/>
      <c r="AT71" s="46"/>
      <c r="AU71" s="1"/>
      <c r="AV71" s="2"/>
    </row>
    <row r="72" spans="1:48" ht="20.25" customHeight="1" x14ac:dyDescent="0.25">
      <c r="A72" s="43"/>
      <c r="B72" s="43"/>
      <c r="C72" s="44"/>
      <c r="D72" s="43"/>
      <c r="E72" s="43"/>
      <c r="F72" s="43"/>
      <c r="G72" s="44"/>
      <c r="H72" s="23"/>
      <c r="I72" s="43"/>
      <c r="J72" s="43"/>
      <c r="K72" s="45"/>
      <c r="L72" s="46"/>
      <c r="M72" s="46"/>
      <c r="N72" s="46"/>
      <c r="O72" s="46"/>
      <c r="P72" s="46"/>
      <c r="Q72" s="46"/>
      <c r="R72" s="46"/>
      <c r="S72" s="46"/>
      <c r="T72" s="46"/>
      <c r="U72" s="46"/>
      <c r="V72" s="46"/>
      <c r="W72" s="46"/>
      <c r="X72" s="46"/>
      <c r="Y72" s="46"/>
      <c r="Z72" s="46"/>
      <c r="AA72" s="46"/>
      <c r="AB72" s="46"/>
      <c r="AC72" s="46"/>
      <c r="AD72" s="46"/>
      <c r="AE72" s="46"/>
      <c r="AF72" s="46"/>
      <c r="AG72" s="46"/>
      <c r="AH72" s="46"/>
      <c r="AI72" s="46"/>
      <c r="AJ72" s="46"/>
      <c r="AK72" s="46"/>
      <c r="AL72" s="46"/>
      <c r="AM72" s="46"/>
      <c r="AN72" s="46"/>
      <c r="AO72" s="46"/>
      <c r="AP72" s="46"/>
      <c r="AQ72" s="46"/>
      <c r="AR72" s="46"/>
      <c r="AS72" s="46"/>
      <c r="AT72" s="46"/>
      <c r="AU72" s="1"/>
      <c r="AV72" s="2"/>
    </row>
    <row r="73" spans="1:48" ht="20.25" customHeight="1" x14ac:dyDescent="0.25">
      <c r="A73" s="43"/>
      <c r="B73" s="43"/>
      <c r="C73" s="44"/>
      <c r="D73" s="43"/>
      <c r="E73" s="43"/>
      <c r="F73" s="43"/>
      <c r="G73" s="44"/>
      <c r="H73" s="23"/>
      <c r="I73" s="43"/>
      <c r="J73" s="43"/>
      <c r="K73" s="45"/>
      <c r="L73" s="46"/>
      <c r="M73" s="46"/>
      <c r="N73" s="46"/>
      <c r="O73" s="46"/>
      <c r="P73" s="46"/>
      <c r="Q73" s="46"/>
      <c r="R73" s="46"/>
      <c r="S73" s="46"/>
      <c r="T73" s="46"/>
      <c r="U73" s="46"/>
      <c r="V73" s="46"/>
      <c r="W73" s="46"/>
      <c r="X73" s="46"/>
      <c r="Y73" s="46"/>
      <c r="Z73" s="46"/>
      <c r="AA73" s="46"/>
      <c r="AB73" s="46"/>
      <c r="AC73" s="46"/>
      <c r="AD73" s="46"/>
      <c r="AE73" s="46"/>
      <c r="AF73" s="46"/>
      <c r="AG73" s="46"/>
      <c r="AH73" s="46"/>
      <c r="AI73" s="46"/>
      <c r="AJ73" s="46"/>
      <c r="AK73" s="46"/>
      <c r="AL73" s="46"/>
      <c r="AM73" s="46"/>
      <c r="AN73" s="46"/>
      <c r="AO73" s="46"/>
      <c r="AP73" s="46"/>
      <c r="AQ73" s="46"/>
      <c r="AR73" s="46"/>
      <c r="AS73" s="46"/>
      <c r="AT73" s="46"/>
      <c r="AU73" s="1"/>
      <c r="AV73" s="2"/>
    </row>
    <row r="74" spans="1:48" ht="20.25" customHeight="1" x14ac:dyDescent="0.25">
      <c r="A74" s="43"/>
      <c r="B74" s="43"/>
      <c r="C74" s="44"/>
      <c r="D74" s="43"/>
      <c r="E74" s="43"/>
      <c r="F74" s="43"/>
      <c r="G74" s="44"/>
      <c r="H74" s="23"/>
      <c r="I74" s="43"/>
      <c r="J74" s="43"/>
      <c r="K74" s="45"/>
      <c r="L74" s="46"/>
      <c r="M74" s="46"/>
      <c r="N74" s="46"/>
      <c r="O74" s="46"/>
      <c r="P74" s="46"/>
      <c r="Q74" s="46"/>
      <c r="R74" s="46"/>
      <c r="S74" s="46"/>
      <c r="T74" s="46"/>
      <c r="U74" s="46"/>
      <c r="V74" s="46"/>
      <c r="W74" s="46"/>
      <c r="X74" s="46"/>
      <c r="Y74" s="46"/>
      <c r="Z74" s="46"/>
      <c r="AA74" s="46"/>
      <c r="AB74" s="46"/>
      <c r="AC74" s="46"/>
      <c r="AD74" s="46"/>
      <c r="AE74" s="46"/>
      <c r="AF74" s="46"/>
      <c r="AG74" s="46"/>
      <c r="AH74" s="46"/>
      <c r="AI74" s="46"/>
      <c r="AJ74" s="46"/>
      <c r="AK74" s="46"/>
      <c r="AL74" s="46"/>
      <c r="AM74" s="46"/>
      <c r="AN74" s="46"/>
      <c r="AO74" s="46"/>
      <c r="AP74" s="46"/>
      <c r="AQ74" s="46"/>
      <c r="AR74" s="46"/>
      <c r="AS74" s="46"/>
      <c r="AT74" s="46"/>
      <c r="AU74" s="1"/>
      <c r="AV74" s="2"/>
    </row>
    <row r="75" spans="1:48" ht="20.25" customHeight="1" x14ac:dyDescent="0.25">
      <c r="A75" s="43"/>
      <c r="B75" s="43"/>
      <c r="C75" s="44"/>
      <c r="D75" s="43"/>
      <c r="E75" s="43"/>
      <c r="F75" s="43"/>
      <c r="G75" s="44"/>
      <c r="H75" s="23"/>
      <c r="I75" s="43"/>
      <c r="J75" s="43"/>
      <c r="K75" s="45"/>
      <c r="L75" s="46"/>
      <c r="M75" s="46"/>
      <c r="N75" s="46"/>
      <c r="O75" s="46"/>
      <c r="P75" s="46"/>
      <c r="Q75" s="46"/>
      <c r="R75" s="46"/>
      <c r="S75" s="46"/>
      <c r="T75" s="46"/>
      <c r="U75" s="46"/>
      <c r="V75" s="46"/>
      <c r="W75" s="46"/>
      <c r="X75" s="46"/>
      <c r="Y75" s="46"/>
      <c r="Z75" s="46"/>
      <c r="AA75" s="46"/>
      <c r="AB75" s="46"/>
      <c r="AC75" s="46"/>
      <c r="AD75" s="46"/>
      <c r="AE75" s="46"/>
      <c r="AF75" s="46"/>
      <c r="AG75" s="46"/>
      <c r="AH75" s="46"/>
      <c r="AI75" s="46"/>
      <c r="AJ75" s="46"/>
      <c r="AK75" s="46"/>
      <c r="AL75" s="46"/>
      <c r="AM75" s="46"/>
      <c r="AN75" s="46"/>
      <c r="AO75" s="46"/>
      <c r="AP75" s="46"/>
      <c r="AQ75" s="46"/>
      <c r="AR75" s="46"/>
      <c r="AS75" s="46"/>
      <c r="AT75" s="46"/>
      <c r="AU75" s="1"/>
      <c r="AV75" s="2"/>
    </row>
    <row r="76" spans="1:48" ht="20.25" customHeight="1" x14ac:dyDescent="0.25">
      <c r="A76" s="43"/>
      <c r="B76" s="43"/>
      <c r="C76" s="44"/>
      <c r="D76" s="43"/>
      <c r="E76" s="43"/>
      <c r="F76" s="43"/>
      <c r="G76" s="44"/>
      <c r="H76" s="23"/>
      <c r="I76" s="43"/>
      <c r="J76" s="43"/>
      <c r="K76" s="45"/>
      <c r="L76" s="46"/>
      <c r="M76" s="46"/>
      <c r="N76" s="46"/>
      <c r="O76" s="46"/>
      <c r="P76" s="46"/>
      <c r="Q76" s="46"/>
      <c r="R76" s="46"/>
      <c r="S76" s="46"/>
      <c r="T76" s="46"/>
      <c r="U76" s="46"/>
      <c r="V76" s="46"/>
      <c r="W76" s="46"/>
      <c r="X76" s="46"/>
      <c r="Y76" s="46"/>
      <c r="Z76" s="46"/>
      <c r="AA76" s="46"/>
      <c r="AB76" s="46"/>
      <c r="AC76" s="46"/>
      <c r="AD76" s="46"/>
      <c r="AE76" s="46"/>
      <c r="AF76" s="46"/>
      <c r="AG76" s="46"/>
      <c r="AH76" s="46"/>
      <c r="AI76" s="46"/>
      <c r="AJ76" s="46"/>
      <c r="AK76" s="46"/>
      <c r="AL76" s="46"/>
      <c r="AM76" s="46"/>
      <c r="AN76" s="46"/>
      <c r="AO76" s="46"/>
      <c r="AP76" s="46"/>
      <c r="AQ76" s="46"/>
      <c r="AR76" s="46"/>
      <c r="AS76" s="46"/>
      <c r="AT76" s="46"/>
      <c r="AU76" s="1"/>
      <c r="AV76" s="2"/>
    </row>
    <row r="77" spans="1:48" ht="20.25" customHeight="1" x14ac:dyDescent="0.25">
      <c r="A77" s="43"/>
      <c r="B77" s="43"/>
      <c r="C77" s="44"/>
      <c r="D77" s="43"/>
      <c r="E77" s="43"/>
      <c r="F77" s="43"/>
      <c r="G77" s="44"/>
      <c r="H77" s="23"/>
      <c r="I77" s="43"/>
      <c r="J77" s="43"/>
      <c r="K77" s="45"/>
      <c r="L77" s="46"/>
      <c r="M77" s="46"/>
      <c r="N77" s="46"/>
      <c r="O77" s="46"/>
      <c r="P77" s="46"/>
      <c r="Q77" s="46"/>
      <c r="R77" s="46"/>
      <c r="S77" s="46"/>
      <c r="T77" s="46"/>
      <c r="U77" s="46"/>
      <c r="V77" s="46"/>
      <c r="W77" s="46"/>
      <c r="X77" s="46"/>
      <c r="Y77" s="46"/>
      <c r="Z77" s="46"/>
      <c r="AA77" s="46"/>
      <c r="AB77" s="46"/>
      <c r="AC77" s="46"/>
      <c r="AD77" s="46"/>
      <c r="AE77" s="46"/>
      <c r="AF77" s="46"/>
      <c r="AG77" s="46"/>
      <c r="AH77" s="46"/>
      <c r="AI77" s="46"/>
      <c r="AJ77" s="46"/>
      <c r="AK77" s="46"/>
      <c r="AL77" s="46"/>
      <c r="AM77" s="46"/>
      <c r="AN77" s="46"/>
      <c r="AO77" s="46"/>
      <c r="AP77" s="46"/>
      <c r="AQ77" s="46"/>
      <c r="AR77" s="46"/>
      <c r="AS77" s="46"/>
      <c r="AT77" s="46"/>
      <c r="AU77" s="1"/>
      <c r="AV77" s="2"/>
    </row>
    <row r="78" spans="1:48" ht="20.25" customHeight="1" x14ac:dyDescent="0.25">
      <c r="A78" s="43"/>
      <c r="B78" s="43"/>
      <c r="C78" s="44"/>
      <c r="D78" s="43"/>
      <c r="E78" s="43"/>
      <c r="F78" s="43"/>
      <c r="G78" s="44"/>
      <c r="H78" s="23"/>
      <c r="I78" s="43"/>
      <c r="J78" s="43"/>
      <c r="K78" s="45"/>
      <c r="L78" s="46"/>
      <c r="M78" s="46"/>
      <c r="N78" s="46"/>
      <c r="O78" s="46"/>
      <c r="P78" s="46"/>
      <c r="Q78" s="46"/>
      <c r="R78" s="46"/>
      <c r="S78" s="46"/>
      <c r="T78" s="46"/>
      <c r="U78" s="46"/>
      <c r="V78" s="46"/>
      <c r="W78" s="46"/>
      <c r="X78" s="46"/>
      <c r="Y78" s="46"/>
      <c r="Z78" s="46"/>
      <c r="AA78" s="46"/>
      <c r="AB78" s="46"/>
      <c r="AC78" s="46"/>
      <c r="AD78" s="46"/>
      <c r="AE78" s="46"/>
      <c r="AF78" s="46"/>
      <c r="AG78" s="46"/>
      <c r="AH78" s="46"/>
      <c r="AI78" s="46"/>
      <c r="AJ78" s="46"/>
      <c r="AK78" s="46"/>
      <c r="AL78" s="46"/>
      <c r="AM78" s="46"/>
      <c r="AN78" s="46"/>
      <c r="AO78" s="46"/>
      <c r="AP78" s="46"/>
      <c r="AQ78" s="46"/>
      <c r="AR78" s="46"/>
      <c r="AS78" s="46"/>
      <c r="AT78" s="46"/>
      <c r="AU78" s="1"/>
      <c r="AV78" s="2"/>
    </row>
    <row r="79" spans="1:48" ht="20.25" customHeight="1" x14ac:dyDescent="0.25">
      <c r="A79" s="43"/>
      <c r="B79" s="43"/>
      <c r="C79" s="44"/>
      <c r="D79" s="43"/>
      <c r="E79" s="43"/>
      <c r="F79" s="43"/>
      <c r="G79" s="44"/>
      <c r="H79" s="23"/>
      <c r="I79" s="43"/>
      <c r="J79" s="43"/>
      <c r="K79" s="45"/>
      <c r="L79" s="46"/>
      <c r="M79" s="46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46"/>
      <c r="AG79" s="46"/>
      <c r="AH79" s="46"/>
      <c r="AI79" s="46"/>
      <c r="AJ79" s="46"/>
      <c r="AK79" s="46"/>
      <c r="AL79" s="46"/>
      <c r="AM79" s="46"/>
      <c r="AN79" s="46"/>
      <c r="AO79" s="46"/>
      <c r="AP79" s="46"/>
      <c r="AQ79" s="46"/>
      <c r="AR79" s="46"/>
      <c r="AS79" s="46"/>
      <c r="AT79" s="46"/>
      <c r="AU79" s="1"/>
      <c r="AV79" s="2"/>
    </row>
    <row r="80" spans="1:48" ht="20.25" customHeight="1" x14ac:dyDescent="0.25">
      <c r="A80" s="43"/>
      <c r="B80" s="43"/>
      <c r="C80" s="44"/>
      <c r="D80" s="43"/>
      <c r="E80" s="43"/>
      <c r="F80" s="43"/>
      <c r="G80" s="44"/>
      <c r="H80" s="23"/>
      <c r="I80" s="43"/>
      <c r="J80" s="43"/>
      <c r="K80" s="45"/>
      <c r="L80" s="46"/>
      <c r="M80" s="46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46"/>
      <c r="AG80" s="46"/>
      <c r="AH80" s="46"/>
      <c r="AI80" s="46"/>
      <c r="AJ80" s="46"/>
      <c r="AK80" s="46"/>
      <c r="AL80" s="46"/>
      <c r="AM80" s="46"/>
      <c r="AN80" s="46"/>
      <c r="AO80" s="46"/>
      <c r="AP80" s="46"/>
      <c r="AQ80" s="46"/>
      <c r="AR80" s="46"/>
      <c r="AS80" s="46"/>
      <c r="AT80" s="46"/>
      <c r="AU80" s="1"/>
      <c r="AV80" s="2"/>
    </row>
    <row r="81" spans="1:48" ht="20.25" customHeight="1" x14ac:dyDescent="0.25">
      <c r="A81" s="43"/>
      <c r="B81" s="43"/>
      <c r="C81" s="44"/>
      <c r="D81" s="43"/>
      <c r="E81" s="43"/>
      <c r="F81" s="43"/>
      <c r="G81" s="44"/>
      <c r="H81" s="23"/>
      <c r="I81" s="43"/>
      <c r="J81" s="43"/>
      <c r="K81" s="45"/>
      <c r="L81" s="46"/>
      <c r="M81" s="46"/>
      <c r="N81" s="46"/>
      <c r="O81" s="46"/>
      <c r="P81" s="46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46"/>
      <c r="AG81" s="46"/>
      <c r="AH81" s="46"/>
      <c r="AI81" s="46"/>
      <c r="AJ81" s="46"/>
      <c r="AK81" s="46"/>
      <c r="AL81" s="46"/>
      <c r="AM81" s="46"/>
      <c r="AN81" s="46"/>
      <c r="AO81" s="46"/>
      <c r="AP81" s="46"/>
      <c r="AQ81" s="46"/>
      <c r="AR81" s="46"/>
      <c r="AS81" s="46"/>
      <c r="AT81" s="46"/>
      <c r="AU81" s="1"/>
      <c r="AV81" s="2"/>
    </row>
    <row r="82" spans="1:48" ht="20.25" customHeight="1" x14ac:dyDescent="0.25">
      <c r="A82" s="43"/>
      <c r="B82" s="43"/>
      <c r="C82" s="44"/>
      <c r="D82" s="43"/>
      <c r="E82" s="43"/>
      <c r="F82" s="43"/>
      <c r="G82" s="44"/>
      <c r="H82" s="23"/>
      <c r="I82" s="43"/>
      <c r="J82" s="43"/>
      <c r="K82" s="45"/>
      <c r="L82" s="46"/>
      <c r="M82" s="46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46"/>
      <c r="AG82" s="46"/>
      <c r="AH82" s="46"/>
      <c r="AI82" s="46"/>
      <c r="AJ82" s="46"/>
      <c r="AK82" s="46"/>
      <c r="AL82" s="46"/>
      <c r="AM82" s="46"/>
      <c r="AN82" s="46"/>
      <c r="AO82" s="46"/>
      <c r="AP82" s="46"/>
      <c r="AQ82" s="46"/>
      <c r="AR82" s="46"/>
      <c r="AS82" s="46"/>
      <c r="AT82" s="46"/>
      <c r="AU82" s="1"/>
      <c r="AV82" s="2"/>
    </row>
    <row r="83" spans="1:48" ht="20.25" customHeight="1" x14ac:dyDescent="0.25">
      <c r="A83" s="43"/>
      <c r="B83" s="43"/>
      <c r="C83" s="44"/>
      <c r="D83" s="43"/>
      <c r="E83" s="43"/>
      <c r="F83" s="43"/>
      <c r="G83" s="44"/>
      <c r="H83" s="23"/>
      <c r="I83" s="43"/>
      <c r="J83" s="43"/>
      <c r="K83" s="45"/>
      <c r="L83" s="46"/>
      <c r="M83" s="46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46"/>
      <c r="AG83" s="46"/>
      <c r="AH83" s="46"/>
      <c r="AI83" s="46"/>
      <c r="AJ83" s="46"/>
      <c r="AK83" s="46"/>
      <c r="AL83" s="46"/>
      <c r="AM83" s="46"/>
      <c r="AN83" s="46"/>
      <c r="AO83" s="46"/>
      <c r="AP83" s="46"/>
      <c r="AQ83" s="46"/>
      <c r="AR83" s="46"/>
      <c r="AS83" s="46"/>
      <c r="AT83" s="46"/>
      <c r="AU83" s="1"/>
      <c r="AV83" s="2"/>
    </row>
    <row r="84" spans="1:48" ht="20.25" customHeight="1" x14ac:dyDescent="0.25">
      <c r="A84" s="43"/>
      <c r="B84" s="43"/>
      <c r="C84" s="44"/>
      <c r="D84" s="43"/>
      <c r="E84" s="43"/>
      <c r="F84" s="43"/>
      <c r="G84" s="44"/>
      <c r="H84" s="23"/>
      <c r="I84" s="43"/>
      <c r="J84" s="43"/>
      <c r="K84" s="45"/>
      <c r="L84" s="46"/>
      <c r="M84" s="46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46"/>
      <c r="AG84" s="46"/>
      <c r="AH84" s="46"/>
      <c r="AI84" s="46"/>
      <c r="AJ84" s="46"/>
      <c r="AK84" s="46"/>
      <c r="AL84" s="46"/>
      <c r="AM84" s="46"/>
      <c r="AN84" s="46"/>
      <c r="AO84" s="46"/>
      <c r="AP84" s="46"/>
      <c r="AQ84" s="46"/>
      <c r="AR84" s="46"/>
      <c r="AS84" s="46"/>
      <c r="AT84" s="46"/>
      <c r="AU84" s="1"/>
      <c r="AV84" s="2"/>
    </row>
    <row r="85" spans="1:48" ht="20.25" customHeight="1" x14ac:dyDescent="0.25">
      <c r="A85" s="43"/>
      <c r="B85" s="43"/>
      <c r="C85" s="44"/>
      <c r="D85" s="43"/>
      <c r="E85" s="43"/>
      <c r="F85" s="43"/>
      <c r="G85" s="44"/>
      <c r="H85" s="23"/>
      <c r="I85" s="43"/>
      <c r="J85" s="43"/>
      <c r="K85" s="45"/>
      <c r="L85" s="46"/>
      <c r="M85" s="46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46"/>
      <c r="AG85" s="46"/>
      <c r="AH85" s="46"/>
      <c r="AI85" s="46"/>
      <c r="AJ85" s="46"/>
      <c r="AK85" s="46"/>
      <c r="AL85" s="46"/>
      <c r="AM85" s="46"/>
      <c r="AN85" s="46"/>
      <c r="AO85" s="46"/>
      <c r="AP85" s="46"/>
      <c r="AQ85" s="46"/>
      <c r="AR85" s="46"/>
      <c r="AS85" s="46"/>
      <c r="AT85" s="46"/>
      <c r="AU85" s="1"/>
      <c r="AV85" s="2"/>
    </row>
    <row r="86" spans="1:48" ht="20.25" customHeight="1" x14ac:dyDescent="0.25">
      <c r="A86" s="43"/>
      <c r="B86" s="43"/>
      <c r="C86" s="44"/>
      <c r="D86" s="43"/>
      <c r="E86" s="43"/>
      <c r="F86" s="43"/>
      <c r="G86" s="44"/>
      <c r="H86" s="23"/>
      <c r="I86" s="43"/>
      <c r="J86" s="43"/>
      <c r="K86" s="45"/>
      <c r="L86" s="46"/>
      <c r="M86" s="46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46"/>
      <c r="AG86" s="46"/>
      <c r="AH86" s="46"/>
      <c r="AI86" s="46"/>
      <c r="AJ86" s="46"/>
      <c r="AK86" s="46"/>
      <c r="AL86" s="46"/>
      <c r="AM86" s="46"/>
      <c r="AN86" s="46"/>
      <c r="AO86" s="46"/>
      <c r="AP86" s="46"/>
      <c r="AQ86" s="46"/>
      <c r="AR86" s="46"/>
      <c r="AS86" s="46"/>
      <c r="AT86" s="46"/>
      <c r="AU86" s="1"/>
      <c r="AV86" s="2"/>
    </row>
    <row r="87" spans="1:48" ht="20.25" customHeight="1" x14ac:dyDescent="0.25">
      <c r="A87" s="43"/>
      <c r="B87" s="43"/>
      <c r="C87" s="44"/>
      <c r="D87" s="43"/>
      <c r="E87" s="43"/>
      <c r="F87" s="43"/>
      <c r="G87" s="44"/>
      <c r="H87" s="23"/>
      <c r="I87" s="43"/>
      <c r="J87" s="43"/>
      <c r="K87" s="45"/>
      <c r="L87" s="46"/>
      <c r="M87" s="46"/>
      <c r="N87" s="46"/>
      <c r="O87" s="46"/>
      <c r="P87" s="46"/>
      <c r="Q87" s="46"/>
      <c r="R87" s="46"/>
      <c r="S87" s="46"/>
      <c r="T87" s="46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46"/>
      <c r="AG87" s="46"/>
      <c r="AH87" s="46"/>
      <c r="AI87" s="46"/>
      <c r="AJ87" s="46"/>
      <c r="AK87" s="46"/>
      <c r="AL87" s="46"/>
      <c r="AM87" s="46"/>
      <c r="AN87" s="46"/>
      <c r="AO87" s="46"/>
      <c r="AP87" s="46"/>
      <c r="AQ87" s="46"/>
      <c r="AR87" s="46"/>
      <c r="AS87" s="46"/>
      <c r="AT87" s="46"/>
      <c r="AU87" s="1"/>
      <c r="AV87" s="2"/>
    </row>
    <row r="88" spans="1:48" ht="20.25" customHeight="1" x14ac:dyDescent="0.25">
      <c r="A88" s="43"/>
      <c r="B88" s="43"/>
      <c r="C88" s="44"/>
      <c r="D88" s="43"/>
      <c r="E88" s="43"/>
      <c r="F88" s="43"/>
      <c r="G88" s="44"/>
      <c r="H88" s="23"/>
      <c r="I88" s="43"/>
      <c r="J88" s="43"/>
      <c r="K88" s="45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46"/>
      <c r="AG88" s="46"/>
      <c r="AH88" s="46"/>
      <c r="AI88" s="46"/>
      <c r="AJ88" s="46"/>
      <c r="AK88" s="46"/>
      <c r="AL88" s="46"/>
      <c r="AM88" s="46"/>
      <c r="AN88" s="46"/>
      <c r="AO88" s="46"/>
      <c r="AP88" s="46"/>
      <c r="AQ88" s="46"/>
      <c r="AR88" s="46"/>
      <c r="AS88" s="46"/>
      <c r="AT88" s="46"/>
      <c r="AU88" s="1"/>
      <c r="AV88" s="2"/>
    </row>
    <row r="89" spans="1:48" ht="20.25" customHeight="1" x14ac:dyDescent="0.25">
      <c r="A89" s="43"/>
      <c r="B89" s="43"/>
      <c r="C89" s="44"/>
      <c r="D89" s="43"/>
      <c r="E89" s="43"/>
      <c r="F89" s="43"/>
      <c r="G89" s="44"/>
      <c r="H89" s="23"/>
      <c r="I89" s="43"/>
      <c r="J89" s="43"/>
      <c r="K89" s="45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46"/>
      <c r="AG89" s="46"/>
      <c r="AH89" s="46"/>
      <c r="AI89" s="46"/>
      <c r="AJ89" s="46"/>
      <c r="AK89" s="46"/>
      <c r="AL89" s="46"/>
      <c r="AM89" s="46"/>
      <c r="AN89" s="46"/>
      <c r="AO89" s="46"/>
      <c r="AP89" s="46"/>
      <c r="AQ89" s="46"/>
      <c r="AR89" s="46"/>
      <c r="AS89" s="46"/>
      <c r="AT89" s="46"/>
      <c r="AU89" s="1"/>
      <c r="AV89" s="2"/>
    </row>
    <row r="90" spans="1:48" ht="20.25" customHeight="1" x14ac:dyDescent="0.25">
      <c r="A90" s="43"/>
      <c r="B90" s="43"/>
      <c r="C90" s="44"/>
      <c r="D90" s="43"/>
      <c r="E90" s="43"/>
      <c r="F90" s="43"/>
      <c r="G90" s="44"/>
      <c r="H90" s="23"/>
      <c r="I90" s="43"/>
      <c r="J90" s="43"/>
      <c r="K90" s="45"/>
      <c r="L90" s="46"/>
      <c r="M90" s="46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46"/>
      <c r="AG90" s="46"/>
      <c r="AH90" s="46"/>
      <c r="AI90" s="46"/>
      <c r="AJ90" s="46"/>
      <c r="AK90" s="46"/>
      <c r="AL90" s="46"/>
      <c r="AM90" s="46"/>
      <c r="AN90" s="46"/>
      <c r="AO90" s="46"/>
      <c r="AP90" s="46"/>
      <c r="AQ90" s="46"/>
      <c r="AR90" s="46"/>
      <c r="AS90" s="46"/>
      <c r="AT90" s="46"/>
      <c r="AU90" s="1"/>
      <c r="AV90" s="2"/>
    </row>
    <row r="91" spans="1:48" ht="20.25" customHeight="1" x14ac:dyDescent="0.25">
      <c r="A91" s="43"/>
      <c r="B91" s="43"/>
      <c r="C91" s="44"/>
      <c r="D91" s="43"/>
      <c r="E91" s="43"/>
      <c r="F91" s="43"/>
      <c r="G91" s="44"/>
      <c r="H91" s="23"/>
      <c r="I91" s="43"/>
      <c r="J91" s="43"/>
      <c r="K91" s="45"/>
      <c r="L91" s="46"/>
      <c r="M91" s="46"/>
      <c r="N91" s="46"/>
      <c r="O91" s="46"/>
      <c r="P91" s="46"/>
      <c r="Q91" s="46"/>
      <c r="R91" s="46"/>
      <c r="S91" s="46"/>
      <c r="T91" s="46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46"/>
      <c r="AG91" s="46"/>
      <c r="AH91" s="46"/>
      <c r="AI91" s="46"/>
      <c r="AJ91" s="46"/>
      <c r="AK91" s="46"/>
      <c r="AL91" s="46"/>
      <c r="AM91" s="46"/>
      <c r="AN91" s="46"/>
      <c r="AO91" s="46"/>
      <c r="AP91" s="46"/>
      <c r="AQ91" s="46"/>
      <c r="AR91" s="46"/>
      <c r="AS91" s="46"/>
      <c r="AT91" s="46"/>
      <c r="AU91" s="1"/>
      <c r="AV91" s="2"/>
    </row>
    <row r="92" spans="1:48" ht="20.25" customHeight="1" x14ac:dyDescent="0.25">
      <c r="A92" s="43"/>
      <c r="B92" s="43"/>
      <c r="C92" s="44"/>
      <c r="D92" s="43"/>
      <c r="E92" s="43"/>
      <c r="F92" s="43"/>
      <c r="G92" s="44"/>
      <c r="H92" s="23"/>
      <c r="I92" s="43"/>
      <c r="J92" s="43"/>
      <c r="K92" s="45"/>
      <c r="L92" s="46"/>
      <c r="M92" s="46"/>
      <c r="N92" s="46"/>
      <c r="O92" s="46"/>
      <c r="P92" s="46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46"/>
      <c r="AG92" s="46"/>
      <c r="AH92" s="46"/>
      <c r="AI92" s="46"/>
      <c r="AJ92" s="46"/>
      <c r="AK92" s="46"/>
      <c r="AL92" s="46"/>
      <c r="AM92" s="46"/>
      <c r="AN92" s="46"/>
      <c r="AO92" s="46"/>
      <c r="AP92" s="46"/>
      <c r="AQ92" s="46"/>
      <c r="AR92" s="46"/>
      <c r="AS92" s="46"/>
      <c r="AT92" s="46"/>
      <c r="AU92" s="1"/>
      <c r="AV92" s="2"/>
    </row>
    <row r="93" spans="1:48" ht="20.25" customHeight="1" x14ac:dyDescent="0.25">
      <c r="A93" s="43"/>
      <c r="B93" s="43"/>
      <c r="C93" s="44"/>
      <c r="D93" s="43"/>
      <c r="E93" s="43"/>
      <c r="F93" s="43"/>
      <c r="G93" s="44"/>
      <c r="H93" s="23"/>
      <c r="I93" s="43"/>
      <c r="J93" s="43"/>
      <c r="K93" s="45"/>
      <c r="L93" s="46"/>
      <c r="M93" s="46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46"/>
      <c r="AG93" s="46"/>
      <c r="AH93" s="46"/>
      <c r="AI93" s="46"/>
      <c r="AJ93" s="46"/>
      <c r="AK93" s="46"/>
      <c r="AL93" s="46"/>
      <c r="AM93" s="46"/>
      <c r="AN93" s="46"/>
      <c r="AO93" s="46"/>
      <c r="AP93" s="46"/>
      <c r="AQ93" s="46"/>
      <c r="AR93" s="46"/>
      <c r="AS93" s="46"/>
      <c r="AT93" s="46"/>
      <c r="AU93" s="1"/>
      <c r="AV93" s="2"/>
    </row>
    <row r="94" spans="1:48" ht="20.25" customHeight="1" x14ac:dyDescent="0.25">
      <c r="A94" s="43"/>
      <c r="B94" s="43"/>
      <c r="C94" s="44"/>
      <c r="D94" s="43"/>
      <c r="E94" s="43"/>
      <c r="F94" s="43"/>
      <c r="G94" s="44"/>
      <c r="H94" s="23"/>
      <c r="I94" s="43"/>
      <c r="J94" s="43"/>
      <c r="K94" s="45"/>
      <c r="L94" s="46"/>
      <c r="M94" s="46"/>
      <c r="N94" s="46"/>
      <c r="O94" s="46"/>
      <c r="P94" s="46"/>
      <c r="Q94" s="46"/>
      <c r="R94" s="46"/>
      <c r="S94" s="46"/>
      <c r="T94" s="46"/>
      <c r="U94" s="46"/>
      <c r="V94" s="46"/>
      <c r="W94" s="46"/>
      <c r="X94" s="46"/>
      <c r="Y94" s="46"/>
      <c r="Z94" s="46"/>
      <c r="AA94" s="46"/>
      <c r="AB94" s="46"/>
      <c r="AC94" s="46"/>
      <c r="AD94" s="46"/>
      <c r="AE94" s="46"/>
      <c r="AF94" s="46"/>
      <c r="AG94" s="46"/>
      <c r="AH94" s="46"/>
      <c r="AI94" s="46"/>
      <c r="AJ94" s="46"/>
      <c r="AK94" s="46"/>
      <c r="AL94" s="46"/>
      <c r="AM94" s="46"/>
      <c r="AN94" s="46"/>
      <c r="AO94" s="46"/>
      <c r="AP94" s="46"/>
      <c r="AQ94" s="46"/>
      <c r="AR94" s="46"/>
      <c r="AS94" s="46"/>
      <c r="AT94" s="46"/>
      <c r="AU94" s="1"/>
      <c r="AV94" s="2"/>
    </row>
    <row r="95" spans="1:48" ht="20.25" customHeight="1" x14ac:dyDescent="0.25">
      <c r="A95" s="43"/>
      <c r="B95" s="43"/>
      <c r="C95" s="44"/>
      <c r="D95" s="43"/>
      <c r="E95" s="43"/>
      <c r="F95" s="43"/>
      <c r="G95" s="44"/>
      <c r="H95" s="23"/>
      <c r="I95" s="43"/>
      <c r="J95" s="43"/>
      <c r="K95" s="45"/>
      <c r="L95" s="46"/>
      <c r="M95" s="46"/>
      <c r="N95" s="46"/>
      <c r="O95" s="46"/>
      <c r="P95" s="46"/>
      <c r="Q95" s="46"/>
      <c r="R95" s="46"/>
      <c r="S95" s="46"/>
      <c r="T95" s="46"/>
      <c r="U95" s="46"/>
      <c r="V95" s="46"/>
      <c r="W95" s="46"/>
      <c r="X95" s="46"/>
      <c r="Y95" s="46"/>
      <c r="Z95" s="46"/>
      <c r="AA95" s="46"/>
      <c r="AB95" s="46"/>
      <c r="AC95" s="46"/>
      <c r="AD95" s="46"/>
      <c r="AE95" s="46"/>
      <c r="AF95" s="46"/>
      <c r="AG95" s="46"/>
      <c r="AH95" s="46"/>
      <c r="AI95" s="46"/>
      <c r="AJ95" s="46"/>
      <c r="AK95" s="46"/>
      <c r="AL95" s="46"/>
      <c r="AM95" s="46"/>
      <c r="AN95" s="46"/>
      <c r="AO95" s="46"/>
      <c r="AP95" s="46"/>
      <c r="AQ95" s="46"/>
      <c r="AR95" s="46"/>
      <c r="AS95" s="46"/>
      <c r="AT95" s="46"/>
      <c r="AU95" s="1"/>
      <c r="AV95" s="2"/>
    </row>
    <row r="96" spans="1:48" ht="20.25" customHeight="1" x14ac:dyDescent="0.25">
      <c r="A96" s="43"/>
      <c r="B96" s="43"/>
      <c r="C96" s="44"/>
      <c r="D96" s="43"/>
      <c r="E96" s="43"/>
      <c r="F96" s="43"/>
      <c r="G96" s="44"/>
      <c r="H96" s="23"/>
      <c r="I96" s="43"/>
      <c r="J96" s="43"/>
      <c r="K96" s="45"/>
      <c r="L96" s="46"/>
      <c r="M96" s="46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46"/>
      <c r="Z96" s="46"/>
      <c r="AA96" s="46"/>
      <c r="AB96" s="46"/>
      <c r="AC96" s="46"/>
      <c r="AD96" s="46"/>
      <c r="AE96" s="46"/>
      <c r="AF96" s="46"/>
      <c r="AG96" s="46"/>
      <c r="AH96" s="46"/>
      <c r="AI96" s="46"/>
      <c r="AJ96" s="46"/>
      <c r="AK96" s="46"/>
      <c r="AL96" s="46"/>
      <c r="AM96" s="46"/>
      <c r="AN96" s="46"/>
      <c r="AO96" s="46"/>
      <c r="AP96" s="46"/>
      <c r="AQ96" s="46"/>
      <c r="AR96" s="46"/>
      <c r="AS96" s="46"/>
      <c r="AT96" s="46"/>
      <c r="AU96" s="1"/>
      <c r="AV96" s="2"/>
    </row>
    <row r="97" spans="1:48" ht="20.25" customHeight="1" x14ac:dyDescent="0.25">
      <c r="A97" s="43"/>
      <c r="B97" s="43"/>
      <c r="C97" s="44"/>
      <c r="D97" s="43"/>
      <c r="E97" s="43"/>
      <c r="F97" s="43"/>
      <c r="G97" s="44"/>
      <c r="H97" s="23"/>
      <c r="I97" s="43"/>
      <c r="J97" s="43"/>
      <c r="K97" s="45"/>
      <c r="L97" s="46"/>
      <c r="M97" s="46"/>
      <c r="N97" s="46"/>
      <c r="O97" s="46"/>
      <c r="P97" s="46"/>
      <c r="Q97" s="46"/>
      <c r="R97" s="46"/>
      <c r="S97" s="46"/>
      <c r="T97" s="46"/>
      <c r="U97" s="46"/>
      <c r="V97" s="46"/>
      <c r="W97" s="46"/>
      <c r="X97" s="46"/>
      <c r="Y97" s="46"/>
      <c r="Z97" s="46"/>
      <c r="AA97" s="46"/>
      <c r="AB97" s="46"/>
      <c r="AC97" s="46"/>
      <c r="AD97" s="46"/>
      <c r="AE97" s="46"/>
      <c r="AF97" s="46"/>
      <c r="AG97" s="46"/>
      <c r="AH97" s="46"/>
      <c r="AI97" s="46"/>
      <c r="AJ97" s="46"/>
      <c r="AK97" s="46"/>
      <c r="AL97" s="46"/>
      <c r="AM97" s="46"/>
      <c r="AN97" s="46"/>
      <c r="AO97" s="46"/>
      <c r="AP97" s="46"/>
      <c r="AQ97" s="46"/>
      <c r="AR97" s="46"/>
      <c r="AS97" s="46"/>
      <c r="AT97" s="46"/>
      <c r="AU97" s="1"/>
      <c r="AV97" s="2"/>
    </row>
    <row r="98" spans="1:48" ht="20.25" customHeight="1" x14ac:dyDescent="0.25">
      <c r="A98" s="43"/>
      <c r="B98" s="43"/>
      <c r="C98" s="44"/>
      <c r="D98" s="43"/>
      <c r="E98" s="43"/>
      <c r="F98" s="43"/>
      <c r="G98" s="44"/>
      <c r="H98" s="23"/>
      <c r="I98" s="43"/>
      <c r="J98" s="43"/>
      <c r="K98" s="45"/>
      <c r="L98" s="46"/>
      <c r="M98" s="46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  <c r="AA98" s="46"/>
      <c r="AB98" s="46"/>
      <c r="AC98" s="46"/>
      <c r="AD98" s="46"/>
      <c r="AE98" s="46"/>
      <c r="AF98" s="46"/>
      <c r="AG98" s="46"/>
      <c r="AH98" s="46"/>
      <c r="AI98" s="46"/>
      <c r="AJ98" s="46"/>
      <c r="AK98" s="46"/>
      <c r="AL98" s="46"/>
      <c r="AM98" s="46"/>
      <c r="AN98" s="46"/>
      <c r="AO98" s="46"/>
      <c r="AP98" s="46"/>
      <c r="AQ98" s="46"/>
      <c r="AR98" s="46"/>
      <c r="AS98" s="46"/>
      <c r="AT98" s="46"/>
      <c r="AU98" s="1"/>
      <c r="AV98" s="2"/>
    </row>
    <row r="99" spans="1:48" ht="20.25" customHeight="1" x14ac:dyDescent="0.25">
      <c r="A99" s="43"/>
      <c r="B99" s="43"/>
      <c r="C99" s="44"/>
      <c r="D99" s="43"/>
      <c r="E99" s="43"/>
      <c r="F99" s="43"/>
      <c r="G99" s="44"/>
      <c r="H99" s="23"/>
      <c r="I99" s="43"/>
      <c r="J99" s="43"/>
      <c r="K99" s="45"/>
      <c r="L99" s="46"/>
      <c r="M99" s="46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46"/>
      <c r="AG99" s="46"/>
      <c r="AH99" s="46"/>
      <c r="AI99" s="46"/>
      <c r="AJ99" s="46"/>
      <c r="AK99" s="46"/>
      <c r="AL99" s="46"/>
      <c r="AM99" s="46"/>
      <c r="AN99" s="46"/>
      <c r="AO99" s="46"/>
      <c r="AP99" s="46"/>
      <c r="AQ99" s="46"/>
      <c r="AR99" s="46"/>
      <c r="AS99" s="46"/>
      <c r="AT99" s="46"/>
      <c r="AU99" s="1"/>
      <c r="AV99" s="2"/>
    </row>
    <row r="100" spans="1:48" ht="20.25" customHeight="1" x14ac:dyDescent="0.25">
      <c r="A100" s="43"/>
      <c r="B100" s="43"/>
      <c r="C100" s="44"/>
      <c r="D100" s="43"/>
      <c r="E100" s="43"/>
      <c r="F100" s="43"/>
      <c r="G100" s="44"/>
      <c r="H100" s="23"/>
      <c r="I100" s="43"/>
      <c r="J100" s="43"/>
      <c r="K100" s="45"/>
      <c r="L100" s="46"/>
      <c r="M100" s="46"/>
      <c r="N100" s="46"/>
      <c r="O100" s="46"/>
      <c r="P100" s="46"/>
      <c r="Q100" s="46"/>
      <c r="R100" s="46"/>
      <c r="S100" s="46"/>
      <c r="T100" s="46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46"/>
      <c r="AG100" s="46"/>
      <c r="AH100" s="46"/>
      <c r="AI100" s="46"/>
      <c r="AJ100" s="46"/>
      <c r="AK100" s="46"/>
      <c r="AL100" s="46"/>
      <c r="AM100" s="46"/>
      <c r="AN100" s="46"/>
      <c r="AO100" s="46"/>
      <c r="AP100" s="46"/>
      <c r="AQ100" s="46"/>
      <c r="AR100" s="46"/>
      <c r="AS100" s="46"/>
      <c r="AT100" s="46"/>
      <c r="AU100" s="1"/>
      <c r="AV100" s="2"/>
    </row>
    <row r="101" spans="1:48" ht="20.25" customHeight="1" x14ac:dyDescent="0.25">
      <c r="A101" s="43"/>
      <c r="B101" s="43"/>
      <c r="C101" s="44"/>
      <c r="D101" s="43"/>
      <c r="E101" s="43"/>
      <c r="F101" s="43"/>
      <c r="G101" s="44"/>
      <c r="H101" s="23"/>
      <c r="I101" s="43"/>
      <c r="J101" s="43"/>
      <c r="K101" s="45"/>
      <c r="L101" s="46"/>
      <c r="M101" s="46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46"/>
      <c r="AG101" s="46"/>
      <c r="AH101" s="46"/>
      <c r="AI101" s="46"/>
      <c r="AJ101" s="46"/>
      <c r="AK101" s="46"/>
      <c r="AL101" s="46"/>
      <c r="AM101" s="46"/>
      <c r="AN101" s="46"/>
      <c r="AO101" s="46"/>
      <c r="AP101" s="46"/>
      <c r="AQ101" s="46"/>
      <c r="AR101" s="46"/>
      <c r="AS101" s="46"/>
      <c r="AT101" s="46"/>
      <c r="AU101" s="1"/>
      <c r="AV101" s="2"/>
    </row>
    <row r="102" spans="1:48" ht="20.25" customHeight="1" x14ac:dyDescent="0.25">
      <c r="A102" s="43"/>
      <c r="B102" s="43"/>
      <c r="C102" s="44"/>
      <c r="D102" s="43"/>
      <c r="E102" s="43"/>
      <c r="F102" s="43"/>
      <c r="G102" s="44"/>
      <c r="H102" s="23"/>
      <c r="I102" s="43"/>
      <c r="J102" s="43"/>
      <c r="K102" s="45"/>
      <c r="L102" s="46"/>
      <c r="M102" s="46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6"/>
      <c r="AF102" s="46"/>
      <c r="AG102" s="46"/>
      <c r="AH102" s="46"/>
      <c r="AI102" s="46"/>
      <c r="AJ102" s="46"/>
      <c r="AK102" s="46"/>
      <c r="AL102" s="46"/>
      <c r="AM102" s="46"/>
      <c r="AN102" s="46"/>
      <c r="AO102" s="46"/>
      <c r="AP102" s="46"/>
      <c r="AQ102" s="46"/>
      <c r="AR102" s="46"/>
      <c r="AS102" s="46"/>
      <c r="AT102" s="46"/>
      <c r="AU102" s="1"/>
      <c r="AV102" s="2"/>
    </row>
    <row r="103" spans="1:48" ht="20.25" customHeight="1" x14ac:dyDescent="0.25">
      <c r="A103" s="43"/>
      <c r="B103" s="43"/>
      <c r="C103" s="44"/>
      <c r="D103" s="43"/>
      <c r="E103" s="43"/>
      <c r="F103" s="43"/>
      <c r="G103" s="44"/>
      <c r="H103" s="23"/>
      <c r="I103" s="43"/>
      <c r="J103" s="43"/>
      <c r="K103" s="45"/>
      <c r="L103" s="46"/>
      <c r="M103" s="46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  <c r="AE103" s="46"/>
      <c r="AF103" s="46"/>
      <c r="AG103" s="46"/>
      <c r="AH103" s="46"/>
      <c r="AI103" s="46"/>
      <c r="AJ103" s="46"/>
      <c r="AK103" s="46"/>
      <c r="AL103" s="46"/>
      <c r="AM103" s="46"/>
      <c r="AN103" s="46"/>
      <c r="AO103" s="46"/>
      <c r="AP103" s="46"/>
      <c r="AQ103" s="46"/>
      <c r="AR103" s="46"/>
      <c r="AS103" s="46"/>
      <c r="AT103" s="46"/>
      <c r="AU103" s="1"/>
      <c r="AV103" s="2"/>
    </row>
    <row r="104" spans="1:48" ht="20.25" customHeight="1" x14ac:dyDescent="0.25">
      <c r="A104" s="43"/>
      <c r="B104" s="43"/>
      <c r="C104" s="44"/>
      <c r="D104" s="43"/>
      <c r="E104" s="43"/>
      <c r="F104" s="43"/>
      <c r="G104" s="44"/>
      <c r="H104" s="23"/>
      <c r="I104" s="43"/>
      <c r="J104" s="43"/>
      <c r="K104" s="45"/>
      <c r="L104" s="46"/>
      <c r="M104" s="46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  <c r="AE104" s="46"/>
      <c r="AF104" s="46"/>
      <c r="AG104" s="46"/>
      <c r="AH104" s="46"/>
      <c r="AI104" s="46"/>
      <c r="AJ104" s="46"/>
      <c r="AK104" s="46"/>
      <c r="AL104" s="46"/>
      <c r="AM104" s="46"/>
      <c r="AN104" s="46"/>
      <c r="AO104" s="46"/>
      <c r="AP104" s="46"/>
      <c r="AQ104" s="46"/>
      <c r="AR104" s="46"/>
      <c r="AS104" s="46"/>
      <c r="AT104" s="46"/>
      <c r="AU104" s="1"/>
      <c r="AV104" s="2"/>
    </row>
    <row r="105" spans="1:48" ht="20.25" customHeight="1" x14ac:dyDescent="0.25">
      <c r="A105" s="43"/>
      <c r="B105" s="43"/>
      <c r="C105" s="44"/>
      <c r="D105" s="43"/>
      <c r="E105" s="43"/>
      <c r="F105" s="43"/>
      <c r="G105" s="44"/>
      <c r="H105" s="23"/>
      <c r="I105" s="43"/>
      <c r="J105" s="43"/>
      <c r="K105" s="45"/>
      <c r="L105" s="46"/>
      <c r="M105" s="46"/>
      <c r="N105" s="46"/>
      <c r="O105" s="46"/>
      <c r="P105" s="46"/>
      <c r="Q105" s="46"/>
      <c r="R105" s="46"/>
      <c r="S105" s="46"/>
      <c r="T105" s="46"/>
      <c r="U105" s="46"/>
      <c r="V105" s="46"/>
      <c r="W105" s="46"/>
      <c r="X105" s="46"/>
      <c r="Y105" s="46"/>
      <c r="Z105" s="46"/>
      <c r="AA105" s="46"/>
      <c r="AB105" s="46"/>
      <c r="AC105" s="46"/>
      <c r="AD105" s="46"/>
      <c r="AE105" s="46"/>
      <c r="AF105" s="46"/>
      <c r="AG105" s="46"/>
      <c r="AH105" s="46"/>
      <c r="AI105" s="46"/>
      <c r="AJ105" s="46"/>
      <c r="AK105" s="46"/>
      <c r="AL105" s="46"/>
      <c r="AM105" s="46"/>
      <c r="AN105" s="46"/>
      <c r="AO105" s="46"/>
      <c r="AP105" s="46"/>
      <c r="AQ105" s="46"/>
      <c r="AR105" s="46"/>
      <c r="AS105" s="46"/>
      <c r="AT105" s="46"/>
      <c r="AU105" s="1"/>
      <c r="AV105" s="2"/>
    </row>
    <row r="106" spans="1:48" ht="20.25" customHeight="1" x14ac:dyDescent="0.25">
      <c r="A106" s="43"/>
      <c r="B106" s="43"/>
      <c r="C106" s="44"/>
      <c r="D106" s="43"/>
      <c r="E106" s="43"/>
      <c r="F106" s="43"/>
      <c r="G106" s="44"/>
      <c r="H106" s="23"/>
      <c r="I106" s="43"/>
      <c r="J106" s="43"/>
      <c r="K106" s="45"/>
      <c r="L106" s="46"/>
      <c r="M106" s="46"/>
      <c r="N106" s="46"/>
      <c r="O106" s="46"/>
      <c r="P106" s="46"/>
      <c r="Q106" s="46"/>
      <c r="R106" s="46"/>
      <c r="S106" s="46"/>
      <c r="T106" s="46"/>
      <c r="U106" s="46"/>
      <c r="V106" s="46"/>
      <c r="W106" s="46"/>
      <c r="X106" s="46"/>
      <c r="Y106" s="46"/>
      <c r="Z106" s="46"/>
      <c r="AA106" s="46"/>
      <c r="AB106" s="46"/>
      <c r="AC106" s="46"/>
      <c r="AD106" s="46"/>
      <c r="AE106" s="46"/>
      <c r="AF106" s="46"/>
      <c r="AG106" s="46"/>
      <c r="AH106" s="46"/>
      <c r="AI106" s="46"/>
      <c r="AJ106" s="46"/>
      <c r="AK106" s="46"/>
      <c r="AL106" s="46"/>
      <c r="AM106" s="46"/>
      <c r="AN106" s="46"/>
      <c r="AO106" s="46"/>
      <c r="AP106" s="46"/>
      <c r="AQ106" s="46"/>
      <c r="AR106" s="46"/>
      <c r="AS106" s="46"/>
      <c r="AT106" s="46"/>
      <c r="AU106" s="1"/>
      <c r="AV106" s="2"/>
    </row>
    <row r="107" spans="1:48" ht="20.25" customHeight="1" x14ac:dyDescent="0.25">
      <c r="A107" s="43"/>
      <c r="B107" s="43"/>
      <c r="C107" s="44"/>
      <c r="D107" s="43"/>
      <c r="E107" s="43"/>
      <c r="F107" s="43"/>
      <c r="G107" s="44"/>
      <c r="H107" s="23"/>
      <c r="I107" s="43"/>
      <c r="J107" s="43"/>
      <c r="K107" s="45"/>
      <c r="L107" s="46"/>
      <c r="M107" s="46"/>
      <c r="N107" s="46"/>
      <c r="O107" s="46"/>
      <c r="P107" s="46"/>
      <c r="Q107" s="46"/>
      <c r="R107" s="46"/>
      <c r="S107" s="46"/>
      <c r="T107" s="46"/>
      <c r="U107" s="46"/>
      <c r="V107" s="46"/>
      <c r="W107" s="46"/>
      <c r="X107" s="46"/>
      <c r="Y107" s="46"/>
      <c r="Z107" s="46"/>
      <c r="AA107" s="46"/>
      <c r="AB107" s="46"/>
      <c r="AC107" s="46"/>
      <c r="AD107" s="46"/>
      <c r="AE107" s="46"/>
      <c r="AF107" s="46"/>
      <c r="AG107" s="46"/>
      <c r="AH107" s="46"/>
      <c r="AI107" s="46"/>
      <c r="AJ107" s="46"/>
      <c r="AK107" s="46"/>
      <c r="AL107" s="46"/>
      <c r="AM107" s="46"/>
      <c r="AN107" s="46"/>
      <c r="AO107" s="46"/>
      <c r="AP107" s="46"/>
      <c r="AQ107" s="46"/>
      <c r="AR107" s="46"/>
      <c r="AS107" s="46"/>
      <c r="AT107" s="46"/>
      <c r="AU107" s="1"/>
      <c r="AV107" s="2"/>
    </row>
    <row r="108" spans="1:48" ht="20.25" customHeight="1" x14ac:dyDescent="0.25">
      <c r="A108" s="43"/>
      <c r="B108" s="43"/>
      <c r="C108" s="44"/>
      <c r="D108" s="43"/>
      <c r="E108" s="43"/>
      <c r="F108" s="43"/>
      <c r="G108" s="44"/>
      <c r="H108" s="23"/>
      <c r="I108" s="43"/>
      <c r="J108" s="43"/>
      <c r="K108" s="45"/>
      <c r="L108" s="46"/>
      <c r="M108" s="46"/>
      <c r="N108" s="46"/>
      <c r="O108" s="46"/>
      <c r="P108" s="46"/>
      <c r="Q108" s="46"/>
      <c r="R108" s="46"/>
      <c r="S108" s="46"/>
      <c r="T108" s="46"/>
      <c r="U108" s="46"/>
      <c r="V108" s="46"/>
      <c r="W108" s="46"/>
      <c r="X108" s="46"/>
      <c r="Y108" s="46"/>
      <c r="Z108" s="46"/>
      <c r="AA108" s="46"/>
      <c r="AB108" s="46"/>
      <c r="AC108" s="46"/>
      <c r="AD108" s="46"/>
      <c r="AE108" s="46"/>
      <c r="AF108" s="46"/>
      <c r="AG108" s="46"/>
      <c r="AH108" s="46"/>
      <c r="AI108" s="46"/>
      <c r="AJ108" s="46"/>
      <c r="AK108" s="46"/>
      <c r="AL108" s="46"/>
      <c r="AM108" s="46"/>
      <c r="AN108" s="46"/>
      <c r="AO108" s="46"/>
      <c r="AP108" s="46"/>
      <c r="AQ108" s="46"/>
      <c r="AR108" s="46"/>
      <c r="AS108" s="46"/>
      <c r="AT108" s="46"/>
      <c r="AU108" s="1"/>
      <c r="AV108" s="2"/>
    </row>
    <row r="109" spans="1:48" ht="20.25" customHeight="1" x14ac:dyDescent="0.25">
      <c r="A109" s="43"/>
      <c r="B109" s="43"/>
      <c r="C109" s="44"/>
      <c r="D109" s="43"/>
      <c r="E109" s="43"/>
      <c r="F109" s="43"/>
      <c r="G109" s="44"/>
      <c r="H109" s="23"/>
      <c r="I109" s="43"/>
      <c r="J109" s="43"/>
      <c r="K109" s="45"/>
      <c r="L109" s="46"/>
      <c r="M109" s="46"/>
      <c r="N109" s="46"/>
      <c r="O109" s="46"/>
      <c r="P109" s="46"/>
      <c r="Q109" s="46"/>
      <c r="R109" s="46"/>
      <c r="S109" s="46"/>
      <c r="T109" s="46"/>
      <c r="U109" s="46"/>
      <c r="V109" s="46"/>
      <c r="W109" s="46"/>
      <c r="X109" s="46"/>
      <c r="Y109" s="46"/>
      <c r="Z109" s="46"/>
      <c r="AA109" s="46"/>
      <c r="AB109" s="46"/>
      <c r="AC109" s="46"/>
      <c r="AD109" s="46"/>
      <c r="AE109" s="46"/>
      <c r="AF109" s="46"/>
      <c r="AG109" s="46"/>
      <c r="AH109" s="46"/>
      <c r="AI109" s="46"/>
      <c r="AJ109" s="46"/>
      <c r="AK109" s="46"/>
      <c r="AL109" s="46"/>
      <c r="AM109" s="46"/>
      <c r="AN109" s="46"/>
      <c r="AO109" s="46"/>
      <c r="AP109" s="46"/>
      <c r="AQ109" s="46"/>
      <c r="AR109" s="46"/>
      <c r="AS109" s="46"/>
      <c r="AT109" s="46"/>
      <c r="AU109" s="1"/>
      <c r="AV109" s="2"/>
    </row>
    <row r="110" spans="1:48" ht="20.25" customHeight="1" x14ac:dyDescent="0.25">
      <c r="A110" s="43"/>
      <c r="B110" s="43"/>
      <c r="C110" s="44"/>
      <c r="D110" s="43"/>
      <c r="E110" s="43"/>
      <c r="F110" s="43"/>
      <c r="G110" s="44"/>
      <c r="H110" s="23"/>
      <c r="I110" s="43"/>
      <c r="J110" s="43"/>
      <c r="K110" s="45"/>
      <c r="L110" s="46"/>
      <c r="M110" s="46"/>
      <c r="N110" s="46"/>
      <c r="O110" s="46"/>
      <c r="P110" s="46"/>
      <c r="Q110" s="46"/>
      <c r="R110" s="46"/>
      <c r="S110" s="46"/>
      <c r="T110" s="46"/>
      <c r="U110" s="46"/>
      <c r="V110" s="46"/>
      <c r="W110" s="46"/>
      <c r="X110" s="46"/>
      <c r="Y110" s="46"/>
      <c r="Z110" s="46"/>
      <c r="AA110" s="46"/>
      <c r="AB110" s="46"/>
      <c r="AC110" s="46"/>
      <c r="AD110" s="46"/>
      <c r="AE110" s="46"/>
      <c r="AF110" s="46"/>
      <c r="AG110" s="46"/>
      <c r="AH110" s="46"/>
      <c r="AI110" s="46"/>
      <c r="AJ110" s="46"/>
      <c r="AK110" s="46"/>
      <c r="AL110" s="46"/>
      <c r="AM110" s="46"/>
      <c r="AN110" s="46"/>
      <c r="AO110" s="46"/>
      <c r="AP110" s="46"/>
      <c r="AQ110" s="46"/>
      <c r="AR110" s="46"/>
      <c r="AS110" s="46"/>
      <c r="AT110" s="46"/>
      <c r="AU110" s="1"/>
      <c r="AV110" s="2"/>
    </row>
    <row r="111" spans="1:48" ht="20.25" customHeight="1" x14ac:dyDescent="0.25">
      <c r="A111" s="43"/>
      <c r="B111" s="43"/>
      <c r="C111" s="44"/>
      <c r="D111" s="43"/>
      <c r="E111" s="43"/>
      <c r="F111" s="43"/>
      <c r="G111" s="44"/>
      <c r="H111" s="23"/>
      <c r="I111" s="43"/>
      <c r="J111" s="43"/>
      <c r="K111" s="45"/>
      <c r="L111" s="46"/>
      <c r="M111" s="46"/>
      <c r="N111" s="46"/>
      <c r="O111" s="46"/>
      <c r="P111" s="46"/>
      <c r="Q111" s="46"/>
      <c r="R111" s="46"/>
      <c r="S111" s="46"/>
      <c r="T111" s="46"/>
      <c r="U111" s="46"/>
      <c r="V111" s="46"/>
      <c r="W111" s="46"/>
      <c r="X111" s="46"/>
      <c r="Y111" s="46"/>
      <c r="Z111" s="46"/>
      <c r="AA111" s="46"/>
      <c r="AB111" s="46"/>
      <c r="AC111" s="46"/>
      <c r="AD111" s="46"/>
      <c r="AE111" s="46"/>
      <c r="AF111" s="46"/>
      <c r="AG111" s="46"/>
      <c r="AH111" s="46"/>
      <c r="AI111" s="46"/>
      <c r="AJ111" s="46"/>
      <c r="AK111" s="46"/>
      <c r="AL111" s="46"/>
      <c r="AM111" s="46"/>
      <c r="AN111" s="46"/>
      <c r="AO111" s="46"/>
      <c r="AP111" s="46"/>
      <c r="AQ111" s="46"/>
      <c r="AR111" s="46"/>
      <c r="AS111" s="46"/>
      <c r="AT111" s="46"/>
      <c r="AU111" s="1"/>
      <c r="AV111" s="2"/>
    </row>
    <row r="112" spans="1:48" ht="20.25" customHeight="1" x14ac:dyDescent="0.25">
      <c r="A112" s="43"/>
      <c r="B112" s="43"/>
      <c r="C112" s="44"/>
      <c r="D112" s="43"/>
      <c r="E112" s="43"/>
      <c r="F112" s="43"/>
      <c r="G112" s="44"/>
      <c r="H112" s="23"/>
      <c r="I112" s="43"/>
      <c r="J112" s="43"/>
      <c r="K112" s="45"/>
      <c r="L112" s="46"/>
      <c r="M112" s="46"/>
      <c r="N112" s="46"/>
      <c r="O112" s="46"/>
      <c r="P112" s="46"/>
      <c r="Q112" s="46"/>
      <c r="R112" s="46"/>
      <c r="S112" s="46"/>
      <c r="T112" s="46"/>
      <c r="U112" s="46"/>
      <c r="V112" s="46"/>
      <c r="W112" s="46"/>
      <c r="X112" s="46"/>
      <c r="Y112" s="46"/>
      <c r="Z112" s="46"/>
      <c r="AA112" s="46"/>
      <c r="AB112" s="46"/>
      <c r="AC112" s="46"/>
      <c r="AD112" s="46"/>
      <c r="AE112" s="46"/>
      <c r="AF112" s="46"/>
      <c r="AG112" s="46"/>
      <c r="AH112" s="46"/>
      <c r="AI112" s="46"/>
      <c r="AJ112" s="46"/>
      <c r="AK112" s="46"/>
      <c r="AL112" s="46"/>
      <c r="AM112" s="46"/>
      <c r="AN112" s="46"/>
      <c r="AO112" s="46"/>
      <c r="AP112" s="46"/>
      <c r="AQ112" s="46"/>
      <c r="AR112" s="46"/>
      <c r="AS112" s="46"/>
      <c r="AT112" s="46"/>
      <c r="AU112" s="1"/>
      <c r="AV112" s="2"/>
    </row>
    <row r="113" spans="1:48" ht="20.25" customHeight="1" x14ac:dyDescent="0.25">
      <c r="A113" s="43"/>
      <c r="B113" s="43"/>
      <c r="C113" s="44"/>
      <c r="D113" s="43"/>
      <c r="E113" s="43"/>
      <c r="F113" s="43"/>
      <c r="G113" s="44"/>
      <c r="H113" s="23"/>
      <c r="I113" s="43"/>
      <c r="J113" s="43"/>
      <c r="K113" s="45"/>
      <c r="L113" s="46"/>
      <c r="M113" s="46"/>
      <c r="N113" s="46"/>
      <c r="O113" s="46"/>
      <c r="P113" s="46"/>
      <c r="Q113" s="46"/>
      <c r="R113" s="46"/>
      <c r="S113" s="46"/>
      <c r="T113" s="46"/>
      <c r="U113" s="46"/>
      <c r="V113" s="46"/>
      <c r="W113" s="46"/>
      <c r="X113" s="46"/>
      <c r="Y113" s="46"/>
      <c r="Z113" s="46"/>
      <c r="AA113" s="46"/>
      <c r="AB113" s="46"/>
      <c r="AC113" s="46"/>
      <c r="AD113" s="46"/>
      <c r="AE113" s="46"/>
      <c r="AF113" s="46"/>
      <c r="AG113" s="46"/>
      <c r="AH113" s="46"/>
      <c r="AI113" s="46"/>
      <c r="AJ113" s="46"/>
      <c r="AK113" s="46"/>
      <c r="AL113" s="46"/>
      <c r="AM113" s="46"/>
      <c r="AN113" s="46"/>
      <c r="AO113" s="46"/>
      <c r="AP113" s="46"/>
      <c r="AQ113" s="46"/>
      <c r="AR113" s="46"/>
      <c r="AS113" s="46"/>
      <c r="AT113" s="46"/>
      <c r="AU113" s="1"/>
      <c r="AV113" s="2"/>
    </row>
    <row r="114" spans="1:48" ht="20.25" customHeight="1" x14ac:dyDescent="0.25">
      <c r="A114" s="43"/>
      <c r="B114" s="43"/>
      <c r="C114" s="44"/>
      <c r="D114" s="43"/>
      <c r="E114" s="43"/>
      <c r="F114" s="43"/>
      <c r="G114" s="44"/>
      <c r="H114" s="23"/>
      <c r="I114" s="43"/>
      <c r="J114" s="43"/>
      <c r="K114" s="45"/>
      <c r="L114" s="46"/>
      <c r="M114" s="46"/>
      <c r="N114" s="46"/>
      <c r="O114" s="46"/>
      <c r="P114" s="46"/>
      <c r="Q114" s="46"/>
      <c r="R114" s="46"/>
      <c r="S114" s="46"/>
      <c r="T114" s="46"/>
      <c r="U114" s="46"/>
      <c r="V114" s="46"/>
      <c r="W114" s="46"/>
      <c r="X114" s="46"/>
      <c r="Y114" s="46"/>
      <c r="Z114" s="46"/>
      <c r="AA114" s="46"/>
      <c r="AB114" s="46"/>
      <c r="AC114" s="46"/>
      <c r="AD114" s="46"/>
      <c r="AE114" s="46"/>
      <c r="AF114" s="46"/>
      <c r="AG114" s="46"/>
      <c r="AH114" s="46"/>
      <c r="AI114" s="46"/>
      <c r="AJ114" s="46"/>
      <c r="AK114" s="46"/>
      <c r="AL114" s="46"/>
      <c r="AM114" s="46"/>
      <c r="AN114" s="46"/>
      <c r="AO114" s="46"/>
      <c r="AP114" s="46"/>
      <c r="AQ114" s="46"/>
      <c r="AR114" s="46"/>
      <c r="AS114" s="46"/>
      <c r="AT114" s="46"/>
      <c r="AU114" s="1"/>
      <c r="AV114" s="2"/>
    </row>
    <row r="115" spans="1:48" ht="20.25" customHeight="1" x14ac:dyDescent="0.25">
      <c r="A115" s="43"/>
      <c r="B115" s="43"/>
      <c r="C115" s="44"/>
      <c r="D115" s="43"/>
      <c r="E115" s="43"/>
      <c r="F115" s="43"/>
      <c r="G115" s="44"/>
      <c r="H115" s="23"/>
      <c r="I115" s="43"/>
      <c r="J115" s="43"/>
      <c r="K115" s="45"/>
      <c r="L115" s="46"/>
      <c r="M115" s="46"/>
      <c r="N115" s="46"/>
      <c r="O115" s="46"/>
      <c r="P115" s="46"/>
      <c r="Q115" s="46"/>
      <c r="R115" s="46"/>
      <c r="S115" s="46"/>
      <c r="T115" s="46"/>
      <c r="U115" s="46"/>
      <c r="V115" s="46"/>
      <c r="W115" s="46"/>
      <c r="X115" s="46"/>
      <c r="Y115" s="46"/>
      <c r="Z115" s="46"/>
      <c r="AA115" s="46"/>
      <c r="AB115" s="46"/>
      <c r="AC115" s="46"/>
      <c r="AD115" s="46"/>
      <c r="AE115" s="46"/>
      <c r="AF115" s="46"/>
      <c r="AG115" s="46"/>
      <c r="AH115" s="46"/>
      <c r="AI115" s="46"/>
      <c r="AJ115" s="46"/>
      <c r="AK115" s="46"/>
      <c r="AL115" s="46"/>
      <c r="AM115" s="46"/>
      <c r="AN115" s="46"/>
      <c r="AO115" s="46"/>
      <c r="AP115" s="46"/>
      <c r="AQ115" s="46"/>
      <c r="AR115" s="46"/>
      <c r="AS115" s="46"/>
      <c r="AT115" s="46"/>
      <c r="AU115" s="1"/>
      <c r="AV115" s="2"/>
    </row>
    <row r="116" spans="1:48" ht="20.25" customHeight="1" x14ac:dyDescent="0.25">
      <c r="A116" s="43"/>
      <c r="B116" s="43"/>
      <c r="C116" s="44"/>
      <c r="D116" s="43"/>
      <c r="E116" s="43"/>
      <c r="F116" s="43"/>
      <c r="G116" s="44"/>
      <c r="H116" s="23"/>
      <c r="I116" s="43"/>
      <c r="J116" s="43"/>
      <c r="K116" s="45"/>
      <c r="L116" s="46"/>
      <c r="M116" s="46"/>
      <c r="N116" s="46"/>
      <c r="O116" s="46"/>
      <c r="P116" s="46"/>
      <c r="Q116" s="46"/>
      <c r="R116" s="46"/>
      <c r="S116" s="46"/>
      <c r="T116" s="46"/>
      <c r="U116" s="46"/>
      <c r="V116" s="46"/>
      <c r="W116" s="46"/>
      <c r="X116" s="46"/>
      <c r="Y116" s="46"/>
      <c r="Z116" s="46"/>
      <c r="AA116" s="46"/>
      <c r="AB116" s="46"/>
      <c r="AC116" s="46"/>
      <c r="AD116" s="46"/>
      <c r="AE116" s="46"/>
      <c r="AF116" s="46"/>
      <c r="AG116" s="46"/>
      <c r="AH116" s="46"/>
      <c r="AI116" s="46"/>
      <c r="AJ116" s="46"/>
      <c r="AK116" s="46"/>
      <c r="AL116" s="46"/>
      <c r="AM116" s="46"/>
      <c r="AN116" s="46"/>
      <c r="AO116" s="46"/>
      <c r="AP116" s="46"/>
      <c r="AQ116" s="46"/>
      <c r="AR116" s="46"/>
      <c r="AS116" s="46"/>
      <c r="AT116" s="46"/>
      <c r="AU116" s="1"/>
      <c r="AV116" s="2"/>
    </row>
    <row r="117" spans="1:48" ht="20.25" customHeight="1" x14ac:dyDescent="0.25">
      <c r="A117" s="43"/>
      <c r="B117" s="43"/>
      <c r="C117" s="44"/>
      <c r="D117" s="43"/>
      <c r="E117" s="43"/>
      <c r="F117" s="43"/>
      <c r="G117" s="44"/>
      <c r="H117" s="23"/>
      <c r="I117" s="43"/>
      <c r="J117" s="43"/>
      <c r="K117" s="45"/>
      <c r="L117" s="46"/>
      <c r="M117" s="46"/>
      <c r="N117" s="46"/>
      <c r="O117" s="46"/>
      <c r="P117" s="46"/>
      <c r="Q117" s="46"/>
      <c r="R117" s="46"/>
      <c r="S117" s="46"/>
      <c r="T117" s="46"/>
      <c r="U117" s="46"/>
      <c r="V117" s="46"/>
      <c r="W117" s="46"/>
      <c r="X117" s="46"/>
      <c r="Y117" s="46"/>
      <c r="Z117" s="46"/>
      <c r="AA117" s="46"/>
      <c r="AB117" s="46"/>
      <c r="AC117" s="46"/>
      <c r="AD117" s="46"/>
      <c r="AE117" s="46"/>
      <c r="AF117" s="46"/>
      <c r="AG117" s="46"/>
      <c r="AH117" s="46"/>
      <c r="AI117" s="46"/>
      <c r="AJ117" s="46"/>
      <c r="AK117" s="46"/>
      <c r="AL117" s="46"/>
      <c r="AM117" s="46"/>
      <c r="AN117" s="46"/>
      <c r="AO117" s="46"/>
      <c r="AP117" s="46"/>
      <c r="AQ117" s="46"/>
      <c r="AR117" s="46"/>
      <c r="AS117" s="46"/>
      <c r="AT117" s="46"/>
      <c r="AU117" s="1"/>
      <c r="AV117" s="2"/>
    </row>
    <row r="118" spans="1:48" ht="20.25" customHeight="1" x14ac:dyDescent="0.25">
      <c r="A118" s="43"/>
      <c r="B118" s="43"/>
      <c r="C118" s="44"/>
      <c r="D118" s="43"/>
      <c r="E118" s="43"/>
      <c r="F118" s="43"/>
      <c r="G118" s="44"/>
      <c r="H118" s="23"/>
      <c r="I118" s="43"/>
      <c r="J118" s="43"/>
      <c r="K118" s="45"/>
      <c r="L118" s="46"/>
      <c r="M118" s="46"/>
      <c r="N118" s="46"/>
      <c r="O118" s="46"/>
      <c r="P118" s="46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B118" s="46"/>
      <c r="AC118" s="46"/>
      <c r="AD118" s="46"/>
      <c r="AE118" s="46"/>
      <c r="AF118" s="46"/>
      <c r="AG118" s="46"/>
      <c r="AH118" s="46"/>
      <c r="AI118" s="46"/>
      <c r="AJ118" s="46"/>
      <c r="AK118" s="46"/>
      <c r="AL118" s="46"/>
      <c r="AM118" s="46"/>
      <c r="AN118" s="46"/>
      <c r="AO118" s="46"/>
      <c r="AP118" s="46"/>
      <c r="AQ118" s="46"/>
      <c r="AR118" s="46"/>
      <c r="AS118" s="46"/>
      <c r="AT118" s="46"/>
      <c r="AU118" s="1"/>
      <c r="AV118" s="2"/>
    </row>
    <row r="119" spans="1:48" ht="21.75" customHeight="1" x14ac:dyDescent="0.25">
      <c r="A119" s="43"/>
      <c r="B119" s="50"/>
      <c r="C119" s="51"/>
      <c r="D119" s="43"/>
      <c r="E119" s="43"/>
      <c r="F119" s="43"/>
      <c r="G119" s="44"/>
      <c r="H119" s="23"/>
      <c r="I119" s="67"/>
      <c r="J119" s="67"/>
      <c r="K119" s="68"/>
      <c r="L119" s="46"/>
      <c r="M119" s="46"/>
      <c r="N119" s="46"/>
      <c r="O119" s="46"/>
      <c r="P119" s="46"/>
      <c r="Q119" s="46"/>
      <c r="R119" s="46"/>
      <c r="S119" s="46"/>
      <c r="T119" s="46"/>
      <c r="U119" s="46"/>
      <c r="V119" s="46"/>
      <c r="W119" s="46"/>
      <c r="X119" s="46"/>
      <c r="Y119" s="46"/>
      <c r="Z119" s="46"/>
      <c r="AA119" s="46"/>
      <c r="AB119" s="46"/>
      <c r="AC119" s="46"/>
      <c r="AD119" s="46"/>
      <c r="AE119" s="46"/>
      <c r="AF119" s="46"/>
      <c r="AG119" s="46"/>
      <c r="AH119" s="46"/>
      <c r="AI119" s="46"/>
      <c r="AJ119" s="46"/>
      <c r="AK119" s="46"/>
      <c r="AL119" s="46"/>
      <c r="AM119" s="46"/>
      <c r="AN119" s="46"/>
      <c r="AO119" s="46"/>
      <c r="AP119" s="46"/>
      <c r="AQ119" s="46"/>
      <c r="AR119" s="46"/>
      <c r="AS119" s="46"/>
      <c r="AT119" s="46"/>
      <c r="AU119" s="1"/>
      <c r="AV119" s="1"/>
    </row>
    <row r="120" spans="1:48" ht="21.75" customHeight="1" x14ac:dyDescent="0.25">
      <c r="A120" s="43"/>
      <c r="B120" s="50"/>
      <c r="C120" s="51"/>
      <c r="D120" s="43"/>
      <c r="E120" s="43"/>
      <c r="F120" s="43"/>
      <c r="G120" s="44"/>
      <c r="H120" s="23"/>
      <c r="I120" s="67"/>
      <c r="J120" s="67"/>
      <c r="K120" s="68"/>
      <c r="L120" s="46"/>
      <c r="M120" s="46"/>
      <c r="N120" s="46"/>
      <c r="O120" s="46"/>
      <c r="P120" s="46"/>
      <c r="Q120" s="46"/>
      <c r="R120" s="46"/>
      <c r="S120" s="46"/>
      <c r="T120" s="46"/>
      <c r="U120" s="46"/>
      <c r="V120" s="46"/>
      <c r="W120" s="46"/>
      <c r="X120" s="46"/>
      <c r="Y120" s="46"/>
      <c r="Z120" s="46"/>
      <c r="AA120" s="46"/>
      <c r="AB120" s="46"/>
      <c r="AC120" s="46"/>
      <c r="AD120" s="46"/>
      <c r="AE120" s="46"/>
      <c r="AF120" s="46"/>
      <c r="AG120" s="46"/>
      <c r="AH120" s="46"/>
      <c r="AI120" s="46"/>
      <c r="AJ120" s="46"/>
      <c r="AK120" s="46"/>
      <c r="AL120" s="46"/>
      <c r="AM120" s="46"/>
      <c r="AN120" s="46"/>
      <c r="AO120" s="46"/>
      <c r="AP120" s="46"/>
      <c r="AQ120" s="46"/>
      <c r="AR120" s="46"/>
      <c r="AS120" s="46"/>
      <c r="AT120" s="46"/>
      <c r="AU120" s="1"/>
      <c r="AV120" s="1"/>
    </row>
    <row r="121" spans="1:48" ht="21.75" customHeight="1" x14ac:dyDescent="0.25">
      <c r="A121" s="43"/>
      <c r="B121" s="50"/>
      <c r="C121" s="51"/>
      <c r="D121" s="43"/>
      <c r="E121" s="43"/>
      <c r="F121" s="43"/>
      <c r="G121" s="44"/>
      <c r="H121" s="23"/>
      <c r="I121" s="67"/>
      <c r="J121" s="67"/>
      <c r="K121" s="68"/>
      <c r="L121" s="46"/>
      <c r="M121" s="46"/>
      <c r="N121" s="46"/>
      <c r="O121" s="46"/>
      <c r="P121" s="46"/>
      <c r="Q121" s="46"/>
      <c r="R121" s="46"/>
      <c r="S121" s="46"/>
      <c r="T121" s="46"/>
      <c r="U121" s="46"/>
      <c r="V121" s="46"/>
      <c r="W121" s="46"/>
      <c r="X121" s="46"/>
      <c r="Y121" s="46"/>
      <c r="Z121" s="46"/>
      <c r="AA121" s="46"/>
      <c r="AB121" s="46"/>
      <c r="AC121" s="46"/>
      <c r="AD121" s="46"/>
      <c r="AE121" s="46"/>
      <c r="AF121" s="46"/>
      <c r="AG121" s="46"/>
      <c r="AH121" s="46"/>
      <c r="AI121" s="46"/>
      <c r="AJ121" s="46"/>
      <c r="AK121" s="46"/>
      <c r="AL121" s="46"/>
      <c r="AM121" s="46"/>
      <c r="AN121" s="46"/>
      <c r="AO121" s="46"/>
      <c r="AP121" s="46"/>
      <c r="AQ121" s="46"/>
      <c r="AR121" s="46"/>
      <c r="AS121" s="46"/>
      <c r="AT121" s="46"/>
      <c r="AU121" s="1"/>
      <c r="AV121" s="1"/>
    </row>
    <row r="122" spans="1:48" ht="21.75" customHeight="1" x14ac:dyDescent="0.25">
      <c r="A122" s="43"/>
      <c r="B122" s="50"/>
      <c r="C122" s="51"/>
      <c r="D122" s="43"/>
      <c r="E122" s="43"/>
      <c r="F122" s="43"/>
      <c r="G122" s="44"/>
      <c r="H122" s="23"/>
      <c r="I122" s="67"/>
      <c r="J122" s="67"/>
      <c r="K122" s="68"/>
      <c r="L122" s="46"/>
      <c r="M122" s="46"/>
      <c r="N122" s="46"/>
      <c r="O122" s="46"/>
      <c r="P122" s="46"/>
      <c r="Q122" s="46"/>
      <c r="R122" s="46"/>
      <c r="S122" s="46"/>
      <c r="T122" s="46"/>
      <c r="U122" s="46"/>
      <c r="V122" s="46"/>
      <c r="W122" s="46"/>
      <c r="X122" s="46"/>
      <c r="Y122" s="46"/>
      <c r="Z122" s="46"/>
      <c r="AA122" s="46"/>
      <c r="AB122" s="46"/>
      <c r="AC122" s="46"/>
      <c r="AD122" s="46"/>
      <c r="AE122" s="46"/>
      <c r="AF122" s="46"/>
      <c r="AG122" s="46"/>
      <c r="AH122" s="46"/>
      <c r="AI122" s="46"/>
      <c r="AJ122" s="46"/>
      <c r="AK122" s="46"/>
      <c r="AL122" s="46"/>
      <c r="AM122" s="46"/>
      <c r="AN122" s="46"/>
      <c r="AO122" s="46"/>
      <c r="AP122" s="46"/>
      <c r="AQ122" s="46"/>
      <c r="AR122" s="46"/>
      <c r="AS122" s="46"/>
      <c r="AT122" s="46"/>
      <c r="AU122" s="1"/>
      <c r="AV122" s="1"/>
    </row>
    <row r="123" spans="1:48" ht="21.75" customHeight="1" x14ac:dyDescent="0.25">
      <c r="A123" s="43"/>
      <c r="B123" s="50"/>
      <c r="C123" s="51"/>
      <c r="D123" s="43"/>
      <c r="E123" s="43"/>
      <c r="F123" s="43"/>
      <c r="G123" s="44"/>
      <c r="H123" s="23"/>
      <c r="I123" s="67"/>
      <c r="J123" s="67"/>
      <c r="K123" s="68"/>
      <c r="L123" s="46"/>
      <c r="M123" s="46"/>
      <c r="N123" s="46"/>
      <c r="O123" s="46"/>
      <c r="P123" s="46"/>
      <c r="Q123" s="46"/>
      <c r="R123" s="46"/>
      <c r="S123" s="46"/>
      <c r="T123" s="46"/>
      <c r="U123" s="46"/>
      <c r="V123" s="46"/>
      <c r="W123" s="46"/>
      <c r="X123" s="46"/>
      <c r="Y123" s="46"/>
      <c r="Z123" s="46"/>
      <c r="AA123" s="46"/>
      <c r="AB123" s="46"/>
      <c r="AC123" s="46"/>
      <c r="AD123" s="46"/>
      <c r="AE123" s="46"/>
      <c r="AF123" s="46"/>
      <c r="AG123" s="46"/>
      <c r="AH123" s="46"/>
      <c r="AI123" s="46"/>
      <c r="AJ123" s="46"/>
      <c r="AK123" s="46"/>
      <c r="AL123" s="46"/>
      <c r="AM123" s="46"/>
      <c r="AN123" s="46"/>
      <c r="AO123" s="46"/>
      <c r="AP123" s="46"/>
      <c r="AQ123" s="46"/>
      <c r="AR123" s="46"/>
      <c r="AS123" s="46"/>
      <c r="AT123" s="46"/>
      <c r="AU123" s="1"/>
      <c r="AV123" s="1"/>
    </row>
    <row r="124" spans="1:48" ht="21.75" customHeight="1" x14ac:dyDescent="0.25">
      <c r="A124" s="43"/>
      <c r="B124" s="50"/>
      <c r="C124" s="51"/>
      <c r="D124" s="43"/>
      <c r="E124" s="43"/>
      <c r="F124" s="43"/>
      <c r="G124" s="44"/>
      <c r="H124" s="23"/>
      <c r="I124" s="67"/>
      <c r="J124" s="67"/>
      <c r="K124" s="68"/>
      <c r="L124" s="46"/>
      <c r="M124" s="46"/>
      <c r="N124" s="46"/>
      <c r="O124" s="46"/>
      <c r="P124" s="46"/>
      <c r="Q124" s="46"/>
      <c r="R124" s="46"/>
      <c r="S124" s="46"/>
      <c r="T124" s="46"/>
      <c r="U124" s="46"/>
      <c r="V124" s="46"/>
      <c r="W124" s="46"/>
      <c r="X124" s="46"/>
      <c r="Y124" s="46"/>
      <c r="Z124" s="46"/>
      <c r="AA124" s="46"/>
      <c r="AB124" s="46"/>
      <c r="AC124" s="46"/>
      <c r="AD124" s="46"/>
      <c r="AE124" s="46"/>
      <c r="AF124" s="46"/>
      <c r="AG124" s="46"/>
      <c r="AH124" s="46"/>
      <c r="AI124" s="46"/>
      <c r="AJ124" s="46"/>
      <c r="AK124" s="46"/>
      <c r="AL124" s="46"/>
      <c r="AM124" s="46"/>
      <c r="AN124" s="46"/>
      <c r="AO124" s="46"/>
      <c r="AP124" s="46"/>
      <c r="AQ124" s="46"/>
      <c r="AR124" s="46"/>
      <c r="AS124" s="46"/>
      <c r="AT124" s="46"/>
      <c r="AU124" s="1"/>
      <c r="AV124" s="1"/>
    </row>
    <row r="125" spans="1:48" ht="21.75" customHeight="1" x14ac:dyDescent="0.25">
      <c r="A125" s="43"/>
      <c r="B125" s="50"/>
      <c r="C125" s="51"/>
      <c r="D125" s="43"/>
      <c r="E125" s="43"/>
      <c r="F125" s="43"/>
      <c r="G125" s="44"/>
      <c r="H125" s="23"/>
      <c r="I125" s="67"/>
      <c r="J125" s="67"/>
      <c r="K125" s="68"/>
      <c r="L125" s="46"/>
      <c r="M125" s="46"/>
      <c r="N125" s="46"/>
      <c r="O125" s="46"/>
      <c r="P125" s="46"/>
      <c r="Q125" s="46"/>
      <c r="R125" s="46"/>
      <c r="S125" s="46"/>
      <c r="T125" s="46"/>
      <c r="U125" s="46"/>
      <c r="V125" s="46"/>
      <c r="W125" s="46"/>
      <c r="X125" s="46"/>
      <c r="Y125" s="46"/>
      <c r="Z125" s="46"/>
      <c r="AA125" s="46"/>
      <c r="AB125" s="46"/>
      <c r="AC125" s="46"/>
      <c r="AD125" s="46"/>
      <c r="AE125" s="46"/>
      <c r="AF125" s="46"/>
      <c r="AG125" s="46"/>
      <c r="AH125" s="46"/>
      <c r="AI125" s="46"/>
      <c r="AJ125" s="46"/>
      <c r="AK125" s="46"/>
      <c r="AL125" s="46"/>
      <c r="AM125" s="46"/>
      <c r="AN125" s="46"/>
      <c r="AO125" s="46"/>
      <c r="AP125" s="46"/>
      <c r="AQ125" s="46"/>
      <c r="AR125" s="46"/>
      <c r="AS125" s="46"/>
      <c r="AT125" s="46"/>
      <c r="AU125" s="1"/>
      <c r="AV125" s="1"/>
    </row>
    <row r="126" spans="1:48" ht="15.75" customHeight="1" x14ac:dyDescent="0.25">
      <c r="A126" s="43"/>
      <c r="B126" s="50"/>
      <c r="C126" s="51"/>
      <c r="D126" s="43"/>
      <c r="E126" s="43"/>
      <c r="F126" s="43"/>
      <c r="G126" s="44"/>
      <c r="H126" s="23"/>
      <c r="I126" s="67"/>
      <c r="J126" s="67"/>
      <c r="K126" s="68"/>
      <c r="L126" s="46"/>
      <c r="M126" s="46"/>
      <c r="N126" s="46"/>
      <c r="O126" s="46"/>
      <c r="P126" s="46"/>
      <c r="Q126" s="46"/>
      <c r="R126" s="46"/>
      <c r="S126" s="46"/>
      <c r="T126" s="46"/>
      <c r="U126" s="46"/>
      <c r="V126" s="46"/>
      <c r="W126" s="46"/>
      <c r="X126" s="46"/>
      <c r="Y126" s="46"/>
      <c r="Z126" s="46"/>
      <c r="AA126" s="46"/>
      <c r="AB126" s="46"/>
      <c r="AC126" s="46"/>
      <c r="AD126" s="46"/>
      <c r="AE126" s="46"/>
      <c r="AF126" s="46"/>
      <c r="AG126" s="46"/>
      <c r="AH126" s="46"/>
      <c r="AI126" s="46"/>
      <c r="AJ126" s="46"/>
      <c r="AK126" s="46"/>
      <c r="AL126" s="46"/>
      <c r="AM126" s="46"/>
      <c r="AN126" s="46"/>
      <c r="AO126" s="46"/>
      <c r="AP126" s="46"/>
      <c r="AQ126" s="46"/>
      <c r="AR126" s="46"/>
      <c r="AS126" s="46"/>
      <c r="AT126" s="46"/>
      <c r="AU126" s="1"/>
      <c r="AV126" s="1"/>
    </row>
    <row r="127" spans="1:48" ht="15.75" customHeight="1" x14ac:dyDescent="0.25">
      <c r="A127" s="43"/>
      <c r="B127" s="50"/>
      <c r="C127" s="51"/>
      <c r="D127" s="43"/>
      <c r="E127" s="43"/>
      <c r="F127" s="43"/>
      <c r="G127" s="44"/>
      <c r="H127" s="23"/>
      <c r="I127" s="67"/>
      <c r="J127" s="67"/>
      <c r="K127" s="68"/>
      <c r="L127" s="46"/>
      <c r="M127" s="46"/>
      <c r="N127" s="46"/>
      <c r="O127" s="46"/>
      <c r="P127" s="46"/>
      <c r="Q127" s="46"/>
      <c r="R127" s="46"/>
      <c r="S127" s="46"/>
      <c r="T127" s="46"/>
      <c r="U127" s="46"/>
      <c r="V127" s="46"/>
      <c r="W127" s="46"/>
      <c r="X127" s="46"/>
      <c r="Y127" s="46"/>
      <c r="Z127" s="46"/>
      <c r="AA127" s="46"/>
      <c r="AB127" s="46"/>
      <c r="AC127" s="46"/>
      <c r="AD127" s="46"/>
      <c r="AE127" s="46"/>
      <c r="AF127" s="46"/>
      <c r="AG127" s="46"/>
      <c r="AH127" s="46"/>
      <c r="AI127" s="46"/>
      <c r="AJ127" s="46"/>
      <c r="AK127" s="46"/>
      <c r="AL127" s="46"/>
      <c r="AM127" s="46"/>
      <c r="AN127" s="46"/>
      <c r="AO127" s="46"/>
      <c r="AP127" s="46"/>
      <c r="AQ127" s="46"/>
      <c r="AR127" s="46"/>
      <c r="AS127" s="46"/>
      <c r="AT127" s="46"/>
      <c r="AU127" s="1"/>
      <c r="AV127" s="1"/>
    </row>
    <row r="128" spans="1:48" ht="15.75" customHeight="1" x14ac:dyDescent="0.25">
      <c r="A128" s="43"/>
      <c r="B128" s="50"/>
      <c r="C128" s="51"/>
      <c r="D128" s="43"/>
      <c r="E128" s="43"/>
      <c r="F128" s="43"/>
      <c r="G128" s="44"/>
      <c r="H128" s="23"/>
      <c r="I128" s="67"/>
      <c r="J128" s="67"/>
      <c r="K128" s="68"/>
      <c r="L128" s="46"/>
      <c r="M128" s="46"/>
      <c r="N128" s="46"/>
      <c r="O128" s="46"/>
      <c r="P128" s="46"/>
      <c r="Q128" s="46"/>
      <c r="R128" s="46"/>
      <c r="S128" s="46"/>
      <c r="T128" s="46"/>
      <c r="U128" s="46"/>
      <c r="V128" s="46"/>
      <c r="W128" s="46"/>
      <c r="X128" s="46"/>
      <c r="Y128" s="46"/>
      <c r="Z128" s="46"/>
      <c r="AA128" s="46"/>
      <c r="AB128" s="46"/>
      <c r="AC128" s="46"/>
      <c r="AD128" s="46"/>
      <c r="AE128" s="46"/>
      <c r="AF128" s="46"/>
      <c r="AG128" s="46"/>
      <c r="AH128" s="46"/>
      <c r="AI128" s="46"/>
      <c r="AJ128" s="46"/>
      <c r="AK128" s="46"/>
      <c r="AL128" s="46"/>
      <c r="AM128" s="46"/>
      <c r="AN128" s="46"/>
      <c r="AO128" s="46"/>
      <c r="AP128" s="46"/>
      <c r="AQ128" s="46"/>
      <c r="AR128" s="46"/>
      <c r="AS128" s="46"/>
      <c r="AT128" s="46"/>
      <c r="AU128" s="1"/>
      <c r="AV128" s="1"/>
    </row>
    <row r="129" spans="1:48" ht="15.75" customHeight="1" x14ac:dyDescent="0.25">
      <c r="A129" s="43"/>
      <c r="B129" s="50"/>
      <c r="C129" s="51"/>
      <c r="D129" s="43"/>
      <c r="E129" s="43"/>
      <c r="F129" s="43"/>
      <c r="G129" s="44"/>
      <c r="H129" s="23"/>
      <c r="I129" s="67"/>
      <c r="J129" s="67"/>
      <c r="K129" s="68"/>
      <c r="L129" s="46"/>
      <c r="M129" s="46"/>
      <c r="N129" s="46"/>
      <c r="O129" s="46"/>
      <c r="P129" s="46"/>
      <c r="Q129" s="46"/>
      <c r="R129" s="46"/>
      <c r="S129" s="46"/>
      <c r="T129" s="46"/>
      <c r="U129" s="46"/>
      <c r="V129" s="46"/>
      <c r="W129" s="46"/>
      <c r="X129" s="46"/>
      <c r="Y129" s="46"/>
      <c r="Z129" s="46"/>
      <c r="AA129" s="46"/>
      <c r="AB129" s="46"/>
      <c r="AC129" s="46"/>
      <c r="AD129" s="46"/>
      <c r="AE129" s="46"/>
      <c r="AF129" s="46"/>
      <c r="AG129" s="46"/>
      <c r="AH129" s="46"/>
      <c r="AI129" s="46"/>
      <c r="AJ129" s="46"/>
      <c r="AK129" s="46"/>
      <c r="AL129" s="46"/>
      <c r="AM129" s="46"/>
      <c r="AN129" s="46"/>
      <c r="AO129" s="46"/>
      <c r="AP129" s="46"/>
      <c r="AQ129" s="46"/>
      <c r="AR129" s="46"/>
      <c r="AS129" s="46"/>
      <c r="AT129" s="46"/>
      <c r="AU129" s="1"/>
      <c r="AV129" s="1"/>
    </row>
    <row r="130" spans="1:48" ht="15.75" customHeight="1" x14ac:dyDescent="0.25">
      <c r="A130" s="43"/>
      <c r="B130" s="50"/>
      <c r="C130" s="51"/>
      <c r="D130" s="43"/>
      <c r="E130" s="43"/>
      <c r="F130" s="43"/>
      <c r="G130" s="44"/>
      <c r="H130" s="23"/>
      <c r="I130" s="67"/>
      <c r="J130" s="67"/>
      <c r="K130" s="68"/>
      <c r="L130" s="46"/>
      <c r="M130" s="46"/>
      <c r="N130" s="46"/>
      <c r="O130" s="46"/>
      <c r="P130" s="46"/>
      <c r="Q130" s="46"/>
      <c r="R130" s="46"/>
      <c r="S130" s="46"/>
      <c r="T130" s="46"/>
      <c r="U130" s="46"/>
      <c r="V130" s="46"/>
      <c r="W130" s="46"/>
      <c r="X130" s="46"/>
      <c r="Y130" s="46"/>
      <c r="Z130" s="46"/>
      <c r="AA130" s="46"/>
      <c r="AB130" s="46"/>
      <c r="AC130" s="46"/>
      <c r="AD130" s="46"/>
      <c r="AE130" s="46"/>
      <c r="AF130" s="46"/>
      <c r="AG130" s="46"/>
      <c r="AH130" s="46"/>
      <c r="AI130" s="46"/>
      <c r="AJ130" s="46"/>
      <c r="AK130" s="46"/>
      <c r="AL130" s="46"/>
      <c r="AM130" s="46"/>
      <c r="AN130" s="46"/>
      <c r="AO130" s="46"/>
      <c r="AP130" s="46"/>
      <c r="AQ130" s="46"/>
      <c r="AR130" s="46"/>
      <c r="AS130" s="46"/>
      <c r="AT130" s="46"/>
      <c r="AU130" s="1"/>
      <c r="AV130" s="1"/>
    </row>
    <row r="131" spans="1:48" ht="15.75" customHeight="1" x14ac:dyDescent="0.25">
      <c r="A131" s="43"/>
      <c r="B131" s="50"/>
      <c r="C131" s="51"/>
      <c r="D131" s="43"/>
      <c r="E131" s="43"/>
      <c r="F131" s="43"/>
      <c r="G131" s="44"/>
      <c r="H131" s="23"/>
      <c r="I131" s="67"/>
      <c r="J131" s="67"/>
      <c r="K131" s="68"/>
      <c r="L131" s="46"/>
      <c r="M131" s="46"/>
      <c r="N131" s="46"/>
      <c r="O131" s="46"/>
      <c r="P131" s="46"/>
      <c r="Q131" s="46"/>
      <c r="R131" s="46"/>
      <c r="S131" s="46"/>
      <c r="T131" s="46"/>
      <c r="U131" s="46"/>
      <c r="V131" s="46"/>
      <c r="W131" s="46"/>
      <c r="X131" s="46"/>
      <c r="Y131" s="46"/>
      <c r="Z131" s="46"/>
      <c r="AA131" s="46"/>
      <c r="AB131" s="46"/>
      <c r="AC131" s="46"/>
      <c r="AD131" s="46"/>
      <c r="AE131" s="46"/>
      <c r="AF131" s="46"/>
      <c r="AG131" s="46"/>
      <c r="AH131" s="46"/>
      <c r="AI131" s="46"/>
      <c r="AJ131" s="46"/>
      <c r="AK131" s="46"/>
      <c r="AL131" s="46"/>
      <c r="AM131" s="46"/>
      <c r="AN131" s="46"/>
      <c r="AO131" s="46"/>
      <c r="AP131" s="46"/>
      <c r="AQ131" s="46"/>
      <c r="AR131" s="46"/>
      <c r="AS131" s="46"/>
      <c r="AT131" s="46"/>
      <c r="AU131" s="1"/>
      <c r="AV131" s="1"/>
    </row>
    <row r="132" spans="1:48" ht="15.75" customHeight="1" x14ac:dyDescent="0.25">
      <c r="A132" s="43"/>
      <c r="B132" s="50"/>
      <c r="C132" s="51"/>
      <c r="D132" s="43"/>
      <c r="E132" s="43"/>
      <c r="F132" s="43"/>
      <c r="G132" s="44"/>
      <c r="H132" s="23"/>
      <c r="I132" s="67"/>
      <c r="J132" s="67"/>
      <c r="K132" s="68"/>
      <c r="L132" s="46"/>
      <c r="M132" s="46"/>
      <c r="N132" s="46"/>
      <c r="O132" s="46"/>
      <c r="P132" s="46"/>
      <c r="Q132" s="46"/>
      <c r="R132" s="46"/>
      <c r="S132" s="46"/>
      <c r="T132" s="46"/>
      <c r="U132" s="46"/>
      <c r="V132" s="46"/>
      <c r="W132" s="46"/>
      <c r="X132" s="46"/>
      <c r="Y132" s="46"/>
      <c r="Z132" s="46"/>
      <c r="AA132" s="46"/>
      <c r="AB132" s="46"/>
      <c r="AC132" s="46"/>
      <c r="AD132" s="46"/>
      <c r="AE132" s="46"/>
      <c r="AF132" s="46"/>
      <c r="AG132" s="46"/>
      <c r="AH132" s="46"/>
      <c r="AI132" s="46"/>
      <c r="AJ132" s="46"/>
      <c r="AK132" s="46"/>
      <c r="AL132" s="46"/>
      <c r="AM132" s="46"/>
      <c r="AN132" s="46"/>
      <c r="AO132" s="46"/>
      <c r="AP132" s="46"/>
      <c r="AQ132" s="46"/>
      <c r="AR132" s="46"/>
      <c r="AS132" s="46"/>
      <c r="AT132" s="46"/>
      <c r="AU132" s="1"/>
      <c r="AV132" s="1"/>
    </row>
    <row r="133" spans="1:48" ht="15.75" customHeight="1" x14ac:dyDescent="0.25">
      <c r="A133" s="43"/>
      <c r="B133" s="50"/>
      <c r="C133" s="51"/>
      <c r="D133" s="43"/>
      <c r="E133" s="43"/>
      <c r="F133" s="43"/>
      <c r="G133" s="44"/>
      <c r="H133" s="23"/>
      <c r="I133" s="67"/>
      <c r="J133" s="67"/>
      <c r="K133" s="68"/>
      <c r="L133" s="46"/>
      <c r="M133" s="46"/>
      <c r="N133" s="46"/>
      <c r="O133" s="46"/>
      <c r="P133" s="46"/>
      <c r="Q133" s="46"/>
      <c r="R133" s="46"/>
      <c r="S133" s="46"/>
      <c r="T133" s="46"/>
      <c r="U133" s="46"/>
      <c r="V133" s="46"/>
      <c r="W133" s="46"/>
      <c r="X133" s="46"/>
      <c r="Y133" s="46"/>
      <c r="Z133" s="46"/>
      <c r="AA133" s="46"/>
      <c r="AB133" s="46"/>
      <c r="AC133" s="46"/>
      <c r="AD133" s="46"/>
      <c r="AE133" s="46"/>
      <c r="AF133" s="46"/>
      <c r="AG133" s="46"/>
      <c r="AH133" s="46"/>
      <c r="AI133" s="46"/>
      <c r="AJ133" s="46"/>
      <c r="AK133" s="46"/>
      <c r="AL133" s="46"/>
      <c r="AM133" s="46"/>
      <c r="AN133" s="46"/>
      <c r="AO133" s="46"/>
      <c r="AP133" s="46"/>
      <c r="AQ133" s="46"/>
      <c r="AR133" s="46"/>
      <c r="AS133" s="46"/>
      <c r="AT133" s="46"/>
      <c r="AU133" s="1"/>
      <c r="AV133" s="1"/>
    </row>
    <row r="134" spans="1:48" ht="15.75" customHeight="1" x14ac:dyDescent="0.25">
      <c r="A134" s="43"/>
      <c r="B134" s="50"/>
      <c r="C134" s="51"/>
      <c r="D134" s="43"/>
      <c r="E134" s="43"/>
      <c r="F134" s="43"/>
      <c r="G134" s="44"/>
      <c r="H134" s="23"/>
      <c r="I134" s="67"/>
      <c r="J134" s="67"/>
      <c r="K134" s="68"/>
      <c r="L134" s="46"/>
      <c r="M134" s="46"/>
      <c r="N134" s="46"/>
      <c r="O134" s="46"/>
      <c r="P134" s="46"/>
      <c r="Q134" s="46"/>
      <c r="R134" s="46"/>
      <c r="S134" s="46"/>
      <c r="T134" s="46"/>
      <c r="U134" s="46"/>
      <c r="V134" s="46"/>
      <c r="W134" s="46"/>
      <c r="X134" s="46"/>
      <c r="Y134" s="46"/>
      <c r="Z134" s="46"/>
      <c r="AA134" s="46"/>
      <c r="AB134" s="46"/>
      <c r="AC134" s="46"/>
      <c r="AD134" s="46"/>
      <c r="AE134" s="46"/>
      <c r="AF134" s="46"/>
      <c r="AG134" s="46"/>
      <c r="AH134" s="46"/>
      <c r="AI134" s="46"/>
      <c r="AJ134" s="46"/>
      <c r="AK134" s="46"/>
      <c r="AL134" s="46"/>
      <c r="AM134" s="46"/>
      <c r="AN134" s="46"/>
      <c r="AO134" s="46"/>
      <c r="AP134" s="46"/>
      <c r="AQ134" s="46"/>
      <c r="AR134" s="46"/>
      <c r="AS134" s="46"/>
      <c r="AT134" s="46"/>
      <c r="AU134" s="1"/>
      <c r="AV134" s="1"/>
    </row>
    <row r="135" spans="1:48" ht="15.75" customHeight="1" x14ac:dyDescent="0.25">
      <c r="A135" s="43"/>
      <c r="B135" s="50"/>
      <c r="C135" s="51"/>
      <c r="D135" s="43"/>
      <c r="E135" s="43"/>
      <c r="F135" s="43"/>
      <c r="G135" s="44"/>
      <c r="H135" s="23"/>
      <c r="I135" s="67"/>
      <c r="J135" s="67"/>
      <c r="K135" s="68"/>
      <c r="L135" s="46"/>
      <c r="M135" s="46"/>
      <c r="N135" s="46"/>
      <c r="O135" s="46"/>
      <c r="P135" s="46"/>
      <c r="Q135" s="46"/>
      <c r="R135" s="46"/>
      <c r="S135" s="46"/>
      <c r="T135" s="46"/>
      <c r="U135" s="46"/>
      <c r="V135" s="46"/>
      <c r="W135" s="46"/>
      <c r="X135" s="46"/>
      <c r="Y135" s="46"/>
      <c r="Z135" s="46"/>
      <c r="AA135" s="46"/>
      <c r="AB135" s="46"/>
      <c r="AC135" s="46"/>
      <c r="AD135" s="46"/>
      <c r="AE135" s="46"/>
      <c r="AF135" s="46"/>
      <c r="AG135" s="46"/>
      <c r="AH135" s="46"/>
      <c r="AI135" s="46"/>
      <c r="AJ135" s="46"/>
      <c r="AK135" s="46"/>
      <c r="AL135" s="46"/>
      <c r="AM135" s="46"/>
      <c r="AN135" s="46"/>
      <c r="AO135" s="46"/>
      <c r="AP135" s="46"/>
      <c r="AQ135" s="46"/>
      <c r="AR135" s="46"/>
      <c r="AS135" s="46"/>
      <c r="AT135" s="46"/>
      <c r="AU135" s="1"/>
      <c r="AV135" s="1"/>
    </row>
    <row r="136" spans="1:48" ht="15.75" customHeight="1" x14ac:dyDescent="0.25">
      <c r="A136" s="43"/>
      <c r="B136" s="50"/>
      <c r="C136" s="51"/>
      <c r="D136" s="43"/>
      <c r="E136" s="43"/>
      <c r="F136" s="43"/>
      <c r="G136" s="44"/>
      <c r="H136" s="23"/>
      <c r="I136" s="67"/>
      <c r="J136" s="67"/>
      <c r="K136" s="68"/>
      <c r="L136" s="46"/>
      <c r="M136" s="46"/>
      <c r="N136" s="46"/>
      <c r="O136" s="46"/>
      <c r="P136" s="46"/>
      <c r="Q136" s="46"/>
      <c r="R136" s="46"/>
      <c r="S136" s="46"/>
      <c r="T136" s="46"/>
      <c r="U136" s="46"/>
      <c r="V136" s="46"/>
      <c r="W136" s="46"/>
      <c r="X136" s="46"/>
      <c r="Y136" s="46"/>
      <c r="Z136" s="46"/>
      <c r="AA136" s="46"/>
      <c r="AB136" s="46"/>
      <c r="AC136" s="46"/>
      <c r="AD136" s="46"/>
      <c r="AE136" s="46"/>
      <c r="AF136" s="46"/>
      <c r="AG136" s="46"/>
      <c r="AH136" s="46"/>
      <c r="AI136" s="46"/>
      <c r="AJ136" s="46"/>
      <c r="AK136" s="46"/>
      <c r="AL136" s="46"/>
      <c r="AM136" s="46"/>
      <c r="AN136" s="46"/>
      <c r="AO136" s="46"/>
      <c r="AP136" s="46"/>
      <c r="AQ136" s="46"/>
      <c r="AR136" s="46"/>
      <c r="AS136" s="46"/>
      <c r="AT136" s="46"/>
      <c r="AU136" s="1"/>
      <c r="AV136" s="1"/>
    </row>
    <row r="137" spans="1:48" ht="15.75" customHeight="1" x14ac:dyDescent="0.25">
      <c r="A137" s="43"/>
      <c r="B137" s="50"/>
      <c r="C137" s="51"/>
      <c r="D137" s="43"/>
      <c r="E137" s="43"/>
      <c r="F137" s="43"/>
      <c r="G137" s="44"/>
      <c r="H137" s="23"/>
      <c r="I137" s="67"/>
      <c r="J137" s="67"/>
      <c r="K137" s="68"/>
      <c r="L137" s="46"/>
      <c r="M137" s="46"/>
      <c r="N137" s="46"/>
      <c r="O137" s="46"/>
      <c r="P137" s="46"/>
      <c r="Q137" s="46"/>
      <c r="R137" s="46"/>
      <c r="S137" s="46"/>
      <c r="T137" s="46"/>
      <c r="U137" s="46"/>
      <c r="V137" s="46"/>
      <c r="W137" s="46"/>
      <c r="X137" s="46"/>
      <c r="Y137" s="46"/>
      <c r="Z137" s="46"/>
      <c r="AA137" s="46"/>
      <c r="AB137" s="46"/>
      <c r="AC137" s="46"/>
      <c r="AD137" s="46"/>
      <c r="AE137" s="46"/>
      <c r="AF137" s="46"/>
      <c r="AG137" s="46"/>
      <c r="AH137" s="46"/>
      <c r="AI137" s="46"/>
      <c r="AJ137" s="46"/>
      <c r="AK137" s="46"/>
      <c r="AL137" s="46"/>
      <c r="AM137" s="46"/>
      <c r="AN137" s="46"/>
      <c r="AO137" s="46"/>
      <c r="AP137" s="46"/>
      <c r="AQ137" s="46"/>
      <c r="AR137" s="46"/>
      <c r="AS137" s="46"/>
      <c r="AT137" s="46"/>
      <c r="AU137" s="1"/>
      <c r="AV137" s="1"/>
    </row>
    <row r="138" spans="1:48" ht="15.75" customHeight="1" x14ac:dyDescent="0.25">
      <c r="A138" s="43"/>
      <c r="B138" s="50"/>
      <c r="C138" s="51"/>
      <c r="D138" s="43"/>
      <c r="E138" s="43"/>
      <c r="F138" s="43"/>
      <c r="G138" s="44"/>
      <c r="H138" s="23"/>
      <c r="I138" s="67"/>
      <c r="J138" s="67"/>
      <c r="K138" s="68"/>
      <c r="L138" s="46"/>
      <c r="M138" s="46"/>
      <c r="N138" s="46"/>
      <c r="O138" s="46"/>
      <c r="P138" s="46"/>
      <c r="Q138" s="46"/>
      <c r="R138" s="46"/>
      <c r="S138" s="46"/>
      <c r="T138" s="46"/>
      <c r="U138" s="46"/>
      <c r="V138" s="46"/>
      <c r="W138" s="46"/>
      <c r="X138" s="46"/>
      <c r="Y138" s="46"/>
      <c r="Z138" s="46"/>
      <c r="AA138" s="46"/>
      <c r="AB138" s="46"/>
      <c r="AC138" s="46"/>
      <c r="AD138" s="46"/>
      <c r="AE138" s="46"/>
      <c r="AF138" s="46"/>
      <c r="AG138" s="46"/>
      <c r="AH138" s="46"/>
      <c r="AI138" s="46"/>
      <c r="AJ138" s="46"/>
      <c r="AK138" s="46"/>
      <c r="AL138" s="46"/>
      <c r="AM138" s="46"/>
      <c r="AN138" s="46"/>
      <c r="AO138" s="46"/>
      <c r="AP138" s="46"/>
      <c r="AQ138" s="46"/>
      <c r="AR138" s="46"/>
      <c r="AS138" s="46"/>
      <c r="AT138" s="46"/>
      <c r="AU138" s="1"/>
      <c r="AV138" s="1"/>
    </row>
    <row r="139" spans="1:48" ht="15.75" customHeight="1" x14ac:dyDescent="0.25">
      <c r="A139" s="43"/>
      <c r="B139" s="50"/>
      <c r="C139" s="51"/>
      <c r="D139" s="43"/>
      <c r="E139" s="43"/>
      <c r="F139" s="43"/>
      <c r="G139" s="44"/>
      <c r="H139" s="23"/>
      <c r="I139" s="67"/>
      <c r="J139" s="67"/>
      <c r="K139" s="68"/>
      <c r="L139" s="46"/>
      <c r="M139" s="46"/>
      <c r="N139" s="46"/>
      <c r="O139" s="46"/>
      <c r="P139" s="46"/>
      <c r="Q139" s="46"/>
      <c r="R139" s="46"/>
      <c r="S139" s="46"/>
      <c r="T139" s="46"/>
      <c r="U139" s="46"/>
      <c r="V139" s="46"/>
      <c r="W139" s="46"/>
      <c r="X139" s="46"/>
      <c r="Y139" s="46"/>
      <c r="Z139" s="46"/>
      <c r="AA139" s="46"/>
      <c r="AB139" s="46"/>
      <c r="AC139" s="46"/>
      <c r="AD139" s="46"/>
      <c r="AE139" s="46"/>
      <c r="AF139" s="46"/>
      <c r="AG139" s="46"/>
      <c r="AH139" s="46"/>
      <c r="AI139" s="46"/>
      <c r="AJ139" s="46"/>
      <c r="AK139" s="46"/>
      <c r="AL139" s="46"/>
      <c r="AM139" s="46"/>
      <c r="AN139" s="46"/>
      <c r="AO139" s="46"/>
      <c r="AP139" s="46"/>
      <c r="AQ139" s="46"/>
      <c r="AR139" s="46"/>
      <c r="AS139" s="46"/>
      <c r="AT139" s="46"/>
      <c r="AU139" s="1"/>
      <c r="AV139" s="1"/>
    </row>
    <row r="140" spans="1:48" ht="15.75" customHeight="1" x14ac:dyDescent="0.25">
      <c r="A140" s="43"/>
      <c r="B140" s="50"/>
      <c r="C140" s="51"/>
      <c r="D140" s="43"/>
      <c r="E140" s="43"/>
      <c r="F140" s="43"/>
      <c r="G140" s="44"/>
      <c r="H140" s="23"/>
      <c r="I140" s="67"/>
      <c r="J140" s="67"/>
      <c r="K140" s="68"/>
      <c r="L140" s="46"/>
      <c r="M140" s="46"/>
      <c r="N140" s="46"/>
      <c r="O140" s="46"/>
      <c r="P140" s="46"/>
      <c r="Q140" s="46"/>
      <c r="R140" s="46"/>
      <c r="S140" s="46"/>
      <c r="T140" s="46"/>
      <c r="U140" s="46"/>
      <c r="V140" s="46"/>
      <c r="W140" s="46"/>
      <c r="X140" s="46"/>
      <c r="Y140" s="46"/>
      <c r="Z140" s="46"/>
      <c r="AA140" s="46"/>
      <c r="AB140" s="46"/>
      <c r="AC140" s="46"/>
      <c r="AD140" s="46"/>
      <c r="AE140" s="46"/>
      <c r="AF140" s="46"/>
      <c r="AG140" s="46"/>
      <c r="AH140" s="46"/>
      <c r="AI140" s="46"/>
      <c r="AJ140" s="46"/>
      <c r="AK140" s="46"/>
      <c r="AL140" s="46"/>
      <c r="AM140" s="46"/>
      <c r="AN140" s="46"/>
      <c r="AO140" s="46"/>
      <c r="AP140" s="46"/>
      <c r="AQ140" s="46"/>
      <c r="AR140" s="46"/>
      <c r="AS140" s="46"/>
      <c r="AT140" s="46"/>
      <c r="AU140" s="1"/>
      <c r="AV140" s="1"/>
    </row>
    <row r="141" spans="1:48" ht="15.75" customHeight="1" x14ac:dyDescent="0.25">
      <c r="A141" s="43"/>
      <c r="B141" s="50"/>
      <c r="C141" s="51"/>
      <c r="D141" s="43"/>
      <c r="E141" s="43"/>
      <c r="F141" s="43"/>
      <c r="G141" s="44"/>
      <c r="H141" s="23"/>
      <c r="I141" s="67"/>
      <c r="J141" s="67"/>
      <c r="K141" s="68"/>
      <c r="L141" s="46"/>
      <c r="M141" s="46"/>
      <c r="N141" s="46"/>
      <c r="O141" s="46"/>
      <c r="P141" s="46"/>
      <c r="Q141" s="46"/>
      <c r="R141" s="46"/>
      <c r="S141" s="46"/>
      <c r="T141" s="46"/>
      <c r="U141" s="46"/>
      <c r="V141" s="46"/>
      <c r="W141" s="46"/>
      <c r="X141" s="46"/>
      <c r="Y141" s="46"/>
      <c r="Z141" s="46"/>
      <c r="AA141" s="46"/>
      <c r="AB141" s="46"/>
      <c r="AC141" s="46"/>
      <c r="AD141" s="46"/>
      <c r="AE141" s="46"/>
      <c r="AF141" s="46"/>
      <c r="AG141" s="46"/>
      <c r="AH141" s="46"/>
      <c r="AI141" s="46"/>
      <c r="AJ141" s="46"/>
      <c r="AK141" s="46"/>
      <c r="AL141" s="46"/>
      <c r="AM141" s="46"/>
      <c r="AN141" s="46"/>
      <c r="AO141" s="46"/>
      <c r="AP141" s="46"/>
      <c r="AQ141" s="46"/>
      <c r="AR141" s="46"/>
      <c r="AS141" s="46"/>
      <c r="AT141" s="46"/>
      <c r="AU141" s="1"/>
      <c r="AV141" s="1"/>
    </row>
    <row r="142" spans="1:48" ht="15.75" customHeight="1" x14ac:dyDescent="0.25">
      <c r="A142" s="43"/>
      <c r="B142" s="50"/>
      <c r="C142" s="51"/>
      <c r="D142" s="43"/>
      <c r="E142" s="43"/>
      <c r="F142" s="43"/>
      <c r="G142" s="44"/>
      <c r="H142" s="23"/>
      <c r="I142" s="67"/>
      <c r="J142" s="67"/>
      <c r="K142" s="68"/>
      <c r="L142" s="46"/>
      <c r="M142" s="46"/>
      <c r="N142" s="46"/>
      <c r="O142" s="46"/>
      <c r="P142" s="46"/>
      <c r="Q142" s="46"/>
      <c r="R142" s="46"/>
      <c r="S142" s="46"/>
      <c r="T142" s="46"/>
      <c r="U142" s="46"/>
      <c r="V142" s="46"/>
      <c r="W142" s="46"/>
      <c r="X142" s="46"/>
      <c r="Y142" s="46"/>
      <c r="Z142" s="46"/>
      <c r="AA142" s="46"/>
      <c r="AB142" s="46"/>
      <c r="AC142" s="46"/>
      <c r="AD142" s="46"/>
      <c r="AE142" s="46"/>
      <c r="AF142" s="46"/>
      <c r="AG142" s="46"/>
      <c r="AH142" s="46"/>
      <c r="AI142" s="46"/>
      <c r="AJ142" s="46"/>
      <c r="AK142" s="46"/>
      <c r="AL142" s="46"/>
      <c r="AM142" s="46"/>
      <c r="AN142" s="46"/>
      <c r="AO142" s="46"/>
      <c r="AP142" s="46"/>
      <c r="AQ142" s="46"/>
      <c r="AR142" s="46"/>
      <c r="AS142" s="46"/>
      <c r="AT142" s="46"/>
      <c r="AU142" s="1"/>
      <c r="AV142" s="1"/>
    </row>
    <row r="143" spans="1:48" ht="15.75" customHeight="1" x14ac:dyDescent="0.25">
      <c r="A143" s="43"/>
      <c r="B143" s="50"/>
      <c r="C143" s="51"/>
      <c r="D143" s="43"/>
      <c r="E143" s="43"/>
      <c r="F143" s="43"/>
      <c r="G143" s="44"/>
      <c r="H143" s="23"/>
      <c r="I143" s="67"/>
      <c r="J143" s="67"/>
      <c r="K143" s="68"/>
      <c r="L143" s="46"/>
      <c r="M143" s="46"/>
      <c r="N143" s="46"/>
      <c r="O143" s="46"/>
      <c r="P143" s="46"/>
      <c r="Q143" s="46"/>
      <c r="R143" s="46"/>
      <c r="S143" s="46"/>
      <c r="T143" s="46"/>
      <c r="U143" s="46"/>
      <c r="V143" s="46"/>
      <c r="W143" s="46"/>
      <c r="X143" s="46"/>
      <c r="Y143" s="46"/>
      <c r="Z143" s="46"/>
      <c r="AA143" s="46"/>
      <c r="AB143" s="46"/>
      <c r="AC143" s="46"/>
      <c r="AD143" s="46"/>
      <c r="AE143" s="46"/>
      <c r="AF143" s="46"/>
      <c r="AG143" s="46"/>
      <c r="AH143" s="46"/>
      <c r="AI143" s="46"/>
      <c r="AJ143" s="46"/>
      <c r="AK143" s="46"/>
      <c r="AL143" s="46"/>
      <c r="AM143" s="46"/>
      <c r="AN143" s="46"/>
      <c r="AO143" s="46"/>
      <c r="AP143" s="46"/>
      <c r="AQ143" s="46"/>
      <c r="AR143" s="46"/>
      <c r="AS143" s="46"/>
      <c r="AT143" s="46"/>
      <c r="AU143" s="1"/>
      <c r="AV143" s="1"/>
    </row>
    <row r="144" spans="1:48" ht="15.75" customHeight="1" x14ac:dyDescent="0.25">
      <c r="A144" s="43"/>
      <c r="B144" s="50"/>
      <c r="C144" s="51"/>
      <c r="D144" s="43"/>
      <c r="E144" s="43"/>
      <c r="F144" s="43"/>
      <c r="G144" s="44"/>
      <c r="H144" s="23"/>
      <c r="I144" s="67"/>
      <c r="J144" s="67"/>
      <c r="K144" s="68"/>
      <c r="L144" s="46"/>
      <c r="M144" s="46"/>
      <c r="N144" s="46"/>
      <c r="O144" s="46"/>
      <c r="P144" s="46"/>
      <c r="Q144" s="46"/>
      <c r="R144" s="46"/>
      <c r="S144" s="46"/>
      <c r="T144" s="46"/>
      <c r="U144" s="46"/>
      <c r="V144" s="46"/>
      <c r="W144" s="46"/>
      <c r="X144" s="46"/>
      <c r="Y144" s="46"/>
      <c r="Z144" s="46"/>
      <c r="AA144" s="46"/>
      <c r="AB144" s="46"/>
      <c r="AC144" s="46"/>
      <c r="AD144" s="46"/>
      <c r="AE144" s="46"/>
      <c r="AF144" s="46"/>
      <c r="AG144" s="46"/>
      <c r="AH144" s="46"/>
      <c r="AI144" s="46"/>
      <c r="AJ144" s="46"/>
      <c r="AK144" s="46"/>
      <c r="AL144" s="46"/>
      <c r="AM144" s="46"/>
      <c r="AN144" s="46"/>
      <c r="AO144" s="46"/>
      <c r="AP144" s="46"/>
      <c r="AQ144" s="46"/>
      <c r="AR144" s="46"/>
      <c r="AS144" s="46"/>
      <c r="AT144" s="46"/>
      <c r="AU144" s="1"/>
      <c r="AV144" s="1"/>
    </row>
    <row r="145" spans="1:48" ht="15.75" customHeight="1" x14ac:dyDescent="0.25">
      <c r="A145" s="43"/>
      <c r="B145" s="50"/>
      <c r="C145" s="51"/>
      <c r="D145" s="43"/>
      <c r="E145" s="43"/>
      <c r="F145" s="43"/>
      <c r="G145" s="44"/>
      <c r="H145" s="23"/>
      <c r="I145" s="67"/>
      <c r="J145" s="67"/>
      <c r="K145" s="68"/>
      <c r="L145" s="46"/>
      <c r="M145" s="46"/>
      <c r="N145" s="46"/>
      <c r="O145" s="46"/>
      <c r="P145" s="46"/>
      <c r="Q145" s="46"/>
      <c r="R145" s="46"/>
      <c r="S145" s="46"/>
      <c r="T145" s="46"/>
      <c r="U145" s="46"/>
      <c r="V145" s="46"/>
      <c r="W145" s="46"/>
      <c r="X145" s="46"/>
      <c r="Y145" s="46"/>
      <c r="Z145" s="46"/>
      <c r="AA145" s="46"/>
      <c r="AB145" s="46"/>
      <c r="AC145" s="46"/>
      <c r="AD145" s="46"/>
      <c r="AE145" s="46"/>
      <c r="AF145" s="46"/>
      <c r="AG145" s="46"/>
      <c r="AH145" s="46"/>
      <c r="AI145" s="46"/>
      <c r="AJ145" s="46"/>
      <c r="AK145" s="46"/>
      <c r="AL145" s="46"/>
      <c r="AM145" s="46"/>
      <c r="AN145" s="46"/>
      <c r="AO145" s="46"/>
      <c r="AP145" s="46"/>
      <c r="AQ145" s="46"/>
      <c r="AR145" s="46"/>
      <c r="AS145" s="46"/>
      <c r="AT145" s="46"/>
      <c r="AU145" s="1"/>
      <c r="AV145" s="1"/>
    </row>
    <row r="146" spans="1:48" ht="15.75" customHeight="1" x14ac:dyDescent="0.25">
      <c r="A146" s="43"/>
      <c r="B146" s="50"/>
      <c r="C146" s="51"/>
      <c r="D146" s="43"/>
      <c r="E146" s="43"/>
      <c r="F146" s="43"/>
      <c r="G146" s="44"/>
      <c r="H146" s="23"/>
      <c r="I146" s="67"/>
      <c r="J146" s="67"/>
      <c r="K146" s="68"/>
      <c r="L146" s="46"/>
      <c r="M146" s="46"/>
      <c r="N146" s="46"/>
      <c r="O146" s="46"/>
      <c r="P146" s="46"/>
      <c r="Q146" s="46"/>
      <c r="R146" s="46"/>
      <c r="S146" s="46"/>
      <c r="T146" s="46"/>
      <c r="U146" s="46"/>
      <c r="V146" s="46"/>
      <c r="W146" s="46"/>
      <c r="X146" s="46"/>
      <c r="Y146" s="46"/>
      <c r="Z146" s="46"/>
      <c r="AA146" s="46"/>
      <c r="AB146" s="46"/>
      <c r="AC146" s="46"/>
      <c r="AD146" s="46"/>
      <c r="AE146" s="46"/>
      <c r="AF146" s="46"/>
      <c r="AG146" s="46"/>
      <c r="AH146" s="46"/>
      <c r="AI146" s="46"/>
      <c r="AJ146" s="46"/>
      <c r="AK146" s="46"/>
      <c r="AL146" s="46"/>
      <c r="AM146" s="46"/>
      <c r="AN146" s="46"/>
      <c r="AO146" s="46"/>
      <c r="AP146" s="46"/>
      <c r="AQ146" s="46"/>
      <c r="AR146" s="46"/>
      <c r="AS146" s="46"/>
      <c r="AT146" s="46"/>
      <c r="AU146" s="1"/>
      <c r="AV146" s="1"/>
    </row>
    <row r="147" spans="1:48" ht="15.75" customHeight="1" x14ac:dyDescent="0.25">
      <c r="A147" s="43"/>
      <c r="B147" s="50"/>
      <c r="C147" s="51"/>
      <c r="D147" s="43"/>
      <c r="E147" s="43"/>
      <c r="F147" s="43"/>
      <c r="G147" s="44"/>
      <c r="H147" s="23"/>
      <c r="I147" s="67"/>
      <c r="J147" s="67"/>
      <c r="K147" s="68"/>
      <c r="L147" s="46"/>
      <c r="M147" s="46"/>
      <c r="N147" s="46"/>
      <c r="O147" s="46"/>
      <c r="P147" s="46"/>
      <c r="Q147" s="46"/>
      <c r="R147" s="46"/>
      <c r="S147" s="46"/>
      <c r="T147" s="46"/>
      <c r="U147" s="46"/>
      <c r="V147" s="46"/>
      <c r="W147" s="46"/>
      <c r="X147" s="46"/>
      <c r="Y147" s="46"/>
      <c r="Z147" s="46"/>
      <c r="AA147" s="46"/>
      <c r="AB147" s="46"/>
      <c r="AC147" s="46"/>
      <c r="AD147" s="46"/>
      <c r="AE147" s="46"/>
      <c r="AF147" s="46"/>
      <c r="AG147" s="46"/>
      <c r="AH147" s="46"/>
      <c r="AI147" s="46"/>
      <c r="AJ147" s="46"/>
      <c r="AK147" s="46"/>
      <c r="AL147" s="46"/>
      <c r="AM147" s="46"/>
      <c r="AN147" s="46"/>
      <c r="AO147" s="46"/>
      <c r="AP147" s="46"/>
      <c r="AQ147" s="46"/>
      <c r="AR147" s="46"/>
      <c r="AS147" s="46"/>
      <c r="AT147" s="46"/>
      <c r="AU147" s="1"/>
      <c r="AV147" s="1"/>
    </row>
    <row r="148" spans="1:48" ht="15.75" customHeight="1" x14ac:dyDescent="0.25">
      <c r="A148" s="43"/>
      <c r="B148" s="50"/>
      <c r="C148" s="51"/>
      <c r="D148" s="43"/>
      <c r="E148" s="43"/>
      <c r="F148" s="43"/>
      <c r="G148" s="44"/>
      <c r="H148" s="23"/>
      <c r="I148" s="67"/>
      <c r="J148" s="67"/>
      <c r="K148" s="68"/>
      <c r="L148" s="46"/>
      <c r="M148" s="46"/>
      <c r="N148" s="46"/>
      <c r="O148" s="46"/>
      <c r="P148" s="46"/>
      <c r="Q148" s="46"/>
      <c r="R148" s="46"/>
      <c r="S148" s="46"/>
      <c r="T148" s="46"/>
      <c r="U148" s="46"/>
      <c r="V148" s="46"/>
      <c r="W148" s="46"/>
      <c r="X148" s="46"/>
      <c r="Y148" s="46"/>
      <c r="Z148" s="46"/>
      <c r="AA148" s="46"/>
      <c r="AB148" s="46"/>
      <c r="AC148" s="46"/>
      <c r="AD148" s="46"/>
      <c r="AE148" s="46"/>
      <c r="AF148" s="46"/>
      <c r="AG148" s="46"/>
      <c r="AH148" s="46"/>
      <c r="AI148" s="46"/>
      <c r="AJ148" s="46"/>
      <c r="AK148" s="46"/>
      <c r="AL148" s="46"/>
      <c r="AM148" s="46"/>
      <c r="AN148" s="46"/>
      <c r="AO148" s="46"/>
      <c r="AP148" s="46"/>
      <c r="AQ148" s="46"/>
      <c r="AR148" s="46"/>
      <c r="AS148" s="46"/>
      <c r="AT148" s="46"/>
      <c r="AU148" s="1"/>
      <c r="AV148" s="1"/>
    </row>
    <row r="149" spans="1:48" ht="15.75" customHeight="1" x14ac:dyDescent="0.25">
      <c r="A149" s="43"/>
      <c r="B149" s="50"/>
      <c r="C149" s="51"/>
      <c r="D149" s="43"/>
      <c r="E149" s="43"/>
      <c r="F149" s="43"/>
      <c r="G149" s="44"/>
      <c r="H149" s="23"/>
      <c r="I149" s="67"/>
      <c r="J149" s="67"/>
      <c r="K149" s="68"/>
      <c r="L149" s="46"/>
      <c r="M149" s="46"/>
      <c r="N149" s="46"/>
      <c r="O149" s="46"/>
      <c r="P149" s="46"/>
      <c r="Q149" s="46"/>
      <c r="R149" s="46"/>
      <c r="S149" s="46"/>
      <c r="T149" s="46"/>
      <c r="U149" s="46"/>
      <c r="V149" s="46"/>
      <c r="W149" s="46"/>
      <c r="X149" s="46"/>
      <c r="Y149" s="46"/>
      <c r="Z149" s="46"/>
      <c r="AA149" s="46"/>
      <c r="AB149" s="46"/>
      <c r="AC149" s="46"/>
      <c r="AD149" s="46"/>
      <c r="AE149" s="46"/>
      <c r="AF149" s="46"/>
      <c r="AG149" s="46"/>
      <c r="AH149" s="46"/>
      <c r="AI149" s="46"/>
      <c r="AJ149" s="46"/>
      <c r="AK149" s="46"/>
      <c r="AL149" s="46"/>
      <c r="AM149" s="46"/>
      <c r="AN149" s="46"/>
      <c r="AO149" s="46"/>
      <c r="AP149" s="46"/>
      <c r="AQ149" s="46"/>
      <c r="AR149" s="46"/>
      <c r="AS149" s="46"/>
      <c r="AT149" s="46"/>
      <c r="AU149" s="1"/>
      <c r="AV149" s="1"/>
    </row>
    <row r="150" spans="1:48" ht="15.75" customHeight="1" x14ac:dyDescent="0.25">
      <c r="A150" s="43"/>
      <c r="B150" s="50"/>
      <c r="C150" s="51"/>
      <c r="D150" s="43"/>
      <c r="E150" s="43"/>
      <c r="F150" s="43"/>
      <c r="G150" s="44"/>
      <c r="H150" s="23"/>
      <c r="I150" s="67"/>
      <c r="J150" s="67"/>
      <c r="K150" s="68"/>
      <c r="L150" s="46"/>
      <c r="M150" s="46"/>
      <c r="N150" s="46"/>
      <c r="O150" s="46"/>
      <c r="P150" s="46"/>
      <c r="Q150" s="46"/>
      <c r="R150" s="46"/>
      <c r="S150" s="46"/>
      <c r="T150" s="46"/>
      <c r="U150" s="46"/>
      <c r="V150" s="46"/>
      <c r="W150" s="46"/>
      <c r="X150" s="46"/>
      <c r="Y150" s="46"/>
      <c r="Z150" s="46"/>
      <c r="AA150" s="46"/>
      <c r="AB150" s="46"/>
      <c r="AC150" s="46"/>
      <c r="AD150" s="46"/>
      <c r="AE150" s="46"/>
      <c r="AF150" s="46"/>
      <c r="AG150" s="46"/>
      <c r="AH150" s="46"/>
      <c r="AI150" s="46"/>
      <c r="AJ150" s="46"/>
      <c r="AK150" s="46"/>
      <c r="AL150" s="46"/>
      <c r="AM150" s="46"/>
      <c r="AN150" s="46"/>
      <c r="AO150" s="46"/>
      <c r="AP150" s="46"/>
      <c r="AQ150" s="46"/>
      <c r="AR150" s="46"/>
      <c r="AS150" s="46"/>
      <c r="AT150" s="46"/>
      <c r="AU150" s="1"/>
      <c r="AV150" s="1"/>
    </row>
    <row r="151" spans="1:48" ht="15.75" customHeight="1" x14ac:dyDescent="0.25">
      <c r="A151" s="43"/>
      <c r="B151" s="50"/>
      <c r="C151" s="51"/>
      <c r="D151" s="43"/>
      <c r="E151" s="43"/>
      <c r="F151" s="43"/>
      <c r="G151" s="44"/>
      <c r="H151" s="23"/>
      <c r="I151" s="67"/>
      <c r="J151" s="67"/>
      <c r="K151" s="68"/>
      <c r="L151" s="46"/>
      <c r="M151" s="46"/>
      <c r="N151" s="46"/>
      <c r="O151" s="46"/>
      <c r="P151" s="46"/>
      <c r="Q151" s="46"/>
      <c r="R151" s="46"/>
      <c r="S151" s="46"/>
      <c r="T151" s="46"/>
      <c r="U151" s="46"/>
      <c r="V151" s="46"/>
      <c r="W151" s="46"/>
      <c r="X151" s="46"/>
      <c r="Y151" s="46"/>
      <c r="Z151" s="46"/>
      <c r="AA151" s="46"/>
      <c r="AB151" s="46"/>
      <c r="AC151" s="46"/>
      <c r="AD151" s="46"/>
      <c r="AE151" s="46"/>
      <c r="AF151" s="46"/>
      <c r="AG151" s="46"/>
      <c r="AH151" s="46"/>
      <c r="AI151" s="46"/>
      <c r="AJ151" s="46"/>
      <c r="AK151" s="46"/>
      <c r="AL151" s="46"/>
      <c r="AM151" s="46"/>
      <c r="AN151" s="46"/>
      <c r="AO151" s="46"/>
      <c r="AP151" s="46"/>
      <c r="AQ151" s="46"/>
      <c r="AR151" s="46"/>
      <c r="AS151" s="46"/>
      <c r="AT151" s="46"/>
      <c r="AU151" s="1"/>
      <c r="AV151" s="1"/>
    </row>
    <row r="152" spans="1:48" ht="15.75" customHeight="1" x14ac:dyDescent="0.25">
      <c r="A152" s="43"/>
      <c r="B152" s="50"/>
      <c r="C152" s="51"/>
      <c r="D152" s="43"/>
      <c r="E152" s="43"/>
      <c r="F152" s="43"/>
      <c r="G152" s="44"/>
      <c r="H152" s="23"/>
      <c r="I152" s="67"/>
      <c r="J152" s="67"/>
      <c r="K152" s="68"/>
      <c r="L152" s="46"/>
      <c r="M152" s="46"/>
      <c r="N152" s="46"/>
      <c r="O152" s="46"/>
      <c r="P152" s="46"/>
      <c r="Q152" s="46"/>
      <c r="R152" s="46"/>
      <c r="S152" s="46"/>
      <c r="T152" s="46"/>
      <c r="U152" s="46"/>
      <c r="V152" s="46"/>
      <c r="W152" s="46"/>
      <c r="X152" s="46"/>
      <c r="Y152" s="46"/>
      <c r="Z152" s="46"/>
      <c r="AA152" s="46"/>
      <c r="AB152" s="46"/>
      <c r="AC152" s="46"/>
      <c r="AD152" s="46"/>
      <c r="AE152" s="46"/>
      <c r="AF152" s="46"/>
      <c r="AG152" s="46"/>
      <c r="AH152" s="46"/>
      <c r="AI152" s="46"/>
      <c r="AJ152" s="46"/>
      <c r="AK152" s="46"/>
      <c r="AL152" s="46"/>
      <c r="AM152" s="46"/>
      <c r="AN152" s="46"/>
      <c r="AO152" s="46"/>
      <c r="AP152" s="46"/>
      <c r="AQ152" s="46"/>
      <c r="AR152" s="46"/>
      <c r="AS152" s="46"/>
      <c r="AT152" s="46"/>
      <c r="AU152" s="1"/>
      <c r="AV152" s="1"/>
    </row>
    <row r="153" spans="1:48" ht="15.75" customHeight="1" x14ac:dyDescent="0.25">
      <c r="A153" s="43"/>
      <c r="B153" s="50"/>
      <c r="C153" s="51"/>
      <c r="D153" s="43"/>
      <c r="E153" s="43"/>
      <c r="F153" s="43"/>
      <c r="G153" s="44"/>
      <c r="H153" s="23"/>
      <c r="I153" s="67"/>
      <c r="J153" s="67"/>
      <c r="K153" s="68"/>
      <c r="L153" s="46"/>
      <c r="M153" s="46"/>
      <c r="N153" s="46"/>
      <c r="O153" s="46"/>
      <c r="P153" s="46"/>
      <c r="Q153" s="46"/>
      <c r="R153" s="46"/>
      <c r="S153" s="46"/>
      <c r="T153" s="46"/>
      <c r="U153" s="46"/>
      <c r="V153" s="46"/>
      <c r="W153" s="46"/>
      <c r="X153" s="46"/>
      <c r="Y153" s="46"/>
      <c r="Z153" s="46"/>
      <c r="AA153" s="46"/>
      <c r="AB153" s="46"/>
      <c r="AC153" s="46"/>
      <c r="AD153" s="46"/>
      <c r="AE153" s="46"/>
      <c r="AF153" s="46"/>
      <c r="AG153" s="46"/>
      <c r="AH153" s="46"/>
      <c r="AI153" s="46"/>
      <c r="AJ153" s="46"/>
      <c r="AK153" s="46"/>
      <c r="AL153" s="46"/>
      <c r="AM153" s="46"/>
      <c r="AN153" s="46"/>
      <c r="AO153" s="46"/>
      <c r="AP153" s="46"/>
      <c r="AQ153" s="46"/>
      <c r="AR153" s="46"/>
      <c r="AS153" s="46"/>
      <c r="AT153" s="46"/>
      <c r="AU153" s="1"/>
      <c r="AV153" s="1"/>
    </row>
    <row r="154" spans="1:48" ht="15.75" customHeight="1" x14ac:dyDescent="0.25">
      <c r="A154" s="43"/>
      <c r="B154" s="50"/>
      <c r="C154" s="51"/>
      <c r="D154" s="43"/>
      <c r="E154" s="43"/>
      <c r="F154" s="43"/>
      <c r="G154" s="44"/>
      <c r="H154" s="23"/>
      <c r="I154" s="67"/>
      <c r="J154" s="67"/>
      <c r="K154" s="68"/>
      <c r="L154" s="46"/>
      <c r="M154" s="46"/>
      <c r="N154" s="46"/>
      <c r="O154" s="46"/>
      <c r="P154" s="46"/>
      <c r="Q154" s="46"/>
      <c r="R154" s="46"/>
      <c r="S154" s="46"/>
      <c r="T154" s="46"/>
      <c r="U154" s="46"/>
      <c r="V154" s="46"/>
      <c r="W154" s="46"/>
      <c r="X154" s="46"/>
      <c r="Y154" s="46"/>
      <c r="Z154" s="46"/>
      <c r="AA154" s="46"/>
      <c r="AB154" s="46"/>
      <c r="AC154" s="46"/>
      <c r="AD154" s="46"/>
      <c r="AE154" s="46"/>
      <c r="AF154" s="46"/>
      <c r="AG154" s="46"/>
      <c r="AH154" s="46"/>
      <c r="AI154" s="46"/>
      <c r="AJ154" s="46"/>
      <c r="AK154" s="46"/>
      <c r="AL154" s="46"/>
      <c r="AM154" s="46"/>
      <c r="AN154" s="46"/>
      <c r="AO154" s="46"/>
      <c r="AP154" s="46"/>
      <c r="AQ154" s="46"/>
      <c r="AR154" s="46"/>
      <c r="AS154" s="46"/>
      <c r="AT154" s="46"/>
      <c r="AU154" s="1"/>
      <c r="AV154" s="1"/>
    </row>
    <row r="155" spans="1:48" ht="15.75" customHeight="1" x14ac:dyDescent="0.25">
      <c r="A155" s="43"/>
      <c r="B155" s="50"/>
      <c r="C155" s="51"/>
      <c r="D155" s="43"/>
      <c r="E155" s="43"/>
      <c r="F155" s="43"/>
      <c r="G155" s="44"/>
      <c r="H155" s="23"/>
      <c r="I155" s="67"/>
      <c r="J155" s="67"/>
      <c r="K155" s="68"/>
      <c r="L155" s="46"/>
      <c r="M155" s="46"/>
      <c r="N155" s="46"/>
      <c r="O155" s="46"/>
      <c r="P155" s="46"/>
      <c r="Q155" s="46"/>
      <c r="R155" s="46"/>
      <c r="S155" s="46"/>
      <c r="T155" s="46"/>
      <c r="U155" s="46"/>
      <c r="V155" s="46"/>
      <c r="W155" s="46"/>
      <c r="X155" s="46"/>
      <c r="Y155" s="46"/>
      <c r="Z155" s="46"/>
      <c r="AA155" s="46"/>
      <c r="AB155" s="46"/>
      <c r="AC155" s="46"/>
      <c r="AD155" s="46"/>
      <c r="AE155" s="46"/>
      <c r="AF155" s="46"/>
      <c r="AG155" s="46"/>
      <c r="AH155" s="46"/>
      <c r="AI155" s="46"/>
      <c r="AJ155" s="46"/>
      <c r="AK155" s="46"/>
      <c r="AL155" s="46"/>
      <c r="AM155" s="46"/>
      <c r="AN155" s="46"/>
      <c r="AO155" s="46"/>
      <c r="AP155" s="46"/>
      <c r="AQ155" s="46"/>
      <c r="AR155" s="46"/>
      <c r="AS155" s="46"/>
      <c r="AT155" s="46"/>
      <c r="AU155" s="1"/>
      <c r="AV155" s="1"/>
    </row>
    <row r="156" spans="1:48" ht="15.75" customHeight="1" x14ac:dyDescent="0.25">
      <c r="A156" s="43"/>
      <c r="B156" s="50"/>
      <c r="C156" s="51"/>
      <c r="D156" s="43"/>
      <c r="E156" s="43"/>
      <c r="F156" s="43"/>
      <c r="G156" s="44"/>
      <c r="H156" s="23"/>
      <c r="I156" s="67"/>
      <c r="J156" s="67"/>
      <c r="K156" s="68"/>
      <c r="L156" s="46"/>
      <c r="M156" s="46"/>
      <c r="N156" s="46"/>
      <c r="O156" s="46"/>
      <c r="P156" s="46"/>
      <c r="Q156" s="46"/>
      <c r="R156" s="46"/>
      <c r="S156" s="46"/>
      <c r="T156" s="46"/>
      <c r="U156" s="46"/>
      <c r="V156" s="46"/>
      <c r="W156" s="46"/>
      <c r="X156" s="46"/>
      <c r="Y156" s="46"/>
      <c r="Z156" s="46"/>
      <c r="AA156" s="46"/>
      <c r="AB156" s="46"/>
      <c r="AC156" s="46"/>
      <c r="AD156" s="46"/>
      <c r="AE156" s="46"/>
      <c r="AF156" s="46"/>
      <c r="AG156" s="46"/>
      <c r="AH156" s="46"/>
      <c r="AI156" s="46"/>
      <c r="AJ156" s="46"/>
      <c r="AK156" s="46"/>
      <c r="AL156" s="46"/>
      <c r="AM156" s="46"/>
      <c r="AN156" s="46"/>
      <c r="AO156" s="46"/>
      <c r="AP156" s="46"/>
      <c r="AQ156" s="46"/>
      <c r="AR156" s="46"/>
      <c r="AS156" s="46"/>
      <c r="AT156" s="46"/>
      <c r="AU156" s="1"/>
      <c r="AV156" s="1"/>
    </row>
    <row r="157" spans="1:48" ht="15.75" customHeight="1" x14ac:dyDescent="0.25">
      <c r="A157" s="43"/>
      <c r="B157" s="50"/>
      <c r="C157" s="51"/>
      <c r="D157" s="43"/>
      <c r="E157" s="43"/>
      <c r="F157" s="43"/>
      <c r="G157" s="44"/>
      <c r="H157" s="23"/>
      <c r="I157" s="67"/>
      <c r="J157" s="67"/>
      <c r="K157" s="68"/>
      <c r="L157" s="46"/>
      <c r="M157" s="46"/>
      <c r="N157" s="46"/>
      <c r="O157" s="46"/>
      <c r="P157" s="46"/>
      <c r="Q157" s="46"/>
      <c r="R157" s="46"/>
      <c r="S157" s="46"/>
      <c r="T157" s="46"/>
      <c r="U157" s="46"/>
      <c r="V157" s="46"/>
      <c r="W157" s="46"/>
      <c r="X157" s="46"/>
      <c r="Y157" s="46"/>
      <c r="Z157" s="46"/>
      <c r="AA157" s="46"/>
      <c r="AB157" s="46"/>
      <c r="AC157" s="46"/>
      <c r="AD157" s="46"/>
      <c r="AE157" s="46"/>
      <c r="AF157" s="46"/>
      <c r="AG157" s="46"/>
      <c r="AH157" s="46"/>
      <c r="AI157" s="46"/>
      <c r="AJ157" s="46"/>
      <c r="AK157" s="46"/>
      <c r="AL157" s="46"/>
      <c r="AM157" s="46"/>
      <c r="AN157" s="46"/>
      <c r="AO157" s="46"/>
      <c r="AP157" s="46"/>
      <c r="AQ157" s="46"/>
      <c r="AR157" s="46"/>
      <c r="AS157" s="46"/>
      <c r="AT157" s="46"/>
      <c r="AU157" s="1"/>
      <c r="AV157" s="1"/>
    </row>
    <row r="158" spans="1:48" ht="15.75" customHeight="1" x14ac:dyDescent="0.25">
      <c r="A158" s="43"/>
      <c r="B158" s="50"/>
      <c r="C158" s="51"/>
      <c r="D158" s="43"/>
      <c r="E158" s="43"/>
      <c r="F158" s="43"/>
      <c r="G158" s="44"/>
      <c r="H158" s="23"/>
      <c r="I158" s="67"/>
      <c r="J158" s="67"/>
      <c r="K158" s="68"/>
      <c r="L158" s="46"/>
      <c r="M158" s="46"/>
      <c r="N158" s="46"/>
      <c r="O158" s="46"/>
      <c r="P158" s="46"/>
      <c r="Q158" s="46"/>
      <c r="R158" s="46"/>
      <c r="S158" s="46"/>
      <c r="T158" s="46"/>
      <c r="U158" s="46"/>
      <c r="V158" s="46"/>
      <c r="W158" s="46"/>
      <c r="X158" s="46"/>
      <c r="Y158" s="46"/>
      <c r="Z158" s="46"/>
      <c r="AA158" s="46"/>
      <c r="AB158" s="46"/>
      <c r="AC158" s="46"/>
      <c r="AD158" s="46"/>
      <c r="AE158" s="46"/>
      <c r="AF158" s="46"/>
      <c r="AG158" s="46"/>
      <c r="AH158" s="46"/>
      <c r="AI158" s="46"/>
      <c r="AJ158" s="46"/>
      <c r="AK158" s="46"/>
      <c r="AL158" s="46"/>
      <c r="AM158" s="46"/>
      <c r="AN158" s="46"/>
      <c r="AO158" s="46"/>
      <c r="AP158" s="46"/>
      <c r="AQ158" s="46"/>
      <c r="AR158" s="46"/>
      <c r="AS158" s="46"/>
      <c r="AT158" s="46"/>
      <c r="AU158" s="1"/>
      <c r="AV158" s="1"/>
    </row>
    <row r="159" spans="1:48" ht="15.75" customHeight="1" x14ac:dyDescent="0.25">
      <c r="A159" s="43"/>
      <c r="B159" s="50"/>
      <c r="C159" s="51"/>
      <c r="D159" s="43"/>
      <c r="E159" s="43"/>
      <c r="F159" s="43"/>
      <c r="G159" s="44"/>
      <c r="H159" s="23"/>
      <c r="I159" s="67"/>
      <c r="J159" s="67"/>
      <c r="K159" s="68"/>
      <c r="L159" s="46"/>
      <c r="M159" s="46"/>
      <c r="N159" s="46"/>
      <c r="O159" s="46"/>
      <c r="P159" s="46"/>
      <c r="Q159" s="46"/>
      <c r="R159" s="46"/>
      <c r="S159" s="46"/>
      <c r="T159" s="46"/>
      <c r="U159" s="46"/>
      <c r="V159" s="46"/>
      <c r="W159" s="46"/>
      <c r="X159" s="46"/>
      <c r="Y159" s="46"/>
      <c r="Z159" s="46"/>
      <c r="AA159" s="46"/>
      <c r="AB159" s="46"/>
      <c r="AC159" s="46"/>
      <c r="AD159" s="46"/>
      <c r="AE159" s="46"/>
      <c r="AF159" s="46"/>
      <c r="AG159" s="46"/>
      <c r="AH159" s="46"/>
      <c r="AI159" s="46"/>
      <c r="AJ159" s="46"/>
      <c r="AK159" s="46"/>
      <c r="AL159" s="46"/>
      <c r="AM159" s="46"/>
      <c r="AN159" s="46"/>
      <c r="AO159" s="46"/>
      <c r="AP159" s="46"/>
      <c r="AQ159" s="46"/>
      <c r="AR159" s="46"/>
      <c r="AS159" s="46"/>
      <c r="AT159" s="46"/>
      <c r="AU159" s="1"/>
      <c r="AV159" s="1"/>
    </row>
    <row r="160" spans="1:48" ht="15.75" customHeight="1" x14ac:dyDescent="0.25">
      <c r="A160" s="43"/>
      <c r="B160" s="50"/>
      <c r="C160" s="51"/>
      <c r="D160" s="43"/>
      <c r="E160" s="43"/>
      <c r="F160" s="43"/>
      <c r="G160" s="44"/>
      <c r="H160" s="23"/>
      <c r="I160" s="67"/>
      <c r="J160" s="67"/>
      <c r="K160" s="68"/>
      <c r="L160" s="46"/>
      <c r="M160" s="46"/>
      <c r="N160" s="46"/>
      <c r="O160" s="46"/>
      <c r="P160" s="46"/>
      <c r="Q160" s="46"/>
      <c r="R160" s="46"/>
      <c r="S160" s="46"/>
      <c r="T160" s="46"/>
      <c r="U160" s="46"/>
      <c r="V160" s="46"/>
      <c r="W160" s="46"/>
      <c r="X160" s="46"/>
      <c r="Y160" s="46"/>
      <c r="Z160" s="46"/>
      <c r="AA160" s="46"/>
      <c r="AB160" s="46"/>
      <c r="AC160" s="46"/>
      <c r="AD160" s="46"/>
      <c r="AE160" s="46"/>
      <c r="AF160" s="46"/>
      <c r="AG160" s="46"/>
      <c r="AH160" s="46"/>
      <c r="AI160" s="46"/>
      <c r="AJ160" s="46"/>
      <c r="AK160" s="46"/>
      <c r="AL160" s="46"/>
      <c r="AM160" s="46"/>
      <c r="AN160" s="46"/>
      <c r="AO160" s="46"/>
      <c r="AP160" s="46"/>
      <c r="AQ160" s="46"/>
      <c r="AR160" s="46"/>
      <c r="AS160" s="46"/>
      <c r="AT160" s="46"/>
      <c r="AU160" s="1"/>
      <c r="AV160" s="1"/>
    </row>
    <row r="161" spans="1:48" ht="15.75" customHeight="1" x14ac:dyDescent="0.25">
      <c r="A161" s="43"/>
      <c r="B161" s="50"/>
      <c r="C161" s="51"/>
      <c r="D161" s="43"/>
      <c r="E161" s="43"/>
      <c r="F161" s="43"/>
      <c r="G161" s="44"/>
      <c r="H161" s="23"/>
      <c r="I161" s="67"/>
      <c r="J161" s="67"/>
      <c r="K161" s="68"/>
      <c r="L161" s="46"/>
      <c r="M161" s="46"/>
      <c r="N161" s="46"/>
      <c r="O161" s="46"/>
      <c r="P161" s="46"/>
      <c r="Q161" s="46"/>
      <c r="R161" s="46"/>
      <c r="S161" s="46"/>
      <c r="T161" s="46"/>
      <c r="U161" s="46"/>
      <c r="V161" s="46"/>
      <c r="W161" s="46"/>
      <c r="X161" s="46"/>
      <c r="Y161" s="46"/>
      <c r="Z161" s="46"/>
      <c r="AA161" s="46"/>
      <c r="AB161" s="46"/>
      <c r="AC161" s="46"/>
      <c r="AD161" s="46"/>
      <c r="AE161" s="46"/>
      <c r="AF161" s="46"/>
      <c r="AG161" s="46"/>
      <c r="AH161" s="46"/>
      <c r="AI161" s="46"/>
      <c r="AJ161" s="46"/>
      <c r="AK161" s="46"/>
      <c r="AL161" s="46"/>
      <c r="AM161" s="46"/>
      <c r="AN161" s="46"/>
      <c r="AO161" s="46"/>
      <c r="AP161" s="46"/>
      <c r="AQ161" s="46"/>
      <c r="AR161" s="46"/>
      <c r="AS161" s="46"/>
      <c r="AT161" s="46"/>
      <c r="AU161" s="1"/>
      <c r="AV161" s="1"/>
    </row>
    <row r="162" spans="1:48" ht="15.75" customHeight="1" x14ac:dyDescent="0.25">
      <c r="A162" s="43"/>
      <c r="B162" s="50"/>
      <c r="C162" s="51"/>
      <c r="D162" s="43"/>
      <c r="E162" s="43"/>
      <c r="F162" s="43"/>
      <c r="G162" s="44"/>
      <c r="H162" s="23"/>
      <c r="I162" s="67"/>
      <c r="J162" s="67"/>
      <c r="K162" s="68"/>
      <c r="L162" s="46"/>
      <c r="M162" s="46"/>
      <c r="N162" s="46"/>
      <c r="O162" s="46"/>
      <c r="P162" s="46"/>
      <c r="Q162" s="46"/>
      <c r="R162" s="46"/>
      <c r="S162" s="46"/>
      <c r="T162" s="46"/>
      <c r="U162" s="46"/>
      <c r="V162" s="46"/>
      <c r="W162" s="46"/>
      <c r="X162" s="46"/>
      <c r="Y162" s="46"/>
      <c r="Z162" s="46"/>
      <c r="AA162" s="46"/>
      <c r="AB162" s="46"/>
      <c r="AC162" s="46"/>
      <c r="AD162" s="46"/>
      <c r="AE162" s="46"/>
      <c r="AF162" s="46"/>
      <c r="AG162" s="46"/>
      <c r="AH162" s="46"/>
      <c r="AI162" s="46"/>
      <c r="AJ162" s="46"/>
      <c r="AK162" s="46"/>
      <c r="AL162" s="46"/>
      <c r="AM162" s="46"/>
      <c r="AN162" s="46"/>
      <c r="AO162" s="46"/>
      <c r="AP162" s="46"/>
      <c r="AQ162" s="46"/>
      <c r="AR162" s="46"/>
      <c r="AS162" s="46"/>
      <c r="AT162" s="46"/>
      <c r="AU162" s="1"/>
      <c r="AV162" s="1"/>
    </row>
    <row r="163" spans="1:48" ht="15.75" customHeight="1" x14ac:dyDescent="0.25">
      <c r="A163" s="43"/>
      <c r="B163" s="50"/>
      <c r="C163" s="51"/>
      <c r="D163" s="43"/>
      <c r="E163" s="43"/>
      <c r="F163" s="43"/>
      <c r="G163" s="44"/>
      <c r="H163" s="23"/>
      <c r="I163" s="67"/>
      <c r="J163" s="67"/>
      <c r="K163" s="68"/>
      <c r="L163" s="46"/>
      <c r="M163" s="46"/>
      <c r="N163" s="46"/>
      <c r="O163" s="46"/>
      <c r="P163" s="46"/>
      <c r="Q163" s="46"/>
      <c r="R163" s="46"/>
      <c r="S163" s="46"/>
      <c r="T163" s="46"/>
      <c r="U163" s="46"/>
      <c r="V163" s="46"/>
      <c r="W163" s="46"/>
      <c r="X163" s="46"/>
      <c r="Y163" s="46"/>
      <c r="Z163" s="46"/>
      <c r="AA163" s="46"/>
      <c r="AB163" s="46"/>
      <c r="AC163" s="46"/>
      <c r="AD163" s="46"/>
      <c r="AE163" s="46"/>
      <c r="AF163" s="46"/>
      <c r="AG163" s="46"/>
      <c r="AH163" s="46"/>
      <c r="AI163" s="46"/>
      <c r="AJ163" s="46"/>
      <c r="AK163" s="46"/>
      <c r="AL163" s="46"/>
      <c r="AM163" s="46"/>
      <c r="AN163" s="46"/>
      <c r="AO163" s="46"/>
      <c r="AP163" s="46"/>
      <c r="AQ163" s="46"/>
      <c r="AR163" s="46"/>
      <c r="AS163" s="46"/>
      <c r="AT163" s="46"/>
      <c r="AU163" s="1"/>
      <c r="AV163" s="1"/>
    </row>
    <row r="164" spans="1:48" ht="15.75" customHeight="1" x14ac:dyDescent="0.25">
      <c r="A164" s="43"/>
      <c r="B164" s="50"/>
      <c r="C164" s="51"/>
      <c r="D164" s="43"/>
      <c r="E164" s="43"/>
      <c r="F164" s="43"/>
      <c r="G164" s="44"/>
      <c r="H164" s="23"/>
      <c r="I164" s="67"/>
      <c r="J164" s="67"/>
      <c r="K164" s="68"/>
      <c r="L164" s="46"/>
      <c r="M164" s="46"/>
      <c r="N164" s="46"/>
      <c r="O164" s="46"/>
      <c r="P164" s="46"/>
      <c r="Q164" s="46"/>
      <c r="R164" s="46"/>
      <c r="S164" s="46"/>
      <c r="T164" s="46"/>
      <c r="U164" s="46"/>
      <c r="V164" s="46"/>
      <c r="W164" s="46"/>
      <c r="X164" s="46"/>
      <c r="Y164" s="46"/>
      <c r="Z164" s="46"/>
      <c r="AA164" s="46"/>
      <c r="AB164" s="46"/>
      <c r="AC164" s="46"/>
      <c r="AD164" s="46"/>
      <c r="AE164" s="46"/>
      <c r="AF164" s="46"/>
      <c r="AG164" s="46"/>
      <c r="AH164" s="46"/>
      <c r="AI164" s="46"/>
      <c r="AJ164" s="46"/>
      <c r="AK164" s="46"/>
      <c r="AL164" s="46"/>
      <c r="AM164" s="46"/>
      <c r="AN164" s="46"/>
      <c r="AO164" s="46"/>
      <c r="AP164" s="46"/>
      <c r="AQ164" s="46"/>
      <c r="AR164" s="46"/>
      <c r="AS164" s="46"/>
      <c r="AT164" s="46"/>
      <c r="AU164" s="1"/>
      <c r="AV164" s="1"/>
    </row>
    <row r="165" spans="1:48" ht="15.75" customHeight="1" x14ac:dyDescent="0.25">
      <c r="A165" s="43"/>
      <c r="B165" s="50"/>
      <c r="C165" s="51"/>
      <c r="D165" s="43"/>
      <c r="E165" s="43"/>
      <c r="F165" s="43"/>
      <c r="G165" s="44"/>
      <c r="H165" s="23"/>
      <c r="I165" s="67"/>
      <c r="J165" s="67"/>
      <c r="K165" s="68"/>
      <c r="L165" s="46"/>
      <c r="M165" s="46"/>
      <c r="N165" s="46"/>
      <c r="O165" s="46"/>
      <c r="P165" s="46"/>
      <c r="Q165" s="46"/>
      <c r="R165" s="46"/>
      <c r="S165" s="46"/>
      <c r="T165" s="46"/>
      <c r="U165" s="46"/>
      <c r="V165" s="46"/>
      <c r="W165" s="46"/>
      <c r="X165" s="46"/>
      <c r="Y165" s="46"/>
      <c r="Z165" s="46"/>
      <c r="AA165" s="46"/>
      <c r="AB165" s="46"/>
      <c r="AC165" s="46"/>
      <c r="AD165" s="46"/>
      <c r="AE165" s="46"/>
      <c r="AF165" s="46"/>
      <c r="AG165" s="46"/>
      <c r="AH165" s="46"/>
      <c r="AI165" s="46"/>
      <c r="AJ165" s="46"/>
      <c r="AK165" s="46"/>
      <c r="AL165" s="46"/>
      <c r="AM165" s="46"/>
      <c r="AN165" s="46"/>
      <c r="AO165" s="46"/>
      <c r="AP165" s="46"/>
      <c r="AQ165" s="46"/>
      <c r="AR165" s="46"/>
      <c r="AS165" s="46"/>
      <c r="AT165" s="46"/>
      <c r="AU165" s="1"/>
      <c r="AV165" s="1"/>
    </row>
    <row r="166" spans="1:48" ht="15.75" customHeight="1" x14ac:dyDescent="0.25">
      <c r="A166" s="43"/>
      <c r="B166" s="50"/>
      <c r="C166" s="51"/>
      <c r="D166" s="43"/>
      <c r="E166" s="43"/>
      <c r="F166" s="43"/>
      <c r="G166" s="44"/>
      <c r="H166" s="23"/>
      <c r="I166" s="67"/>
      <c r="J166" s="67"/>
      <c r="K166" s="68"/>
      <c r="L166" s="46"/>
      <c r="M166" s="46"/>
      <c r="N166" s="46"/>
      <c r="O166" s="46"/>
      <c r="P166" s="46"/>
      <c r="Q166" s="46"/>
      <c r="R166" s="46"/>
      <c r="S166" s="46"/>
      <c r="T166" s="46"/>
      <c r="U166" s="46"/>
      <c r="V166" s="46"/>
      <c r="W166" s="46"/>
      <c r="X166" s="46"/>
      <c r="Y166" s="46"/>
      <c r="Z166" s="46"/>
      <c r="AA166" s="46"/>
      <c r="AB166" s="46"/>
      <c r="AC166" s="46"/>
      <c r="AD166" s="46"/>
      <c r="AE166" s="46"/>
      <c r="AF166" s="46"/>
      <c r="AG166" s="46"/>
      <c r="AH166" s="46"/>
      <c r="AI166" s="46"/>
      <c r="AJ166" s="46"/>
      <c r="AK166" s="46"/>
      <c r="AL166" s="46"/>
      <c r="AM166" s="46"/>
      <c r="AN166" s="46"/>
      <c r="AO166" s="46"/>
      <c r="AP166" s="46"/>
      <c r="AQ166" s="46"/>
      <c r="AR166" s="46"/>
      <c r="AS166" s="46"/>
      <c r="AT166" s="46"/>
      <c r="AU166" s="1"/>
      <c r="AV166" s="1"/>
    </row>
    <row r="167" spans="1:48" ht="15.75" customHeight="1" x14ac:dyDescent="0.25">
      <c r="A167" s="43"/>
      <c r="B167" s="50"/>
      <c r="C167" s="51"/>
      <c r="D167" s="43"/>
      <c r="E167" s="43"/>
      <c r="F167" s="43"/>
      <c r="G167" s="44"/>
      <c r="H167" s="23"/>
      <c r="I167" s="67"/>
      <c r="J167" s="67"/>
      <c r="K167" s="68"/>
      <c r="L167" s="46"/>
      <c r="M167" s="46"/>
      <c r="N167" s="46"/>
      <c r="O167" s="46"/>
      <c r="P167" s="46"/>
      <c r="Q167" s="46"/>
      <c r="R167" s="46"/>
      <c r="S167" s="46"/>
      <c r="T167" s="46"/>
      <c r="U167" s="46"/>
      <c r="V167" s="46"/>
      <c r="W167" s="46"/>
      <c r="X167" s="46"/>
      <c r="Y167" s="46"/>
      <c r="Z167" s="46"/>
      <c r="AA167" s="46"/>
      <c r="AB167" s="46"/>
      <c r="AC167" s="46"/>
      <c r="AD167" s="46"/>
      <c r="AE167" s="46"/>
      <c r="AF167" s="46"/>
      <c r="AG167" s="46"/>
      <c r="AH167" s="46"/>
      <c r="AI167" s="46"/>
      <c r="AJ167" s="46"/>
      <c r="AK167" s="46"/>
      <c r="AL167" s="46"/>
      <c r="AM167" s="46"/>
      <c r="AN167" s="46"/>
      <c r="AO167" s="46"/>
      <c r="AP167" s="46"/>
      <c r="AQ167" s="46"/>
      <c r="AR167" s="46"/>
      <c r="AS167" s="46"/>
      <c r="AT167" s="46"/>
      <c r="AU167" s="1"/>
      <c r="AV167" s="1"/>
    </row>
    <row r="168" spans="1:48" ht="15.75" customHeight="1" x14ac:dyDescent="0.25">
      <c r="A168" s="43"/>
      <c r="B168" s="50"/>
      <c r="C168" s="51"/>
      <c r="D168" s="43"/>
      <c r="E168" s="43"/>
      <c r="F168" s="43"/>
      <c r="G168" s="44"/>
      <c r="H168" s="23"/>
      <c r="I168" s="67"/>
      <c r="J168" s="67"/>
      <c r="K168" s="68"/>
      <c r="L168" s="46"/>
      <c r="M168" s="46"/>
      <c r="N168" s="46"/>
      <c r="O168" s="46"/>
      <c r="P168" s="46"/>
      <c r="Q168" s="46"/>
      <c r="R168" s="46"/>
      <c r="S168" s="46"/>
      <c r="T168" s="46"/>
      <c r="U168" s="46"/>
      <c r="V168" s="46"/>
      <c r="W168" s="46"/>
      <c r="X168" s="46"/>
      <c r="Y168" s="46"/>
      <c r="Z168" s="46"/>
      <c r="AA168" s="46"/>
      <c r="AB168" s="46"/>
      <c r="AC168" s="46"/>
      <c r="AD168" s="46"/>
      <c r="AE168" s="46"/>
      <c r="AF168" s="46"/>
      <c r="AG168" s="46"/>
      <c r="AH168" s="46"/>
      <c r="AI168" s="46"/>
      <c r="AJ168" s="46"/>
      <c r="AK168" s="46"/>
      <c r="AL168" s="46"/>
      <c r="AM168" s="46"/>
      <c r="AN168" s="46"/>
      <c r="AO168" s="46"/>
      <c r="AP168" s="46"/>
      <c r="AQ168" s="46"/>
      <c r="AR168" s="46"/>
      <c r="AS168" s="46"/>
      <c r="AT168" s="46"/>
      <c r="AU168" s="1"/>
      <c r="AV168" s="1"/>
    </row>
    <row r="169" spans="1:48" ht="15.75" customHeight="1" x14ac:dyDescent="0.25">
      <c r="A169" s="43"/>
      <c r="B169" s="50"/>
      <c r="C169" s="51"/>
      <c r="D169" s="43"/>
      <c r="E169" s="43"/>
      <c r="F169" s="43"/>
      <c r="G169" s="44"/>
      <c r="H169" s="23"/>
      <c r="I169" s="67"/>
      <c r="J169" s="67"/>
      <c r="K169" s="68"/>
      <c r="L169" s="46"/>
      <c r="M169" s="46"/>
      <c r="N169" s="46"/>
      <c r="O169" s="46"/>
      <c r="P169" s="46"/>
      <c r="Q169" s="46"/>
      <c r="R169" s="46"/>
      <c r="S169" s="46"/>
      <c r="T169" s="46"/>
      <c r="U169" s="46"/>
      <c r="V169" s="46"/>
      <c r="W169" s="46"/>
      <c r="X169" s="46"/>
      <c r="Y169" s="46"/>
      <c r="Z169" s="46"/>
      <c r="AA169" s="46"/>
      <c r="AB169" s="46"/>
      <c r="AC169" s="46"/>
      <c r="AD169" s="46"/>
      <c r="AE169" s="46"/>
      <c r="AF169" s="46"/>
      <c r="AG169" s="46"/>
      <c r="AH169" s="46"/>
      <c r="AI169" s="46"/>
      <c r="AJ169" s="46"/>
      <c r="AK169" s="46"/>
      <c r="AL169" s="46"/>
      <c r="AM169" s="46"/>
      <c r="AN169" s="46"/>
      <c r="AO169" s="46"/>
      <c r="AP169" s="46"/>
      <c r="AQ169" s="46"/>
      <c r="AR169" s="46"/>
      <c r="AS169" s="46"/>
      <c r="AT169" s="46"/>
      <c r="AU169" s="1"/>
      <c r="AV169" s="1"/>
    </row>
    <row r="170" spans="1:48" ht="15.75" customHeight="1" x14ac:dyDescent="0.25">
      <c r="A170" s="43"/>
      <c r="B170" s="50"/>
      <c r="C170" s="51"/>
      <c r="D170" s="43"/>
      <c r="E170" s="43"/>
      <c r="F170" s="43"/>
      <c r="G170" s="44"/>
      <c r="H170" s="23"/>
      <c r="I170" s="67"/>
      <c r="J170" s="67"/>
      <c r="K170" s="68"/>
      <c r="L170" s="46"/>
      <c r="M170" s="46"/>
      <c r="N170" s="46"/>
      <c r="O170" s="46"/>
      <c r="P170" s="46"/>
      <c r="Q170" s="46"/>
      <c r="R170" s="46"/>
      <c r="S170" s="46"/>
      <c r="T170" s="46"/>
      <c r="U170" s="46"/>
      <c r="V170" s="46"/>
      <c r="W170" s="46"/>
      <c r="X170" s="46"/>
      <c r="Y170" s="46"/>
      <c r="Z170" s="46"/>
      <c r="AA170" s="46"/>
      <c r="AB170" s="46"/>
      <c r="AC170" s="46"/>
      <c r="AD170" s="46"/>
      <c r="AE170" s="46"/>
      <c r="AF170" s="46"/>
      <c r="AG170" s="46"/>
      <c r="AH170" s="46"/>
      <c r="AI170" s="46"/>
      <c r="AJ170" s="46"/>
      <c r="AK170" s="46"/>
      <c r="AL170" s="46"/>
      <c r="AM170" s="46"/>
      <c r="AN170" s="46"/>
      <c r="AO170" s="46"/>
      <c r="AP170" s="46"/>
      <c r="AQ170" s="46"/>
      <c r="AR170" s="46"/>
      <c r="AS170" s="46"/>
      <c r="AT170" s="46"/>
      <c r="AU170" s="1"/>
      <c r="AV170" s="1"/>
    </row>
    <row r="171" spans="1:48" ht="15.75" customHeight="1" x14ac:dyDescent="0.25">
      <c r="A171" s="43"/>
      <c r="B171" s="50"/>
      <c r="C171" s="51"/>
      <c r="D171" s="43"/>
      <c r="E171" s="43"/>
      <c r="F171" s="43"/>
      <c r="G171" s="44"/>
      <c r="H171" s="23"/>
      <c r="I171" s="67"/>
      <c r="J171" s="67"/>
      <c r="K171" s="68"/>
      <c r="L171" s="46"/>
      <c r="M171" s="46"/>
      <c r="N171" s="46"/>
      <c r="O171" s="46"/>
      <c r="P171" s="46"/>
      <c r="Q171" s="46"/>
      <c r="R171" s="46"/>
      <c r="S171" s="46"/>
      <c r="T171" s="46"/>
      <c r="U171" s="46"/>
      <c r="V171" s="46"/>
      <c r="W171" s="46"/>
      <c r="X171" s="46"/>
      <c r="Y171" s="46"/>
      <c r="Z171" s="46"/>
      <c r="AA171" s="46"/>
      <c r="AB171" s="46"/>
      <c r="AC171" s="46"/>
      <c r="AD171" s="46"/>
      <c r="AE171" s="46"/>
      <c r="AF171" s="46"/>
      <c r="AG171" s="46"/>
      <c r="AH171" s="46"/>
      <c r="AI171" s="46"/>
      <c r="AJ171" s="46"/>
      <c r="AK171" s="46"/>
      <c r="AL171" s="46"/>
      <c r="AM171" s="46"/>
      <c r="AN171" s="46"/>
      <c r="AO171" s="46"/>
      <c r="AP171" s="46"/>
      <c r="AQ171" s="46"/>
      <c r="AR171" s="46"/>
      <c r="AS171" s="46"/>
      <c r="AT171" s="46"/>
      <c r="AU171" s="1"/>
      <c r="AV171" s="1"/>
    </row>
    <row r="172" spans="1:48" ht="15.75" customHeight="1" x14ac:dyDescent="0.25">
      <c r="A172" s="43"/>
      <c r="B172" s="50"/>
      <c r="C172" s="51"/>
      <c r="D172" s="43"/>
      <c r="E172" s="43"/>
      <c r="F172" s="43"/>
      <c r="G172" s="44"/>
      <c r="H172" s="23"/>
      <c r="I172" s="67"/>
      <c r="J172" s="67"/>
      <c r="K172" s="68"/>
      <c r="L172" s="46"/>
      <c r="M172" s="46"/>
      <c r="N172" s="46"/>
      <c r="O172" s="46"/>
      <c r="P172" s="46"/>
      <c r="Q172" s="46"/>
      <c r="R172" s="46"/>
      <c r="S172" s="46"/>
      <c r="T172" s="46"/>
      <c r="U172" s="46"/>
      <c r="V172" s="46"/>
      <c r="W172" s="46"/>
      <c r="X172" s="46"/>
      <c r="Y172" s="46"/>
      <c r="Z172" s="46"/>
      <c r="AA172" s="46"/>
      <c r="AB172" s="46"/>
      <c r="AC172" s="46"/>
      <c r="AD172" s="46"/>
      <c r="AE172" s="46"/>
      <c r="AF172" s="46"/>
      <c r="AG172" s="46"/>
      <c r="AH172" s="46"/>
      <c r="AI172" s="46"/>
      <c r="AJ172" s="46"/>
      <c r="AK172" s="46"/>
      <c r="AL172" s="46"/>
      <c r="AM172" s="46"/>
      <c r="AN172" s="46"/>
      <c r="AO172" s="46"/>
      <c r="AP172" s="46"/>
      <c r="AQ172" s="46"/>
      <c r="AR172" s="46"/>
      <c r="AS172" s="46"/>
      <c r="AT172" s="46"/>
      <c r="AU172" s="1"/>
      <c r="AV172" s="1"/>
    </row>
    <row r="173" spans="1:48" ht="15.75" customHeight="1" x14ac:dyDescent="0.25">
      <c r="A173" s="43"/>
      <c r="B173" s="50"/>
      <c r="C173" s="51"/>
      <c r="D173" s="43"/>
      <c r="E173" s="43"/>
      <c r="F173" s="43"/>
      <c r="G173" s="44"/>
      <c r="H173" s="23"/>
      <c r="I173" s="67"/>
      <c r="J173" s="67"/>
      <c r="K173" s="68"/>
      <c r="L173" s="46"/>
      <c r="M173" s="46"/>
      <c r="N173" s="46"/>
      <c r="O173" s="46"/>
      <c r="P173" s="46"/>
      <c r="Q173" s="46"/>
      <c r="R173" s="46"/>
      <c r="S173" s="46"/>
      <c r="T173" s="46"/>
      <c r="U173" s="46"/>
      <c r="V173" s="46"/>
      <c r="W173" s="46"/>
      <c r="X173" s="46"/>
      <c r="Y173" s="46"/>
      <c r="Z173" s="46"/>
      <c r="AA173" s="46"/>
      <c r="AB173" s="46"/>
      <c r="AC173" s="46"/>
      <c r="AD173" s="46"/>
      <c r="AE173" s="46"/>
      <c r="AF173" s="46"/>
      <c r="AG173" s="46"/>
      <c r="AH173" s="46"/>
      <c r="AI173" s="46"/>
      <c r="AJ173" s="46"/>
      <c r="AK173" s="46"/>
      <c r="AL173" s="46"/>
      <c r="AM173" s="46"/>
      <c r="AN173" s="46"/>
      <c r="AO173" s="46"/>
      <c r="AP173" s="46"/>
      <c r="AQ173" s="46"/>
      <c r="AR173" s="46"/>
      <c r="AS173" s="46"/>
      <c r="AT173" s="46"/>
      <c r="AU173" s="1"/>
      <c r="AV173" s="1"/>
    </row>
    <row r="174" spans="1:48" ht="15.75" customHeight="1" x14ac:dyDescent="0.25">
      <c r="A174" s="43"/>
      <c r="B174" s="50"/>
      <c r="C174" s="51"/>
      <c r="D174" s="43"/>
      <c r="E174" s="43"/>
      <c r="F174" s="43"/>
      <c r="G174" s="44"/>
      <c r="H174" s="23"/>
      <c r="I174" s="67"/>
      <c r="J174" s="67"/>
      <c r="K174" s="68"/>
      <c r="L174" s="46"/>
      <c r="M174" s="46"/>
      <c r="N174" s="46"/>
      <c r="O174" s="46"/>
      <c r="P174" s="46"/>
      <c r="Q174" s="46"/>
      <c r="R174" s="46"/>
      <c r="S174" s="46"/>
      <c r="T174" s="46"/>
      <c r="U174" s="46"/>
      <c r="V174" s="46"/>
      <c r="W174" s="46"/>
      <c r="X174" s="46"/>
      <c r="Y174" s="46"/>
      <c r="Z174" s="46"/>
      <c r="AA174" s="46"/>
      <c r="AB174" s="46"/>
      <c r="AC174" s="46"/>
      <c r="AD174" s="46"/>
      <c r="AE174" s="46"/>
      <c r="AF174" s="46"/>
      <c r="AG174" s="46"/>
      <c r="AH174" s="46"/>
      <c r="AI174" s="46"/>
      <c r="AJ174" s="46"/>
      <c r="AK174" s="46"/>
      <c r="AL174" s="46"/>
      <c r="AM174" s="46"/>
      <c r="AN174" s="46"/>
      <c r="AO174" s="46"/>
      <c r="AP174" s="46"/>
      <c r="AQ174" s="46"/>
      <c r="AR174" s="46"/>
      <c r="AS174" s="46"/>
      <c r="AT174" s="46"/>
      <c r="AU174" s="1"/>
      <c r="AV174" s="1"/>
    </row>
    <row r="175" spans="1:48" ht="15.75" customHeight="1" x14ac:dyDescent="0.25">
      <c r="A175" s="43"/>
      <c r="B175" s="50"/>
      <c r="C175" s="51"/>
      <c r="D175" s="43"/>
      <c r="E175" s="43"/>
      <c r="F175" s="43"/>
      <c r="G175" s="44"/>
      <c r="H175" s="23"/>
      <c r="I175" s="67"/>
      <c r="J175" s="67"/>
      <c r="K175" s="68"/>
      <c r="L175" s="46"/>
      <c r="M175" s="46"/>
      <c r="N175" s="46"/>
      <c r="O175" s="46"/>
      <c r="P175" s="46"/>
      <c r="Q175" s="46"/>
      <c r="R175" s="46"/>
      <c r="S175" s="46"/>
      <c r="T175" s="46"/>
      <c r="U175" s="46"/>
      <c r="V175" s="46"/>
      <c r="W175" s="46"/>
      <c r="X175" s="46"/>
      <c r="Y175" s="46"/>
      <c r="Z175" s="46"/>
      <c r="AA175" s="46"/>
      <c r="AB175" s="46"/>
      <c r="AC175" s="46"/>
      <c r="AD175" s="46"/>
      <c r="AE175" s="46"/>
      <c r="AF175" s="46"/>
      <c r="AG175" s="46"/>
      <c r="AH175" s="46"/>
      <c r="AI175" s="46"/>
      <c r="AJ175" s="46"/>
      <c r="AK175" s="46"/>
      <c r="AL175" s="46"/>
      <c r="AM175" s="46"/>
      <c r="AN175" s="46"/>
      <c r="AO175" s="46"/>
      <c r="AP175" s="46"/>
      <c r="AQ175" s="46"/>
      <c r="AR175" s="46"/>
      <c r="AS175" s="46"/>
      <c r="AT175" s="46"/>
      <c r="AU175" s="1"/>
      <c r="AV175" s="1"/>
    </row>
    <row r="176" spans="1:48" ht="15.75" customHeight="1" x14ac:dyDescent="0.25">
      <c r="A176" s="43"/>
      <c r="B176" s="50"/>
      <c r="C176" s="51"/>
      <c r="D176" s="43"/>
      <c r="E176" s="43"/>
      <c r="F176" s="43"/>
      <c r="G176" s="44"/>
      <c r="H176" s="23"/>
      <c r="I176" s="67"/>
      <c r="J176" s="67"/>
      <c r="K176" s="68"/>
      <c r="L176" s="46"/>
      <c r="M176" s="46"/>
      <c r="N176" s="46"/>
      <c r="O176" s="46"/>
      <c r="P176" s="46"/>
      <c r="Q176" s="46"/>
      <c r="R176" s="46"/>
      <c r="S176" s="46"/>
      <c r="T176" s="46"/>
      <c r="U176" s="46"/>
      <c r="V176" s="46"/>
      <c r="W176" s="46"/>
      <c r="X176" s="46"/>
      <c r="Y176" s="46"/>
      <c r="Z176" s="46"/>
      <c r="AA176" s="46"/>
      <c r="AB176" s="46"/>
      <c r="AC176" s="46"/>
      <c r="AD176" s="46"/>
      <c r="AE176" s="46"/>
      <c r="AF176" s="46"/>
      <c r="AG176" s="46"/>
      <c r="AH176" s="46"/>
      <c r="AI176" s="46"/>
      <c r="AJ176" s="46"/>
      <c r="AK176" s="46"/>
      <c r="AL176" s="46"/>
      <c r="AM176" s="46"/>
      <c r="AN176" s="46"/>
      <c r="AO176" s="46"/>
      <c r="AP176" s="46"/>
      <c r="AQ176" s="46"/>
      <c r="AR176" s="46"/>
      <c r="AS176" s="46"/>
      <c r="AT176" s="46"/>
      <c r="AU176" s="1"/>
      <c r="AV176" s="1"/>
    </row>
    <row r="177" spans="1:48" ht="15.75" customHeight="1" x14ac:dyDescent="0.25">
      <c r="A177" s="43"/>
      <c r="B177" s="50"/>
      <c r="C177" s="51"/>
      <c r="D177" s="43"/>
      <c r="E177" s="43"/>
      <c r="F177" s="43"/>
      <c r="G177" s="44"/>
      <c r="H177" s="23"/>
      <c r="I177" s="67"/>
      <c r="J177" s="67"/>
      <c r="K177" s="68"/>
      <c r="L177" s="46"/>
      <c r="M177" s="46"/>
      <c r="N177" s="46"/>
      <c r="O177" s="46"/>
      <c r="P177" s="46"/>
      <c r="Q177" s="46"/>
      <c r="R177" s="46"/>
      <c r="S177" s="46"/>
      <c r="T177" s="46"/>
      <c r="U177" s="46"/>
      <c r="V177" s="46"/>
      <c r="W177" s="46"/>
      <c r="X177" s="46"/>
      <c r="Y177" s="46"/>
      <c r="Z177" s="46"/>
      <c r="AA177" s="46"/>
      <c r="AB177" s="46"/>
      <c r="AC177" s="46"/>
      <c r="AD177" s="46"/>
      <c r="AE177" s="46"/>
      <c r="AF177" s="46"/>
      <c r="AG177" s="46"/>
      <c r="AH177" s="46"/>
      <c r="AI177" s="46"/>
      <c r="AJ177" s="46"/>
      <c r="AK177" s="46"/>
      <c r="AL177" s="46"/>
      <c r="AM177" s="46"/>
      <c r="AN177" s="46"/>
      <c r="AO177" s="46"/>
      <c r="AP177" s="46"/>
      <c r="AQ177" s="46"/>
      <c r="AR177" s="46"/>
      <c r="AS177" s="46"/>
      <c r="AT177" s="46"/>
      <c r="AU177" s="1"/>
      <c r="AV177" s="1"/>
    </row>
    <row r="178" spans="1:48" ht="15.75" customHeight="1" x14ac:dyDescent="0.25">
      <c r="A178" s="43"/>
      <c r="B178" s="50"/>
      <c r="C178" s="51"/>
      <c r="D178" s="43"/>
      <c r="E178" s="43"/>
      <c r="F178" s="43"/>
      <c r="G178" s="44"/>
      <c r="H178" s="23"/>
      <c r="I178" s="67"/>
      <c r="J178" s="67"/>
      <c r="K178" s="68"/>
      <c r="L178" s="46"/>
      <c r="M178" s="46"/>
      <c r="N178" s="46"/>
      <c r="O178" s="46"/>
      <c r="P178" s="46"/>
      <c r="Q178" s="46"/>
      <c r="R178" s="46"/>
      <c r="S178" s="46"/>
      <c r="T178" s="46"/>
      <c r="U178" s="46"/>
      <c r="V178" s="46"/>
      <c r="W178" s="46"/>
      <c r="X178" s="46"/>
      <c r="Y178" s="46"/>
      <c r="Z178" s="46"/>
      <c r="AA178" s="46"/>
      <c r="AB178" s="46"/>
      <c r="AC178" s="46"/>
      <c r="AD178" s="46"/>
      <c r="AE178" s="46"/>
      <c r="AF178" s="46"/>
      <c r="AG178" s="46"/>
      <c r="AH178" s="46"/>
      <c r="AI178" s="46"/>
      <c r="AJ178" s="46"/>
      <c r="AK178" s="46"/>
      <c r="AL178" s="46"/>
      <c r="AM178" s="46"/>
      <c r="AN178" s="46"/>
      <c r="AO178" s="46"/>
      <c r="AP178" s="46"/>
      <c r="AQ178" s="46"/>
      <c r="AR178" s="46"/>
      <c r="AS178" s="46"/>
      <c r="AT178" s="46"/>
      <c r="AU178" s="1"/>
      <c r="AV178" s="1"/>
    </row>
    <row r="179" spans="1:48" ht="15.75" customHeight="1" x14ac:dyDescent="0.25">
      <c r="A179" s="43"/>
      <c r="B179" s="50"/>
      <c r="C179" s="51"/>
      <c r="D179" s="43"/>
      <c r="E179" s="43"/>
      <c r="F179" s="43"/>
      <c r="G179" s="44"/>
      <c r="H179" s="23"/>
      <c r="I179" s="67"/>
      <c r="J179" s="67"/>
      <c r="K179" s="68"/>
      <c r="L179" s="46"/>
      <c r="M179" s="46"/>
      <c r="N179" s="46"/>
      <c r="O179" s="46"/>
      <c r="P179" s="46"/>
      <c r="Q179" s="46"/>
      <c r="R179" s="46"/>
      <c r="S179" s="46"/>
      <c r="T179" s="46"/>
      <c r="U179" s="46"/>
      <c r="V179" s="46"/>
      <c r="W179" s="46"/>
      <c r="X179" s="46"/>
      <c r="Y179" s="46"/>
      <c r="Z179" s="46"/>
      <c r="AA179" s="46"/>
      <c r="AB179" s="46"/>
      <c r="AC179" s="46"/>
      <c r="AD179" s="46"/>
      <c r="AE179" s="46"/>
      <c r="AF179" s="46"/>
      <c r="AG179" s="46"/>
      <c r="AH179" s="46"/>
      <c r="AI179" s="46"/>
      <c r="AJ179" s="46"/>
      <c r="AK179" s="46"/>
      <c r="AL179" s="46"/>
      <c r="AM179" s="46"/>
      <c r="AN179" s="46"/>
      <c r="AO179" s="46"/>
      <c r="AP179" s="46"/>
      <c r="AQ179" s="46"/>
      <c r="AR179" s="46"/>
      <c r="AS179" s="46"/>
      <c r="AT179" s="46"/>
      <c r="AU179" s="1"/>
      <c r="AV179" s="1"/>
    </row>
    <row r="180" spans="1:48" ht="15.75" customHeight="1" x14ac:dyDescent="0.25">
      <c r="A180" s="43"/>
      <c r="B180" s="50"/>
      <c r="C180" s="51"/>
      <c r="D180" s="43"/>
      <c r="E180" s="43"/>
      <c r="F180" s="43"/>
      <c r="G180" s="44"/>
      <c r="H180" s="23"/>
      <c r="I180" s="67"/>
      <c r="J180" s="67"/>
      <c r="K180" s="68"/>
      <c r="L180" s="46"/>
      <c r="M180" s="46"/>
      <c r="N180" s="46"/>
      <c r="O180" s="46"/>
      <c r="P180" s="46"/>
      <c r="Q180" s="46"/>
      <c r="R180" s="46"/>
      <c r="S180" s="46"/>
      <c r="T180" s="46"/>
      <c r="U180" s="46"/>
      <c r="V180" s="46"/>
      <c r="W180" s="46"/>
      <c r="X180" s="46"/>
      <c r="Y180" s="46"/>
      <c r="Z180" s="46"/>
      <c r="AA180" s="46"/>
      <c r="AB180" s="46"/>
      <c r="AC180" s="46"/>
      <c r="AD180" s="46"/>
      <c r="AE180" s="46"/>
      <c r="AF180" s="46"/>
      <c r="AG180" s="46"/>
      <c r="AH180" s="46"/>
      <c r="AI180" s="46"/>
      <c r="AJ180" s="46"/>
      <c r="AK180" s="46"/>
      <c r="AL180" s="46"/>
      <c r="AM180" s="46"/>
      <c r="AN180" s="46"/>
      <c r="AO180" s="46"/>
      <c r="AP180" s="46"/>
      <c r="AQ180" s="46"/>
      <c r="AR180" s="46"/>
      <c r="AS180" s="46"/>
      <c r="AT180" s="46"/>
      <c r="AU180" s="1"/>
      <c r="AV180" s="1"/>
    </row>
    <row r="181" spans="1:48" ht="15.75" customHeight="1" x14ac:dyDescent="0.25">
      <c r="A181" s="43"/>
      <c r="B181" s="50"/>
      <c r="C181" s="51"/>
      <c r="D181" s="43"/>
      <c r="E181" s="43"/>
      <c r="F181" s="43"/>
      <c r="G181" s="44"/>
      <c r="H181" s="23"/>
      <c r="I181" s="67"/>
      <c r="J181" s="67"/>
      <c r="K181" s="68"/>
      <c r="L181" s="46"/>
      <c r="M181" s="46"/>
      <c r="N181" s="46"/>
      <c r="O181" s="46"/>
      <c r="P181" s="46"/>
      <c r="Q181" s="46"/>
      <c r="R181" s="46"/>
      <c r="S181" s="46"/>
      <c r="T181" s="46"/>
      <c r="U181" s="46"/>
      <c r="V181" s="46"/>
      <c r="W181" s="46"/>
      <c r="X181" s="46"/>
      <c r="Y181" s="46"/>
      <c r="Z181" s="46"/>
      <c r="AA181" s="46"/>
      <c r="AB181" s="46"/>
      <c r="AC181" s="46"/>
      <c r="AD181" s="46"/>
      <c r="AE181" s="46"/>
      <c r="AF181" s="46"/>
      <c r="AG181" s="46"/>
      <c r="AH181" s="46"/>
      <c r="AI181" s="46"/>
      <c r="AJ181" s="46"/>
      <c r="AK181" s="46"/>
      <c r="AL181" s="46"/>
      <c r="AM181" s="46"/>
      <c r="AN181" s="46"/>
      <c r="AO181" s="46"/>
      <c r="AP181" s="46"/>
      <c r="AQ181" s="46"/>
      <c r="AR181" s="46"/>
      <c r="AS181" s="46"/>
      <c r="AT181" s="46"/>
      <c r="AU181" s="1"/>
      <c r="AV181" s="1"/>
    </row>
    <row r="182" spans="1:48" ht="15.75" customHeight="1" x14ac:dyDescent="0.25">
      <c r="A182" s="43"/>
      <c r="B182" s="50"/>
      <c r="C182" s="51"/>
      <c r="D182" s="43"/>
      <c r="E182" s="43"/>
      <c r="F182" s="43"/>
      <c r="G182" s="44"/>
      <c r="H182" s="23"/>
      <c r="I182" s="67"/>
      <c r="J182" s="67"/>
      <c r="K182" s="68"/>
      <c r="L182" s="46"/>
      <c r="M182" s="46"/>
      <c r="N182" s="46"/>
      <c r="O182" s="46"/>
      <c r="P182" s="46"/>
      <c r="Q182" s="46"/>
      <c r="R182" s="46"/>
      <c r="S182" s="46"/>
      <c r="T182" s="46"/>
      <c r="U182" s="46"/>
      <c r="V182" s="46"/>
      <c r="W182" s="46"/>
      <c r="X182" s="46"/>
      <c r="Y182" s="46"/>
      <c r="Z182" s="46"/>
      <c r="AA182" s="46"/>
      <c r="AB182" s="46"/>
      <c r="AC182" s="46"/>
      <c r="AD182" s="46"/>
      <c r="AE182" s="46"/>
      <c r="AF182" s="46"/>
      <c r="AG182" s="46"/>
      <c r="AH182" s="46"/>
      <c r="AI182" s="46"/>
      <c r="AJ182" s="46"/>
      <c r="AK182" s="46"/>
      <c r="AL182" s="46"/>
      <c r="AM182" s="46"/>
      <c r="AN182" s="46"/>
      <c r="AO182" s="46"/>
      <c r="AP182" s="46"/>
      <c r="AQ182" s="46"/>
      <c r="AR182" s="46"/>
      <c r="AS182" s="46"/>
      <c r="AT182" s="46"/>
      <c r="AU182" s="1"/>
      <c r="AV182" s="1"/>
    </row>
    <row r="183" spans="1:48" ht="15.75" customHeight="1" x14ac:dyDescent="0.25">
      <c r="A183" s="43"/>
      <c r="B183" s="50"/>
      <c r="C183" s="51"/>
      <c r="D183" s="43"/>
      <c r="E183" s="43"/>
      <c r="F183" s="43"/>
      <c r="G183" s="44"/>
      <c r="H183" s="23"/>
      <c r="I183" s="67"/>
      <c r="J183" s="67"/>
      <c r="K183" s="68"/>
      <c r="L183" s="46"/>
      <c r="M183" s="46"/>
      <c r="N183" s="46"/>
      <c r="O183" s="46"/>
      <c r="P183" s="46"/>
      <c r="Q183" s="46"/>
      <c r="R183" s="46"/>
      <c r="S183" s="46"/>
      <c r="T183" s="46"/>
      <c r="U183" s="46"/>
      <c r="V183" s="46"/>
      <c r="W183" s="46"/>
      <c r="X183" s="46"/>
      <c r="Y183" s="46"/>
      <c r="Z183" s="46"/>
      <c r="AA183" s="46"/>
      <c r="AB183" s="46"/>
      <c r="AC183" s="46"/>
      <c r="AD183" s="46"/>
      <c r="AE183" s="46"/>
      <c r="AF183" s="46"/>
      <c r="AG183" s="46"/>
      <c r="AH183" s="46"/>
      <c r="AI183" s="46"/>
      <c r="AJ183" s="46"/>
      <c r="AK183" s="46"/>
      <c r="AL183" s="46"/>
      <c r="AM183" s="46"/>
      <c r="AN183" s="46"/>
      <c r="AO183" s="46"/>
      <c r="AP183" s="46"/>
      <c r="AQ183" s="46"/>
      <c r="AR183" s="46"/>
      <c r="AS183" s="46"/>
      <c r="AT183" s="46"/>
      <c r="AU183" s="1"/>
      <c r="AV183" s="1"/>
    </row>
    <row r="184" spans="1:48" ht="15.75" customHeight="1" x14ac:dyDescent="0.25">
      <c r="A184" s="43"/>
      <c r="B184" s="50"/>
      <c r="C184" s="51"/>
      <c r="D184" s="43"/>
      <c r="E184" s="43"/>
      <c r="F184" s="43"/>
      <c r="G184" s="44"/>
      <c r="H184" s="23"/>
      <c r="I184" s="67"/>
      <c r="J184" s="67"/>
      <c r="K184" s="68"/>
      <c r="L184" s="46"/>
      <c r="M184" s="46"/>
      <c r="N184" s="46"/>
      <c r="O184" s="46"/>
      <c r="P184" s="46"/>
      <c r="Q184" s="46"/>
      <c r="R184" s="46"/>
      <c r="S184" s="46"/>
      <c r="T184" s="46"/>
      <c r="U184" s="46"/>
      <c r="V184" s="46"/>
      <c r="W184" s="46"/>
      <c r="X184" s="46"/>
      <c r="Y184" s="46"/>
      <c r="Z184" s="46"/>
      <c r="AA184" s="46"/>
      <c r="AB184" s="46"/>
      <c r="AC184" s="46"/>
      <c r="AD184" s="46"/>
      <c r="AE184" s="46"/>
      <c r="AF184" s="46"/>
      <c r="AG184" s="46"/>
      <c r="AH184" s="46"/>
      <c r="AI184" s="46"/>
      <c r="AJ184" s="46"/>
      <c r="AK184" s="46"/>
      <c r="AL184" s="46"/>
      <c r="AM184" s="46"/>
      <c r="AN184" s="46"/>
      <c r="AO184" s="46"/>
      <c r="AP184" s="46"/>
      <c r="AQ184" s="46"/>
      <c r="AR184" s="46"/>
      <c r="AS184" s="46"/>
      <c r="AT184" s="46"/>
      <c r="AU184" s="1"/>
      <c r="AV184" s="1"/>
    </row>
    <row r="185" spans="1:48" ht="15.75" customHeight="1" x14ac:dyDescent="0.25">
      <c r="A185" s="43"/>
      <c r="B185" s="50"/>
      <c r="C185" s="51"/>
      <c r="D185" s="43"/>
      <c r="E185" s="43"/>
      <c r="F185" s="43"/>
      <c r="G185" s="44"/>
      <c r="H185" s="23"/>
      <c r="I185" s="67"/>
      <c r="J185" s="67"/>
      <c r="K185" s="68"/>
      <c r="L185" s="46"/>
      <c r="M185" s="46"/>
      <c r="N185" s="46"/>
      <c r="O185" s="46"/>
      <c r="P185" s="46"/>
      <c r="Q185" s="46"/>
      <c r="R185" s="46"/>
      <c r="S185" s="46"/>
      <c r="T185" s="46"/>
      <c r="U185" s="46"/>
      <c r="V185" s="46"/>
      <c r="W185" s="46"/>
      <c r="X185" s="46"/>
      <c r="Y185" s="46"/>
      <c r="Z185" s="46"/>
      <c r="AA185" s="46"/>
      <c r="AB185" s="46"/>
      <c r="AC185" s="46"/>
      <c r="AD185" s="46"/>
      <c r="AE185" s="46"/>
      <c r="AF185" s="46"/>
      <c r="AG185" s="46"/>
      <c r="AH185" s="46"/>
      <c r="AI185" s="46"/>
      <c r="AJ185" s="46"/>
      <c r="AK185" s="46"/>
      <c r="AL185" s="46"/>
      <c r="AM185" s="46"/>
      <c r="AN185" s="46"/>
      <c r="AO185" s="46"/>
      <c r="AP185" s="46"/>
      <c r="AQ185" s="46"/>
      <c r="AR185" s="46"/>
      <c r="AS185" s="46"/>
      <c r="AT185" s="46"/>
      <c r="AU185" s="1"/>
      <c r="AV185" s="1"/>
    </row>
    <row r="186" spans="1:48" ht="15.75" customHeight="1" x14ac:dyDescent="0.25">
      <c r="A186" s="43"/>
      <c r="B186" s="50"/>
      <c r="C186" s="51"/>
      <c r="D186" s="43"/>
      <c r="E186" s="43"/>
      <c r="F186" s="43"/>
      <c r="G186" s="44"/>
      <c r="H186" s="23"/>
      <c r="I186" s="67"/>
      <c r="J186" s="67"/>
      <c r="K186" s="68"/>
      <c r="L186" s="46"/>
      <c r="M186" s="46"/>
      <c r="N186" s="46"/>
      <c r="O186" s="46"/>
      <c r="P186" s="46"/>
      <c r="Q186" s="46"/>
      <c r="R186" s="46"/>
      <c r="S186" s="46"/>
      <c r="T186" s="46"/>
      <c r="U186" s="46"/>
      <c r="V186" s="46"/>
      <c r="W186" s="46"/>
      <c r="X186" s="46"/>
      <c r="Y186" s="46"/>
      <c r="Z186" s="46"/>
      <c r="AA186" s="46"/>
      <c r="AB186" s="46"/>
      <c r="AC186" s="46"/>
      <c r="AD186" s="46"/>
      <c r="AE186" s="46"/>
      <c r="AF186" s="46"/>
      <c r="AG186" s="46"/>
      <c r="AH186" s="46"/>
      <c r="AI186" s="46"/>
      <c r="AJ186" s="46"/>
      <c r="AK186" s="46"/>
      <c r="AL186" s="46"/>
      <c r="AM186" s="46"/>
      <c r="AN186" s="46"/>
      <c r="AO186" s="46"/>
      <c r="AP186" s="46"/>
      <c r="AQ186" s="46"/>
      <c r="AR186" s="46"/>
      <c r="AS186" s="46"/>
      <c r="AT186" s="46"/>
      <c r="AU186" s="1"/>
      <c r="AV186" s="1"/>
    </row>
    <row r="187" spans="1:48" ht="15.75" customHeight="1" x14ac:dyDescent="0.25">
      <c r="A187" s="43"/>
      <c r="B187" s="50"/>
      <c r="C187" s="51"/>
      <c r="D187" s="43"/>
      <c r="E187" s="43"/>
      <c r="F187" s="43"/>
      <c r="G187" s="44"/>
      <c r="H187" s="23"/>
      <c r="I187" s="67"/>
      <c r="J187" s="67"/>
      <c r="K187" s="68"/>
      <c r="L187" s="46"/>
      <c r="M187" s="46"/>
      <c r="N187" s="46"/>
      <c r="O187" s="46"/>
      <c r="P187" s="46"/>
      <c r="Q187" s="46"/>
      <c r="R187" s="46"/>
      <c r="S187" s="46"/>
      <c r="T187" s="46"/>
      <c r="U187" s="46"/>
      <c r="V187" s="46"/>
      <c r="W187" s="46"/>
      <c r="X187" s="46"/>
      <c r="Y187" s="46"/>
      <c r="Z187" s="46"/>
      <c r="AA187" s="46"/>
      <c r="AB187" s="46"/>
      <c r="AC187" s="46"/>
      <c r="AD187" s="46"/>
      <c r="AE187" s="46"/>
      <c r="AF187" s="46"/>
      <c r="AG187" s="46"/>
      <c r="AH187" s="46"/>
      <c r="AI187" s="46"/>
      <c r="AJ187" s="46"/>
      <c r="AK187" s="46"/>
      <c r="AL187" s="46"/>
      <c r="AM187" s="46"/>
      <c r="AN187" s="46"/>
      <c r="AO187" s="46"/>
      <c r="AP187" s="46"/>
      <c r="AQ187" s="46"/>
      <c r="AR187" s="46"/>
      <c r="AS187" s="46"/>
      <c r="AT187" s="46"/>
      <c r="AU187" s="1"/>
      <c r="AV187" s="1"/>
    </row>
    <row r="188" spans="1:48" ht="15.75" customHeight="1" x14ac:dyDescent="0.25">
      <c r="A188" s="43"/>
      <c r="B188" s="50"/>
      <c r="C188" s="51"/>
      <c r="D188" s="43"/>
      <c r="E188" s="43"/>
      <c r="F188" s="43"/>
      <c r="G188" s="44"/>
      <c r="H188" s="23"/>
      <c r="I188" s="67"/>
      <c r="J188" s="67"/>
      <c r="K188" s="68"/>
      <c r="L188" s="46"/>
      <c r="M188" s="46"/>
      <c r="N188" s="46"/>
      <c r="O188" s="46"/>
      <c r="P188" s="46"/>
      <c r="Q188" s="46"/>
      <c r="R188" s="46"/>
      <c r="S188" s="46"/>
      <c r="T188" s="46"/>
      <c r="U188" s="46"/>
      <c r="V188" s="46"/>
      <c r="W188" s="46"/>
      <c r="X188" s="46"/>
      <c r="Y188" s="46"/>
      <c r="Z188" s="46"/>
      <c r="AA188" s="46"/>
      <c r="AB188" s="46"/>
      <c r="AC188" s="46"/>
      <c r="AD188" s="46"/>
      <c r="AE188" s="46"/>
      <c r="AF188" s="46"/>
      <c r="AG188" s="46"/>
      <c r="AH188" s="46"/>
      <c r="AI188" s="46"/>
      <c r="AJ188" s="46"/>
      <c r="AK188" s="46"/>
      <c r="AL188" s="46"/>
      <c r="AM188" s="46"/>
      <c r="AN188" s="46"/>
      <c r="AO188" s="46"/>
      <c r="AP188" s="46"/>
      <c r="AQ188" s="46"/>
      <c r="AR188" s="46"/>
      <c r="AS188" s="46"/>
      <c r="AT188" s="46"/>
      <c r="AU188" s="1"/>
      <c r="AV188" s="1"/>
    </row>
    <row r="189" spans="1:48" ht="15.75" customHeight="1" x14ac:dyDescent="0.25">
      <c r="A189" s="43"/>
      <c r="B189" s="50"/>
      <c r="C189" s="51"/>
      <c r="D189" s="43"/>
      <c r="E189" s="43"/>
      <c r="F189" s="43"/>
      <c r="G189" s="44"/>
      <c r="H189" s="23"/>
      <c r="I189" s="67"/>
      <c r="J189" s="67"/>
      <c r="K189" s="68"/>
      <c r="L189" s="46"/>
      <c r="M189" s="46"/>
      <c r="N189" s="46"/>
      <c r="O189" s="46"/>
      <c r="P189" s="46"/>
      <c r="Q189" s="46"/>
      <c r="R189" s="46"/>
      <c r="S189" s="46"/>
      <c r="T189" s="46"/>
      <c r="U189" s="46"/>
      <c r="V189" s="46"/>
      <c r="W189" s="46"/>
      <c r="X189" s="46"/>
      <c r="Y189" s="46"/>
      <c r="Z189" s="46"/>
      <c r="AA189" s="46"/>
      <c r="AB189" s="46"/>
      <c r="AC189" s="46"/>
      <c r="AD189" s="46"/>
      <c r="AE189" s="46"/>
      <c r="AF189" s="46"/>
      <c r="AG189" s="46"/>
      <c r="AH189" s="46"/>
      <c r="AI189" s="46"/>
      <c r="AJ189" s="46"/>
      <c r="AK189" s="46"/>
      <c r="AL189" s="46"/>
      <c r="AM189" s="46"/>
      <c r="AN189" s="46"/>
      <c r="AO189" s="46"/>
      <c r="AP189" s="46"/>
      <c r="AQ189" s="46"/>
      <c r="AR189" s="46"/>
      <c r="AS189" s="46"/>
      <c r="AT189" s="46"/>
      <c r="AU189" s="1"/>
      <c r="AV189" s="1"/>
    </row>
    <row r="190" spans="1:48" ht="15.75" customHeight="1" x14ac:dyDescent="0.25">
      <c r="A190" s="43"/>
      <c r="B190" s="50"/>
      <c r="C190" s="51"/>
      <c r="D190" s="43"/>
      <c r="E190" s="43"/>
      <c r="F190" s="43"/>
      <c r="G190" s="44"/>
      <c r="H190" s="23"/>
      <c r="I190" s="67"/>
      <c r="J190" s="67"/>
      <c r="K190" s="68"/>
      <c r="L190" s="46"/>
      <c r="M190" s="46"/>
      <c r="N190" s="46"/>
      <c r="O190" s="46"/>
      <c r="P190" s="46"/>
      <c r="Q190" s="46"/>
      <c r="R190" s="46"/>
      <c r="S190" s="46"/>
      <c r="T190" s="46"/>
      <c r="U190" s="46"/>
      <c r="V190" s="46"/>
      <c r="W190" s="46"/>
      <c r="X190" s="46"/>
      <c r="Y190" s="46"/>
      <c r="Z190" s="46"/>
      <c r="AA190" s="46"/>
      <c r="AB190" s="46"/>
      <c r="AC190" s="46"/>
      <c r="AD190" s="46"/>
      <c r="AE190" s="46"/>
      <c r="AF190" s="46"/>
      <c r="AG190" s="46"/>
      <c r="AH190" s="46"/>
      <c r="AI190" s="46"/>
      <c r="AJ190" s="46"/>
      <c r="AK190" s="46"/>
      <c r="AL190" s="46"/>
      <c r="AM190" s="46"/>
      <c r="AN190" s="46"/>
      <c r="AO190" s="46"/>
      <c r="AP190" s="46"/>
      <c r="AQ190" s="46"/>
      <c r="AR190" s="46"/>
      <c r="AS190" s="46"/>
      <c r="AT190" s="46"/>
      <c r="AU190" s="1"/>
      <c r="AV190" s="1"/>
    </row>
    <row r="191" spans="1:48" ht="15.75" customHeight="1" x14ac:dyDescent="0.25">
      <c r="A191" s="43"/>
      <c r="B191" s="50"/>
      <c r="C191" s="51"/>
      <c r="D191" s="43"/>
      <c r="E191" s="43"/>
      <c r="F191" s="43"/>
      <c r="G191" s="44"/>
      <c r="H191" s="23"/>
      <c r="I191" s="67"/>
      <c r="J191" s="67"/>
      <c r="K191" s="68"/>
      <c r="L191" s="46"/>
      <c r="M191" s="46"/>
      <c r="N191" s="46"/>
      <c r="O191" s="46"/>
      <c r="P191" s="46"/>
      <c r="Q191" s="46"/>
      <c r="R191" s="46"/>
      <c r="S191" s="46"/>
      <c r="T191" s="46"/>
      <c r="U191" s="46"/>
      <c r="V191" s="46"/>
      <c r="W191" s="46"/>
      <c r="X191" s="46"/>
      <c r="Y191" s="46"/>
      <c r="Z191" s="46"/>
      <c r="AA191" s="46"/>
      <c r="AB191" s="46"/>
      <c r="AC191" s="46"/>
      <c r="AD191" s="46"/>
      <c r="AE191" s="46"/>
      <c r="AF191" s="46"/>
      <c r="AG191" s="46"/>
      <c r="AH191" s="46"/>
      <c r="AI191" s="46"/>
      <c r="AJ191" s="46"/>
      <c r="AK191" s="46"/>
      <c r="AL191" s="46"/>
      <c r="AM191" s="46"/>
      <c r="AN191" s="46"/>
      <c r="AO191" s="46"/>
      <c r="AP191" s="46"/>
      <c r="AQ191" s="46"/>
      <c r="AR191" s="46"/>
      <c r="AS191" s="46"/>
      <c r="AT191" s="46"/>
      <c r="AU191" s="1"/>
      <c r="AV191" s="1"/>
    </row>
    <row r="192" spans="1:48" ht="15.75" customHeight="1" x14ac:dyDescent="0.25">
      <c r="A192" s="43"/>
      <c r="B192" s="50"/>
      <c r="C192" s="51"/>
      <c r="D192" s="43"/>
      <c r="E192" s="43"/>
      <c r="F192" s="43"/>
      <c r="G192" s="44"/>
      <c r="H192" s="23"/>
      <c r="I192" s="67"/>
      <c r="J192" s="67"/>
      <c r="K192" s="68"/>
      <c r="L192" s="46"/>
      <c r="M192" s="46"/>
      <c r="N192" s="46"/>
      <c r="O192" s="46"/>
      <c r="P192" s="46"/>
      <c r="Q192" s="46"/>
      <c r="R192" s="46"/>
      <c r="S192" s="46"/>
      <c r="T192" s="46"/>
      <c r="U192" s="46"/>
      <c r="V192" s="46"/>
      <c r="W192" s="46"/>
      <c r="X192" s="46"/>
      <c r="Y192" s="46"/>
      <c r="Z192" s="46"/>
      <c r="AA192" s="46"/>
      <c r="AB192" s="46"/>
      <c r="AC192" s="46"/>
      <c r="AD192" s="46"/>
      <c r="AE192" s="46"/>
      <c r="AF192" s="46"/>
      <c r="AG192" s="46"/>
      <c r="AH192" s="46"/>
      <c r="AI192" s="46"/>
      <c r="AJ192" s="46"/>
      <c r="AK192" s="46"/>
      <c r="AL192" s="46"/>
      <c r="AM192" s="46"/>
      <c r="AN192" s="46"/>
      <c r="AO192" s="46"/>
      <c r="AP192" s="46"/>
      <c r="AQ192" s="46"/>
      <c r="AR192" s="46"/>
      <c r="AS192" s="46"/>
      <c r="AT192" s="46"/>
      <c r="AU192" s="1"/>
      <c r="AV192" s="1"/>
    </row>
    <row r="193" spans="1:48" ht="15.75" customHeight="1" x14ac:dyDescent="0.25">
      <c r="A193" s="43"/>
      <c r="B193" s="50"/>
      <c r="C193" s="51"/>
      <c r="D193" s="43"/>
      <c r="E193" s="43"/>
      <c r="F193" s="43"/>
      <c r="G193" s="44"/>
      <c r="H193" s="23"/>
      <c r="I193" s="67"/>
      <c r="J193" s="67"/>
      <c r="K193" s="68"/>
      <c r="L193" s="46"/>
      <c r="M193" s="46"/>
      <c r="N193" s="46"/>
      <c r="O193" s="46"/>
      <c r="P193" s="46"/>
      <c r="Q193" s="46"/>
      <c r="R193" s="46"/>
      <c r="S193" s="46"/>
      <c r="T193" s="46"/>
      <c r="U193" s="46"/>
      <c r="V193" s="46"/>
      <c r="W193" s="46"/>
      <c r="X193" s="46"/>
      <c r="Y193" s="46"/>
      <c r="Z193" s="46"/>
      <c r="AA193" s="46"/>
      <c r="AB193" s="46"/>
      <c r="AC193" s="46"/>
      <c r="AD193" s="46"/>
      <c r="AE193" s="46"/>
      <c r="AF193" s="46"/>
      <c r="AG193" s="46"/>
      <c r="AH193" s="46"/>
      <c r="AI193" s="46"/>
      <c r="AJ193" s="46"/>
      <c r="AK193" s="46"/>
      <c r="AL193" s="46"/>
      <c r="AM193" s="46"/>
      <c r="AN193" s="46"/>
      <c r="AO193" s="46"/>
      <c r="AP193" s="46"/>
      <c r="AQ193" s="46"/>
      <c r="AR193" s="46"/>
      <c r="AS193" s="46"/>
      <c r="AT193" s="46"/>
      <c r="AU193" s="1"/>
      <c r="AV193" s="1"/>
    </row>
    <row r="194" spans="1:48" ht="15.75" customHeight="1" x14ac:dyDescent="0.25">
      <c r="A194" s="43"/>
      <c r="B194" s="50"/>
      <c r="C194" s="51"/>
      <c r="D194" s="43"/>
      <c r="E194" s="43"/>
      <c r="F194" s="43"/>
      <c r="G194" s="44"/>
      <c r="H194" s="23"/>
      <c r="I194" s="67"/>
      <c r="J194" s="67"/>
      <c r="K194" s="68"/>
      <c r="L194" s="46"/>
      <c r="M194" s="46"/>
      <c r="N194" s="46"/>
      <c r="O194" s="46"/>
      <c r="P194" s="46"/>
      <c r="Q194" s="46"/>
      <c r="R194" s="46"/>
      <c r="S194" s="46"/>
      <c r="T194" s="46"/>
      <c r="U194" s="46"/>
      <c r="V194" s="46"/>
      <c r="W194" s="46"/>
      <c r="X194" s="46"/>
      <c r="Y194" s="46"/>
      <c r="Z194" s="46"/>
      <c r="AA194" s="46"/>
      <c r="AB194" s="46"/>
      <c r="AC194" s="46"/>
      <c r="AD194" s="46"/>
      <c r="AE194" s="46"/>
      <c r="AF194" s="46"/>
      <c r="AG194" s="46"/>
      <c r="AH194" s="46"/>
      <c r="AI194" s="46"/>
      <c r="AJ194" s="46"/>
      <c r="AK194" s="46"/>
      <c r="AL194" s="46"/>
      <c r="AM194" s="46"/>
      <c r="AN194" s="46"/>
      <c r="AO194" s="46"/>
      <c r="AP194" s="46"/>
      <c r="AQ194" s="46"/>
      <c r="AR194" s="46"/>
      <c r="AS194" s="46"/>
      <c r="AT194" s="46"/>
      <c r="AU194" s="1"/>
      <c r="AV194" s="1"/>
    </row>
    <row r="195" spans="1:48" ht="15.75" customHeight="1" x14ac:dyDescent="0.25">
      <c r="A195" s="43"/>
      <c r="B195" s="50"/>
      <c r="C195" s="51"/>
      <c r="D195" s="43"/>
      <c r="E195" s="43"/>
      <c r="F195" s="43"/>
      <c r="G195" s="44"/>
      <c r="H195" s="23"/>
      <c r="I195" s="67"/>
      <c r="J195" s="67"/>
      <c r="K195" s="68"/>
      <c r="L195" s="46"/>
      <c r="M195" s="46"/>
      <c r="N195" s="46"/>
      <c r="O195" s="46"/>
      <c r="P195" s="46"/>
      <c r="Q195" s="46"/>
      <c r="R195" s="46"/>
      <c r="S195" s="46"/>
      <c r="T195" s="46"/>
      <c r="U195" s="46"/>
      <c r="V195" s="46"/>
      <c r="W195" s="46"/>
      <c r="X195" s="46"/>
      <c r="Y195" s="46"/>
      <c r="Z195" s="46"/>
      <c r="AA195" s="46"/>
      <c r="AB195" s="46"/>
      <c r="AC195" s="46"/>
      <c r="AD195" s="46"/>
      <c r="AE195" s="46"/>
      <c r="AF195" s="46"/>
      <c r="AG195" s="46"/>
      <c r="AH195" s="46"/>
      <c r="AI195" s="46"/>
      <c r="AJ195" s="46"/>
      <c r="AK195" s="46"/>
      <c r="AL195" s="46"/>
      <c r="AM195" s="46"/>
      <c r="AN195" s="46"/>
      <c r="AO195" s="46"/>
      <c r="AP195" s="46"/>
      <c r="AQ195" s="46"/>
      <c r="AR195" s="46"/>
      <c r="AS195" s="46"/>
      <c r="AT195" s="46"/>
      <c r="AU195" s="1"/>
      <c r="AV195" s="1"/>
    </row>
    <row r="196" spans="1:48" ht="15.75" customHeight="1" x14ac:dyDescent="0.25">
      <c r="A196" s="43"/>
      <c r="B196" s="50"/>
      <c r="C196" s="51"/>
      <c r="D196" s="43"/>
      <c r="E196" s="43"/>
      <c r="F196" s="43"/>
      <c r="G196" s="44"/>
      <c r="H196" s="23"/>
      <c r="I196" s="67"/>
      <c r="J196" s="67"/>
      <c r="K196" s="68"/>
      <c r="L196" s="46"/>
      <c r="M196" s="46"/>
      <c r="N196" s="46"/>
      <c r="O196" s="46"/>
      <c r="P196" s="46"/>
      <c r="Q196" s="46"/>
      <c r="R196" s="46"/>
      <c r="S196" s="46"/>
      <c r="T196" s="46"/>
      <c r="U196" s="46"/>
      <c r="V196" s="46"/>
      <c r="W196" s="46"/>
      <c r="X196" s="46"/>
      <c r="Y196" s="46"/>
      <c r="Z196" s="46"/>
      <c r="AA196" s="46"/>
      <c r="AB196" s="46"/>
      <c r="AC196" s="46"/>
      <c r="AD196" s="46"/>
      <c r="AE196" s="46"/>
      <c r="AF196" s="46"/>
      <c r="AG196" s="46"/>
      <c r="AH196" s="46"/>
      <c r="AI196" s="46"/>
      <c r="AJ196" s="46"/>
      <c r="AK196" s="46"/>
      <c r="AL196" s="46"/>
      <c r="AM196" s="46"/>
      <c r="AN196" s="46"/>
      <c r="AO196" s="46"/>
      <c r="AP196" s="46"/>
      <c r="AQ196" s="46"/>
      <c r="AR196" s="46"/>
      <c r="AS196" s="46"/>
      <c r="AT196" s="46"/>
      <c r="AU196" s="1"/>
      <c r="AV196" s="1"/>
    </row>
    <row r="197" spans="1:48" ht="15.75" customHeight="1" x14ac:dyDescent="0.25">
      <c r="A197" s="43"/>
      <c r="B197" s="50"/>
      <c r="C197" s="51"/>
      <c r="D197" s="43"/>
      <c r="E197" s="43"/>
      <c r="F197" s="43"/>
      <c r="G197" s="44"/>
      <c r="H197" s="23"/>
      <c r="I197" s="67"/>
      <c r="J197" s="67"/>
      <c r="K197" s="68"/>
      <c r="L197" s="46"/>
      <c r="M197" s="46"/>
      <c r="N197" s="46"/>
      <c r="O197" s="46"/>
      <c r="P197" s="46"/>
      <c r="Q197" s="46"/>
      <c r="R197" s="46"/>
      <c r="S197" s="46"/>
      <c r="T197" s="46"/>
      <c r="U197" s="46"/>
      <c r="V197" s="46"/>
      <c r="W197" s="46"/>
      <c r="X197" s="46"/>
      <c r="Y197" s="46"/>
      <c r="Z197" s="46"/>
      <c r="AA197" s="46"/>
      <c r="AB197" s="46"/>
      <c r="AC197" s="46"/>
      <c r="AD197" s="46"/>
      <c r="AE197" s="46"/>
      <c r="AF197" s="46"/>
      <c r="AG197" s="46"/>
      <c r="AH197" s="46"/>
      <c r="AI197" s="46"/>
      <c r="AJ197" s="46"/>
      <c r="AK197" s="46"/>
      <c r="AL197" s="46"/>
      <c r="AM197" s="46"/>
      <c r="AN197" s="46"/>
      <c r="AO197" s="46"/>
      <c r="AP197" s="46"/>
      <c r="AQ197" s="46"/>
      <c r="AR197" s="46"/>
      <c r="AS197" s="46"/>
      <c r="AT197" s="46"/>
      <c r="AU197" s="1"/>
      <c r="AV197" s="1"/>
    </row>
    <row r="198" spans="1:48" ht="15.75" customHeight="1" x14ac:dyDescent="0.25">
      <c r="A198" s="43"/>
      <c r="B198" s="50"/>
      <c r="C198" s="51"/>
      <c r="D198" s="43"/>
      <c r="E198" s="43"/>
      <c r="F198" s="43"/>
      <c r="G198" s="44"/>
      <c r="H198" s="23"/>
      <c r="I198" s="67"/>
      <c r="J198" s="67"/>
      <c r="K198" s="68"/>
      <c r="L198" s="46"/>
      <c r="M198" s="46"/>
      <c r="N198" s="46"/>
      <c r="O198" s="46"/>
      <c r="P198" s="46"/>
      <c r="Q198" s="46"/>
      <c r="R198" s="46"/>
      <c r="S198" s="46"/>
      <c r="T198" s="46"/>
      <c r="U198" s="46"/>
      <c r="V198" s="46"/>
      <c r="W198" s="46"/>
      <c r="X198" s="46"/>
      <c r="Y198" s="46"/>
      <c r="Z198" s="46"/>
      <c r="AA198" s="46"/>
      <c r="AB198" s="46"/>
      <c r="AC198" s="46"/>
      <c r="AD198" s="46"/>
      <c r="AE198" s="46"/>
      <c r="AF198" s="46"/>
      <c r="AG198" s="46"/>
      <c r="AH198" s="46"/>
      <c r="AI198" s="46"/>
      <c r="AJ198" s="46"/>
      <c r="AK198" s="46"/>
      <c r="AL198" s="46"/>
      <c r="AM198" s="46"/>
      <c r="AN198" s="46"/>
      <c r="AO198" s="46"/>
      <c r="AP198" s="46"/>
      <c r="AQ198" s="46"/>
      <c r="AR198" s="46"/>
      <c r="AS198" s="46"/>
      <c r="AT198" s="46"/>
      <c r="AU198" s="1"/>
      <c r="AV198" s="1"/>
    </row>
    <row r="199" spans="1:48" ht="15.75" customHeight="1" x14ac:dyDescent="0.25">
      <c r="A199" s="43"/>
      <c r="B199" s="50"/>
      <c r="C199" s="51"/>
      <c r="D199" s="43"/>
      <c r="E199" s="43"/>
      <c r="F199" s="43"/>
      <c r="G199" s="44"/>
      <c r="H199" s="23"/>
      <c r="I199" s="67"/>
      <c r="J199" s="67"/>
      <c r="K199" s="68"/>
      <c r="L199" s="46"/>
      <c r="M199" s="46"/>
      <c r="N199" s="46"/>
      <c r="O199" s="46"/>
      <c r="P199" s="46"/>
      <c r="Q199" s="46"/>
      <c r="R199" s="46"/>
      <c r="S199" s="46"/>
      <c r="T199" s="46"/>
      <c r="U199" s="46"/>
      <c r="V199" s="46"/>
      <c r="W199" s="46"/>
      <c r="X199" s="46"/>
      <c r="Y199" s="46"/>
      <c r="Z199" s="46"/>
      <c r="AA199" s="46"/>
      <c r="AB199" s="46"/>
      <c r="AC199" s="46"/>
      <c r="AD199" s="46"/>
      <c r="AE199" s="46"/>
      <c r="AF199" s="46"/>
      <c r="AG199" s="46"/>
      <c r="AH199" s="46"/>
      <c r="AI199" s="46"/>
      <c r="AJ199" s="46"/>
      <c r="AK199" s="46"/>
      <c r="AL199" s="46"/>
      <c r="AM199" s="46"/>
      <c r="AN199" s="46"/>
      <c r="AO199" s="46"/>
      <c r="AP199" s="46"/>
      <c r="AQ199" s="46"/>
      <c r="AR199" s="46"/>
      <c r="AS199" s="46"/>
      <c r="AT199" s="46"/>
      <c r="AU199" s="1"/>
      <c r="AV199" s="1"/>
    </row>
    <row r="200" spans="1:48" ht="15.75" customHeight="1" x14ac:dyDescent="0.25">
      <c r="A200" s="43"/>
      <c r="B200" s="50"/>
      <c r="C200" s="51"/>
      <c r="D200" s="43"/>
      <c r="E200" s="43"/>
      <c r="F200" s="43"/>
      <c r="G200" s="44"/>
      <c r="H200" s="23"/>
      <c r="I200" s="67"/>
      <c r="J200" s="67"/>
      <c r="K200" s="68"/>
      <c r="L200" s="46"/>
      <c r="M200" s="46"/>
      <c r="N200" s="46"/>
      <c r="O200" s="46"/>
      <c r="P200" s="46"/>
      <c r="Q200" s="46"/>
      <c r="R200" s="46"/>
      <c r="S200" s="46"/>
      <c r="T200" s="46"/>
      <c r="U200" s="46"/>
      <c r="V200" s="46"/>
      <c r="W200" s="46"/>
      <c r="X200" s="46"/>
      <c r="Y200" s="46"/>
      <c r="Z200" s="46"/>
      <c r="AA200" s="46"/>
      <c r="AB200" s="46"/>
      <c r="AC200" s="46"/>
      <c r="AD200" s="46"/>
      <c r="AE200" s="46"/>
      <c r="AF200" s="46"/>
      <c r="AG200" s="46"/>
      <c r="AH200" s="46"/>
      <c r="AI200" s="46"/>
      <c r="AJ200" s="46"/>
      <c r="AK200" s="46"/>
      <c r="AL200" s="46"/>
      <c r="AM200" s="46"/>
      <c r="AN200" s="46"/>
      <c r="AO200" s="46"/>
      <c r="AP200" s="46"/>
      <c r="AQ200" s="46"/>
      <c r="AR200" s="46"/>
      <c r="AS200" s="46"/>
      <c r="AT200" s="46"/>
      <c r="AU200" s="1"/>
      <c r="AV200" s="1"/>
    </row>
    <row r="201" spans="1:48" ht="15.75" customHeight="1" x14ac:dyDescent="0.25">
      <c r="A201" s="43"/>
      <c r="B201" s="50"/>
      <c r="C201" s="51"/>
      <c r="D201" s="43"/>
      <c r="E201" s="43"/>
      <c r="F201" s="43"/>
      <c r="G201" s="44"/>
      <c r="H201" s="23"/>
      <c r="I201" s="67"/>
      <c r="J201" s="67"/>
      <c r="K201" s="68"/>
      <c r="L201" s="46"/>
      <c r="M201" s="46"/>
      <c r="N201" s="46"/>
      <c r="O201" s="46"/>
      <c r="P201" s="46"/>
      <c r="Q201" s="46"/>
      <c r="R201" s="46"/>
      <c r="S201" s="46"/>
      <c r="T201" s="46"/>
      <c r="U201" s="46"/>
      <c r="V201" s="46"/>
      <c r="W201" s="46"/>
      <c r="X201" s="46"/>
      <c r="Y201" s="46"/>
      <c r="Z201" s="46"/>
      <c r="AA201" s="46"/>
      <c r="AB201" s="46"/>
      <c r="AC201" s="46"/>
      <c r="AD201" s="46"/>
      <c r="AE201" s="46"/>
      <c r="AF201" s="46"/>
      <c r="AG201" s="46"/>
      <c r="AH201" s="46"/>
      <c r="AI201" s="46"/>
      <c r="AJ201" s="46"/>
      <c r="AK201" s="46"/>
      <c r="AL201" s="46"/>
      <c r="AM201" s="46"/>
      <c r="AN201" s="46"/>
      <c r="AO201" s="46"/>
      <c r="AP201" s="46"/>
      <c r="AQ201" s="46"/>
      <c r="AR201" s="46"/>
      <c r="AS201" s="46"/>
      <c r="AT201" s="46"/>
      <c r="AU201" s="1"/>
      <c r="AV201" s="1"/>
    </row>
    <row r="202" spans="1:48" ht="15.75" customHeight="1" x14ac:dyDescent="0.25">
      <c r="A202" s="43"/>
      <c r="B202" s="50"/>
      <c r="C202" s="51"/>
      <c r="D202" s="43"/>
      <c r="E202" s="43"/>
      <c r="F202" s="43"/>
      <c r="G202" s="44"/>
      <c r="H202" s="23"/>
      <c r="I202" s="67"/>
      <c r="J202" s="67"/>
      <c r="K202" s="68"/>
      <c r="L202" s="46"/>
      <c r="M202" s="46"/>
      <c r="N202" s="46"/>
      <c r="O202" s="46"/>
      <c r="P202" s="46"/>
      <c r="Q202" s="46"/>
      <c r="R202" s="46"/>
      <c r="S202" s="46"/>
      <c r="T202" s="46"/>
      <c r="U202" s="46"/>
      <c r="V202" s="46"/>
      <c r="W202" s="46"/>
      <c r="X202" s="46"/>
      <c r="Y202" s="46"/>
      <c r="Z202" s="46"/>
      <c r="AA202" s="46"/>
      <c r="AB202" s="46"/>
      <c r="AC202" s="46"/>
      <c r="AD202" s="46"/>
      <c r="AE202" s="46"/>
      <c r="AF202" s="46"/>
      <c r="AG202" s="46"/>
      <c r="AH202" s="46"/>
      <c r="AI202" s="46"/>
      <c r="AJ202" s="46"/>
      <c r="AK202" s="46"/>
      <c r="AL202" s="46"/>
      <c r="AM202" s="46"/>
      <c r="AN202" s="46"/>
      <c r="AO202" s="46"/>
      <c r="AP202" s="46"/>
      <c r="AQ202" s="46"/>
      <c r="AR202" s="46"/>
      <c r="AS202" s="46"/>
      <c r="AT202" s="46"/>
      <c r="AU202" s="1"/>
      <c r="AV202" s="1"/>
    </row>
    <row r="203" spans="1:48" ht="15.75" customHeight="1" x14ac:dyDescent="0.25">
      <c r="A203" s="43"/>
      <c r="B203" s="50"/>
      <c r="C203" s="51"/>
      <c r="D203" s="43"/>
      <c r="E203" s="43"/>
      <c r="F203" s="43"/>
      <c r="G203" s="44"/>
      <c r="H203" s="23"/>
      <c r="I203" s="67"/>
      <c r="J203" s="67"/>
      <c r="K203" s="68"/>
      <c r="L203" s="46"/>
      <c r="M203" s="46"/>
      <c r="N203" s="46"/>
      <c r="O203" s="46"/>
      <c r="P203" s="46"/>
      <c r="Q203" s="46"/>
      <c r="R203" s="46"/>
      <c r="S203" s="46"/>
      <c r="T203" s="46"/>
      <c r="U203" s="46"/>
      <c r="V203" s="46"/>
      <c r="W203" s="46"/>
      <c r="X203" s="46"/>
      <c r="Y203" s="46"/>
      <c r="Z203" s="46"/>
      <c r="AA203" s="46"/>
      <c r="AB203" s="46"/>
      <c r="AC203" s="46"/>
      <c r="AD203" s="46"/>
      <c r="AE203" s="46"/>
      <c r="AF203" s="46"/>
      <c r="AG203" s="46"/>
      <c r="AH203" s="46"/>
      <c r="AI203" s="46"/>
      <c r="AJ203" s="46"/>
      <c r="AK203" s="46"/>
      <c r="AL203" s="46"/>
      <c r="AM203" s="46"/>
      <c r="AN203" s="46"/>
      <c r="AO203" s="46"/>
      <c r="AP203" s="46"/>
      <c r="AQ203" s="46"/>
      <c r="AR203" s="46"/>
      <c r="AS203" s="46"/>
      <c r="AT203" s="46"/>
      <c r="AU203" s="1"/>
      <c r="AV203" s="1"/>
    </row>
    <row r="204" spans="1:48" ht="15.75" customHeight="1" x14ac:dyDescent="0.25">
      <c r="A204" s="43"/>
      <c r="B204" s="50"/>
      <c r="C204" s="51"/>
      <c r="D204" s="43"/>
      <c r="E204" s="43"/>
      <c r="F204" s="43"/>
      <c r="G204" s="44"/>
      <c r="H204" s="23"/>
      <c r="I204" s="67"/>
      <c r="J204" s="67"/>
      <c r="K204" s="68"/>
      <c r="L204" s="46"/>
      <c r="M204" s="46"/>
      <c r="N204" s="46"/>
      <c r="O204" s="46"/>
      <c r="P204" s="46"/>
      <c r="Q204" s="46"/>
      <c r="R204" s="46"/>
      <c r="S204" s="46"/>
      <c r="T204" s="46"/>
      <c r="U204" s="46"/>
      <c r="V204" s="46"/>
      <c r="W204" s="46"/>
      <c r="X204" s="46"/>
      <c r="Y204" s="46"/>
      <c r="Z204" s="46"/>
      <c r="AA204" s="46"/>
      <c r="AB204" s="46"/>
      <c r="AC204" s="46"/>
      <c r="AD204" s="46"/>
      <c r="AE204" s="46"/>
      <c r="AF204" s="46"/>
      <c r="AG204" s="46"/>
      <c r="AH204" s="46"/>
      <c r="AI204" s="46"/>
      <c r="AJ204" s="46"/>
      <c r="AK204" s="46"/>
      <c r="AL204" s="46"/>
      <c r="AM204" s="46"/>
      <c r="AN204" s="46"/>
      <c r="AO204" s="46"/>
      <c r="AP204" s="46"/>
      <c r="AQ204" s="46"/>
      <c r="AR204" s="46"/>
      <c r="AS204" s="46"/>
      <c r="AT204" s="46"/>
      <c r="AU204" s="1"/>
      <c r="AV204" s="1"/>
    </row>
    <row r="205" spans="1:48" ht="15.75" customHeight="1" x14ac:dyDescent="0.25">
      <c r="A205" s="43"/>
      <c r="B205" s="50"/>
      <c r="C205" s="51"/>
      <c r="D205" s="43"/>
      <c r="E205" s="43"/>
      <c r="F205" s="43"/>
      <c r="G205" s="44"/>
      <c r="H205" s="23"/>
      <c r="I205" s="67"/>
      <c r="J205" s="67"/>
      <c r="K205" s="68"/>
      <c r="L205" s="46"/>
      <c r="M205" s="46"/>
      <c r="N205" s="46"/>
      <c r="O205" s="46"/>
      <c r="P205" s="46"/>
      <c r="Q205" s="46"/>
      <c r="R205" s="46"/>
      <c r="S205" s="46"/>
      <c r="T205" s="46"/>
      <c r="U205" s="46"/>
      <c r="V205" s="46"/>
      <c r="W205" s="46"/>
      <c r="X205" s="46"/>
      <c r="Y205" s="46"/>
      <c r="Z205" s="46"/>
      <c r="AA205" s="46"/>
      <c r="AB205" s="46"/>
      <c r="AC205" s="46"/>
      <c r="AD205" s="46"/>
      <c r="AE205" s="46"/>
      <c r="AF205" s="46"/>
      <c r="AG205" s="46"/>
      <c r="AH205" s="46"/>
      <c r="AI205" s="46"/>
      <c r="AJ205" s="46"/>
      <c r="AK205" s="46"/>
      <c r="AL205" s="46"/>
      <c r="AM205" s="46"/>
      <c r="AN205" s="46"/>
      <c r="AO205" s="46"/>
      <c r="AP205" s="46"/>
      <c r="AQ205" s="46"/>
      <c r="AR205" s="46"/>
      <c r="AS205" s="46"/>
      <c r="AT205" s="46"/>
      <c r="AU205" s="1"/>
      <c r="AV205" s="1"/>
    </row>
    <row r="206" spans="1:48" ht="15.75" customHeight="1" x14ac:dyDescent="0.25">
      <c r="A206" s="43"/>
      <c r="B206" s="50"/>
      <c r="C206" s="51"/>
      <c r="D206" s="43"/>
      <c r="E206" s="43"/>
      <c r="F206" s="43"/>
      <c r="G206" s="44"/>
      <c r="H206" s="23"/>
      <c r="I206" s="67"/>
      <c r="J206" s="67"/>
      <c r="K206" s="68"/>
      <c r="L206" s="46"/>
      <c r="M206" s="46"/>
      <c r="N206" s="46"/>
      <c r="O206" s="46"/>
      <c r="P206" s="46"/>
      <c r="Q206" s="46"/>
      <c r="R206" s="46"/>
      <c r="S206" s="46"/>
      <c r="T206" s="46"/>
      <c r="U206" s="46"/>
      <c r="V206" s="46"/>
      <c r="W206" s="46"/>
      <c r="X206" s="46"/>
      <c r="Y206" s="46"/>
      <c r="Z206" s="46"/>
      <c r="AA206" s="46"/>
      <c r="AB206" s="46"/>
      <c r="AC206" s="46"/>
      <c r="AD206" s="46"/>
      <c r="AE206" s="46"/>
      <c r="AF206" s="46"/>
      <c r="AG206" s="46"/>
      <c r="AH206" s="46"/>
      <c r="AI206" s="46"/>
      <c r="AJ206" s="46"/>
      <c r="AK206" s="46"/>
      <c r="AL206" s="46"/>
      <c r="AM206" s="46"/>
      <c r="AN206" s="46"/>
      <c r="AO206" s="46"/>
      <c r="AP206" s="46"/>
      <c r="AQ206" s="46"/>
      <c r="AR206" s="46"/>
      <c r="AS206" s="46"/>
      <c r="AT206" s="46"/>
      <c r="AU206" s="1"/>
      <c r="AV206" s="1"/>
    </row>
    <row r="207" spans="1:48" ht="15.75" customHeight="1" x14ac:dyDescent="0.25">
      <c r="A207" s="43"/>
      <c r="B207" s="50"/>
      <c r="C207" s="51"/>
      <c r="D207" s="43"/>
      <c r="E207" s="43"/>
      <c r="F207" s="43"/>
      <c r="G207" s="44"/>
      <c r="H207" s="23"/>
      <c r="I207" s="67"/>
      <c r="J207" s="67"/>
      <c r="K207" s="68"/>
      <c r="L207" s="46"/>
      <c r="M207" s="46"/>
      <c r="N207" s="46"/>
      <c r="O207" s="46"/>
      <c r="P207" s="46"/>
      <c r="Q207" s="46"/>
      <c r="R207" s="46"/>
      <c r="S207" s="46"/>
      <c r="T207" s="46"/>
      <c r="U207" s="46"/>
      <c r="V207" s="46"/>
      <c r="W207" s="46"/>
      <c r="X207" s="46"/>
      <c r="Y207" s="46"/>
      <c r="Z207" s="46"/>
      <c r="AA207" s="46"/>
      <c r="AB207" s="46"/>
      <c r="AC207" s="46"/>
      <c r="AD207" s="46"/>
      <c r="AE207" s="46"/>
      <c r="AF207" s="46"/>
      <c r="AG207" s="46"/>
      <c r="AH207" s="46"/>
      <c r="AI207" s="46"/>
      <c r="AJ207" s="46"/>
      <c r="AK207" s="46"/>
      <c r="AL207" s="46"/>
      <c r="AM207" s="46"/>
      <c r="AN207" s="46"/>
      <c r="AO207" s="46"/>
      <c r="AP207" s="46"/>
      <c r="AQ207" s="46"/>
      <c r="AR207" s="46"/>
      <c r="AS207" s="46"/>
      <c r="AT207" s="46"/>
      <c r="AU207" s="1"/>
      <c r="AV207" s="1"/>
    </row>
    <row r="208" spans="1:48" ht="15.75" customHeight="1" x14ac:dyDescent="0.25">
      <c r="A208" s="43"/>
      <c r="B208" s="50"/>
      <c r="C208" s="51"/>
      <c r="D208" s="43"/>
      <c r="E208" s="43"/>
      <c r="F208" s="43"/>
      <c r="G208" s="44"/>
      <c r="H208" s="23"/>
      <c r="I208" s="67"/>
      <c r="J208" s="67"/>
      <c r="K208" s="68"/>
      <c r="L208" s="46"/>
      <c r="M208" s="46"/>
      <c r="N208" s="46"/>
      <c r="O208" s="46"/>
      <c r="P208" s="46"/>
      <c r="Q208" s="46"/>
      <c r="R208" s="46"/>
      <c r="S208" s="46"/>
      <c r="T208" s="46"/>
      <c r="U208" s="46"/>
      <c r="V208" s="46"/>
      <c r="W208" s="46"/>
      <c r="X208" s="46"/>
      <c r="Y208" s="46"/>
      <c r="Z208" s="46"/>
      <c r="AA208" s="46"/>
      <c r="AB208" s="46"/>
      <c r="AC208" s="46"/>
      <c r="AD208" s="46"/>
      <c r="AE208" s="46"/>
      <c r="AF208" s="46"/>
      <c r="AG208" s="46"/>
      <c r="AH208" s="46"/>
      <c r="AI208" s="46"/>
      <c r="AJ208" s="46"/>
      <c r="AK208" s="46"/>
      <c r="AL208" s="46"/>
      <c r="AM208" s="46"/>
      <c r="AN208" s="46"/>
      <c r="AO208" s="46"/>
      <c r="AP208" s="46"/>
      <c r="AQ208" s="46"/>
      <c r="AR208" s="46"/>
      <c r="AS208" s="46"/>
      <c r="AT208" s="46"/>
      <c r="AU208" s="1"/>
      <c r="AV208" s="1"/>
    </row>
    <row r="209" spans="1:48" ht="15.75" customHeight="1" x14ac:dyDescent="0.25">
      <c r="A209" s="43"/>
      <c r="B209" s="50"/>
      <c r="C209" s="51"/>
      <c r="D209" s="43"/>
      <c r="E209" s="43"/>
      <c r="F209" s="43"/>
      <c r="G209" s="44"/>
      <c r="H209" s="23"/>
      <c r="I209" s="67"/>
      <c r="J209" s="67"/>
      <c r="K209" s="68"/>
      <c r="L209" s="46"/>
      <c r="M209" s="46"/>
      <c r="N209" s="46"/>
      <c r="O209" s="46"/>
      <c r="P209" s="46"/>
      <c r="Q209" s="46"/>
      <c r="R209" s="46"/>
      <c r="S209" s="46"/>
      <c r="T209" s="46"/>
      <c r="U209" s="46"/>
      <c r="V209" s="46"/>
      <c r="W209" s="46"/>
      <c r="X209" s="46"/>
      <c r="Y209" s="46"/>
      <c r="Z209" s="46"/>
      <c r="AA209" s="46"/>
      <c r="AB209" s="46"/>
      <c r="AC209" s="46"/>
      <c r="AD209" s="46"/>
      <c r="AE209" s="46"/>
      <c r="AF209" s="46"/>
      <c r="AG209" s="46"/>
      <c r="AH209" s="46"/>
      <c r="AI209" s="46"/>
      <c r="AJ209" s="46"/>
      <c r="AK209" s="46"/>
      <c r="AL209" s="46"/>
      <c r="AM209" s="46"/>
      <c r="AN209" s="46"/>
      <c r="AO209" s="46"/>
      <c r="AP209" s="46"/>
      <c r="AQ209" s="46"/>
      <c r="AR209" s="46"/>
      <c r="AS209" s="46"/>
      <c r="AT209" s="46"/>
      <c r="AU209" s="1"/>
      <c r="AV209" s="1"/>
    </row>
    <row r="210" spans="1:48" ht="15.75" customHeight="1" x14ac:dyDescent="0.25">
      <c r="A210" s="43"/>
      <c r="B210" s="50"/>
      <c r="C210" s="51"/>
      <c r="D210" s="43"/>
      <c r="E210" s="43"/>
      <c r="F210" s="43"/>
      <c r="G210" s="44"/>
      <c r="H210" s="23"/>
      <c r="I210" s="67"/>
      <c r="J210" s="67"/>
      <c r="K210" s="68"/>
      <c r="L210" s="46"/>
      <c r="M210" s="46"/>
      <c r="N210" s="46"/>
      <c r="O210" s="46"/>
      <c r="P210" s="46"/>
      <c r="Q210" s="46"/>
      <c r="R210" s="46"/>
      <c r="S210" s="46"/>
      <c r="T210" s="46"/>
      <c r="U210" s="46"/>
      <c r="V210" s="46"/>
      <c r="W210" s="46"/>
      <c r="X210" s="46"/>
      <c r="Y210" s="46"/>
      <c r="Z210" s="46"/>
      <c r="AA210" s="46"/>
      <c r="AB210" s="46"/>
      <c r="AC210" s="46"/>
      <c r="AD210" s="46"/>
      <c r="AE210" s="46"/>
      <c r="AF210" s="46"/>
      <c r="AG210" s="46"/>
      <c r="AH210" s="46"/>
      <c r="AI210" s="46"/>
      <c r="AJ210" s="46"/>
      <c r="AK210" s="46"/>
      <c r="AL210" s="46"/>
      <c r="AM210" s="46"/>
      <c r="AN210" s="46"/>
      <c r="AO210" s="46"/>
      <c r="AP210" s="46"/>
      <c r="AQ210" s="46"/>
      <c r="AR210" s="46"/>
      <c r="AS210" s="46"/>
      <c r="AT210" s="46"/>
      <c r="AU210" s="1"/>
      <c r="AV210" s="1"/>
    </row>
    <row r="211" spans="1:48" ht="15.75" customHeight="1" x14ac:dyDescent="0.25">
      <c r="A211" s="43"/>
      <c r="B211" s="50"/>
      <c r="C211" s="51"/>
      <c r="D211" s="43"/>
      <c r="E211" s="43"/>
      <c r="F211" s="43"/>
      <c r="G211" s="44"/>
      <c r="H211" s="23"/>
      <c r="I211" s="67"/>
      <c r="J211" s="67"/>
      <c r="K211" s="68"/>
      <c r="L211" s="46"/>
      <c r="M211" s="46"/>
      <c r="N211" s="46"/>
      <c r="O211" s="46"/>
      <c r="P211" s="46"/>
      <c r="Q211" s="46"/>
      <c r="R211" s="46"/>
      <c r="S211" s="46"/>
      <c r="T211" s="46"/>
      <c r="U211" s="46"/>
      <c r="V211" s="46"/>
      <c r="W211" s="46"/>
      <c r="X211" s="46"/>
      <c r="Y211" s="46"/>
      <c r="Z211" s="46"/>
      <c r="AA211" s="46"/>
      <c r="AB211" s="46"/>
      <c r="AC211" s="46"/>
      <c r="AD211" s="46"/>
      <c r="AE211" s="46"/>
      <c r="AF211" s="46"/>
      <c r="AG211" s="46"/>
      <c r="AH211" s="46"/>
      <c r="AI211" s="46"/>
      <c r="AJ211" s="46"/>
      <c r="AK211" s="46"/>
      <c r="AL211" s="46"/>
      <c r="AM211" s="46"/>
      <c r="AN211" s="46"/>
      <c r="AO211" s="46"/>
      <c r="AP211" s="46"/>
      <c r="AQ211" s="46"/>
      <c r="AR211" s="46"/>
      <c r="AS211" s="46"/>
      <c r="AT211" s="46"/>
      <c r="AU211" s="1"/>
      <c r="AV211" s="1"/>
    </row>
    <row r="212" spans="1:48" ht="15.75" customHeight="1" x14ac:dyDescent="0.25">
      <c r="A212" s="43"/>
      <c r="B212" s="50"/>
      <c r="C212" s="51"/>
      <c r="D212" s="43"/>
      <c r="E212" s="43"/>
      <c r="F212" s="43"/>
      <c r="G212" s="44"/>
      <c r="H212" s="23"/>
      <c r="I212" s="67"/>
      <c r="J212" s="67"/>
      <c r="K212" s="68"/>
      <c r="L212" s="46"/>
      <c r="M212" s="46"/>
      <c r="N212" s="46"/>
      <c r="O212" s="46"/>
      <c r="P212" s="46"/>
      <c r="Q212" s="46"/>
      <c r="R212" s="46"/>
      <c r="S212" s="46"/>
      <c r="T212" s="46"/>
      <c r="U212" s="46"/>
      <c r="V212" s="46"/>
      <c r="W212" s="46"/>
      <c r="X212" s="46"/>
      <c r="Y212" s="46"/>
      <c r="Z212" s="46"/>
      <c r="AA212" s="46"/>
      <c r="AB212" s="46"/>
      <c r="AC212" s="46"/>
      <c r="AD212" s="46"/>
      <c r="AE212" s="46"/>
      <c r="AF212" s="46"/>
      <c r="AG212" s="46"/>
      <c r="AH212" s="46"/>
      <c r="AI212" s="46"/>
      <c r="AJ212" s="46"/>
      <c r="AK212" s="46"/>
      <c r="AL212" s="46"/>
      <c r="AM212" s="46"/>
      <c r="AN212" s="46"/>
      <c r="AO212" s="46"/>
      <c r="AP212" s="46"/>
      <c r="AQ212" s="46"/>
      <c r="AR212" s="46"/>
      <c r="AS212" s="46"/>
      <c r="AT212" s="46"/>
      <c r="AU212" s="1"/>
      <c r="AV212" s="1"/>
    </row>
    <row r="213" spans="1:48" ht="15.75" customHeight="1" x14ac:dyDescent="0.25">
      <c r="A213" s="43"/>
      <c r="B213" s="50"/>
      <c r="C213" s="51"/>
      <c r="D213" s="43"/>
      <c r="E213" s="43"/>
      <c r="F213" s="43"/>
      <c r="G213" s="44"/>
      <c r="H213" s="23"/>
      <c r="I213" s="67"/>
      <c r="J213" s="67"/>
      <c r="K213" s="68"/>
      <c r="L213" s="46"/>
      <c r="M213" s="46"/>
      <c r="N213" s="46"/>
      <c r="O213" s="46"/>
      <c r="P213" s="46"/>
      <c r="Q213" s="46"/>
      <c r="R213" s="46"/>
      <c r="S213" s="46"/>
      <c r="T213" s="46"/>
      <c r="U213" s="46"/>
      <c r="V213" s="46"/>
      <c r="W213" s="46"/>
      <c r="X213" s="46"/>
      <c r="Y213" s="46"/>
      <c r="Z213" s="46"/>
      <c r="AA213" s="46"/>
      <c r="AB213" s="46"/>
      <c r="AC213" s="46"/>
      <c r="AD213" s="46"/>
      <c r="AE213" s="46"/>
      <c r="AF213" s="46"/>
      <c r="AG213" s="46"/>
      <c r="AH213" s="46"/>
      <c r="AI213" s="46"/>
      <c r="AJ213" s="46"/>
      <c r="AK213" s="46"/>
      <c r="AL213" s="46"/>
      <c r="AM213" s="46"/>
      <c r="AN213" s="46"/>
      <c r="AO213" s="46"/>
      <c r="AP213" s="46"/>
      <c r="AQ213" s="46"/>
      <c r="AR213" s="46"/>
      <c r="AS213" s="46"/>
      <c r="AT213" s="46"/>
      <c r="AU213" s="1"/>
      <c r="AV213" s="1"/>
    </row>
    <row r="214" spans="1:48" ht="15.75" customHeight="1" x14ac:dyDescent="0.25">
      <c r="A214" s="43"/>
      <c r="B214" s="50"/>
      <c r="C214" s="51"/>
      <c r="D214" s="43"/>
      <c r="E214" s="43"/>
      <c r="F214" s="43"/>
      <c r="G214" s="44"/>
      <c r="H214" s="23"/>
      <c r="I214" s="67"/>
      <c r="J214" s="67"/>
      <c r="K214" s="68"/>
      <c r="L214" s="46"/>
      <c r="M214" s="46"/>
      <c r="N214" s="46"/>
      <c r="O214" s="46"/>
      <c r="P214" s="46"/>
      <c r="Q214" s="46"/>
      <c r="R214" s="46"/>
      <c r="S214" s="46"/>
      <c r="T214" s="46"/>
      <c r="U214" s="46"/>
      <c r="V214" s="46"/>
      <c r="W214" s="46"/>
      <c r="X214" s="46"/>
      <c r="Y214" s="46"/>
      <c r="Z214" s="46"/>
      <c r="AA214" s="46"/>
      <c r="AB214" s="46"/>
      <c r="AC214" s="46"/>
      <c r="AD214" s="46"/>
      <c r="AE214" s="46"/>
      <c r="AF214" s="46"/>
      <c r="AG214" s="46"/>
      <c r="AH214" s="46"/>
      <c r="AI214" s="46"/>
      <c r="AJ214" s="46"/>
      <c r="AK214" s="46"/>
      <c r="AL214" s="46"/>
      <c r="AM214" s="46"/>
      <c r="AN214" s="46"/>
      <c r="AO214" s="46"/>
      <c r="AP214" s="46"/>
      <c r="AQ214" s="46"/>
      <c r="AR214" s="46"/>
      <c r="AS214" s="46"/>
      <c r="AT214" s="46"/>
      <c r="AU214" s="1"/>
      <c r="AV214" s="1"/>
    </row>
    <row r="215" spans="1:48" ht="15.75" customHeight="1" x14ac:dyDescent="0.25">
      <c r="A215" s="43"/>
      <c r="B215" s="50"/>
      <c r="C215" s="51"/>
      <c r="D215" s="43"/>
      <c r="E215" s="43"/>
      <c r="F215" s="43"/>
      <c r="G215" s="44"/>
      <c r="H215" s="23"/>
      <c r="I215" s="67"/>
      <c r="J215" s="67"/>
      <c r="K215" s="68"/>
      <c r="L215" s="46"/>
      <c r="M215" s="46"/>
      <c r="N215" s="46"/>
      <c r="O215" s="46"/>
      <c r="P215" s="46"/>
      <c r="Q215" s="46"/>
      <c r="R215" s="46"/>
      <c r="S215" s="46"/>
      <c r="T215" s="46"/>
      <c r="U215" s="46"/>
      <c r="V215" s="46"/>
      <c r="W215" s="46"/>
      <c r="X215" s="46"/>
      <c r="Y215" s="46"/>
      <c r="Z215" s="46"/>
      <c r="AA215" s="46"/>
      <c r="AB215" s="46"/>
      <c r="AC215" s="46"/>
      <c r="AD215" s="46"/>
      <c r="AE215" s="46"/>
      <c r="AF215" s="46"/>
      <c r="AG215" s="46"/>
      <c r="AH215" s="46"/>
      <c r="AI215" s="46"/>
      <c r="AJ215" s="46"/>
      <c r="AK215" s="46"/>
      <c r="AL215" s="46"/>
      <c r="AM215" s="46"/>
      <c r="AN215" s="46"/>
      <c r="AO215" s="46"/>
      <c r="AP215" s="46"/>
      <c r="AQ215" s="46"/>
      <c r="AR215" s="46"/>
      <c r="AS215" s="46"/>
      <c r="AT215" s="46"/>
      <c r="AU215" s="1"/>
      <c r="AV215" s="1"/>
    </row>
    <row r="216" spans="1:48" ht="15.75" customHeight="1" x14ac:dyDescent="0.25">
      <c r="A216" s="43"/>
      <c r="B216" s="50"/>
      <c r="C216" s="51"/>
      <c r="D216" s="43"/>
      <c r="E216" s="43"/>
      <c r="F216" s="43"/>
      <c r="G216" s="44"/>
      <c r="H216" s="23"/>
      <c r="I216" s="67"/>
      <c r="J216" s="67"/>
      <c r="K216" s="68"/>
      <c r="L216" s="46"/>
      <c r="M216" s="46"/>
      <c r="N216" s="46"/>
      <c r="O216" s="46"/>
      <c r="P216" s="46"/>
      <c r="Q216" s="46"/>
      <c r="R216" s="46"/>
      <c r="S216" s="46"/>
      <c r="T216" s="46"/>
      <c r="U216" s="46"/>
      <c r="V216" s="46"/>
      <c r="W216" s="46"/>
      <c r="X216" s="46"/>
      <c r="Y216" s="46"/>
      <c r="Z216" s="46"/>
      <c r="AA216" s="46"/>
      <c r="AB216" s="46"/>
      <c r="AC216" s="46"/>
      <c r="AD216" s="46"/>
      <c r="AE216" s="46"/>
      <c r="AF216" s="46"/>
      <c r="AG216" s="46"/>
      <c r="AH216" s="46"/>
      <c r="AI216" s="46"/>
      <c r="AJ216" s="46"/>
      <c r="AK216" s="46"/>
      <c r="AL216" s="46"/>
      <c r="AM216" s="46"/>
      <c r="AN216" s="46"/>
      <c r="AO216" s="46"/>
      <c r="AP216" s="46"/>
      <c r="AQ216" s="46"/>
      <c r="AR216" s="46"/>
      <c r="AS216" s="46"/>
      <c r="AT216" s="46"/>
      <c r="AU216" s="1"/>
      <c r="AV216" s="1"/>
    </row>
    <row r="217" spans="1:48" ht="15.75" customHeight="1" x14ac:dyDescent="0.25">
      <c r="A217" s="43"/>
      <c r="B217" s="50"/>
      <c r="C217" s="51"/>
      <c r="D217" s="43"/>
      <c r="E217" s="43"/>
      <c r="F217" s="43"/>
      <c r="G217" s="44"/>
      <c r="H217" s="23"/>
      <c r="I217" s="67"/>
      <c r="J217" s="67"/>
      <c r="K217" s="68"/>
      <c r="L217" s="46"/>
      <c r="M217" s="46"/>
      <c r="N217" s="46"/>
      <c r="O217" s="46"/>
      <c r="P217" s="46"/>
      <c r="Q217" s="46"/>
      <c r="R217" s="46"/>
      <c r="S217" s="46"/>
      <c r="T217" s="46"/>
      <c r="U217" s="46"/>
      <c r="V217" s="46"/>
      <c r="W217" s="46"/>
      <c r="X217" s="46"/>
      <c r="Y217" s="46"/>
      <c r="Z217" s="46"/>
      <c r="AA217" s="46"/>
      <c r="AB217" s="46"/>
      <c r="AC217" s="46"/>
      <c r="AD217" s="46"/>
      <c r="AE217" s="46"/>
      <c r="AF217" s="46"/>
      <c r="AG217" s="46"/>
      <c r="AH217" s="46"/>
      <c r="AI217" s="46"/>
      <c r="AJ217" s="46"/>
      <c r="AK217" s="46"/>
      <c r="AL217" s="46"/>
      <c r="AM217" s="46"/>
      <c r="AN217" s="46"/>
      <c r="AO217" s="46"/>
      <c r="AP217" s="46"/>
      <c r="AQ217" s="46"/>
      <c r="AR217" s="46"/>
      <c r="AS217" s="46"/>
      <c r="AT217" s="46"/>
      <c r="AU217" s="1"/>
      <c r="AV217" s="1"/>
    </row>
    <row r="218" spans="1:48" ht="15.75" customHeight="1" x14ac:dyDescent="0.25">
      <c r="A218" s="43"/>
      <c r="B218" s="50"/>
      <c r="C218" s="51"/>
      <c r="D218" s="43"/>
      <c r="E218" s="43"/>
      <c r="F218" s="43"/>
      <c r="G218" s="44"/>
      <c r="H218" s="23"/>
      <c r="I218" s="67"/>
      <c r="J218" s="67"/>
      <c r="K218" s="68"/>
      <c r="L218" s="46"/>
      <c r="M218" s="46"/>
      <c r="N218" s="46"/>
      <c r="O218" s="46"/>
      <c r="P218" s="46"/>
      <c r="Q218" s="46"/>
      <c r="R218" s="46"/>
      <c r="S218" s="46"/>
      <c r="T218" s="46"/>
      <c r="U218" s="46"/>
      <c r="V218" s="46"/>
      <c r="W218" s="46"/>
      <c r="X218" s="46"/>
      <c r="Y218" s="46"/>
      <c r="Z218" s="46"/>
      <c r="AA218" s="46"/>
      <c r="AB218" s="46"/>
      <c r="AC218" s="46"/>
      <c r="AD218" s="46"/>
      <c r="AE218" s="46"/>
      <c r="AF218" s="46"/>
      <c r="AG218" s="46"/>
      <c r="AH218" s="46"/>
      <c r="AI218" s="46"/>
      <c r="AJ218" s="46"/>
      <c r="AK218" s="46"/>
      <c r="AL218" s="46"/>
      <c r="AM218" s="46"/>
      <c r="AN218" s="46"/>
      <c r="AO218" s="46"/>
      <c r="AP218" s="46"/>
      <c r="AQ218" s="46"/>
      <c r="AR218" s="46"/>
      <c r="AS218" s="46"/>
      <c r="AT218" s="46"/>
      <c r="AU218" s="1"/>
      <c r="AV218" s="1"/>
    </row>
    <row r="219" spans="1:48" ht="15.75" customHeight="1" x14ac:dyDescent="0.25">
      <c r="A219" s="43"/>
      <c r="B219" s="50"/>
      <c r="C219" s="51"/>
      <c r="D219" s="43"/>
      <c r="E219" s="43"/>
      <c r="F219" s="43"/>
      <c r="G219" s="44"/>
      <c r="H219" s="23"/>
      <c r="I219" s="67"/>
      <c r="J219" s="67"/>
      <c r="K219" s="68"/>
      <c r="L219" s="46"/>
      <c r="M219" s="46"/>
      <c r="N219" s="46"/>
      <c r="O219" s="46"/>
      <c r="P219" s="46"/>
      <c r="Q219" s="46"/>
      <c r="R219" s="46"/>
      <c r="S219" s="46"/>
      <c r="T219" s="46"/>
      <c r="U219" s="46"/>
      <c r="V219" s="46"/>
      <c r="W219" s="46"/>
      <c r="X219" s="46"/>
      <c r="Y219" s="46"/>
      <c r="Z219" s="46"/>
      <c r="AA219" s="46"/>
      <c r="AB219" s="46"/>
      <c r="AC219" s="46"/>
      <c r="AD219" s="46"/>
      <c r="AE219" s="46"/>
      <c r="AF219" s="46"/>
      <c r="AG219" s="46"/>
      <c r="AH219" s="46"/>
      <c r="AI219" s="46"/>
      <c r="AJ219" s="46"/>
      <c r="AK219" s="46"/>
      <c r="AL219" s="46"/>
      <c r="AM219" s="46"/>
      <c r="AN219" s="46"/>
      <c r="AO219" s="46"/>
      <c r="AP219" s="46"/>
      <c r="AQ219" s="46"/>
      <c r="AR219" s="46"/>
      <c r="AS219" s="46"/>
      <c r="AT219" s="46"/>
      <c r="AU219" s="1"/>
      <c r="AV219" s="1"/>
    </row>
    <row r="220" spans="1:48" ht="15.75" customHeight="1" x14ac:dyDescent="0.25">
      <c r="A220" s="43"/>
      <c r="B220" s="50"/>
      <c r="C220" s="51"/>
      <c r="D220" s="43"/>
      <c r="E220" s="43"/>
      <c r="F220" s="43"/>
      <c r="G220" s="44"/>
      <c r="H220" s="23"/>
      <c r="I220" s="67"/>
      <c r="J220" s="67"/>
      <c r="K220" s="68"/>
      <c r="L220" s="46"/>
      <c r="M220" s="46"/>
      <c r="N220" s="46"/>
      <c r="O220" s="46"/>
      <c r="P220" s="46"/>
      <c r="Q220" s="46"/>
      <c r="R220" s="46"/>
      <c r="S220" s="46"/>
      <c r="T220" s="46"/>
      <c r="U220" s="46"/>
      <c r="V220" s="46"/>
      <c r="W220" s="46"/>
      <c r="X220" s="46"/>
      <c r="Y220" s="46"/>
      <c r="Z220" s="46"/>
      <c r="AA220" s="46"/>
      <c r="AB220" s="46"/>
      <c r="AC220" s="46"/>
      <c r="AD220" s="46"/>
      <c r="AE220" s="46"/>
      <c r="AF220" s="46"/>
      <c r="AG220" s="46"/>
      <c r="AH220" s="46"/>
      <c r="AI220" s="46"/>
      <c r="AJ220" s="46"/>
      <c r="AK220" s="46"/>
      <c r="AL220" s="46"/>
      <c r="AM220" s="46"/>
      <c r="AN220" s="46"/>
      <c r="AO220" s="46"/>
      <c r="AP220" s="46"/>
      <c r="AQ220" s="46"/>
      <c r="AR220" s="46"/>
      <c r="AS220" s="46"/>
      <c r="AT220" s="46"/>
      <c r="AU220" s="1"/>
      <c r="AV220" s="1"/>
    </row>
    <row r="221" spans="1:48" ht="15.75" customHeight="1" x14ac:dyDescent="0.25">
      <c r="A221" s="1"/>
      <c r="B221" s="2"/>
      <c r="C221" s="3"/>
      <c r="D221" s="2"/>
      <c r="E221" s="52"/>
      <c r="F221" s="52"/>
      <c r="G221" s="52"/>
      <c r="H221" s="2"/>
      <c r="I221" s="2"/>
      <c r="J221" s="2"/>
      <c r="K221" s="2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2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69"/>
      <c r="AM221" s="69"/>
      <c r="AN221" s="69"/>
      <c r="AO221" s="69"/>
      <c r="AP221" s="69"/>
      <c r="AQ221" s="69"/>
      <c r="AR221" s="69"/>
      <c r="AS221" s="69"/>
      <c r="AT221" s="69"/>
      <c r="AU221" s="1"/>
      <c r="AV221" s="1"/>
    </row>
    <row r="222" spans="1:48" ht="15.75" customHeight="1" x14ac:dyDescent="0.25">
      <c r="A222" s="1"/>
      <c r="B222" s="2"/>
      <c r="C222" s="3"/>
      <c r="D222" s="2"/>
      <c r="E222" s="52"/>
      <c r="F222" s="52"/>
      <c r="G222" s="52"/>
      <c r="H222" s="2"/>
      <c r="I222" s="2"/>
      <c r="J222" s="2"/>
      <c r="K222" s="2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2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69"/>
      <c r="AM222" s="69"/>
      <c r="AN222" s="69"/>
      <c r="AO222" s="69"/>
      <c r="AP222" s="69"/>
      <c r="AQ222" s="69"/>
      <c r="AR222" s="69"/>
      <c r="AS222" s="69"/>
      <c r="AT222" s="69"/>
      <c r="AU222" s="1"/>
      <c r="AV222" s="1"/>
    </row>
    <row r="223" spans="1:48" ht="15.75" customHeight="1" x14ac:dyDescent="0.25">
      <c r="A223" s="1"/>
      <c r="B223" s="2"/>
      <c r="C223" s="3"/>
      <c r="D223" s="2"/>
      <c r="E223" s="52"/>
      <c r="F223" s="52"/>
      <c r="G223" s="52"/>
      <c r="H223" s="2"/>
      <c r="I223" s="2"/>
      <c r="J223" s="2"/>
      <c r="K223" s="2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2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69"/>
      <c r="AM223" s="69"/>
      <c r="AN223" s="69"/>
      <c r="AO223" s="69"/>
      <c r="AP223" s="69"/>
      <c r="AQ223" s="69"/>
      <c r="AR223" s="69"/>
      <c r="AS223" s="69"/>
      <c r="AT223" s="69"/>
      <c r="AU223" s="1"/>
      <c r="AV223" s="1"/>
    </row>
    <row r="224" spans="1:48" ht="15.75" customHeight="1" x14ac:dyDescent="0.25">
      <c r="A224" s="1"/>
      <c r="B224" s="2"/>
      <c r="C224" s="3"/>
      <c r="D224" s="2"/>
      <c r="E224" s="52"/>
      <c r="F224" s="52"/>
      <c r="G224" s="52"/>
      <c r="H224" s="2"/>
      <c r="I224" s="2"/>
      <c r="J224" s="2"/>
      <c r="K224" s="2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2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69"/>
      <c r="AM224" s="69"/>
      <c r="AN224" s="69"/>
      <c r="AO224" s="69"/>
      <c r="AP224" s="69"/>
      <c r="AQ224" s="69"/>
      <c r="AR224" s="69"/>
      <c r="AS224" s="69"/>
      <c r="AT224" s="69"/>
      <c r="AU224" s="1"/>
      <c r="AV224" s="1"/>
    </row>
    <row r="225" spans="1:48" ht="15.75" customHeight="1" x14ac:dyDescent="0.25">
      <c r="A225" s="1"/>
      <c r="B225" s="2"/>
      <c r="C225" s="3"/>
      <c r="D225" s="2"/>
      <c r="E225" s="52"/>
      <c r="F225" s="52"/>
      <c r="G225" s="52"/>
      <c r="H225" s="2"/>
      <c r="I225" s="2"/>
      <c r="J225" s="2"/>
      <c r="K225" s="2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2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69"/>
      <c r="AM225" s="69"/>
      <c r="AN225" s="69"/>
      <c r="AO225" s="69"/>
      <c r="AP225" s="69"/>
      <c r="AQ225" s="69"/>
      <c r="AR225" s="69"/>
      <c r="AS225" s="69"/>
      <c r="AT225" s="69"/>
      <c r="AU225" s="1"/>
      <c r="AV225" s="1"/>
    </row>
    <row r="226" spans="1:48" ht="15.75" customHeight="1" x14ac:dyDescent="0.25">
      <c r="A226" s="1"/>
      <c r="B226" s="2"/>
      <c r="C226" s="3"/>
      <c r="D226" s="2"/>
      <c r="E226" s="52"/>
      <c r="F226" s="52"/>
      <c r="G226" s="52"/>
      <c r="H226" s="2"/>
      <c r="I226" s="2"/>
      <c r="J226" s="2"/>
      <c r="K226" s="2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2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69"/>
      <c r="AM226" s="69"/>
      <c r="AN226" s="69"/>
      <c r="AO226" s="69"/>
      <c r="AP226" s="69"/>
      <c r="AQ226" s="69"/>
      <c r="AR226" s="69"/>
      <c r="AS226" s="69"/>
      <c r="AT226" s="69"/>
      <c r="AU226" s="1"/>
      <c r="AV226" s="1"/>
    </row>
    <row r="227" spans="1:48" ht="15.75" customHeight="1" x14ac:dyDescent="0.25">
      <c r="A227" s="1"/>
      <c r="B227" s="2"/>
      <c r="C227" s="3"/>
      <c r="D227" s="2"/>
      <c r="E227" s="52"/>
      <c r="F227" s="52"/>
      <c r="G227" s="52"/>
      <c r="H227" s="2"/>
      <c r="I227" s="2"/>
      <c r="J227" s="2"/>
      <c r="K227" s="2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2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69"/>
      <c r="AM227" s="69"/>
      <c r="AN227" s="69"/>
      <c r="AO227" s="69"/>
      <c r="AP227" s="69"/>
      <c r="AQ227" s="69"/>
      <c r="AR227" s="69"/>
      <c r="AS227" s="69"/>
      <c r="AT227" s="69"/>
      <c r="AU227" s="1"/>
      <c r="AV227" s="1"/>
    </row>
    <row r="228" spans="1:48" ht="15.75" customHeight="1" x14ac:dyDescent="0.25">
      <c r="A228" s="1"/>
      <c r="B228" s="2"/>
      <c r="C228" s="3"/>
      <c r="D228" s="2"/>
      <c r="E228" s="52"/>
      <c r="F228" s="52"/>
      <c r="G228" s="52"/>
      <c r="H228" s="2"/>
      <c r="I228" s="2"/>
      <c r="J228" s="2"/>
      <c r="K228" s="2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2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69"/>
      <c r="AM228" s="69"/>
      <c r="AN228" s="69"/>
      <c r="AO228" s="69"/>
      <c r="AP228" s="69"/>
      <c r="AQ228" s="69"/>
      <c r="AR228" s="69"/>
      <c r="AS228" s="69"/>
      <c r="AT228" s="69"/>
      <c r="AU228" s="1"/>
      <c r="AV228" s="1"/>
    </row>
    <row r="229" spans="1:48" ht="15.75" customHeight="1" x14ac:dyDescent="0.25">
      <c r="A229" s="1"/>
      <c r="B229" s="2"/>
      <c r="C229" s="3"/>
      <c r="D229" s="2"/>
      <c r="E229" s="52"/>
      <c r="F229" s="52"/>
      <c r="G229" s="52"/>
      <c r="H229" s="2"/>
      <c r="I229" s="2"/>
      <c r="J229" s="2"/>
      <c r="K229" s="2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2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69"/>
      <c r="AM229" s="69"/>
      <c r="AN229" s="69"/>
      <c r="AO229" s="69"/>
      <c r="AP229" s="69"/>
      <c r="AQ229" s="69"/>
      <c r="AR229" s="69"/>
      <c r="AS229" s="69"/>
      <c r="AT229" s="69"/>
      <c r="AU229" s="1"/>
      <c r="AV229" s="1"/>
    </row>
    <row r="230" spans="1:48" ht="15.75" customHeight="1" x14ac:dyDescent="0.25">
      <c r="A230" s="1"/>
      <c r="B230" s="2"/>
      <c r="C230" s="3"/>
      <c r="D230" s="2"/>
      <c r="E230" s="52"/>
      <c r="F230" s="52"/>
      <c r="G230" s="52"/>
      <c r="H230" s="2"/>
      <c r="I230" s="2"/>
      <c r="J230" s="2"/>
      <c r="K230" s="2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2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69"/>
      <c r="AM230" s="69"/>
      <c r="AN230" s="69"/>
      <c r="AO230" s="69"/>
      <c r="AP230" s="69"/>
      <c r="AQ230" s="69"/>
      <c r="AR230" s="69"/>
      <c r="AS230" s="69"/>
      <c r="AT230" s="69"/>
      <c r="AU230" s="1"/>
      <c r="AV230" s="1"/>
    </row>
    <row r="231" spans="1:48" ht="15.75" customHeight="1" x14ac:dyDescent="0.25">
      <c r="A231" s="1"/>
      <c r="B231" s="2"/>
      <c r="C231" s="3"/>
      <c r="D231" s="2"/>
      <c r="E231" s="52"/>
      <c r="F231" s="52"/>
      <c r="G231" s="52"/>
      <c r="H231" s="2"/>
      <c r="I231" s="2"/>
      <c r="J231" s="2"/>
      <c r="K231" s="2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2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69"/>
      <c r="AM231" s="69"/>
      <c r="AN231" s="69"/>
      <c r="AO231" s="69"/>
      <c r="AP231" s="69"/>
      <c r="AQ231" s="69"/>
      <c r="AR231" s="69"/>
      <c r="AS231" s="69"/>
      <c r="AT231" s="69"/>
      <c r="AU231" s="1"/>
      <c r="AV231" s="1"/>
    </row>
    <row r="232" spans="1:48" ht="15.75" customHeight="1" x14ac:dyDescent="0.25">
      <c r="A232" s="1"/>
      <c r="B232" s="2"/>
      <c r="C232" s="3"/>
      <c r="D232" s="2"/>
      <c r="E232" s="52"/>
      <c r="F232" s="52"/>
      <c r="G232" s="52"/>
      <c r="H232" s="2"/>
      <c r="I232" s="2"/>
      <c r="J232" s="2"/>
      <c r="K232" s="2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2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69"/>
      <c r="AM232" s="69"/>
      <c r="AN232" s="69"/>
      <c r="AO232" s="69"/>
      <c r="AP232" s="69"/>
      <c r="AQ232" s="69"/>
      <c r="AR232" s="69"/>
      <c r="AS232" s="69"/>
      <c r="AT232" s="69"/>
      <c r="AU232" s="1"/>
      <c r="AV232" s="1"/>
    </row>
    <row r="233" spans="1:48" ht="15.75" customHeight="1" x14ac:dyDescent="0.25">
      <c r="A233" s="1"/>
      <c r="B233" s="2"/>
      <c r="C233" s="3"/>
      <c r="D233" s="2"/>
      <c r="E233" s="52"/>
      <c r="F233" s="52"/>
      <c r="G233" s="52"/>
      <c r="H233" s="2"/>
      <c r="I233" s="2"/>
      <c r="J233" s="2"/>
      <c r="K233" s="2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2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69"/>
      <c r="AM233" s="69"/>
      <c r="AN233" s="69"/>
      <c r="AO233" s="69"/>
      <c r="AP233" s="69"/>
      <c r="AQ233" s="69"/>
      <c r="AR233" s="69"/>
      <c r="AS233" s="69"/>
      <c r="AT233" s="69"/>
      <c r="AU233" s="1"/>
      <c r="AV233" s="1"/>
    </row>
    <row r="234" spans="1:48" ht="15.75" customHeight="1" x14ac:dyDescent="0.25">
      <c r="A234" s="1"/>
      <c r="B234" s="2"/>
      <c r="C234" s="3"/>
      <c r="D234" s="2"/>
      <c r="E234" s="52"/>
      <c r="F234" s="52"/>
      <c r="G234" s="52"/>
      <c r="H234" s="2"/>
      <c r="I234" s="2"/>
      <c r="J234" s="2"/>
      <c r="K234" s="2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2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69"/>
      <c r="AM234" s="69"/>
      <c r="AN234" s="69"/>
      <c r="AO234" s="69"/>
      <c r="AP234" s="69"/>
      <c r="AQ234" s="69"/>
      <c r="AR234" s="69"/>
      <c r="AS234" s="69"/>
      <c r="AT234" s="69"/>
      <c r="AU234" s="1"/>
      <c r="AV234" s="1"/>
    </row>
    <row r="235" spans="1:48" ht="15.75" customHeight="1" x14ac:dyDescent="0.25">
      <c r="A235" s="1"/>
      <c r="B235" s="2"/>
      <c r="C235" s="3"/>
      <c r="D235" s="2"/>
      <c r="E235" s="52"/>
      <c r="F235" s="52"/>
      <c r="G235" s="52"/>
      <c r="H235" s="2"/>
      <c r="I235" s="2"/>
      <c r="J235" s="2"/>
      <c r="K235" s="2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2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69"/>
      <c r="AM235" s="69"/>
      <c r="AN235" s="69"/>
      <c r="AO235" s="69"/>
      <c r="AP235" s="69"/>
      <c r="AQ235" s="69"/>
      <c r="AR235" s="69"/>
      <c r="AS235" s="69"/>
      <c r="AT235" s="69"/>
      <c r="AU235" s="1"/>
      <c r="AV235" s="1"/>
    </row>
    <row r="236" spans="1:48" ht="15.75" customHeight="1" x14ac:dyDescent="0.25">
      <c r="A236" s="1"/>
      <c r="B236" s="2"/>
      <c r="C236" s="3"/>
      <c r="D236" s="2"/>
      <c r="E236" s="52"/>
      <c r="F236" s="52"/>
      <c r="G236" s="52"/>
      <c r="H236" s="2"/>
      <c r="I236" s="2"/>
      <c r="J236" s="2"/>
      <c r="K236" s="2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2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69"/>
      <c r="AM236" s="69"/>
      <c r="AN236" s="69"/>
      <c r="AO236" s="69"/>
      <c r="AP236" s="69"/>
      <c r="AQ236" s="69"/>
      <c r="AR236" s="69"/>
      <c r="AS236" s="69"/>
      <c r="AT236" s="69"/>
      <c r="AU236" s="1"/>
      <c r="AV236" s="1"/>
    </row>
    <row r="237" spans="1:48" ht="15.75" customHeight="1" x14ac:dyDescent="0.25">
      <c r="A237" s="1"/>
      <c r="B237" s="2"/>
      <c r="C237" s="3"/>
      <c r="D237" s="2"/>
      <c r="E237" s="52"/>
      <c r="F237" s="52"/>
      <c r="G237" s="52"/>
      <c r="H237" s="2"/>
      <c r="I237" s="2"/>
      <c r="J237" s="2"/>
      <c r="K237" s="2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2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69"/>
      <c r="AM237" s="69"/>
      <c r="AN237" s="69"/>
      <c r="AO237" s="69"/>
      <c r="AP237" s="69"/>
      <c r="AQ237" s="69"/>
      <c r="AR237" s="69"/>
      <c r="AS237" s="69"/>
      <c r="AT237" s="69"/>
      <c r="AU237" s="1"/>
      <c r="AV237" s="1"/>
    </row>
    <row r="238" spans="1:48" ht="15.75" customHeight="1" x14ac:dyDescent="0.25">
      <c r="A238" s="1"/>
      <c r="B238" s="2"/>
      <c r="C238" s="3"/>
      <c r="D238" s="2"/>
      <c r="E238" s="52"/>
      <c r="F238" s="52"/>
      <c r="G238" s="52"/>
      <c r="H238" s="2"/>
      <c r="I238" s="2"/>
      <c r="J238" s="2"/>
      <c r="K238" s="2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2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69"/>
      <c r="AM238" s="69"/>
      <c r="AN238" s="69"/>
      <c r="AO238" s="69"/>
      <c r="AP238" s="69"/>
      <c r="AQ238" s="69"/>
      <c r="AR238" s="69"/>
      <c r="AS238" s="69"/>
      <c r="AT238" s="69"/>
      <c r="AU238" s="1"/>
      <c r="AV238" s="1"/>
    </row>
    <row r="239" spans="1:48" ht="15.75" customHeight="1" x14ac:dyDescent="0.25">
      <c r="A239" s="1"/>
      <c r="B239" s="2"/>
      <c r="C239" s="3"/>
      <c r="D239" s="2"/>
      <c r="E239" s="52"/>
      <c r="F239" s="52"/>
      <c r="G239" s="52"/>
      <c r="H239" s="2"/>
      <c r="I239" s="2"/>
      <c r="J239" s="2"/>
      <c r="K239" s="2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2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69"/>
      <c r="AM239" s="69"/>
      <c r="AN239" s="69"/>
      <c r="AO239" s="69"/>
      <c r="AP239" s="69"/>
      <c r="AQ239" s="69"/>
      <c r="AR239" s="69"/>
      <c r="AS239" s="69"/>
      <c r="AT239" s="69"/>
      <c r="AU239" s="1"/>
      <c r="AV239" s="1"/>
    </row>
    <row r="240" spans="1:48" ht="15.75" customHeight="1" x14ac:dyDescent="0.25">
      <c r="A240" s="1"/>
      <c r="B240" s="2"/>
      <c r="C240" s="3"/>
      <c r="D240" s="2"/>
      <c r="E240" s="52"/>
      <c r="F240" s="52"/>
      <c r="G240" s="52"/>
      <c r="H240" s="2"/>
      <c r="I240" s="2"/>
      <c r="J240" s="2"/>
      <c r="K240" s="2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2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69"/>
      <c r="AM240" s="69"/>
      <c r="AN240" s="69"/>
      <c r="AO240" s="69"/>
      <c r="AP240" s="69"/>
      <c r="AQ240" s="69"/>
      <c r="AR240" s="69"/>
      <c r="AS240" s="69"/>
      <c r="AT240" s="69"/>
      <c r="AU240" s="1"/>
      <c r="AV240" s="1"/>
    </row>
    <row r="241" spans="1:48" ht="15.75" customHeight="1" x14ac:dyDescent="0.25">
      <c r="A241" s="1"/>
      <c r="B241" s="2"/>
      <c r="C241" s="3"/>
      <c r="D241" s="2"/>
      <c r="E241" s="52"/>
      <c r="F241" s="52"/>
      <c r="G241" s="52"/>
      <c r="H241" s="2"/>
      <c r="I241" s="2"/>
      <c r="J241" s="2"/>
      <c r="K241" s="2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2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69"/>
      <c r="AM241" s="69"/>
      <c r="AN241" s="69"/>
      <c r="AO241" s="69"/>
      <c r="AP241" s="69"/>
      <c r="AQ241" s="69"/>
      <c r="AR241" s="69"/>
      <c r="AS241" s="69"/>
      <c r="AT241" s="69"/>
      <c r="AU241" s="1"/>
      <c r="AV241" s="1"/>
    </row>
    <row r="242" spans="1:48" ht="15.75" customHeight="1" x14ac:dyDescent="0.25">
      <c r="A242" s="1"/>
      <c r="B242" s="2"/>
      <c r="C242" s="3"/>
      <c r="D242" s="2"/>
      <c r="E242" s="52"/>
      <c r="F242" s="52"/>
      <c r="G242" s="52"/>
      <c r="H242" s="2"/>
      <c r="I242" s="2"/>
      <c r="J242" s="2"/>
      <c r="K242" s="2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2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69"/>
      <c r="AM242" s="69"/>
      <c r="AN242" s="69"/>
      <c r="AO242" s="69"/>
      <c r="AP242" s="69"/>
      <c r="AQ242" s="69"/>
      <c r="AR242" s="69"/>
      <c r="AS242" s="69"/>
      <c r="AT242" s="69"/>
      <c r="AU242" s="1"/>
      <c r="AV242" s="1"/>
    </row>
    <row r="243" spans="1:48" ht="15.75" customHeight="1" x14ac:dyDescent="0.25">
      <c r="A243" s="1"/>
      <c r="B243" s="2"/>
      <c r="C243" s="3"/>
      <c r="D243" s="2"/>
      <c r="E243" s="52"/>
      <c r="F243" s="52"/>
      <c r="G243" s="52"/>
      <c r="H243" s="2"/>
      <c r="I243" s="2"/>
      <c r="J243" s="2"/>
      <c r="K243" s="2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2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69"/>
      <c r="AM243" s="69"/>
      <c r="AN243" s="69"/>
      <c r="AO243" s="69"/>
      <c r="AP243" s="69"/>
      <c r="AQ243" s="69"/>
      <c r="AR243" s="69"/>
      <c r="AS243" s="69"/>
      <c r="AT243" s="69"/>
      <c r="AU243" s="1"/>
      <c r="AV243" s="1"/>
    </row>
    <row r="244" spans="1:48" ht="15.75" customHeight="1" x14ac:dyDescent="0.25">
      <c r="A244" s="1"/>
      <c r="B244" s="2"/>
      <c r="C244" s="3"/>
      <c r="D244" s="2"/>
      <c r="E244" s="52"/>
      <c r="F244" s="52"/>
      <c r="G244" s="52"/>
      <c r="H244" s="2"/>
      <c r="I244" s="2"/>
      <c r="J244" s="2"/>
      <c r="K244" s="2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2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69"/>
      <c r="AM244" s="69"/>
      <c r="AN244" s="69"/>
      <c r="AO244" s="69"/>
      <c r="AP244" s="69"/>
      <c r="AQ244" s="69"/>
      <c r="AR244" s="69"/>
      <c r="AS244" s="69"/>
      <c r="AT244" s="69"/>
      <c r="AU244" s="1"/>
      <c r="AV244" s="1"/>
    </row>
    <row r="245" spans="1:48" ht="15.75" customHeight="1" x14ac:dyDescent="0.25">
      <c r="A245" s="1"/>
      <c r="B245" s="2"/>
      <c r="C245" s="3"/>
      <c r="D245" s="2"/>
      <c r="E245" s="52"/>
      <c r="F245" s="52"/>
      <c r="G245" s="52"/>
      <c r="H245" s="2"/>
      <c r="I245" s="2"/>
      <c r="J245" s="2"/>
      <c r="K245" s="2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2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69"/>
      <c r="AM245" s="69"/>
      <c r="AN245" s="69"/>
      <c r="AO245" s="69"/>
      <c r="AP245" s="69"/>
      <c r="AQ245" s="69"/>
      <c r="AR245" s="69"/>
      <c r="AS245" s="69"/>
      <c r="AT245" s="69"/>
      <c r="AU245" s="1"/>
      <c r="AV245" s="1"/>
    </row>
    <row r="246" spans="1:48" ht="15.75" customHeight="1" x14ac:dyDescent="0.25">
      <c r="A246" s="1"/>
      <c r="B246" s="2"/>
      <c r="C246" s="3"/>
      <c r="D246" s="2"/>
      <c r="E246" s="52"/>
      <c r="F246" s="52"/>
      <c r="G246" s="52"/>
      <c r="H246" s="2"/>
      <c r="I246" s="2"/>
      <c r="J246" s="2"/>
      <c r="K246" s="2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2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69"/>
      <c r="AM246" s="69"/>
      <c r="AN246" s="69"/>
      <c r="AO246" s="69"/>
      <c r="AP246" s="69"/>
      <c r="AQ246" s="69"/>
      <c r="AR246" s="69"/>
      <c r="AS246" s="69"/>
      <c r="AT246" s="69"/>
      <c r="AU246" s="1"/>
      <c r="AV246" s="1"/>
    </row>
    <row r="247" spans="1:48" ht="15.75" customHeight="1" x14ac:dyDescent="0.25">
      <c r="A247" s="1"/>
      <c r="B247" s="2"/>
      <c r="C247" s="3"/>
      <c r="D247" s="2"/>
      <c r="E247" s="52"/>
      <c r="F247" s="52"/>
      <c r="G247" s="52"/>
      <c r="H247" s="2"/>
      <c r="I247" s="2"/>
      <c r="J247" s="2"/>
      <c r="K247" s="2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2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69"/>
      <c r="AM247" s="69"/>
      <c r="AN247" s="69"/>
      <c r="AO247" s="69"/>
      <c r="AP247" s="69"/>
      <c r="AQ247" s="69"/>
      <c r="AR247" s="69"/>
      <c r="AS247" s="69"/>
      <c r="AT247" s="69"/>
      <c r="AU247" s="1"/>
      <c r="AV247" s="1"/>
    </row>
    <row r="248" spans="1:48" ht="15.75" customHeight="1" x14ac:dyDescent="0.25">
      <c r="A248" s="1"/>
      <c r="B248" s="2"/>
      <c r="C248" s="3"/>
      <c r="D248" s="2"/>
      <c r="E248" s="52"/>
      <c r="F248" s="52"/>
      <c r="G248" s="52"/>
      <c r="H248" s="2"/>
      <c r="I248" s="2"/>
      <c r="J248" s="2"/>
      <c r="K248" s="2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2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69"/>
      <c r="AM248" s="69"/>
      <c r="AN248" s="69"/>
      <c r="AO248" s="69"/>
      <c r="AP248" s="69"/>
      <c r="AQ248" s="69"/>
      <c r="AR248" s="69"/>
      <c r="AS248" s="69"/>
      <c r="AT248" s="69"/>
      <c r="AU248" s="1"/>
      <c r="AV248" s="1"/>
    </row>
    <row r="249" spans="1:48" ht="15.75" customHeight="1" x14ac:dyDescent="0.25">
      <c r="A249" s="1"/>
      <c r="B249" s="2"/>
      <c r="C249" s="3"/>
      <c r="D249" s="2"/>
      <c r="E249" s="52"/>
      <c r="F249" s="52"/>
      <c r="G249" s="52"/>
      <c r="H249" s="2"/>
      <c r="I249" s="2"/>
      <c r="J249" s="2"/>
      <c r="K249" s="2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2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69"/>
      <c r="AM249" s="69"/>
      <c r="AN249" s="69"/>
      <c r="AO249" s="69"/>
      <c r="AP249" s="69"/>
      <c r="AQ249" s="69"/>
      <c r="AR249" s="69"/>
      <c r="AS249" s="69"/>
      <c r="AT249" s="69"/>
      <c r="AU249" s="1"/>
      <c r="AV249" s="1"/>
    </row>
    <row r="250" spans="1:48" ht="15.75" customHeight="1" x14ac:dyDescent="0.25">
      <c r="A250" s="1"/>
      <c r="B250" s="2"/>
      <c r="C250" s="3"/>
      <c r="D250" s="2"/>
      <c r="E250" s="52"/>
      <c r="F250" s="52"/>
      <c r="G250" s="52"/>
      <c r="H250" s="2"/>
      <c r="I250" s="2"/>
      <c r="J250" s="2"/>
      <c r="K250" s="2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2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69"/>
      <c r="AM250" s="69"/>
      <c r="AN250" s="69"/>
      <c r="AO250" s="69"/>
      <c r="AP250" s="69"/>
      <c r="AQ250" s="69"/>
      <c r="AR250" s="69"/>
      <c r="AS250" s="69"/>
      <c r="AT250" s="69"/>
      <c r="AU250" s="1"/>
      <c r="AV250" s="1"/>
    </row>
    <row r="251" spans="1:48" ht="15.75" customHeight="1" x14ac:dyDescent="0.25">
      <c r="A251" s="1"/>
      <c r="B251" s="2"/>
      <c r="C251" s="3"/>
      <c r="D251" s="2"/>
      <c r="E251" s="52"/>
      <c r="F251" s="52"/>
      <c r="G251" s="52"/>
      <c r="H251" s="2"/>
      <c r="I251" s="2"/>
      <c r="J251" s="2"/>
      <c r="K251" s="2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2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69"/>
      <c r="AM251" s="69"/>
      <c r="AN251" s="69"/>
      <c r="AO251" s="69"/>
      <c r="AP251" s="69"/>
      <c r="AQ251" s="69"/>
      <c r="AR251" s="69"/>
      <c r="AS251" s="69"/>
      <c r="AT251" s="69"/>
      <c r="AU251" s="1"/>
      <c r="AV251" s="1"/>
    </row>
    <row r="252" spans="1:48" ht="15.75" customHeight="1" x14ac:dyDescent="0.25">
      <c r="A252" s="1"/>
      <c r="B252" s="2"/>
      <c r="C252" s="3"/>
      <c r="D252" s="2"/>
      <c r="E252" s="52"/>
      <c r="F252" s="52"/>
      <c r="G252" s="52"/>
      <c r="H252" s="2"/>
      <c r="I252" s="2"/>
      <c r="J252" s="2"/>
      <c r="K252" s="2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2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69"/>
      <c r="AM252" s="69"/>
      <c r="AN252" s="69"/>
      <c r="AO252" s="69"/>
      <c r="AP252" s="69"/>
      <c r="AQ252" s="69"/>
      <c r="AR252" s="69"/>
      <c r="AS252" s="69"/>
      <c r="AT252" s="69"/>
      <c r="AU252" s="1"/>
      <c r="AV252" s="1"/>
    </row>
    <row r="253" spans="1:48" ht="15.75" customHeight="1" x14ac:dyDescent="0.25">
      <c r="A253" s="1"/>
      <c r="B253" s="2"/>
      <c r="C253" s="3"/>
      <c r="D253" s="2"/>
      <c r="E253" s="52"/>
      <c r="F253" s="52"/>
      <c r="G253" s="52"/>
      <c r="H253" s="2"/>
      <c r="I253" s="2"/>
      <c r="J253" s="2"/>
      <c r="K253" s="2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2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69"/>
      <c r="AM253" s="69"/>
      <c r="AN253" s="69"/>
      <c r="AO253" s="69"/>
      <c r="AP253" s="69"/>
      <c r="AQ253" s="69"/>
      <c r="AR253" s="69"/>
      <c r="AS253" s="69"/>
      <c r="AT253" s="69"/>
      <c r="AU253" s="1"/>
      <c r="AV253" s="1"/>
    </row>
    <row r="254" spans="1:48" ht="15.75" customHeight="1" x14ac:dyDescent="0.25">
      <c r="A254" s="1"/>
      <c r="B254" s="2"/>
      <c r="C254" s="3"/>
      <c r="D254" s="2"/>
      <c r="E254" s="52"/>
      <c r="F254" s="52"/>
      <c r="G254" s="52"/>
      <c r="H254" s="2"/>
      <c r="I254" s="2"/>
      <c r="J254" s="2"/>
      <c r="K254" s="2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2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69"/>
      <c r="AM254" s="69"/>
      <c r="AN254" s="69"/>
      <c r="AO254" s="69"/>
      <c r="AP254" s="69"/>
      <c r="AQ254" s="69"/>
      <c r="AR254" s="69"/>
      <c r="AS254" s="69"/>
      <c r="AT254" s="69"/>
      <c r="AU254" s="1"/>
      <c r="AV254" s="1"/>
    </row>
    <row r="255" spans="1:48" ht="15.75" customHeight="1" x14ac:dyDescent="0.25">
      <c r="A255" s="1"/>
      <c r="B255" s="2"/>
      <c r="C255" s="3"/>
      <c r="D255" s="2"/>
      <c r="E255" s="52"/>
      <c r="F255" s="52"/>
      <c r="G255" s="52"/>
      <c r="H255" s="2"/>
      <c r="I255" s="2"/>
      <c r="J255" s="2"/>
      <c r="K255" s="2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2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69"/>
      <c r="AM255" s="69"/>
      <c r="AN255" s="69"/>
      <c r="AO255" s="69"/>
      <c r="AP255" s="69"/>
      <c r="AQ255" s="69"/>
      <c r="AR255" s="69"/>
      <c r="AS255" s="69"/>
      <c r="AT255" s="69"/>
      <c r="AU255" s="1"/>
      <c r="AV255" s="1"/>
    </row>
    <row r="256" spans="1:48" ht="15.75" customHeight="1" x14ac:dyDescent="0.25">
      <c r="A256" s="1"/>
      <c r="B256" s="2"/>
      <c r="C256" s="3"/>
      <c r="D256" s="2"/>
      <c r="E256" s="52"/>
      <c r="F256" s="52"/>
      <c r="G256" s="52"/>
      <c r="H256" s="2"/>
      <c r="I256" s="2"/>
      <c r="J256" s="2"/>
      <c r="K256" s="2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2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69"/>
      <c r="AM256" s="69"/>
      <c r="AN256" s="69"/>
      <c r="AO256" s="69"/>
      <c r="AP256" s="69"/>
      <c r="AQ256" s="69"/>
      <c r="AR256" s="69"/>
      <c r="AS256" s="69"/>
      <c r="AT256" s="69"/>
      <c r="AU256" s="1"/>
      <c r="AV256" s="1"/>
    </row>
    <row r="257" spans="1:48" ht="15.75" customHeight="1" x14ac:dyDescent="0.25">
      <c r="A257" s="1"/>
      <c r="B257" s="2"/>
      <c r="C257" s="3"/>
      <c r="D257" s="2"/>
      <c r="E257" s="52"/>
      <c r="F257" s="52"/>
      <c r="G257" s="52"/>
      <c r="H257" s="2"/>
      <c r="I257" s="2"/>
      <c r="J257" s="2"/>
      <c r="K257" s="2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2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69"/>
      <c r="AM257" s="69"/>
      <c r="AN257" s="69"/>
      <c r="AO257" s="69"/>
      <c r="AP257" s="69"/>
      <c r="AQ257" s="69"/>
      <c r="AR257" s="69"/>
      <c r="AS257" s="69"/>
      <c r="AT257" s="69"/>
      <c r="AU257" s="1"/>
      <c r="AV257" s="1"/>
    </row>
    <row r="258" spans="1:48" ht="15.75" customHeight="1" x14ac:dyDescent="0.25">
      <c r="A258" s="1"/>
      <c r="B258" s="2"/>
      <c r="C258" s="3"/>
      <c r="D258" s="2"/>
      <c r="E258" s="52"/>
      <c r="F258" s="52"/>
      <c r="G258" s="52"/>
      <c r="H258" s="2"/>
      <c r="I258" s="2"/>
      <c r="J258" s="2"/>
      <c r="K258" s="2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2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69"/>
      <c r="AM258" s="69"/>
      <c r="AN258" s="69"/>
      <c r="AO258" s="69"/>
      <c r="AP258" s="69"/>
      <c r="AQ258" s="69"/>
      <c r="AR258" s="69"/>
      <c r="AS258" s="69"/>
      <c r="AT258" s="69"/>
      <c r="AU258" s="1"/>
      <c r="AV258" s="1"/>
    </row>
    <row r="259" spans="1:48" ht="15.75" customHeight="1" x14ac:dyDescent="0.25">
      <c r="A259" s="1"/>
      <c r="B259" s="2"/>
      <c r="C259" s="3"/>
      <c r="D259" s="2"/>
      <c r="E259" s="52"/>
      <c r="F259" s="52"/>
      <c r="G259" s="52"/>
      <c r="H259" s="2"/>
      <c r="I259" s="2"/>
      <c r="J259" s="2"/>
      <c r="K259" s="2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2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69"/>
      <c r="AM259" s="69"/>
      <c r="AN259" s="69"/>
      <c r="AO259" s="69"/>
      <c r="AP259" s="69"/>
      <c r="AQ259" s="69"/>
      <c r="AR259" s="69"/>
      <c r="AS259" s="69"/>
      <c r="AT259" s="69"/>
      <c r="AU259" s="1"/>
      <c r="AV259" s="1"/>
    </row>
    <row r="260" spans="1:48" ht="15.75" customHeight="1" x14ac:dyDescent="0.25">
      <c r="A260" s="1"/>
      <c r="B260" s="2"/>
      <c r="C260" s="3"/>
      <c r="D260" s="2"/>
      <c r="E260" s="52"/>
      <c r="F260" s="52"/>
      <c r="G260" s="52"/>
      <c r="H260" s="2"/>
      <c r="I260" s="2"/>
      <c r="J260" s="2"/>
      <c r="K260" s="2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2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69"/>
      <c r="AM260" s="69"/>
      <c r="AN260" s="69"/>
      <c r="AO260" s="69"/>
      <c r="AP260" s="69"/>
      <c r="AQ260" s="69"/>
      <c r="AR260" s="69"/>
      <c r="AS260" s="69"/>
      <c r="AT260" s="69"/>
      <c r="AU260" s="1"/>
      <c r="AV260" s="1"/>
    </row>
    <row r="261" spans="1:48" ht="15.75" customHeight="1" x14ac:dyDescent="0.25">
      <c r="A261" s="1"/>
      <c r="B261" s="2"/>
      <c r="C261" s="3"/>
      <c r="D261" s="2"/>
      <c r="E261" s="52"/>
      <c r="F261" s="52"/>
      <c r="G261" s="52"/>
      <c r="H261" s="2"/>
      <c r="I261" s="2"/>
      <c r="J261" s="2"/>
      <c r="K261" s="2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2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69"/>
      <c r="AM261" s="69"/>
      <c r="AN261" s="69"/>
      <c r="AO261" s="69"/>
      <c r="AP261" s="69"/>
      <c r="AQ261" s="69"/>
      <c r="AR261" s="69"/>
      <c r="AS261" s="69"/>
      <c r="AT261" s="69"/>
      <c r="AU261" s="1"/>
      <c r="AV261" s="1"/>
    </row>
    <row r="262" spans="1:48" ht="15.75" customHeight="1" x14ac:dyDescent="0.25">
      <c r="A262" s="1"/>
      <c r="B262" s="2"/>
      <c r="C262" s="3"/>
      <c r="D262" s="2"/>
      <c r="E262" s="52"/>
      <c r="F262" s="52"/>
      <c r="G262" s="52"/>
      <c r="H262" s="2"/>
      <c r="I262" s="2"/>
      <c r="J262" s="2"/>
      <c r="K262" s="2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2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69"/>
      <c r="AM262" s="69"/>
      <c r="AN262" s="69"/>
      <c r="AO262" s="69"/>
      <c r="AP262" s="69"/>
      <c r="AQ262" s="69"/>
      <c r="AR262" s="69"/>
      <c r="AS262" s="69"/>
      <c r="AT262" s="69"/>
      <c r="AU262" s="1"/>
      <c r="AV262" s="1"/>
    </row>
    <row r="263" spans="1:48" ht="15.75" customHeight="1" x14ac:dyDescent="0.25">
      <c r="A263" s="1"/>
      <c r="B263" s="2"/>
      <c r="C263" s="3"/>
      <c r="D263" s="2"/>
      <c r="E263" s="52"/>
      <c r="F263" s="52"/>
      <c r="G263" s="52"/>
      <c r="H263" s="2"/>
      <c r="I263" s="2"/>
      <c r="J263" s="2"/>
      <c r="K263" s="2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2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69"/>
      <c r="AM263" s="69"/>
      <c r="AN263" s="69"/>
      <c r="AO263" s="69"/>
      <c r="AP263" s="69"/>
      <c r="AQ263" s="69"/>
      <c r="AR263" s="69"/>
      <c r="AS263" s="69"/>
      <c r="AT263" s="69"/>
      <c r="AU263" s="1"/>
      <c r="AV263" s="1"/>
    </row>
    <row r="264" spans="1:48" ht="15.75" customHeight="1" x14ac:dyDescent="0.25">
      <c r="A264" s="1"/>
      <c r="B264" s="2"/>
      <c r="C264" s="3"/>
      <c r="D264" s="2"/>
      <c r="E264" s="52"/>
      <c r="F264" s="52"/>
      <c r="G264" s="52"/>
      <c r="H264" s="2"/>
      <c r="I264" s="2"/>
      <c r="J264" s="2"/>
      <c r="K264" s="2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2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69"/>
      <c r="AM264" s="69"/>
      <c r="AN264" s="69"/>
      <c r="AO264" s="69"/>
      <c r="AP264" s="69"/>
      <c r="AQ264" s="69"/>
      <c r="AR264" s="69"/>
      <c r="AS264" s="69"/>
      <c r="AT264" s="69"/>
      <c r="AU264" s="1"/>
      <c r="AV264" s="1"/>
    </row>
    <row r="265" spans="1:48" ht="15.75" customHeight="1" x14ac:dyDescent="0.25">
      <c r="A265" s="1"/>
      <c r="B265" s="2"/>
      <c r="C265" s="3"/>
      <c r="D265" s="2"/>
      <c r="E265" s="52"/>
      <c r="F265" s="52"/>
      <c r="G265" s="52"/>
      <c r="H265" s="2"/>
      <c r="I265" s="2"/>
      <c r="J265" s="2"/>
      <c r="K265" s="2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2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69"/>
      <c r="AM265" s="69"/>
      <c r="AN265" s="69"/>
      <c r="AO265" s="69"/>
      <c r="AP265" s="69"/>
      <c r="AQ265" s="69"/>
      <c r="AR265" s="69"/>
      <c r="AS265" s="69"/>
      <c r="AT265" s="69"/>
      <c r="AU265" s="1"/>
      <c r="AV265" s="1"/>
    </row>
    <row r="266" spans="1:48" ht="15.75" customHeight="1" x14ac:dyDescent="0.25">
      <c r="A266" s="1"/>
      <c r="B266" s="2"/>
      <c r="C266" s="3"/>
      <c r="D266" s="2"/>
      <c r="E266" s="52"/>
      <c r="F266" s="52"/>
      <c r="G266" s="52"/>
      <c r="H266" s="2"/>
      <c r="I266" s="2"/>
      <c r="J266" s="2"/>
      <c r="K266" s="2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2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69"/>
      <c r="AM266" s="69"/>
      <c r="AN266" s="69"/>
      <c r="AO266" s="69"/>
      <c r="AP266" s="69"/>
      <c r="AQ266" s="69"/>
      <c r="AR266" s="69"/>
      <c r="AS266" s="69"/>
      <c r="AT266" s="69"/>
      <c r="AU266" s="1"/>
      <c r="AV266" s="1"/>
    </row>
    <row r="267" spans="1:48" ht="15.75" customHeight="1" x14ac:dyDescent="0.25">
      <c r="A267" s="1"/>
      <c r="B267" s="2"/>
      <c r="C267" s="3"/>
      <c r="D267" s="2"/>
      <c r="E267" s="52"/>
      <c r="F267" s="52"/>
      <c r="G267" s="52"/>
      <c r="H267" s="2"/>
      <c r="I267" s="2"/>
      <c r="J267" s="2"/>
      <c r="K267" s="2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2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69"/>
      <c r="AM267" s="69"/>
      <c r="AN267" s="69"/>
      <c r="AO267" s="69"/>
      <c r="AP267" s="69"/>
      <c r="AQ267" s="69"/>
      <c r="AR267" s="69"/>
      <c r="AS267" s="69"/>
      <c r="AT267" s="69"/>
      <c r="AU267" s="1"/>
      <c r="AV267" s="1"/>
    </row>
    <row r="268" spans="1:48" ht="15.75" customHeight="1" x14ac:dyDescent="0.25">
      <c r="A268" s="1"/>
      <c r="B268" s="2"/>
      <c r="C268" s="3"/>
      <c r="D268" s="2"/>
      <c r="E268" s="52"/>
      <c r="F268" s="52"/>
      <c r="G268" s="52"/>
      <c r="H268" s="2"/>
      <c r="I268" s="2"/>
      <c r="J268" s="2"/>
      <c r="K268" s="2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2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69"/>
      <c r="AM268" s="69"/>
      <c r="AN268" s="69"/>
      <c r="AO268" s="69"/>
      <c r="AP268" s="69"/>
      <c r="AQ268" s="69"/>
      <c r="AR268" s="69"/>
      <c r="AS268" s="69"/>
      <c r="AT268" s="69"/>
      <c r="AU268" s="1"/>
      <c r="AV268" s="1"/>
    </row>
    <row r="269" spans="1:48" ht="15.75" customHeight="1" x14ac:dyDescent="0.25">
      <c r="A269" s="1"/>
      <c r="B269" s="2"/>
      <c r="C269" s="3"/>
      <c r="D269" s="2"/>
      <c r="E269" s="52"/>
      <c r="F269" s="52"/>
      <c r="G269" s="52"/>
      <c r="H269" s="2"/>
      <c r="I269" s="2"/>
      <c r="J269" s="2"/>
      <c r="K269" s="2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2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69"/>
      <c r="AM269" s="69"/>
      <c r="AN269" s="69"/>
      <c r="AO269" s="69"/>
      <c r="AP269" s="69"/>
      <c r="AQ269" s="69"/>
      <c r="AR269" s="69"/>
      <c r="AS269" s="69"/>
      <c r="AT269" s="69"/>
      <c r="AU269" s="1"/>
      <c r="AV269" s="1"/>
    </row>
    <row r="270" spans="1:48" ht="15.75" customHeight="1" x14ac:dyDescent="0.25">
      <c r="A270" s="1"/>
      <c r="B270" s="2"/>
      <c r="C270" s="3"/>
      <c r="D270" s="2"/>
      <c r="E270" s="52"/>
      <c r="F270" s="52"/>
      <c r="G270" s="52"/>
      <c r="H270" s="2"/>
      <c r="I270" s="2"/>
      <c r="J270" s="2"/>
      <c r="K270" s="2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2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69"/>
      <c r="AM270" s="69"/>
      <c r="AN270" s="69"/>
      <c r="AO270" s="69"/>
      <c r="AP270" s="69"/>
      <c r="AQ270" s="69"/>
      <c r="AR270" s="69"/>
      <c r="AS270" s="69"/>
      <c r="AT270" s="69"/>
      <c r="AU270" s="1"/>
      <c r="AV270" s="1"/>
    </row>
    <row r="271" spans="1:48" ht="15.75" customHeight="1" x14ac:dyDescent="0.25">
      <c r="A271" s="1"/>
      <c r="B271" s="2"/>
      <c r="C271" s="3"/>
      <c r="D271" s="2"/>
      <c r="E271" s="52"/>
      <c r="F271" s="52"/>
      <c r="G271" s="52"/>
      <c r="H271" s="2"/>
      <c r="I271" s="2"/>
      <c r="J271" s="2"/>
      <c r="K271" s="2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2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69"/>
      <c r="AM271" s="69"/>
      <c r="AN271" s="69"/>
      <c r="AO271" s="69"/>
      <c r="AP271" s="69"/>
      <c r="AQ271" s="69"/>
      <c r="AR271" s="69"/>
      <c r="AS271" s="69"/>
      <c r="AT271" s="69"/>
      <c r="AU271" s="1"/>
      <c r="AV271" s="1"/>
    </row>
    <row r="272" spans="1:48" ht="15.75" customHeight="1" x14ac:dyDescent="0.25">
      <c r="A272" s="1"/>
      <c r="B272" s="2"/>
      <c r="C272" s="3"/>
      <c r="D272" s="2"/>
      <c r="E272" s="52"/>
      <c r="F272" s="52"/>
      <c r="G272" s="52"/>
      <c r="H272" s="2"/>
      <c r="I272" s="2"/>
      <c r="J272" s="2"/>
      <c r="K272" s="2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2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69"/>
      <c r="AM272" s="69"/>
      <c r="AN272" s="69"/>
      <c r="AO272" s="69"/>
      <c r="AP272" s="69"/>
      <c r="AQ272" s="69"/>
      <c r="AR272" s="69"/>
      <c r="AS272" s="69"/>
      <c r="AT272" s="69"/>
      <c r="AU272" s="1"/>
      <c r="AV272" s="1"/>
    </row>
    <row r="273" spans="1:48" ht="15.75" customHeight="1" x14ac:dyDescent="0.25">
      <c r="A273" s="1"/>
      <c r="B273" s="2"/>
      <c r="C273" s="3"/>
      <c r="D273" s="2"/>
      <c r="E273" s="52"/>
      <c r="F273" s="52"/>
      <c r="G273" s="52"/>
      <c r="H273" s="2"/>
      <c r="I273" s="2"/>
      <c r="J273" s="2"/>
      <c r="K273" s="2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2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69"/>
      <c r="AM273" s="69"/>
      <c r="AN273" s="69"/>
      <c r="AO273" s="69"/>
      <c r="AP273" s="69"/>
      <c r="AQ273" s="69"/>
      <c r="AR273" s="69"/>
      <c r="AS273" s="69"/>
      <c r="AT273" s="69"/>
      <c r="AU273" s="1"/>
      <c r="AV273" s="1"/>
    </row>
    <row r="274" spans="1:48" ht="15.75" customHeight="1" x14ac:dyDescent="0.25">
      <c r="A274" s="1"/>
      <c r="B274" s="2"/>
      <c r="C274" s="3"/>
      <c r="D274" s="2"/>
      <c r="E274" s="52"/>
      <c r="F274" s="52"/>
      <c r="G274" s="52"/>
      <c r="H274" s="2"/>
      <c r="I274" s="2"/>
      <c r="J274" s="2"/>
      <c r="K274" s="2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2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69"/>
      <c r="AM274" s="69"/>
      <c r="AN274" s="69"/>
      <c r="AO274" s="69"/>
      <c r="AP274" s="69"/>
      <c r="AQ274" s="69"/>
      <c r="AR274" s="69"/>
      <c r="AS274" s="69"/>
      <c r="AT274" s="69"/>
      <c r="AU274" s="1"/>
      <c r="AV274" s="1"/>
    </row>
    <row r="275" spans="1:48" ht="15.75" customHeight="1" x14ac:dyDescent="0.25">
      <c r="A275" s="1"/>
      <c r="B275" s="2"/>
      <c r="C275" s="3"/>
      <c r="D275" s="2"/>
      <c r="E275" s="52"/>
      <c r="F275" s="52"/>
      <c r="G275" s="52"/>
      <c r="H275" s="2"/>
      <c r="I275" s="2"/>
      <c r="J275" s="2"/>
      <c r="K275" s="2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2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69"/>
      <c r="AM275" s="69"/>
      <c r="AN275" s="69"/>
      <c r="AO275" s="69"/>
      <c r="AP275" s="69"/>
      <c r="AQ275" s="69"/>
      <c r="AR275" s="69"/>
      <c r="AS275" s="69"/>
      <c r="AT275" s="69"/>
      <c r="AU275" s="1"/>
      <c r="AV275" s="1"/>
    </row>
    <row r="276" spans="1:48" ht="15.75" customHeight="1" x14ac:dyDescent="0.25">
      <c r="A276" s="1"/>
      <c r="B276" s="2"/>
      <c r="C276" s="3"/>
      <c r="D276" s="2"/>
      <c r="E276" s="52"/>
      <c r="F276" s="52"/>
      <c r="G276" s="52"/>
      <c r="H276" s="2"/>
      <c r="I276" s="2"/>
      <c r="J276" s="2"/>
      <c r="K276" s="2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2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69"/>
      <c r="AM276" s="69"/>
      <c r="AN276" s="69"/>
      <c r="AO276" s="69"/>
      <c r="AP276" s="69"/>
      <c r="AQ276" s="69"/>
      <c r="AR276" s="69"/>
      <c r="AS276" s="69"/>
      <c r="AT276" s="69"/>
      <c r="AU276" s="1"/>
      <c r="AV276" s="1"/>
    </row>
    <row r="277" spans="1:48" ht="15.75" customHeight="1" x14ac:dyDescent="0.25">
      <c r="A277" s="1"/>
      <c r="B277" s="2"/>
      <c r="C277" s="3"/>
      <c r="D277" s="2"/>
      <c r="E277" s="52"/>
      <c r="F277" s="52"/>
      <c r="G277" s="52"/>
      <c r="H277" s="2"/>
      <c r="I277" s="2"/>
      <c r="J277" s="2"/>
      <c r="K277" s="2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2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69"/>
      <c r="AM277" s="69"/>
      <c r="AN277" s="69"/>
      <c r="AO277" s="69"/>
      <c r="AP277" s="69"/>
      <c r="AQ277" s="69"/>
      <c r="AR277" s="69"/>
      <c r="AS277" s="69"/>
      <c r="AT277" s="69"/>
      <c r="AU277" s="1"/>
      <c r="AV277" s="1"/>
    </row>
    <row r="278" spans="1:48" ht="15.75" customHeight="1" x14ac:dyDescent="0.25">
      <c r="A278" s="1"/>
      <c r="B278" s="2"/>
      <c r="C278" s="3"/>
      <c r="D278" s="2"/>
      <c r="E278" s="52"/>
      <c r="F278" s="52"/>
      <c r="G278" s="52"/>
      <c r="H278" s="2"/>
      <c r="I278" s="2"/>
      <c r="J278" s="2"/>
      <c r="K278" s="2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2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69"/>
      <c r="AM278" s="69"/>
      <c r="AN278" s="69"/>
      <c r="AO278" s="69"/>
      <c r="AP278" s="69"/>
      <c r="AQ278" s="69"/>
      <c r="AR278" s="69"/>
      <c r="AS278" s="69"/>
      <c r="AT278" s="69"/>
      <c r="AU278" s="1"/>
      <c r="AV278" s="1"/>
    </row>
    <row r="279" spans="1:48" ht="15.75" customHeight="1" x14ac:dyDescent="0.25">
      <c r="A279" s="1"/>
      <c r="B279" s="2"/>
      <c r="C279" s="3"/>
      <c r="D279" s="2"/>
      <c r="E279" s="52"/>
      <c r="F279" s="52"/>
      <c r="G279" s="52"/>
      <c r="H279" s="2"/>
      <c r="I279" s="2"/>
      <c r="J279" s="2"/>
      <c r="K279" s="2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2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69"/>
      <c r="AM279" s="69"/>
      <c r="AN279" s="69"/>
      <c r="AO279" s="69"/>
      <c r="AP279" s="69"/>
      <c r="AQ279" s="69"/>
      <c r="AR279" s="69"/>
      <c r="AS279" s="69"/>
      <c r="AT279" s="69"/>
      <c r="AU279" s="1"/>
      <c r="AV279" s="1"/>
    </row>
    <row r="280" spans="1:48" ht="15.75" customHeight="1" x14ac:dyDescent="0.25">
      <c r="A280" s="1"/>
      <c r="B280" s="2"/>
      <c r="C280" s="3"/>
      <c r="D280" s="2"/>
      <c r="E280" s="52"/>
      <c r="F280" s="52"/>
      <c r="G280" s="52"/>
      <c r="H280" s="2"/>
      <c r="I280" s="2"/>
      <c r="J280" s="2"/>
      <c r="K280" s="2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2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69"/>
      <c r="AM280" s="69"/>
      <c r="AN280" s="69"/>
      <c r="AO280" s="69"/>
      <c r="AP280" s="69"/>
      <c r="AQ280" s="69"/>
      <c r="AR280" s="69"/>
      <c r="AS280" s="69"/>
      <c r="AT280" s="69"/>
      <c r="AU280" s="1"/>
      <c r="AV280" s="1"/>
    </row>
    <row r="281" spans="1:48" ht="15.75" customHeight="1" x14ac:dyDescent="0.25">
      <c r="A281" s="1"/>
      <c r="B281" s="2"/>
      <c r="C281" s="3"/>
      <c r="D281" s="2"/>
      <c r="E281" s="52"/>
      <c r="F281" s="52"/>
      <c r="G281" s="52"/>
      <c r="H281" s="2"/>
      <c r="I281" s="2"/>
      <c r="J281" s="2"/>
      <c r="K281" s="2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2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69"/>
      <c r="AM281" s="69"/>
      <c r="AN281" s="69"/>
      <c r="AO281" s="69"/>
      <c r="AP281" s="69"/>
      <c r="AQ281" s="69"/>
      <c r="AR281" s="69"/>
      <c r="AS281" s="69"/>
      <c r="AT281" s="69"/>
      <c r="AU281" s="1"/>
      <c r="AV281" s="1"/>
    </row>
    <row r="282" spans="1:48" ht="15.75" customHeight="1" x14ac:dyDescent="0.25">
      <c r="A282" s="1"/>
      <c r="B282" s="2"/>
      <c r="C282" s="3"/>
      <c r="D282" s="2"/>
      <c r="E282" s="52"/>
      <c r="F282" s="52"/>
      <c r="G282" s="52"/>
      <c r="H282" s="2"/>
      <c r="I282" s="2"/>
      <c r="J282" s="2"/>
      <c r="K282" s="2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2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69"/>
      <c r="AM282" s="69"/>
      <c r="AN282" s="69"/>
      <c r="AO282" s="69"/>
      <c r="AP282" s="69"/>
      <c r="AQ282" s="69"/>
      <c r="AR282" s="69"/>
      <c r="AS282" s="69"/>
      <c r="AT282" s="69"/>
      <c r="AU282" s="1"/>
      <c r="AV282" s="1"/>
    </row>
    <row r="283" spans="1:48" ht="15.75" customHeight="1" x14ac:dyDescent="0.25">
      <c r="A283" s="1"/>
      <c r="B283" s="2"/>
      <c r="C283" s="3"/>
      <c r="D283" s="2"/>
      <c r="E283" s="52"/>
      <c r="F283" s="52"/>
      <c r="G283" s="52"/>
      <c r="H283" s="2"/>
      <c r="I283" s="2"/>
      <c r="J283" s="2"/>
      <c r="K283" s="2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2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69"/>
      <c r="AM283" s="69"/>
      <c r="AN283" s="69"/>
      <c r="AO283" s="69"/>
      <c r="AP283" s="69"/>
      <c r="AQ283" s="69"/>
      <c r="AR283" s="69"/>
      <c r="AS283" s="69"/>
      <c r="AT283" s="69"/>
      <c r="AU283" s="1"/>
      <c r="AV283" s="1"/>
    </row>
    <row r="284" spans="1:48" ht="15.75" customHeight="1" x14ac:dyDescent="0.25">
      <c r="A284" s="1"/>
      <c r="B284" s="2"/>
      <c r="C284" s="3"/>
      <c r="D284" s="2"/>
      <c r="E284" s="52"/>
      <c r="F284" s="52"/>
      <c r="G284" s="52"/>
      <c r="H284" s="2"/>
      <c r="I284" s="2"/>
      <c r="J284" s="2"/>
      <c r="K284" s="2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2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69"/>
      <c r="AM284" s="69"/>
      <c r="AN284" s="69"/>
      <c r="AO284" s="69"/>
      <c r="AP284" s="69"/>
      <c r="AQ284" s="69"/>
      <c r="AR284" s="69"/>
      <c r="AS284" s="69"/>
      <c r="AT284" s="69"/>
      <c r="AU284" s="1"/>
      <c r="AV284" s="1"/>
    </row>
    <row r="285" spans="1:48" ht="15.75" customHeight="1" x14ac:dyDescent="0.25">
      <c r="A285" s="1"/>
      <c r="B285" s="2"/>
      <c r="C285" s="3"/>
      <c r="D285" s="2"/>
      <c r="E285" s="52"/>
      <c r="F285" s="52"/>
      <c r="G285" s="52"/>
      <c r="H285" s="2"/>
      <c r="I285" s="2"/>
      <c r="J285" s="2"/>
      <c r="K285" s="2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2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69"/>
      <c r="AM285" s="69"/>
      <c r="AN285" s="69"/>
      <c r="AO285" s="69"/>
      <c r="AP285" s="69"/>
      <c r="AQ285" s="69"/>
      <c r="AR285" s="69"/>
      <c r="AS285" s="69"/>
      <c r="AT285" s="69"/>
      <c r="AU285" s="1"/>
      <c r="AV285" s="1"/>
    </row>
    <row r="286" spans="1:48" ht="15.75" customHeight="1" x14ac:dyDescent="0.25">
      <c r="A286" s="1"/>
      <c r="B286" s="2"/>
      <c r="C286" s="3"/>
      <c r="D286" s="2"/>
      <c r="E286" s="52"/>
      <c r="F286" s="52"/>
      <c r="G286" s="52"/>
      <c r="H286" s="2"/>
      <c r="I286" s="2"/>
      <c r="J286" s="2"/>
      <c r="K286" s="2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2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69"/>
      <c r="AM286" s="69"/>
      <c r="AN286" s="69"/>
      <c r="AO286" s="69"/>
      <c r="AP286" s="69"/>
      <c r="AQ286" s="69"/>
      <c r="AR286" s="69"/>
      <c r="AS286" s="69"/>
      <c r="AT286" s="69"/>
      <c r="AU286" s="1"/>
      <c r="AV286" s="1"/>
    </row>
    <row r="287" spans="1:48" ht="15.75" customHeight="1" x14ac:dyDescent="0.25">
      <c r="A287" s="1"/>
      <c r="B287" s="2"/>
      <c r="C287" s="3"/>
      <c r="D287" s="2"/>
      <c r="E287" s="52"/>
      <c r="F287" s="52"/>
      <c r="G287" s="52"/>
      <c r="H287" s="2"/>
      <c r="I287" s="2"/>
      <c r="J287" s="2"/>
      <c r="K287" s="2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2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69"/>
      <c r="AM287" s="69"/>
      <c r="AN287" s="69"/>
      <c r="AO287" s="69"/>
      <c r="AP287" s="69"/>
      <c r="AQ287" s="69"/>
      <c r="AR287" s="69"/>
      <c r="AS287" s="69"/>
      <c r="AT287" s="69"/>
      <c r="AU287" s="1"/>
      <c r="AV287" s="1"/>
    </row>
    <row r="288" spans="1:48" ht="15.75" customHeight="1" x14ac:dyDescent="0.25">
      <c r="A288" s="1"/>
      <c r="B288" s="2"/>
      <c r="C288" s="3"/>
      <c r="D288" s="2"/>
      <c r="E288" s="52"/>
      <c r="F288" s="52"/>
      <c r="G288" s="52"/>
      <c r="H288" s="2"/>
      <c r="I288" s="2"/>
      <c r="J288" s="2"/>
      <c r="K288" s="2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2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69"/>
      <c r="AM288" s="69"/>
      <c r="AN288" s="69"/>
      <c r="AO288" s="69"/>
      <c r="AP288" s="69"/>
      <c r="AQ288" s="69"/>
      <c r="AR288" s="69"/>
      <c r="AS288" s="69"/>
      <c r="AT288" s="69"/>
      <c r="AU288" s="1"/>
      <c r="AV288" s="1"/>
    </row>
    <row r="289" spans="1:48" ht="15.75" customHeight="1" x14ac:dyDescent="0.25">
      <c r="A289" s="1"/>
      <c r="B289" s="2"/>
      <c r="C289" s="3"/>
      <c r="D289" s="2"/>
      <c r="E289" s="52"/>
      <c r="F289" s="52"/>
      <c r="G289" s="52"/>
      <c r="H289" s="2"/>
      <c r="I289" s="2"/>
      <c r="J289" s="2"/>
      <c r="K289" s="2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2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69"/>
      <c r="AM289" s="69"/>
      <c r="AN289" s="69"/>
      <c r="AO289" s="69"/>
      <c r="AP289" s="69"/>
      <c r="AQ289" s="69"/>
      <c r="AR289" s="69"/>
      <c r="AS289" s="69"/>
      <c r="AT289" s="69"/>
      <c r="AU289" s="1"/>
      <c r="AV289" s="1"/>
    </row>
    <row r="290" spans="1:48" ht="15.75" customHeight="1" x14ac:dyDescent="0.25">
      <c r="A290" s="1"/>
      <c r="B290" s="2"/>
      <c r="C290" s="3"/>
      <c r="D290" s="2"/>
      <c r="E290" s="52"/>
      <c r="F290" s="52"/>
      <c r="G290" s="52"/>
      <c r="H290" s="2"/>
      <c r="I290" s="2"/>
      <c r="J290" s="2"/>
      <c r="K290" s="2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2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69"/>
      <c r="AM290" s="69"/>
      <c r="AN290" s="69"/>
      <c r="AO290" s="69"/>
      <c r="AP290" s="69"/>
      <c r="AQ290" s="69"/>
      <c r="AR290" s="69"/>
      <c r="AS290" s="69"/>
      <c r="AT290" s="69"/>
      <c r="AU290" s="1"/>
      <c r="AV290" s="1"/>
    </row>
    <row r="291" spans="1:48" ht="15.75" customHeight="1" x14ac:dyDescent="0.25">
      <c r="A291" s="1"/>
      <c r="B291" s="2"/>
      <c r="C291" s="3"/>
      <c r="D291" s="2"/>
      <c r="E291" s="52"/>
      <c r="F291" s="52"/>
      <c r="G291" s="52"/>
      <c r="H291" s="2"/>
      <c r="I291" s="2"/>
      <c r="J291" s="2"/>
      <c r="K291" s="2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2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69"/>
      <c r="AM291" s="69"/>
      <c r="AN291" s="69"/>
      <c r="AO291" s="69"/>
      <c r="AP291" s="69"/>
      <c r="AQ291" s="69"/>
      <c r="AR291" s="69"/>
      <c r="AS291" s="69"/>
      <c r="AT291" s="69"/>
      <c r="AU291" s="1"/>
      <c r="AV291" s="1"/>
    </row>
    <row r="292" spans="1:48" ht="15.75" customHeight="1" x14ac:dyDescent="0.25">
      <c r="A292" s="1"/>
      <c r="B292" s="2"/>
      <c r="C292" s="3"/>
      <c r="D292" s="2"/>
      <c r="E292" s="52"/>
      <c r="F292" s="52"/>
      <c r="G292" s="52"/>
      <c r="H292" s="2"/>
      <c r="I292" s="2"/>
      <c r="J292" s="2"/>
      <c r="K292" s="2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2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69"/>
      <c r="AM292" s="69"/>
      <c r="AN292" s="69"/>
      <c r="AO292" s="69"/>
      <c r="AP292" s="69"/>
      <c r="AQ292" s="69"/>
      <c r="AR292" s="69"/>
      <c r="AS292" s="69"/>
      <c r="AT292" s="69"/>
      <c r="AU292" s="1"/>
      <c r="AV292" s="1"/>
    </row>
    <row r="293" spans="1:48" ht="15.75" customHeight="1" x14ac:dyDescent="0.25">
      <c r="A293" s="1"/>
      <c r="B293" s="2"/>
      <c r="C293" s="3"/>
      <c r="D293" s="2"/>
      <c r="E293" s="52"/>
      <c r="F293" s="52"/>
      <c r="G293" s="52"/>
      <c r="H293" s="2"/>
      <c r="I293" s="2"/>
      <c r="J293" s="2"/>
      <c r="K293" s="2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2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69"/>
      <c r="AM293" s="69"/>
      <c r="AN293" s="69"/>
      <c r="AO293" s="69"/>
      <c r="AP293" s="69"/>
      <c r="AQ293" s="69"/>
      <c r="AR293" s="69"/>
      <c r="AS293" s="69"/>
      <c r="AT293" s="69"/>
      <c r="AU293" s="1"/>
      <c r="AV293" s="1"/>
    </row>
    <row r="294" spans="1:48" ht="15.75" customHeight="1" x14ac:dyDescent="0.25">
      <c r="A294" s="1"/>
      <c r="B294" s="2"/>
      <c r="C294" s="3"/>
      <c r="D294" s="2"/>
      <c r="E294" s="52"/>
      <c r="F294" s="52"/>
      <c r="G294" s="52"/>
      <c r="H294" s="2"/>
      <c r="I294" s="2"/>
      <c r="J294" s="2"/>
      <c r="K294" s="2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2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69"/>
      <c r="AM294" s="69"/>
      <c r="AN294" s="69"/>
      <c r="AO294" s="69"/>
      <c r="AP294" s="69"/>
      <c r="AQ294" s="69"/>
      <c r="AR294" s="69"/>
      <c r="AS294" s="69"/>
      <c r="AT294" s="69"/>
      <c r="AU294" s="1"/>
      <c r="AV294" s="1"/>
    </row>
    <row r="295" spans="1:48" ht="15.75" customHeight="1" x14ac:dyDescent="0.25">
      <c r="A295" s="1"/>
      <c r="B295" s="2"/>
      <c r="C295" s="3"/>
      <c r="D295" s="2"/>
      <c r="E295" s="52"/>
      <c r="F295" s="52"/>
      <c r="G295" s="52"/>
      <c r="H295" s="2"/>
      <c r="I295" s="2"/>
      <c r="J295" s="2"/>
      <c r="K295" s="2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2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69"/>
      <c r="AM295" s="69"/>
      <c r="AN295" s="69"/>
      <c r="AO295" s="69"/>
      <c r="AP295" s="69"/>
      <c r="AQ295" s="69"/>
      <c r="AR295" s="69"/>
      <c r="AS295" s="69"/>
      <c r="AT295" s="69"/>
      <c r="AU295" s="1"/>
      <c r="AV295" s="1"/>
    </row>
    <row r="296" spans="1:48" ht="15.75" customHeight="1" x14ac:dyDescent="0.25">
      <c r="A296" s="1"/>
      <c r="B296" s="2"/>
      <c r="C296" s="3"/>
      <c r="D296" s="2"/>
      <c r="E296" s="52"/>
      <c r="F296" s="52"/>
      <c r="G296" s="52"/>
      <c r="H296" s="2"/>
      <c r="I296" s="2"/>
      <c r="J296" s="2"/>
      <c r="K296" s="2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2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69"/>
      <c r="AM296" s="69"/>
      <c r="AN296" s="69"/>
      <c r="AO296" s="69"/>
      <c r="AP296" s="69"/>
      <c r="AQ296" s="69"/>
      <c r="AR296" s="69"/>
      <c r="AS296" s="69"/>
      <c r="AT296" s="69"/>
      <c r="AU296" s="1"/>
      <c r="AV296" s="1"/>
    </row>
    <row r="297" spans="1:48" ht="15.75" customHeight="1" x14ac:dyDescent="0.25">
      <c r="A297" s="1"/>
      <c r="B297" s="2"/>
      <c r="C297" s="3"/>
      <c r="D297" s="2"/>
      <c r="E297" s="52"/>
      <c r="F297" s="52"/>
      <c r="G297" s="52"/>
      <c r="H297" s="2"/>
      <c r="I297" s="2"/>
      <c r="J297" s="2"/>
      <c r="K297" s="2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2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69"/>
      <c r="AM297" s="69"/>
      <c r="AN297" s="69"/>
      <c r="AO297" s="69"/>
      <c r="AP297" s="69"/>
      <c r="AQ297" s="69"/>
      <c r="AR297" s="69"/>
      <c r="AS297" s="69"/>
      <c r="AT297" s="69"/>
      <c r="AU297" s="1"/>
      <c r="AV297" s="1"/>
    </row>
    <row r="298" spans="1:48" ht="15.75" customHeight="1" x14ac:dyDescent="0.25">
      <c r="A298" s="1"/>
      <c r="B298" s="2"/>
      <c r="C298" s="3"/>
      <c r="D298" s="2"/>
      <c r="E298" s="52"/>
      <c r="F298" s="52"/>
      <c r="G298" s="52"/>
      <c r="H298" s="2"/>
      <c r="I298" s="2"/>
      <c r="J298" s="2"/>
      <c r="K298" s="2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2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69"/>
      <c r="AM298" s="69"/>
      <c r="AN298" s="69"/>
      <c r="AO298" s="69"/>
      <c r="AP298" s="69"/>
      <c r="AQ298" s="69"/>
      <c r="AR298" s="69"/>
      <c r="AS298" s="69"/>
      <c r="AT298" s="69"/>
      <c r="AU298" s="1"/>
      <c r="AV298" s="1"/>
    </row>
    <row r="299" spans="1:48" ht="15.75" customHeight="1" x14ac:dyDescent="0.25">
      <c r="A299" s="1"/>
      <c r="B299" s="2"/>
      <c r="C299" s="3"/>
      <c r="D299" s="2"/>
      <c r="E299" s="52"/>
      <c r="F299" s="52"/>
      <c r="G299" s="52"/>
      <c r="H299" s="2"/>
      <c r="I299" s="2"/>
      <c r="J299" s="2"/>
      <c r="K299" s="2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2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69"/>
      <c r="AM299" s="69"/>
      <c r="AN299" s="69"/>
      <c r="AO299" s="69"/>
      <c r="AP299" s="69"/>
      <c r="AQ299" s="69"/>
      <c r="AR299" s="69"/>
      <c r="AS299" s="69"/>
      <c r="AT299" s="69"/>
      <c r="AU299" s="1"/>
      <c r="AV299" s="1"/>
    </row>
    <row r="300" spans="1:48" ht="15.75" customHeight="1" x14ac:dyDescent="0.25">
      <c r="A300" s="1"/>
      <c r="B300" s="2"/>
      <c r="C300" s="3"/>
      <c r="D300" s="2"/>
      <c r="E300" s="52"/>
      <c r="F300" s="52"/>
      <c r="G300" s="52"/>
      <c r="H300" s="2"/>
      <c r="I300" s="2"/>
      <c r="J300" s="2"/>
      <c r="K300" s="2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2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69"/>
      <c r="AM300" s="69"/>
      <c r="AN300" s="69"/>
      <c r="AO300" s="69"/>
      <c r="AP300" s="69"/>
      <c r="AQ300" s="69"/>
      <c r="AR300" s="69"/>
      <c r="AS300" s="69"/>
      <c r="AT300" s="69"/>
      <c r="AU300" s="1"/>
      <c r="AV300" s="1"/>
    </row>
    <row r="301" spans="1:48" ht="15.75" customHeight="1" x14ac:dyDescent="0.25">
      <c r="A301" s="1"/>
      <c r="B301" s="2"/>
      <c r="C301" s="3"/>
      <c r="D301" s="2"/>
      <c r="E301" s="52"/>
      <c r="F301" s="52"/>
      <c r="G301" s="52"/>
      <c r="H301" s="2"/>
      <c r="I301" s="2"/>
      <c r="J301" s="2"/>
      <c r="K301" s="2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2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69"/>
      <c r="AM301" s="69"/>
      <c r="AN301" s="69"/>
      <c r="AO301" s="69"/>
      <c r="AP301" s="69"/>
      <c r="AQ301" s="69"/>
      <c r="AR301" s="69"/>
      <c r="AS301" s="69"/>
      <c r="AT301" s="69"/>
      <c r="AU301" s="1"/>
      <c r="AV301" s="1"/>
    </row>
    <row r="302" spans="1:48" ht="15.75" customHeight="1" x14ac:dyDescent="0.25">
      <c r="A302" s="1"/>
      <c r="B302" s="2"/>
      <c r="C302" s="3"/>
      <c r="D302" s="2"/>
      <c r="E302" s="52"/>
      <c r="F302" s="52"/>
      <c r="G302" s="52"/>
      <c r="H302" s="2"/>
      <c r="I302" s="2"/>
      <c r="J302" s="2"/>
      <c r="K302" s="2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2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69"/>
      <c r="AM302" s="69"/>
      <c r="AN302" s="69"/>
      <c r="AO302" s="69"/>
      <c r="AP302" s="69"/>
      <c r="AQ302" s="69"/>
      <c r="AR302" s="69"/>
      <c r="AS302" s="69"/>
      <c r="AT302" s="69"/>
      <c r="AU302" s="1"/>
      <c r="AV302" s="1"/>
    </row>
    <row r="303" spans="1:48" ht="15.75" customHeight="1" x14ac:dyDescent="0.25">
      <c r="A303" s="1"/>
      <c r="B303" s="2"/>
      <c r="C303" s="3"/>
      <c r="D303" s="2"/>
      <c r="E303" s="52"/>
      <c r="F303" s="52"/>
      <c r="G303" s="52"/>
      <c r="H303" s="2"/>
      <c r="I303" s="2"/>
      <c r="J303" s="2"/>
      <c r="K303" s="2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2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69"/>
      <c r="AM303" s="69"/>
      <c r="AN303" s="69"/>
      <c r="AO303" s="69"/>
      <c r="AP303" s="69"/>
      <c r="AQ303" s="69"/>
      <c r="AR303" s="69"/>
      <c r="AS303" s="69"/>
      <c r="AT303" s="69"/>
      <c r="AU303" s="1"/>
      <c r="AV303" s="1"/>
    </row>
    <row r="304" spans="1:48" ht="15.75" customHeight="1" x14ac:dyDescent="0.25">
      <c r="A304" s="1"/>
      <c r="B304" s="2"/>
      <c r="C304" s="3"/>
      <c r="D304" s="2"/>
      <c r="E304" s="52"/>
      <c r="F304" s="52"/>
      <c r="G304" s="52"/>
      <c r="H304" s="2"/>
      <c r="I304" s="2"/>
      <c r="J304" s="2"/>
      <c r="K304" s="2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2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69"/>
      <c r="AM304" s="69"/>
      <c r="AN304" s="69"/>
      <c r="AO304" s="69"/>
      <c r="AP304" s="69"/>
      <c r="AQ304" s="69"/>
      <c r="AR304" s="69"/>
      <c r="AS304" s="69"/>
      <c r="AT304" s="69"/>
      <c r="AU304" s="1"/>
      <c r="AV304" s="1"/>
    </row>
    <row r="305" spans="1:48" ht="15.75" customHeight="1" x14ac:dyDescent="0.25">
      <c r="A305" s="1"/>
      <c r="B305" s="2"/>
      <c r="C305" s="3"/>
      <c r="D305" s="2"/>
      <c r="E305" s="52"/>
      <c r="F305" s="52"/>
      <c r="G305" s="52"/>
      <c r="H305" s="2"/>
      <c r="I305" s="2"/>
      <c r="J305" s="2"/>
      <c r="K305" s="2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2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69"/>
      <c r="AM305" s="69"/>
      <c r="AN305" s="69"/>
      <c r="AO305" s="69"/>
      <c r="AP305" s="69"/>
      <c r="AQ305" s="69"/>
      <c r="AR305" s="69"/>
      <c r="AS305" s="69"/>
      <c r="AT305" s="69"/>
      <c r="AU305" s="1"/>
      <c r="AV305" s="1"/>
    </row>
    <row r="306" spans="1:48" ht="15.75" customHeight="1" x14ac:dyDescent="0.25">
      <c r="A306" s="1"/>
      <c r="B306" s="2"/>
      <c r="C306" s="3"/>
      <c r="D306" s="2"/>
      <c r="E306" s="52"/>
      <c r="F306" s="52"/>
      <c r="G306" s="52"/>
      <c r="H306" s="2"/>
      <c r="I306" s="2"/>
      <c r="J306" s="2"/>
      <c r="K306" s="2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2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69"/>
      <c r="AM306" s="69"/>
      <c r="AN306" s="69"/>
      <c r="AO306" s="69"/>
      <c r="AP306" s="69"/>
      <c r="AQ306" s="69"/>
      <c r="AR306" s="69"/>
      <c r="AS306" s="69"/>
      <c r="AT306" s="69"/>
      <c r="AU306" s="1"/>
      <c r="AV306" s="1"/>
    </row>
    <row r="307" spans="1:48" ht="15.75" customHeight="1" x14ac:dyDescent="0.25">
      <c r="A307" s="1"/>
      <c r="B307" s="2"/>
      <c r="C307" s="3"/>
      <c r="D307" s="2"/>
      <c r="E307" s="52"/>
      <c r="F307" s="52"/>
      <c r="G307" s="52"/>
      <c r="H307" s="2"/>
      <c r="I307" s="2"/>
      <c r="J307" s="2"/>
      <c r="K307" s="2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2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69"/>
      <c r="AM307" s="69"/>
      <c r="AN307" s="69"/>
      <c r="AO307" s="69"/>
      <c r="AP307" s="69"/>
      <c r="AQ307" s="69"/>
      <c r="AR307" s="69"/>
      <c r="AS307" s="69"/>
      <c r="AT307" s="69"/>
      <c r="AU307" s="1"/>
      <c r="AV307" s="1"/>
    </row>
    <row r="308" spans="1:48" ht="15.75" customHeight="1" x14ac:dyDescent="0.25">
      <c r="A308" s="1"/>
      <c r="B308" s="2"/>
      <c r="C308" s="3"/>
      <c r="D308" s="2"/>
      <c r="E308" s="52"/>
      <c r="F308" s="52"/>
      <c r="G308" s="52"/>
      <c r="H308" s="2"/>
      <c r="I308" s="2"/>
      <c r="J308" s="2"/>
      <c r="K308" s="2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2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69"/>
      <c r="AM308" s="69"/>
      <c r="AN308" s="69"/>
      <c r="AO308" s="69"/>
      <c r="AP308" s="69"/>
      <c r="AQ308" s="69"/>
      <c r="AR308" s="69"/>
      <c r="AS308" s="69"/>
      <c r="AT308" s="69"/>
      <c r="AU308" s="1"/>
      <c r="AV308" s="1"/>
    </row>
    <row r="309" spans="1:48" ht="15.75" customHeight="1" x14ac:dyDescent="0.25">
      <c r="A309" s="1"/>
      <c r="B309" s="2"/>
      <c r="C309" s="3"/>
      <c r="D309" s="2"/>
      <c r="E309" s="52"/>
      <c r="F309" s="52"/>
      <c r="G309" s="52"/>
      <c r="H309" s="2"/>
      <c r="I309" s="2"/>
      <c r="J309" s="2"/>
      <c r="K309" s="2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2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69"/>
      <c r="AM309" s="69"/>
      <c r="AN309" s="69"/>
      <c r="AO309" s="69"/>
      <c r="AP309" s="69"/>
      <c r="AQ309" s="69"/>
      <c r="AR309" s="69"/>
      <c r="AS309" s="69"/>
      <c r="AT309" s="69"/>
      <c r="AU309" s="1"/>
      <c r="AV309" s="1"/>
    </row>
    <row r="310" spans="1:48" ht="15.75" customHeight="1" x14ac:dyDescent="0.25">
      <c r="A310" s="1"/>
      <c r="B310" s="2"/>
      <c r="C310" s="3"/>
      <c r="D310" s="2"/>
      <c r="E310" s="52"/>
      <c r="F310" s="52"/>
      <c r="G310" s="52"/>
      <c r="H310" s="2"/>
      <c r="I310" s="2"/>
      <c r="J310" s="2"/>
      <c r="K310" s="2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2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69"/>
      <c r="AM310" s="69"/>
      <c r="AN310" s="69"/>
      <c r="AO310" s="69"/>
      <c r="AP310" s="69"/>
      <c r="AQ310" s="69"/>
      <c r="AR310" s="69"/>
      <c r="AS310" s="69"/>
      <c r="AT310" s="69"/>
      <c r="AU310" s="1"/>
      <c r="AV310" s="1"/>
    </row>
    <row r="311" spans="1:48" ht="15.75" customHeight="1" x14ac:dyDescent="0.25">
      <c r="A311" s="1"/>
      <c r="B311" s="2"/>
      <c r="C311" s="3"/>
      <c r="D311" s="2"/>
      <c r="E311" s="52"/>
      <c r="F311" s="52"/>
      <c r="G311" s="52"/>
      <c r="H311" s="2"/>
      <c r="I311" s="2"/>
      <c r="J311" s="2"/>
      <c r="K311" s="2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2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69"/>
      <c r="AM311" s="69"/>
      <c r="AN311" s="69"/>
      <c r="AO311" s="69"/>
      <c r="AP311" s="69"/>
      <c r="AQ311" s="69"/>
      <c r="AR311" s="69"/>
      <c r="AS311" s="69"/>
      <c r="AT311" s="69"/>
      <c r="AU311" s="1"/>
      <c r="AV311" s="1"/>
    </row>
    <row r="312" spans="1:48" ht="15.75" customHeight="1" x14ac:dyDescent="0.25">
      <c r="A312" s="1"/>
      <c r="B312" s="2"/>
      <c r="C312" s="3"/>
      <c r="D312" s="2"/>
      <c r="E312" s="52"/>
      <c r="F312" s="52"/>
      <c r="G312" s="52"/>
      <c r="H312" s="2"/>
      <c r="I312" s="2"/>
      <c r="J312" s="2"/>
      <c r="K312" s="2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2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69"/>
      <c r="AM312" s="69"/>
      <c r="AN312" s="69"/>
      <c r="AO312" s="69"/>
      <c r="AP312" s="69"/>
      <c r="AQ312" s="69"/>
      <c r="AR312" s="69"/>
      <c r="AS312" s="69"/>
      <c r="AT312" s="69"/>
      <c r="AU312" s="1"/>
      <c r="AV312" s="1"/>
    </row>
    <row r="313" spans="1:48" ht="15.75" customHeight="1" x14ac:dyDescent="0.25">
      <c r="A313" s="1"/>
      <c r="B313" s="2"/>
      <c r="C313" s="3"/>
      <c r="D313" s="2"/>
      <c r="E313" s="52"/>
      <c r="F313" s="52"/>
      <c r="G313" s="52"/>
      <c r="H313" s="2"/>
      <c r="I313" s="2"/>
      <c r="J313" s="2"/>
      <c r="K313" s="2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2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69"/>
      <c r="AM313" s="69"/>
      <c r="AN313" s="69"/>
      <c r="AO313" s="69"/>
      <c r="AP313" s="69"/>
      <c r="AQ313" s="69"/>
      <c r="AR313" s="69"/>
      <c r="AS313" s="69"/>
      <c r="AT313" s="69"/>
      <c r="AU313" s="1"/>
      <c r="AV313" s="1"/>
    </row>
    <row r="314" spans="1:48" ht="15.75" customHeight="1" x14ac:dyDescent="0.25">
      <c r="A314" s="1"/>
      <c r="B314" s="2"/>
      <c r="C314" s="3"/>
      <c r="D314" s="2"/>
      <c r="E314" s="52"/>
      <c r="F314" s="52"/>
      <c r="G314" s="52"/>
      <c r="H314" s="2"/>
      <c r="I314" s="2"/>
      <c r="J314" s="2"/>
      <c r="K314" s="2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2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69"/>
      <c r="AM314" s="69"/>
      <c r="AN314" s="69"/>
      <c r="AO314" s="69"/>
      <c r="AP314" s="69"/>
      <c r="AQ314" s="69"/>
      <c r="AR314" s="69"/>
      <c r="AS314" s="69"/>
      <c r="AT314" s="69"/>
      <c r="AU314" s="1"/>
      <c r="AV314" s="1"/>
    </row>
    <row r="315" spans="1:48" ht="15.75" customHeight="1" x14ac:dyDescent="0.25">
      <c r="A315" s="1"/>
      <c r="B315" s="2"/>
      <c r="C315" s="3"/>
      <c r="D315" s="2"/>
      <c r="E315" s="52"/>
      <c r="F315" s="52"/>
      <c r="G315" s="52"/>
      <c r="H315" s="2"/>
      <c r="I315" s="2"/>
      <c r="J315" s="2"/>
      <c r="K315" s="2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2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69"/>
      <c r="AM315" s="69"/>
      <c r="AN315" s="69"/>
      <c r="AO315" s="69"/>
      <c r="AP315" s="69"/>
      <c r="AQ315" s="69"/>
      <c r="AR315" s="69"/>
      <c r="AS315" s="69"/>
      <c r="AT315" s="69"/>
      <c r="AU315" s="1"/>
      <c r="AV315" s="1"/>
    </row>
    <row r="316" spans="1:48" ht="15.75" customHeight="1" x14ac:dyDescent="0.25">
      <c r="A316" s="1"/>
      <c r="B316" s="2"/>
      <c r="C316" s="3"/>
      <c r="D316" s="2"/>
      <c r="E316" s="52"/>
      <c r="F316" s="52"/>
      <c r="G316" s="52"/>
      <c r="H316" s="2"/>
      <c r="I316" s="2"/>
      <c r="J316" s="2"/>
      <c r="K316" s="2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2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69"/>
      <c r="AM316" s="69"/>
      <c r="AN316" s="69"/>
      <c r="AO316" s="69"/>
      <c r="AP316" s="69"/>
      <c r="AQ316" s="69"/>
      <c r="AR316" s="69"/>
      <c r="AS316" s="69"/>
      <c r="AT316" s="69"/>
      <c r="AU316" s="1"/>
      <c r="AV316" s="1"/>
    </row>
    <row r="317" spans="1:48" ht="15.75" customHeight="1" x14ac:dyDescent="0.25">
      <c r="A317" s="1"/>
      <c r="B317" s="2"/>
      <c r="C317" s="3"/>
      <c r="D317" s="2"/>
      <c r="E317" s="52"/>
      <c r="F317" s="52"/>
      <c r="G317" s="52"/>
      <c r="H317" s="2"/>
      <c r="I317" s="2"/>
      <c r="J317" s="2"/>
      <c r="K317" s="2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2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69"/>
      <c r="AM317" s="69"/>
      <c r="AN317" s="69"/>
      <c r="AO317" s="69"/>
      <c r="AP317" s="69"/>
      <c r="AQ317" s="69"/>
      <c r="AR317" s="69"/>
      <c r="AS317" s="69"/>
      <c r="AT317" s="69"/>
      <c r="AU317" s="1"/>
      <c r="AV317" s="1"/>
    </row>
    <row r="318" spans="1:48" ht="15.75" customHeight="1" x14ac:dyDescent="0.25">
      <c r="A318" s="1"/>
      <c r="B318" s="2"/>
      <c r="C318" s="3"/>
      <c r="D318" s="2"/>
      <c r="E318" s="52"/>
      <c r="F318" s="52"/>
      <c r="G318" s="52"/>
      <c r="H318" s="2"/>
      <c r="I318" s="2"/>
      <c r="J318" s="2"/>
      <c r="K318" s="2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2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69"/>
      <c r="AM318" s="69"/>
      <c r="AN318" s="69"/>
      <c r="AO318" s="69"/>
      <c r="AP318" s="69"/>
      <c r="AQ318" s="69"/>
      <c r="AR318" s="69"/>
      <c r="AS318" s="69"/>
      <c r="AT318" s="69"/>
      <c r="AU318" s="1"/>
      <c r="AV318" s="1"/>
    </row>
    <row r="319" spans="1:48" ht="15.75" customHeight="1" x14ac:dyDescent="0.25">
      <c r="A319" s="1"/>
      <c r="B319" s="2"/>
      <c r="C319" s="3"/>
      <c r="D319" s="2"/>
      <c r="E319" s="52"/>
      <c r="F319" s="52"/>
      <c r="G319" s="52"/>
      <c r="H319" s="2"/>
      <c r="I319" s="2"/>
      <c r="J319" s="2"/>
      <c r="K319" s="2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2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69"/>
      <c r="AM319" s="69"/>
      <c r="AN319" s="69"/>
      <c r="AO319" s="69"/>
      <c r="AP319" s="69"/>
      <c r="AQ319" s="69"/>
      <c r="AR319" s="69"/>
      <c r="AS319" s="69"/>
      <c r="AT319" s="69"/>
      <c r="AU319" s="1"/>
      <c r="AV319" s="1"/>
    </row>
    <row r="320" spans="1:48" ht="15.75" customHeight="1" x14ac:dyDescent="0.25">
      <c r="A320" s="1"/>
      <c r="B320" s="2"/>
      <c r="C320" s="3"/>
      <c r="D320" s="2"/>
      <c r="E320" s="52"/>
      <c r="F320" s="52"/>
      <c r="G320" s="52"/>
      <c r="H320" s="2"/>
      <c r="I320" s="2"/>
      <c r="J320" s="2"/>
      <c r="K320" s="2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2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69"/>
      <c r="AM320" s="69"/>
      <c r="AN320" s="69"/>
      <c r="AO320" s="69"/>
      <c r="AP320" s="69"/>
      <c r="AQ320" s="69"/>
      <c r="AR320" s="69"/>
      <c r="AS320" s="69"/>
      <c r="AT320" s="69"/>
      <c r="AU320" s="1"/>
      <c r="AV320" s="1"/>
    </row>
    <row r="321" spans="1:48" ht="15.75" customHeight="1" x14ac:dyDescent="0.25">
      <c r="A321" s="1"/>
      <c r="B321" s="2"/>
      <c r="C321" s="3"/>
      <c r="D321" s="2"/>
      <c r="E321" s="52"/>
      <c r="F321" s="52"/>
      <c r="G321" s="52"/>
      <c r="H321" s="2"/>
      <c r="I321" s="2"/>
      <c r="J321" s="2"/>
      <c r="K321" s="2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2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69"/>
      <c r="AM321" s="69"/>
      <c r="AN321" s="69"/>
      <c r="AO321" s="69"/>
      <c r="AP321" s="69"/>
      <c r="AQ321" s="69"/>
      <c r="AR321" s="69"/>
      <c r="AS321" s="69"/>
      <c r="AT321" s="69"/>
      <c r="AU321" s="1"/>
      <c r="AV321" s="1"/>
    </row>
    <row r="322" spans="1:48" ht="15.75" customHeight="1" x14ac:dyDescent="0.25">
      <c r="A322" s="1"/>
      <c r="B322" s="2"/>
      <c r="C322" s="3"/>
      <c r="D322" s="2"/>
      <c r="E322" s="52"/>
      <c r="F322" s="52"/>
      <c r="G322" s="52"/>
      <c r="H322" s="2"/>
      <c r="I322" s="2"/>
      <c r="J322" s="2"/>
      <c r="K322" s="2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2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69"/>
      <c r="AM322" s="69"/>
      <c r="AN322" s="69"/>
      <c r="AO322" s="69"/>
      <c r="AP322" s="69"/>
      <c r="AQ322" s="69"/>
      <c r="AR322" s="69"/>
      <c r="AS322" s="69"/>
      <c r="AT322" s="69"/>
      <c r="AU322" s="1"/>
      <c r="AV322" s="1"/>
    </row>
    <row r="323" spans="1:48" ht="15.75" customHeight="1" x14ac:dyDescent="0.25">
      <c r="A323" s="1"/>
      <c r="B323" s="2"/>
      <c r="C323" s="3"/>
      <c r="D323" s="2"/>
      <c r="E323" s="52"/>
      <c r="F323" s="52"/>
      <c r="G323" s="52"/>
      <c r="H323" s="2"/>
      <c r="I323" s="2"/>
      <c r="J323" s="2"/>
      <c r="K323" s="2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2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69"/>
      <c r="AM323" s="69"/>
      <c r="AN323" s="69"/>
      <c r="AO323" s="69"/>
      <c r="AP323" s="69"/>
      <c r="AQ323" s="69"/>
      <c r="AR323" s="69"/>
      <c r="AS323" s="69"/>
      <c r="AT323" s="69"/>
      <c r="AU323" s="1"/>
      <c r="AV323" s="1"/>
    </row>
    <row r="324" spans="1:48" ht="15.75" customHeight="1" x14ac:dyDescent="0.25">
      <c r="A324" s="1"/>
      <c r="B324" s="2"/>
      <c r="C324" s="3"/>
      <c r="D324" s="2"/>
      <c r="E324" s="52"/>
      <c r="F324" s="52"/>
      <c r="G324" s="52"/>
      <c r="H324" s="2"/>
      <c r="I324" s="2"/>
      <c r="J324" s="2"/>
      <c r="K324" s="2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2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69"/>
      <c r="AM324" s="69"/>
      <c r="AN324" s="69"/>
      <c r="AO324" s="69"/>
      <c r="AP324" s="69"/>
      <c r="AQ324" s="69"/>
      <c r="AR324" s="69"/>
      <c r="AS324" s="69"/>
      <c r="AT324" s="69"/>
      <c r="AU324" s="1"/>
      <c r="AV324" s="1"/>
    </row>
    <row r="325" spans="1:48" ht="15.75" customHeight="1" x14ac:dyDescent="0.25">
      <c r="A325" s="1"/>
      <c r="B325" s="2"/>
      <c r="C325" s="3"/>
      <c r="D325" s="2"/>
      <c r="E325" s="52"/>
      <c r="F325" s="52"/>
      <c r="G325" s="52"/>
      <c r="H325" s="2"/>
      <c r="I325" s="2"/>
      <c r="J325" s="2"/>
      <c r="K325" s="2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2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69"/>
      <c r="AM325" s="69"/>
      <c r="AN325" s="69"/>
      <c r="AO325" s="69"/>
      <c r="AP325" s="69"/>
      <c r="AQ325" s="69"/>
      <c r="AR325" s="69"/>
      <c r="AS325" s="69"/>
      <c r="AT325" s="69"/>
      <c r="AU325" s="1"/>
      <c r="AV325" s="1"/>
    </row>
    <row r="326" spans="1:48" ht="15.75" customHeight="1" x14ac:dyDescent="0.25">
      <c r="A326" s="1"/>
      <c r="B326" s="2"/>
      <c r="C326" s="3"/>
      <c r="D326" s="2"/>
      <c r="E326" s="52"/>
      <c r="F326" s="52"/>
      <c r="G326" s="52"/>
      <c r="H326" s="2"/>
      <c r="I326" s="2"/>
      <c r="J326" s="2"/>
      <c r="K326" s="2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2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69"/>
      <c r="AM326" s="69"/>
      <c r="AN326" s="69"/>
      <c r="AO326" s="69"/>
      <c r="AP326" s="69"/>
      <c r="AQ326" s="69"/>
      <c r="AR326" s="69"/>
      <c r="AS326" s="69"/>
      <c r="AT326" s="69"/>
      <c r="AU326" s="1"/>
      <c r="AV326" s="1"/>
    </row>
    <row r="327" spans="1:48" ht="15.75" customHeight="1" x14ac:dyDescent="0.25">
      <c r="A327" s="1"/>
      <c r="B327" s="2"/>
      <c r="C327" s="3"/>
      <c r="D327" s="2"/>
      <c r="E327" s="52"/>
      <c r="F327" s="52"/>
      <c r="G327" s="52"/>
      <c r="H327" s="2"/>
      <c r="I327" s="2"/>
      <c r="J327" s="2"/>
      <c r="K327" s="2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2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69"/>
      <c r="AM327" s="69"/>
      <c r="AN327" s="69"/>
      <c r="AO327" s="69"/>
      <c r="AP327" s="69"/>
      <c r="AQ327" s="69"/>
      <c r="AR327" s="69"/>
      <c r="AS327" s="69"/>
      <c r="AT327" s="69"/>
      <c r="AU327" s="1"/>
      <c r="AV327" s="1"/>
    </row>
    <row r="328" spans="1:48" ht="15.75" customHeight="1" x14ac:dyDescent="0.25">
      <c r="A328" s="1"/>
      <c r="B328" s="2"/>
      <c r="C328" s="3"/>
      <c r="D328" s="2"/>
      <c r="E328" s="52"/>
      <c r="F328" s="52"/>
      <c r="G328" s="52"/>
      <c r="H328" s="2"/>
      <c r="I328" s="2"/>
      <c r="J328" s="2"/>
      <c r="K328" s="2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2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69"/>
      <c r="AM328" s="69"/>
      <c r="AN328" s="69"/>
      <c r="AO328" s="69"/>
      <c r="AP328" s="69"/>
      <c r="AQ328" s="69"/>
      <c r="AR328" s="69"/>
      <c r="AS328" s="69"/>
      <c r="AT328" s="69"/>
      <c r="AU328" s="1"/>
      <c r="AV328" s="1"/>
    </row>
    <row r="329" spans="1:48" ht="15.75" customHeight="1" x14ac:dyDescent="0.25">
      <c r="A329" s="1"/>
      <c r="B329" s="2"/>
      <c r="C329" s="3"/>
      <c r="D329" s="2"/>
      <c r="E329" s="52"/>
      <c r="F329" s="52"/>
      <c r="G329" s="52"/>
      <c r="H329" s="2"/>
      <c r="I329" s="2"/>
      <c r="J329" s="2"/>
      <c r="K329" s="2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2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69"/>
      <c r="AM329" s="69"/>
      <c r="AN329" s="69"/>
      <c r="AO329" s="69"/>
      <c r="AP329" s="69"/>
      <c r="AQ329" s="69"/>
      <c r="AR329" s="69"/>
      <c r="AS329" s="69"/>
      <c r="AT329" s="69"/>
      <c r="AU329" s="1"/>
      <c r="AV329" s="1"/>
    </row>
    <row r="330" spans="1:48" ht="15.75" customHeight="1" x14ac:dyDescent="0.25">
      <c r="A330" s="1"/>
      <c r="B330" s="2"/>
      <c r="C330" s="3"/>
      <c r="D330" s="2"/>
      <c r="E330" s="52"/>
      <c r="F330" s="52"/>
      <c r="G330" s="52"/>
      <c r="H330" s="2"/>
      <c r="I330" s="2"/>
      <c r="J330" s="2"/>
      <c r="K330" s="2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2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69"/>
      <c r="AM330" s="69"/>
      <c r="AN330" s="69"/>
      <c r="AO330" s="69"/>
      <c r="AP330" s="69"/>
      <c r="AQ330" s="69"/>
      <c r="AR330" s="69"/>
      <c r="AS330" s="69"/>
      <c r="AT330" s="69"/>
      <c r="AU330" s="1"/>
      <c r="AV330" s="1"/>
    </row>
    <row r="331" spans="1:48" ht="15.75" customHeight="1" x14ac:dyDescent="0.25">
      <c r="A331" s="1"/>
      <c r="B331" s="2"/>
      <c r="C331" s="3"/>
      <c r="D331" s="2"/>
      <c r="E331" s="52"/>
      <c r="F331" s="52"/>
      <c r="G331" s="52"/>
      <c r="H331" s="2"/>
      <c r="I331" s="2"/>
      <c r="J331" s="2"/>
      <c r="K331" s="2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2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69"/>
      <c r="AM331" s="69"/>
      <c r="AN331" s="69"/>
      <c r="AO331" s="69"/>
      <c r="AP331" s="69"/>
      <c r="AQ331" s="69"/>
      <c r="AR331" s="69"/>
      <c r="AS331" s="69"/>
      <c r="AT331" s="69"/>
      <c r="AU331" s="1"/>
      <c r="AV331" s="1"/>
    </row>
    <row r="332" spans="1:48" ht="15.75" customHeight="1" x14ac:dyDescent="0.25">
      <c r="A332" s="1"/>
      <c r="B332" s="2"/>
      <c r="C332" s="3"/>
      <c r="D332" s="2"/>
      <c r="E332" s="52"/>
      <c r="F332" s="52"/>
      <c r="G332" s="52"/>
      <c r="H332" s="2"/>
      <c r="I332" s="2"/>
      <c r="J332" s="2"/>
      <c r="K332" s="2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2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69"/>
      <c r="AM332" s="69"/>
      <c r="AN332" s="69"/>
      <c r="AO332" s="69"/>
      <c r="AP332" s="69"/>
      <c r="AQ332" s="69"/>
      <c r="AR332" s="69"/>
      <c r="AS332" s="69"/>
      <c r="AT332" s="69"/>
      <c r="AU332" s="1"/>
      <c r="AV332" s="1"/>
    </row>
    <row r="333" spans="1:48" ht="15.75" customHeight="1" x14ac:dyDescent="0.25">
      <c r="A333" s="1"/>
      <c r="B333" s="2"/>
      <c r="C333" s="3"/>
      <c r="D333" s="2"/>
      <c r="E333" s="52"/>
      <c r="F333" s="52"/>
      <c r="G333" s="52"/>
      <c r="H333" s="2"/>
      <c r="I333" s="2"/>
      <c r="J333" s="2"/>
      <c r="K333" s="2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2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69"/>
      <c r="AM333" s="69"/>
      <c r="AN333" s="69"/>
      <c r="AO333" s="69"/>
      <c r="AP333" s="69"/>
      <c r="AQ333" s="69"/>
      <c r="AR333" s="69"/>
      <c r="AS333" s="69"/>
      <c r="AT333" s="69"/>
      <c r="AU333" s="1"/>
      <c r="AV333" s="1"/>
    </row>
    <row r="334" spans="1:48" ht="15.75" customHeight="1" x14ac:dyDescent="0.25">
      <c r="A334" s="1"/>
      <c r="B334" s="2"/>
      <c r="C334" s="3"/>
      <c r="D334" s="2"/>
      <c r="E334" s="52"/>
      <c r="F334" s="52"/>
      <c r="G334" s="52"/>
      <c r="H334" s="2"/>
      <c r="I334" s="2"/>
      <c r="J334" s="2"/>
      <c r="K334" s="2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2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69"/>
      <c r="AM334" s="69"/>
      <c r="AN334" s="69"/>
      <c r="AO334" s="69"/>
      <c r="AP334" s="69"/>
      <c r="AQ334" s="69"/>
      <c r="AR334" s="69"/>
      <c r="AS334" s="69"/>
      <c r="AT334" s="69"/>
      <c r="AU334" s="1"/>
      <c r="AV334" s="1"/>
    </row>
    <row r="335" spans="1:48" ht="15.75" customHeight="1" x14ac:dyDescent="0.25">
      <c r="A335" s="1"/>
      <c r="B335" s="2"/>
      <c r="C335" s="3"/>
      <c r="D335" s="2"/>
      <c r="E335" s="52"/>
      <c r="F335" s="52"/>
      <c r="G335" s="52"/>
      <c r="H335" s="2"/>
      <c r="I335" s="2"/>
      <c r="J335" s="2"/>
      <c r="K335" s="2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2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69"/>
      <c r="AM335" s="69"/>
      <c r="AN335" s="69"/>
      <c r="AO335" s="69"/>
      <c r="AP335" s="69"/>
      <c r="AQ335" s="69"/>
      <c r="AR335" s="69"/>
      <c r="AS335" s="69"/>
      <c r="AT335" s="69"/>
      <c r="AU335" s="1"/>
      <c r="AV335" s="1"/>
    </row>
    <row r="336" spans="1:48" ht="15.75" customHeight="1" x14ac:dyDescent="0.25">
      <c r="A336" s="1"/>
      <c r="B336" s="2"/>
      <c r="C336" s="3"/>
      <c r="D336" s="2"/>
      <c r="E336" s="52"/>
      <c r="F336" s="52"/>
      <c r="G336" s="52"/>
      <c r="H336" s="2"/>
      <c r="I336" s="2"/>
      <c r="J336" s="2"/>
      <c r="K336" s="2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2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69"/>
      <c r="AM336" s="69"/>
      <c r="AN336" s="69"/>
      <c r="AO336" s="69"/>
      <c r="AP336" s="69"/>
      <c r="AQ336" s="69"/>
      <c r="AR336" s="69"/>
      <c r="AS336" s="69"/>
      <c r="AT336" s="69"/>
      <c r="AU336" s="1"/>
      <c r="AV336" s="1"/>
    </row>
    <row r="337" spans="1:48" ht="15.75" customHeight="1" x14ac:dyDescent="0.25">
      <c r="A337" s="1"/>
      <c r="B337" s="2"/>
      <c r="C337" s="3"/>
      <c r="D337" s="2"/>
      <c r="E337" s="52"/>
      <c r="F337" s="52"/>
      <c r="G337" s="52"/>
      <c r="H337" s="2"/>
      <c r="I337" s="2"/>
      <c r="J337" s="2"/>
      <c r="K337" s="2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2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69"/>
      <c r="AM337" s="69"/>
      <c r="AN337" s="69"/>
      <c r="AO337" s="69"/>
      <c r="AP337" s="69"/>
      <c r="AQ337" s="69"/>
      <c r="AR337" s="69"/>
      <c r="AS337" s="69"/>
      <c r="AT337" s="69"/>
      <c r="AU337" s="1"/>
      <c r="AV337" s="1"/>
    </row>
    <row r="338" spans="1:48" ht="15.75" customHeight="1" x14ac:dyDescent="0.25">
      <c r="A338" s="1"/>
      <c r="B338" s="2"/>
      <c r="C338" s="3"/>
      <c r="D338" s="2"/>
      <c r="E338" s="52"/>
      <c r="F338" s="52"/>
      <c r="G338" s="52"/>
      <c r="H338" s="2"/>
      <c r="I338" s="2"/>
      <c r="J338" s="2"/>
      <c r="K338" s="2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2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69"/>
      <c r="AM338" s="69"/>
      <c r="AN338" s="69"/>
      <c r="AO338" s="69"/>
      <c r="AP338" s="69"/>
      <c r="AQ338" s="69"/>
      <c r="AR338" s="69"/>
      <c r="AS338" s="69"/>
      <c r="AT338" s="69"/>
      <c r="AU338" s="1"/>
      <c r="AV338" s="1"/>
    </row>
    <row r="339" spans="1:48" ht="15.75" customHeight="1" x14ac:dyDescent="0.25">
      <c r="A339" s="1"/>
      <c r="B339" s="2"/>
      <c r="C339" s="3"/>
      <c r="D339" s="2"/>
      <c r="E339" s="52"/>
      <c r="F339" s="52"/>
      <c r="G339" s="52"/>
      <c r="H339" s="2"/>
      <c r="I339" s="2"/>
      <c r="J339" s="2"/>
      <c r="K339" s="2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2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69"/>
      <c r="AM339" s="69"/>
      <c r="AN339" s="69"/>
      <c r="AO339" s="69"/>
      <c r="AP339" s="69"/>
      <c r="AQ339" s="69"/>
      <c r="AR339" s="69"/>
      <c r="AS339" s="69"/>
      <c r="AT339" s="69"/>
      <c r="AU339" s="1"/>
      <c r="AV339" s="1"/>
    </row>
    <row r="340" spans="1:48" ht="15.75" customHeight="1" x14ac:dyDescent="0.25">
      <c r="A340" s="1"/>
      <c r="B340" s="2"/>
      <c r="C340" s="3"/>
      <c r="D340" s="2"/>
      <c r="E340" s="52"/>
      <c r="F340" s="52"/>
      <c r="G340" s="52"/>
      <c r="H340" s="2"/>
      <c r="I340" s="2"/>
      <c r="J340" s="2"/>
      <c r="K340" s="2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2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69"/>
      <c r="AM340" s="69"/>
      <c r="AN340" s="69"/>
      <c r="AO340" s="69"/>
      <c r="AP340" s="69"/>
      <c r="AQ340" s="69"/>
      <c r="AR340" s="69"/>
      <c r="AS340" s="69"/>
      <c r="AT340" s="69"/>
      <c r="AU340" s="1"/>
      <c r="AV340" s="1"/>
    </row>
    <row r="341" spans="1:48" ht="15.75" customHeight="1" x14ac:dyDescent="0.25">
      <c r="A341" s="1"/>
      <c r="B341" s="2"/>
      <c r="C341" s="3"/>
      <c r="D341" s="2"/>
      <c r="E341" s="52"/>
      <c r="F341" s="52"/>
      <c r="G341" s="52"/>
      <c r="H341" s="2"/>
      <c r="I341" s="2"/>
      <c r="J341" s="2"/>
      <c r="K341" s="2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2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69"/>
      <c r="AM341" s="69"/>
      <c r="AN341" s="69"/>
      <c r="AO341" s="69"/>
      <c r="AP341" s="69"/>
      <c r="AQ341" s="69"/>
      <c r="AR341" s="69"/>
      <c r="AS341" s="69"/>
      <c r="AT341" s="69"/>
      <c r="AU341" s="1"/>
      <c r="AV341" s="1"/>
    </row>
    <row r="342" spans="1:48" ht="15.75" customHeight="1" x14ac:dyDescent="0.25">
      <c r="A342" s="1"/>
      <c r="B342" s="2"/>
      <c r="C342" s="3"/>
      <c r="D342" s="2"/>
      <c r="E342" s="52"/>
      <c r="F342" s="52"/>
      <c r="G342" s="52"/>
      <c r="H342" s="2"/>
      <c r="I342" s="2"/>
      <c r="J342" s="2"/>
      <c r="K342" s="2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2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69"/>
      <c r="AM342" s="69"/>
      <c r="AN342" s="69"/>
      <c r="AO342" s="69"/>
      <c r="AP342" s="69"/>
      <c r="AQ342" s="69"/>
      <c r="AR342" s="69"/>
      <c r="AS342" s="69"/>
      <c r="AT342" s="69"/>
      <c r="AU342" s="1"/>
      <c r="AV342" s="1"/>
    </row>
    <row r="343" spans="1:48" ht="15.75" customHeight="1" x14ac:dyDescent="0.25">
      <c r="A343" s="1"/>
      <c r="B343" s="2"/>
      <c r="C343" s="3"/>
      <c r="D343" s="2"/>
      <c r="E343" s="52"/>
      <c r="F343" s="52"/>
      <c r="G343" s="52"/>
      <c r="H343" s="2"/>
      <c r="I343" s="2"/>
      <c r="J343" s="2"/>
      <c r="K343" s="2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2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69"/>
      <c r="AM343" s="69"/>
      <c r="AN343" s="69"/>
      <c r="AO343" s="69"/>
      <c r="AP343" s="69"/>
      <c r="AQ343" s="69"/>
      <c r="AR343" s="69"/>
      <c r="AS343" s="69"/>
      <c r="AT343" s="69"/>
      <c r="AU343" s="1"/>
      <c r="AV343" s="1"/>
    </row>
    <row r="344" spans="1:48" ht="15.75" customHeight="1" x14ac:dyDescent="0.25">
      <c r="A344" s="1"/>
      <c r="B344" s="2"/>
      <c r="C344" s="3"/>
      <c r="D344" s="2"/>
      <c r="E344" s="52"/>
      <c r="F344" s="52"/>
      <c r="G344" s="52"/>
      <c r="H344" s="2"/>
      <c r="I344" s="2"/>
      <c r="J344" s="2"/>
      <c r="K344" s="2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2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69"/>
      <c r="AM344" s="69"/>
      <c r="AN344" s="69"/>
      <c r="AO344" s="69"/>
      <c r="AP344" s="69"/>
      <c r="AQ344" s="69"/>
      <c r="AR344" s="69"/>
      <c r="AS344" s="69"/>
      <c r="AT344" s="69"/>
      <c r="AU344" s="1"/>
      <c r="AV344" s="1"/>
    </row>
    <row r="345" spans="1:48" ht="15.75" customHeight="1" x14ac:dyDescent="0.25">
      <c r="A345" s="1"/>
      <c r="B345" s="2"/>
      <c r="C345" s="3"/>
      <c r="D345" s="2"/>
      <c r="E345" s="52"/>
      <c r="F345" s="52"/>
      <c r="G345" s="52"/>
      <c r="H345" s="2"/>
      <c r="I345" s="2"/>
      <c r="J345" s="2"/>
      <c r="K345" s="2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2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69"/>
      <c r="AM345" s="69"/>
      <c r="AN345" s="69"/>
      <c r="AO345" s="69"/>
      <c r="AP345" s="69"/>
      <c r="AQ345" s="69"/>
      <c r="AR345" s="69"/>
      <c r="AS345" s="69"/>
      <c r="AT345" s="69"/>
      <c r="AU345" s="1"/>
      <c r="AV345" s="1"/>
    </row>
    <row r="346" spans="1:48" ht="15.75" customHeight="1" x14ac:dyDescent="0.25">
      <c r="A346" s="1"/>
      <c r="B346" s="2"/>
      <c r="C346" s="3"/>
      <c r="D346" s="2"/>
      <c r="E346" s="52"/>
      <c r="F346" s="52"/>
      <c r="G346" s="52"/>
      <c r="H346" s="2"/>
      <c r="I346" s="2"/>
      <c r="J346" s="2"/>
      <c r="K346" s="2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2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69"/>
      <c r="AM346" s="69"/>
      <c r="AN346" s="69"/>
      <c r="AO346" s="69"/>
      <c r="AP346" s="69"/>
      <c r="AQ346" s="69"/>
      <c r="AR346" s="69"/>
      <c r="AS346" s="69"/>
      <c r="AT346" s="69"/>
      <c r="AU346" s="1"/>
      <c r="AV346" s="1"/>
    </row>
    <row r="347" spans="1:48" ht="15.75" customHeight="1" x14ac:dyDescent="0.25">
      <c r="A347" s="1"/>
      <c r="B347" s="2"/>
      <c r="C347" s="3"/>
      <c r="D347" s="2"/>
      <c r="E347" s="52"/>
      <c r="F347" s="52"/>
      <c r="G347" s="52"/>
      <c r="H347" s="2"/>
      <c r="I347" s="2"/>
      <c r="J347" s="2"/>
      <c r="K347" s="2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2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69"/>
      <c r="AM347" s="69"/>
      <c r="AN347" s="69"/>
      <c r="AO347" s="69"/>
      <c r="AP347" s="69"/>
      <c r="AQ347" s="69"/>
      <c r="AR347" s="69"/>
      <c r="AS347" s="69"/>
      <c r="AT347" s="69"/>
      <c r="AU347" s="1"/>
      <c r="AV347" s="1"/>
    </row>
    <row r="348" spans="1:48" ht="15.75" customHeight="1" x14ac:dyDescent="0.25">
      <c r="A348" s="1"/>
      <c r="B348" s="2"/>
      <c r="C348" s="3"/>
      <c r="D348" s="2"/>
      <c r="E348" s="52"/>
      <c r="F348" s="52"/>
      <c r="G348" s="52"/>
      <c r="H348" s="2"/>
      <c r="I348" s="2"/>
      <c r="J348" s="2"/>
      <c r="K348" s="2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2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69"/>
      <c r="AM348" s="69"/>
      <c r="AN348" s="69"/>
      <c r="AO348" s="69"/>
      <c r="AP348" s="69"/>
      <c r="AQ348" s="69"/>
      <c r="AR348" s="69"/>
      <c r="AS348" s="69"/>
      <c r="AT348" s="69"/>
      <c r="AU348" s="1"/>
      <c r="AV348" s="1"/>
    </row>
    <row r="349" spans="1:48" ht="15.75" customHeight="1" x14ac:dyDescent="0.25">
      <c r="A349" s="1"/>
      <c r="B349" s="2"/>
      <c r="C349" s="3"/>
      <c r="D349" s="2"/>
      <c r="E349" s="52"/>
      <c r="F349" s="52"/>
      <c r="G349" s="52"/>
      <c r="H349" s="2"/>
      <c r="I349" s="2"/>
      <c r="J349" s="2"/>
      <c r="K349" s="2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2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69"/>
      <c r="AM349" s="69"/>
      <c r="AN349" s="69"/>
      <c r="AO349" s="69"/>
      <c r="AP349" s="69"/>
      <c r="AQ349" s="69"/>
      <c r="AR349" s="69"/>
      <c r="AS349" s="69"/>
      <c r="AT349" s="69"/>
      <c r="AU349" s="1"/>
      <c r="AV349" s="1"/>
    </row>
    <row r="350" spans="1:48" ht="15.75" customHeight="1" x14ac:dyDescent="0.25">
      <c r="A350" s="1"/>
      <c r="B350" s="2"/>
      <c r="C350" s="3"/>
      <c r="D350" s="2"/>
      <c r="E350" s="52"/>
      <c r="F350" s="52"/>
      <c r="G350" s="52"/>
      <c r="H350" s="2"/>
      <c r="I350" s="2"/>
      <c r="J350" s="2"/>
      <c r="K350" s="2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2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69"/>
      <c r="AM350" s="69"/>
      <c r="AN350" s="69"/>
      <c r="AO350" s="69"/>
      <c r="AP350" s="69"/>
      <c r="AQ350" s="69"/>
      <c r="AR350" s="69"/>
      <c r="AS350" s="69"/>
      <c r="AT350" s="69"/>
      <c r="AU350" s="1"/>
      <c r="AV350" s="1"/>
    </row>
    <row r="351" spans="1:48" ht="15.75" customHeight="1" x14ac:dyDescent="0.25">
      <c r="A351" s="1"/>
      <c r="B351" s="2"/>
      <c r="C351" s="3"/>
      <c r="D351" s="2"/>
      <c r="E351" s="52"/>
      <c r="F351" s="52"/>
      <c r="G351" s="52"/>
      <c r="H351" s="2"/>
      <c r="I351" s="2"/>
      <c r="J351" s="2"/>
      <c r="K351" s="2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2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69"/>
      <c r="AM351" s="69"/>
      <c r="AN351" s="69"/>
      <c r="AO351" s="69"/>
      <c r="AP351" s="69"/>
      <c r="AQ351" s="69"/>
      <c r="AR351" s="69"/>
      <c r="AS351" s="69"/>
      <c r="AT351" s="69"/>
      <c r="AU351" s="1"/>
      <c r="AV351" s="1"/>
    </row>
    <row r="352" spans="1:48" ht="15.75" customHeight="1" x14ac:dyDescent="0.25">
      <c r="A352" s="1"/>
      <c r="B352" s="2"/>
      <c r="C352" s="3"/>
      <c r="D352" s="2"/>
      <c r="E352" s="52"/>
      <c r="F352" s="52"/>
      <c r="G352" s="52"/>
      <c r="H352" s="2"/>
      <c r="I352" s="2"/>
      <c r="J352" s="2"/>
      <c r="K352" s="2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2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69"/>
      <c r="AM352" s="69"/>
      <c r="AN352" s="69"/>
      <c r="AO352" s="69"/>
      <c r="AP352" s="69"/>
      <c r="AQ352" s="69"/>
      <c r="AR352" s="69"/>
      <c r="AS352" s="69"/>
      <c r="AT352" s="69"/>
      <c r="AU352" s="1"/>
      <c r="AV352" s="1"/>
    </row>
    <row r="353" spans="1:48" ht="15.75" customHeight="1" x14ac:dyDescent="0.25">
      <c r="A353" s="1"/>
      <c r="B353" s="2"/>
      <c r="C353" s="3"/>
      <c r="D353" s="2"/>
      <c r="E353" s="52"/>
      <c r="F353" s="52"/>
      <c r="G353" s="52"/>
      <c r="H353" s="2"/>
      <c r="I353" s="2"/>
      <c r="J353" s="2"/>
      <c r="K353" s="2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2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69"/>
      <c r="AM353" s="69"/>
      <c r="AN353" s="69"/>
      <c r="AO353" s="69"/>
      <c r="AP353" s="69"/>
      <c r="AQ353" s="69"/>
      <c r="AR353" s="69"/>
      <c r="AS353" s="69"/>
      <c r="AT353" s="69"/>
      <c r="AU353" s="1"/>
      <c r="AV353" s="1"/>
    </row>
    <row r="354" spans="1:48" ht="15.75" customHeight="1" x14ac:dyDescent="0.25">
      <c r="A354" s="1"/>
      <c r="B354" s="2"/>
      <c r="C354" s="3"/>
      <c r="D354" s="2"/>
      <c r="E354" s="52"/>
      <c r="F354" s="52"/>
      <c r="G354" s="52"/>
      <c r="H354" s="2"/>
      <c r="I354" s="2"/>
      <c r="J354" s="2"/>
      <c r="K354" s="2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2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69"/>
      <c r="AM354" s="69"/>
      <c r="AN354" s="69"/>
      <c r="AO354" s="69"/>
      <c r="AP354" s="69"/>
      <c r="AQ354" s="69"/>
      <c r="AR354" s="69"/>
      <c r="AS354" s="69"/>
      <c r="AT354" s="69"/>
      <c r="AU354" s="1"/>
      <c r="AV354" s="1"/>
    </row>
    <row r="355" spans="1:48" ht="15.75" customHeight="1" x14ac:dyDescent="0.25">
      <c r="A355" s="1"/>
      <c r="B355" s="2"/>
      <c r="C355" s="3"/>
      <c r="D355" s="2"/>
      <c r="E355" s="52"/>
      <c r="F355" s="52"/>
      <c r="G355" s="52"/>
      <c r="H355" s="2"/>
      <c r="I355" s="2"/>
      <c r="J355" s="2"/>
      <c r="K355" s="2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2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69"/>
      <c r="AM355" s="69"/>
      <c r="AN355" s="69"/>
      <c r="AO355" s="69"/>
      <c r="AP355" s="69"/>
      <c r="AQ355" s="69"/>
      <c r="AR355" s="69"/>
      <c r="AS355" s="69"/>
      <c r="AT355" s="69"/>
      <c r="AU355" s="1"/>
      <c r="AV355" s="1"/>
    </row>
    <row r="356" spans="1:48" ht="15.75" customHeight="1" x14ac:dyDescent="0.25">
      <c r="A356" s="1"/>
      <c r="B356" s="2"/>
      <c r="C356" s="3"/>
      <c r="D356" s="2"/>
      <c r="E356" s="52"/>
      <c r="F356" s="52"/>
      <c r="G356" s="52"/>
      <c r="H356" s="2"/>
      <c r="I356" s="2"/>
      <c r="J356" s="2"/>
      <c r="K356" s="2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2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69"/>
      <c r="AM356" s="69"/>
      <c r="AN356" s="69"/>
      <c r="AO356" s="69"/>
      <c r="AP356" s="69"/>
      <c r="AQ356" s="69"/>
      <c r="AR356" s="69"/>
      <c r="AS356" s="69"/>
      <c r="AT356" s="69"/>
      <c r="AU356" s="1"/>
      <c r="AV356" s="1"/>
    </row>
    <row r="357" spans="1:48" ht="15.75" customHeight="1" x14ac:dyDescent="0.25">
      <c r="A357" s="1"/>
      <c r="B357" s="2"/>
      <c r="C357" s="3"/>
      <c r="D357" s="2"/>
      <c r="E357" s="52"/>
      <c r="F357" s="52"/>
      <c r="G357" s="52"/>
      <c r="H357" s="2"/>
      <c r="I357" s="2"/>
      <c r="J357" s="2"/>
      <c r="K357" s="2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2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69"/>
      <c r="AM357" s="69"/>
      <c r="AN357" s="69"/>
      <c r="AO357" s="69"/>
      <c r="AP357" s="69"/>
      <c r="AQ357" s="69"/>
      <c r="AR357" s="69"/>
      <c r="AS357" s="69"/>
      <c r="AT357" s="69"/>
      <c r="AU357" s="1"/>
      <c r="AV357" s="1"/>
    </row>
    <row r="358" spans="1:48" ht="15.75" customHeight="1" x14ac:dyDescent="0.25">
      <c r="A358" s="1"/>
      <c r="B358" s="2"/>
      <c r="C358" s="3"/>
      <c r="D358" s="2"/>
      <c r="E358" s="52"/>
      <c r="F358" s="52"/>
      <c r="G358" s="52"/>
      <c r="H358" s="2"/>
      <c r="I358" s="2"/>
      <c r="J358" s="2"/>
      <c r="K358" s="2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2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69"/>
      <c r="AM358" s="69"/>
      <c r="AN358" s="69"/>
      <c r="AO358" s="69"/>
      <c r="AP358" s="69"/>
      <c r="AQ358" s="69"/>
      <c r="AR358" s="69"/>
      <c r="AS358" s="69"/>
      <c r="AT358" s="69"/>
      <c r="AU358" s="1"/>
      <c r="AV358" s="1"/>
    </row>
    <row r="359" spans="1:48" ht="15.75" customHeight="1" x14ac:dyDescent="0.25">
      <c r="A359" s="1"/>
      <c r="B359" s="2"/>
      <c r="C359" s="3"/>
      <c r="D359" s="2"/>
      <c r="E359" s="52"/>
      <c r="F359" s="52"/>
      <c r="G359" s="52"/>
      <c r="H359" s="2"/>
      <c r="I359" s="2"/>
      <c r="J359" s="2"/>
      <c r="K359" s="2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2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69"/>
      <c r="AM359" s="69"/>
      <c r="AN359" s="69"/>
      <c r="AO359" s="69"/>
      <c r="AP359" s="69"/>
      <c r="AQ359" s="69"/>
      <c r="AR359" s="69"/>
      <c r="AS359" s="69"/>
      <c r="AT359" s="69"/>
      <c r="AU359" s="1"/>
      <c r="AV359" s="1"/>
    </row>
    <row r="360" spans="1:48" ht="15.75" customHeight="1" x14ac:dyDescent="0.25">
      <c r="A360" s="1"/>
      <c r="B360" s="2"/>
      <c r="C360" s="3"/>
      <c r="D360" s="2"/>
      <c r="E360" s="52"/>
      <c r="F360" s="52"/>
      <c r="G360" s="52"/>
      <c r="H360" s="2"/>
      <c r="I360" s="2"/>
      <c r="J360" s="2"/>
      <c r="K360" s="2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2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69"/>
      <c r="AM360" s="69"/>
      <c r="AN360" s="69"/>
      <c r="AO360" s="69"/>
      <c r="AP360" s="69"/>
      <c r="AQ360" s="69"/>
      <c r="AR360" s="69"/>
      <c r="AS360" s="69"/>
      <c r="AT360" s="69"/>
      <c r="AU360" s="1"/>
      <c r="AV360" s="1"/>
    </row>
    <row r="361" spans="1:48" ht="15.75" customHeight="1" x14ac:dyDescent="0.25">
      <c r="A361" s="1"/>
      <c r="B361" s="2"/>
      <c r="C361" s="3"/>
      <c r="D361" s="2"/>
      <c r="E361" s="52"/>
      <c r="F361" s="52"/>
      <c r="G361" s="52"/>
      <c r="H361" s="2"/>
      <c r="I361" s="2"/>
      <c r="J361" s="2"/>
      <c r="K361" s="2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2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69"/>
      <c r="AM361" s="69"/>
      <c r="AN361" s="69"/>
      <c r="AO361" s="69"/>
      <c r="AP361" s="69"/>
      <c r="AQ361" s="69"/>
      <c r="AR361" s="69"/>
      <c r="AS361" s="69"/>
      <c r="AT361" s="69"/>
      <c r="AU361" s="1"/>
      <c r="AV361" s="1"/>
    </row>
    <row r="362" spans="1:48" ht="15.75" customHeight="1" x14ac:dyDescent="0.25">
      <c r="A362" s="1"/>
      <c r="B362" s="2"/>
      <c r="C362" s="3"/>
      <c r="D362" s="2"/>
      <c r="E362" s="52"/>
      <c r="F362" s="52"/>
      <c r="G362" s="52"/>
      <c r="H362" s="2"/>
      <c r="I362" s="2"/>
      <c r="J362" s="2"/>
      <c r="K362" s="2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2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69"/>
      <c r="AM362" s="69"/>
      <c r="AN362" s="69"/>
      <c r="AO362" s="69"/>
      <c r="AP362" s="69"/>
      <c r="AQ362" s="69"/>
      <c r="AR362" s="69"/>
      <c r="AS362" s="69"/>
      <c r="AT362" s="69"/>
      <c r="AU362" s="1"/>
      <c r="AV362" s="1"/>
    </row>
    <row r="363" spans="1:48" ht="15.75" customHeight="1" x14ac:dyDescent="0.25">
      <c r="A363" s="1"/>
      <c r="B363" s="2"/>
      <c r="C363" s="3"/>
      <c r="D363" s="2"/>
      <c r="E363" s="52"/>
      <c r="F363" s="52"/>
      <c r="G363" s="52"/>
      <c r="H363" s="2"/>
      <c r="I363" s="2"/>
      <c r="J363" s="2"/>
      <c r="K363" s="2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2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69"/>
      <c r="AM363" s="69"/>
      <c r="AN363" s="69"/>
      <c r="AO363" s="69"/>
      <c r="AP363" s="69"/>
      <c r="AQ363" s="69"/>
      <c r="AR363" s="69"/>
      <c r="AS363" s="69"/>
      <c r="AT363" s="69"/>
      <c r="AU363" s="1"/>
      <c r="AV363" s="1"/>
    </row>
    <row r="364" spans="1:48" ht="15.75" customHeight="1" x14ac:dyDescent="0.25">
      <c r="A364" s="1"/>
      <c r="B364" s="2"/>
      <c r="C364" s="3"/>
      <c r="D364" s="2"/>
      <c r="E364" s="52"/>
      <c r="F364" s="52"/>
      <c r="G364" s="52"/>
      <c r="H364" s="2"/>
      <c r="I364" s="2"/>
      <c r="J364" s="2"/>
      <c r="K364" s="2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2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69"/>
      <c r="AM364" s="69"/>
      <c r="AN364" s="69"/>
      <c r="AO364" s="69"/>
      <c r="AP364" s="69"/>
      <c r="AQ364" s="69"/>
      <c r="AR364" s="69"/>
      <c r="AS364" s="69"/>
      <c r="AT364" s="69"/>
      <c r="AU364" s="1"/>
      <c r="AV364" s="1"/>
    </row>
    <row r="365" spans="1:48" ht="15.75" customHeight="1" x14ac:dyDescent="0.25">
      <c r="A365" s="1"/>
      <c r="B365" s="2"/>
      <c r="C365" s="3"/>
      <c r="D365" s="2"/>
      <c r="E365" s="52"/>
      <c r="F365" s="52"/>
      <c r="G365" s="52"/>
      <c r="H365" s="2"/>
      <c r="I365" s="2"/>
      <c r="J365" s="2"/>
      <c r="K365" s="2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2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69"/>
      <c r="AM365" s="69"/>
      <c r="AN365" s="69"/>
      <c r="AO365" s="69"/>
      <c r="AP365" s="69"/>
      <c r="AQ365" s="69"/>
      <c r="AR365" s="69"/>
      <c r="AS365" s="69"/>
      <c r="AT365" s="69"/>
      <c r="AU365" s="1"/>
      <c r="AV365" s="1"/>
    </row>
    <row r="366" spans="1:48" ht="15.75" customHeight="1" x14ac:dyDescent="0.25">
      <c r="A366" s="1"/>
      <c r="B366" s="2"/>
      <c r="C366" s="3"/>
      <c r="D366" s="2"/>
      <c r="E366" s="52"/>
      <c r="F366" s="52"/>
      <c r="G366" s="52"/>
      <c r="H366" s="2"/>
      <c r="I366" s="2"/>
      <c r="J366" s="2"/>
      <c r="K366" s="2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2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69"/>
      <c r="AM366" s="69"/>
      <c r="AN366" s="69"/>
      <c r="AO366" s="69"/>
      <c r="AP366" s="69"/>
      <c r="AQ366" s="69"/>
      <c r="AR366" s="69"/>
      <c r="AS366" s="69"/>
      <c r="AT366" s="69"/>
      <c r="AU366" s="1"/>
      <c r="AV366" s="1"/>
    </row>
    <row r="367" spans="1:48" ht="15.75" customHeight="1" x14ac:dyDescent="0.25">
      <c r="A367" s="1"/>
      <c r="B367" s="2"/>
      <c r="C367" s="3"/>
      <c r="D367" s="2"/>
      <c r="E367" s="52"/>
      <c r="F367" s="52"/>
      <c r="G367" s="52"/>
      <c r="H367" s="2"/>
      <c r="I367" s="2"/>
      <c r="J367" s="2"/>
      <c r="K367" s="2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2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69"/>
      <c r="AM367" s="69"/>
      <c r="AN367" s="69"/>
      <c r="AO367" s="69"/>
      <c r="AP367" s="69"/>
      <c r="AQ367" s="69"/>
      <c r="AR367" s="69"/>
      <c r="AS367" s="69"/>
      <c r="AT367" s="69"/>
      <c r="AU367" s="1"/>
      <c r="AV367" s="1"/>
    </row>
    <row r="368" spans="1:48" ht="15.75" customHeight="1" x14ac:dyDescent="0.25">
      <c r="A368" s="1"/>
      <c r="B368" s="2"/>
      <c r="C368" s="3"/>
      <c r="D368" s="2"/>
      <c r="E368" s="52"/>
      <c r="F368" s="52"/>
      <c r="G368" s="52"/>
      <c r="H368" s="2"/>
      <c r="I368" s="2"/>
      <c r="J368" s="2"/>
      <c r="K368" s="2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2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69"/>
      <c r="AM368" s="69"/>
      <c r="AN368" s="69"/>
      <c r="AO368" s="69"/>
      <c r="AP368" s="69"/>
      <c r="AQ368" s="69"/>
      <c r="AR368" s="69"/>
      <c r="AS368" s="69"/>
      <c r="AT368" s="69"/>
      <c r="AU368" s="1"/>
      <c r="AV368" s="1"/>
    </row>
    <row r="369" spans="1:48" ht="15.75" customHeight="1" x14ac:dyDescent="0.25">
      <c r="A369" s="1"/>
      <c r="B369" s="2"/>
      <c r="C369" s="3"/>
      <c r="D369" s="2"/>
      <c r="E369" s="52"/>
      <c r="F369" s="52"/>
      <c r="G369" s="52"/>
      <c r="H369" s="2"/>
      <c r="I369" s="2"/>
      <c r="J369" s="2"/>
      <c r="K369" s="2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2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69"/>
      <c r="AM369" s="69"/>
      <c r="AN369" s="69"/>
      <c r="AO369" s="69"/>
      <c r="AP369" s="69"/>
      <c r="AQ369" s="69"/>
      <c r="AR369" s="69"/>
      <c r="AS369" s="69"/>
      <c r="AT369" s="69"/>
      <c r="AU369" s="1"/>
      <c r="AV369" s="1"/>
    </row>
    <row r="370" spans="1:48" ht="15.75" customHeight="1" x14ac:dyDescent="0.25">
      <c r="A370" s="1"/>
      <c r="B370" s="2"/>
      <c r="C370" s="3"/>
      <c r="D370" s="2"/>
      <c r="E370" s="52"/>
      <c r="F370" s="52"/>
      <c r="G370" s="52"/>
      <c r="H370" s="2"/>
      <c r="I370" s="2"/>
      <c r="J370" s="2"/>
      <c r="K370" s="2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2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69"/>
      <c r="AM370" s="69"/>
      <c r="AN370" s="69"/>
      <c r="AO370" s="69"/>
      <c r="AP370" s="69"/>
      <c r="AQ370" s="69"/>
      <c r="AR370" s="69"/>
      <c r="AS370" s="69"/>
      <c r="AT370" s="69"/>
      <c r="AU370" s="1"/>
      <c r="AV370" s="1"/>
    </row>
    <row r="371" spans="1:48" ht="15.75" customHeight="1" x14ac:dyDescent="0.25">
      <c r="A371" s="1"/>
      <c r="B371" s="2"/>
      <c r="C371" s="3"/>
      <c r="D371" s="2"/>
      <c r="E371" s="52"/>
      <c r="F371" s="52"/>
      <c r="G371" s="52"/>
      <c r="H371" s="2"/>
      <c r="I371" s="2"/>
      <c r="J371" s="2"/>
      <c r="K371" s="2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2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69"/>
      <c r="AM371" s="69"/>
      <c r="AN371" s="69"/>
      <c r="AO371" s="69"/>
      <c r="AP371" s="69"/>
      <c r="AQ371" s="69"/>
      <c r="AR371" s="69"/>
      <c r="AS371" s="69"/>
      <c r="AT371" s="69"/>
      <c r="AU371" s="1"/>
      <c r="AV371" s="1"/>
    </row>
    <row r="372" spans="1:48" ht="15.75" customHeight="1" x14ac:dyDescent="0.25">
      <c r="A372" s="1"/>
      <c r="B372" s="2"/>
      <c r="C372" s="3"/>
      <c r="D372" s="2"/>
      <c r="E372" s="52"/>
      <c r="F372" s="52"/>
      <c r="G372" s="52"/>
      <c r="H372" s="2"/>
      <c r="I372" s="2"/>
      <c r="J372" s="2"/>
      <c r="K372" s="2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2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69"/>
      <c r="AM372" s="69"/>
      <c r="AN372" s="69"/>
      <c r="AO372" s="69"/>
      <c r="AP372" s="69"/>
      <c r="AQ372" s="69"/>
      <c r="AR372" s="69"/>
      <c r="AS372" s="69"/>
      <c r="AT372" s="69"/>
      <c r="AU372" s="1"/>
      <c r="AV372" s="1"/>
    </row>
    <row r="373" spans="1:48" ht="15.75" customHeight="1" x14ac:dyDescent="0.25">
      <c r="A373" s="1"/>
      <c r="B373" s="2"/>
      <c r="C373" s="3"/>
      <c r="D373" s="2"/>
      <c r="E373" s="52"/>
      <c r="F373" s="52"/>
      <c r="G373" s="52"/>
      <c r="H373" s="2"/>
      <c r="I373" s="2"/>
      <c r="J373" s="2"/>
      <c r="K373" s="2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2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69"/>
      <c r="AM373" s="69"/>
      <c r="AN373" s="69"/>
      <c r="AO373" s="69"/>
      <c r="AP373" s="69"/>
      <c r="AQ373" s="69"/>
      <c r="AR373" s="69"/>
      <c r="AS373" s="69"/>
      <c r="AT373" s="69"/>
      <c r="AU373" s="1"/>
      <c r="AV373" s="1"/>
    </row>
    <row r="374" spans="1:48" ht="15.75" customHeight="1" x14ac:dyDescent="0.25">
      <c r="A374" s="1"/>
      <c r="B374" s="2"/>
      <c r="C374" s="3"/>
      <c r="D374" s="2"/>
      <c r="E374" s="52"/>
      <c r="F374" s="52"/>
      <c r="G374" s="52"/>
      <c r="H374" s="2"/>
      <c r="I374" s="2"/>
      <c r="J374" s="2"/>
      <c r="K374" s="2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2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69"/>
      <c r="AM374" s="69"/>
      <c r="AN374" s="69"/>
      <c r="AO374" s="69"/>
      <c r="AP374" s="69"/>
      <c r="AQ374" s="69"/>
      <c r="AR374" s="69"/>
      <c r="AS374" s="69"/>
      <c r="AT374" s="69"/>
      <c r="AU374" s="1"/>
      <c r="AV374" s="1"/>
    </row>
    <row r="375" spans="1:48" ht="15.75" customHeight="1" x14ac:dyDescent="0.25">
      <c r="A375" s="1"/>
      <c r="B375" s="2"/>
      <c r="C375" s="3"/>
      <c r="D375" s="2"/>
      <c r="E375" s="52"/>
      <c r="F375" s="52"/>
      <c r="G375" s="52"/>
      <c r="H375" s="2"/>
      <c r="I375" s="2"/>
      <c r="J375" s="2"/>
      <c r="K375" s="2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2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69"/>
      <c r="AM375" s="69"/>
      <c r="AN375" s="69"/>
      <c r="AO375" s="69"/>
      <c r="AP375" s="69"/>
      <c r="AQ375" s="69"/>
      <c r="AR375" s="69"/>
      <c r="AS375" s="69"/>
      <c r="AT375" s="69"/>
      <c r="AU375" s="1"/>
      <c r="AV375" s="1"/>
    </row>
    <row r="376" spans="1:48" ht="15.75" customHeight="1" x14ac:dyDescent="0.25">
      <c r="A376" s="1"/>
      <c r="B376" s="2"/>
      <c r="C376" s="3"/>
      <c r="D376" s="2"/>
      <c r="E376" s="52"/>
      <c r="F376" s="52"/>
      <c r="G376" s="52"/>
      <c r="H376" s="2"/>
      <c r="I376" s="2"/>
      <c r="J376" s="2"/>
      <c r="K376" s="2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2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69"/>
      <c r="AM376" s="69"/>
      <c r="AN376" s="69"/>
      <c r="AO376" s="69"/>
      <c r="AP376" s="69"/>
      <c r="AQ376" s="69"/>
      <c r="AR376" s="69"/>
      <c r="AS376" s="69"/>
      <c r="AT376" s="69"/>
      <c r="AU376" s="1"/>
      <c r="AV376" s="1"/>
    </row>
    <row r="377" spans="1:48" ht="15.75" customHeight="1" x14ac:dyDescent="0.25">
      <c r="A377" s="1"/>
      <c r="B377" s="2"/>
      <c r="C377" s="3"/>
      <c r="D377" s="2"/>
      <c r="E377" s="52"/>
      <c r="F377" s="52"/>
      <c r="G377" s="52"/>
      <c r="H377" s="2"/>
      <c r="I377" s="2"/>
      <c r="J377" s="2"/>
      <c r="K377" s="2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2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69"/>
      <c r="AM377" s="69"/>
      <c r="AN377" s="69"/>
      <c r="AO377" s="69"/>
      <c r="AP377" s="69"/>
      <c r="AQ377" s="69"/>
      <c r="AR377" s="69"/>
      <c r="AS377" s="69"/>
      <c r="AT377" s="69"/>
      <c r="AU377" s="1"/>
      <c r="AV377" s="1"/>
    </row>
    <row r="378" spans="1:48" ht="15.75" customHeight="1" x14ac:dyDescent="0.25">
      <c r="A378" s="1"/>
      <c r="B378" s="2"/>
      <c r="C378" s="3"/>
      <c r="D378" s="2"/>
      <c r="E378" s="52"/>
      <c r="F378" s="52"/>
      <c r="G378" s="52"/>
      <c r="H378" s="2"/>
      <c r="I378" s="2"/>
      <c r="J378" s="2"/>
      <c r="K378" s="2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2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69"/>
      <c r="AM378" s="69"/>
      <c r="AN378" s="69"/>
      <c r="AO378" s="69"/>
      <c r="AP378" s="69"/>
      <c r="AQ378" s="69"/>
      <c r="AR378" s="69"/>
      <c r="AS378" s="69"/>
      <c r="AT378" s="69"/>
      <c r="AU378" s="1"/>
      <c r="AV378" s="1"/>
    </row>
    <row r="379" spans="1:48" ht="15.75" customHeight="1" x14ac:dyDescent="0.25">
      <c r="A379" s="1"/>
      <c r="B379" s="2"/>
      <c r="C379" s="3"/>
      <c r="D379" s="2"/>
      <c r="E379" s="52"/>
      <c r="F379" s="52"/>
      <c r="G379" s="52"/>
      <c r="H379" s="2"/>
      <c r="I379" s="2"/>
      <c r="J379" s="2"/>
      <c r="K379" s="2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2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69"/>
      <c r="AM379" s="69"/>
      <c r="AN379" s="69"/>
      <c r="AO379" s="69"/>
      <c r="AP379" s="69"/>
      <c r="AQ379" s="69"/>
      <c r="AR379" s="69"/>
      <c r="AS379" s="69"/>
      <c r="AT379" s="69"/>
      <c r="AU379" s="1"/>
      <c r="AV379" s="1"/>
    </row>
    <row r="380" spans="1:48" ht="15.75" customHeight="1" x14ac:dyDescent="0.25">
      <c r="A380" s="1"/>
      <c r="B380" s="2"/>
      <c r="C380" s="3"/>
      <c r="D380" s="2"/>
      <c r="E380" s="52"/>
      <c r="F380" s="52"/>
      <c r="G380" s="52"/>
      <c r="H380" s="2"/>
      <c r="I380" s="2"/>
      <c r="J380" s="2"/>
      <c r="K380" s="2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2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69"/>
      <c r="AM380" s="69"/>
      <c r="AN380" s="69"/>
      <c r="AO380" s="69"/>
      <c r="AP380" s="69"/>
      <c r="AQ380" s="69"/>
      <c r="AR380" s="69"/>
      <c r="AS380" s="69"/>
      <c r="AT380" s="69"/>
      <c r="AU380" s="1"/>
      <c r="AV380" s="1"/>
    </row>
    <row r="381" spans="1:48" ht="15.75" customHeight="1" x14ac:dyDescent="0.25">
      <c r="A381" s="1"/>
      <c r="B381" s="2"/>
      <c r="C381" s="3"/>
      <c r="D381" s="2"/>
      <c r="E381" s="52"/>
      <c r="F381" s="52"/>
      <c r="G381" s="52"/>
      <c r="H381" s="2"/>
      <c r="I381" s="2"/>
      <c r="J381" s="2"/>
      <c r="K381" s="2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2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69"/>
      <c r="AM381" s="69"/>
      <c r="AN381" s="69"/>
      <c r="AO381" s="69"/>
      <c r="AP381" s="69"/>
      <c r="AQ381" s="69"/>
      <c r="AR381" s="69"/>
      <c r="AS381" s="69"/>
      <c r="AT381" s="69"/>
      <c r="AU381" s="1"/>
      <c r="AV381" s="1"/>
    </row>
    <row r="382" spans="1:48" ht="15.75" customHeight="1" x14ac:dyDescent="0.25">
      <c r="A382" s="1"/>
      <c r="B382" s="2"/>
      <c r="C382" s="3"/>
      <c r="D382" s="2"/>
      <c r="E382" s="52"/>
      <c r="F382" s="52"/>
      <c r="G382" s="52"/>
      <c r="H382" s="2"/>
      <c r="I382" s="2"/>
      <c r="J382" s="2"/>
      <c r="K382" s="2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2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69"/>
      <c r="AM382" s="69"/>
      <c r="AN382" s="69"/>
      <c r="AO382" s="69"/>
      <c r="AP382" s="69"/>
      <c r="AQ382" s="69"/>
      <c r="AR382" s="69"/>
      <c r="AS382" s="69"/>
      <c r="AT382" s="69"/>
      <c r="AU382" s="1"/>
      <c r="AV382" s="1"/>
    </row>
    <row r="383" spans="1:48" ht="15.75" customHeight="1" x14ac:dyDescent="0.25">
      <c r="A383" s="1"/>
      <c r="B383" s="2"/>
      <c r="C383" s="3"/>
      <c r="D383" s="2"/>
      <c r="E383" s="52"/>
      <c r="F383" s="52"/>
      <c r="G383" s="52"/>
      <c r="H383" s="2"/>
      <c r="I383" s="2"/>
      <c r="J383" s="2"/>
      <c r="K383" s="2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2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69"/>
      <c r="AM383" s="69"/>
      <c r="AN383" s="69"/>
      <c r="AO383" s="69"/>
      <c r="AP383" s="69"/>
      <c r="AQ383" s="69"/>
      <c r="AR383" s="69"/>
      <c r="AS383" s="69"/>
      <c r="AT383" s="69"/>
      <c r="AU383" s="1"/>
      <c r="AV383" s="1"/>
    </row>
    <row r="384" spans="1:48" ht="15.75" customHeight="1" x14ac:dyDescent="0.25">
      <c r="A384" s="1"/>
      <c r="B384" s="2"/>
      <c r="C384" s="3"/>
      <c r="D384" s="2"/>
      <c r="E384" s="52"/>
      <c r="F384" s="52"/>
      <c r="G384" s="52"/>
      <c r="H384" s="2"/>
      <c r="I384" s="2"/>
      <c r="J384" s="2"/>
      <c r="K384" s="2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2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69"/>
      <c r="AM384" s="69"/>
      <c r="AN384" s="69"/>
      <c r="AO384" s="69"/>
      <c r="AP384" s="69"/>
      <c r="AQ384" s="69"/>
      <c r="AR384" s="69"/>
      <c r="AS384" s="69"/>
      <c r="AT384" s="69"/>
      <c r="AU384" s="1"/>
      <c r="AV384" s="1"/>
    </row>
    <row r="385" spans="1:48" ht="15.75" customHeight="1" x14ac:dyDescent="0.25">
      <c r="A385" s="1"/>
      <c r="B385" s="2"/>
      <c r="C385" s="3"/>
      <c r="D385" s="2"/>
      <c r="E385" s="52"/>
      <c r="F385" s="52"/>
      <c r="G385" s="52"/>
      <c r="H385" s="2"/>
      <c r="I385" s="2"/>
      <c r="J385" s="2"/>
      <c r="K385" s="2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2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69"/>
      <c r="AM385" s="69"/>
      <c r="AN385" s="69"/>
      <c r="AO385" s="69"/>
      <c r="AP385" s="69"/>
      <c r="AQ385" s="69"/>
      <c r="AR385" s="69"/>
      <c r="AS385" s="69"/>
      <c r="AT385" s="69"/>
      <c r="AU385" s="1"/>
      <c r="AV385" s="1"/>
    </row>
    <row r="386" spans="1:48" ht="15.75" customHeight="1" x14ac:dyDescent="0.25">
      <c r="A386" s="1"/>
      <c r="B386" s="2"/>
      <c r="C386" s="3"/>
      <c r="D386" s="2"/>
      <c r="E386" s="52"/>
      <c r="F386" s="52"/>
      <c r="G386" s="52"/>
      <c r="H386" s="2"/>
      <c r="I386" s="2"/>
      <c r="J386" s="2"/>
      <c r="K386" s="2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2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69"/>
      <c r="AM386" s="69"/>
      <c r="AN386" s="69"/>
      <c r="AO386" s="69"/>
      <c r="AP386" s="69"/>
      <c r="AQ386" s="69"/>
      <c r="AR386" s="69"/>
      <c r="AS386" s="69"/>
      <c r="AT386" s="69"/>
      <c r="AU386" s="1"/>
      <c r="AV386" s="1"/>
    </row>
    <row r="387" spans="1:48" ht="15.75" customHeight="1" x14ac:dyDescent="0.25">
      <c r="A387" s="1"/>
      <c r="B387" s="2"/>
      <c r="C387" s="3"/>
      <c r="D387" s="2"/>
      <c r="E387" s="52"/>
      <c r="F387" s="52"/>
      <c r="G387" s="52"/>
      <c r="H387" s="2"/>
      <c r="I387" s="2"/>
      <c r="J387" s="2"/>
      <c r="K387" s="2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2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69"/>
      <c r="AM387" s="69"/>
      <c r="AN387" s="69"/>
      <c r="AO387" s="69"/>
      <c r="AP387" s="69"/>
      <c r="AQ387" s="69"/>
      <c r="AR387" s="69"/>
      <c r="AS387" s="69"/>
      <c r="AT387" s="69"/>
      <c r="AU387" s="1"/>
      <c r="AV387" s="1"/>
    </row>
    <row r="388" spans="1:48" ht="15.75" customHeight="1" x14ac:dyDescent="0.25">
      <c r="A388" s="1"/>
      <c r="B388" s="2"/>
      <c r="C388" s="3"/>
      <c r="D388" s="2"/>
      <c r="E388" s="52"/>
      <c r="F388" s="52"/>
      <c r="G388" s="52"/>
      <c r="H388" s="2"/>
      <c r="I388" s="2"/>
      <c r="J388" s="2"/>
      <c r="K388" s="2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2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69"/>
      <c r="AM388" s="69"/>
      <c r="AN388" s="69"/>
      <c r="AO388" s="69"/>
      <c r="AP388" s="69"/>
      <c r="AQ388" s="69"/>
      <c r="AR388" s="69"/>
      <c r="AS388" s="69"/>
      <c r="AT388" s="69"/>
      <c r="AU388" s="1"/>
      <c r="AV388" s="1"/>
    </row>
    <row r="389" spans="1:48" ht="15.75" customHeight="1" x14ac:dyDescent="0.25">
      <c r="A389" s="1"/>
      <c r="B389" s="2"/>
      <c r="C389" s="3"/>
      <c r="D389" s="2"/>
      <c r="E389" s="52"/>
      <c r="F389" s="52"/>
      <c r="G389" s="52"/>
      <c r="H389" s="2"/>
      <c r="I389" s="2"/>
      <c r="J389" s="2"/>
      <c r="K389" s="2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2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69"/>
      <c r="AM389" s="69"/>
      <c r="AN389" s="69"/>
      <c r="AO389" s="69"/>
      <c r="AP389" s="69"/>
      <c r="AQ389" s="69"/>
      <c r="AR389" s="69"/>
      <c r="AS389" s="69"/>
      <c r="AT389" s="69"/>
      <c r="AU389" s="1"/>
      <c r="AV389" s="1"/>
    </row>
    <row r="390" spans="1:48" ht="15.75" customHeight="1" x14ac:dyDescent="0.25">
      <c r="A390" s="1"/>
      <c r="B390" s="2"/>
      <c r="C390" s="3"/>
      <c r="D390" s="2"/>
      <c r="E390" s="52"/>
      <c r="F390" s="52"/>
      <c r="G390" s="52"/>
      <c r="H390" s="2"/>
      <c r="I390" s="2"/>
      <c r="J390" s="2"/>
      <c r="K390" s="2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2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69"/>
      <c r="AM390" s="69"/>
      <c r="AN390" s="69"/>
      <c r="AO390" s="69"/>
      <c r="AP390" s="69"/>
      <c r="AQ390" s="69"/>
      <c r="AR390" s="69"/>
      <c r="AS390" s="69"/>
      <c r="AT390" s="69"/>
      <c r="AU390" s="1"/>
      <c r="AV390" s="1"/>
    </row>
    <row r="391" spans="1:48" ht="15.75" customHeight="1" x14ac:dyDescent="0.25">
      <c r="A391" s="1"/>
      <c r="B391" s="2"/>
      <c r="C391" s="3"/>
      <c r="D391" s="2"/>
      <c r="E391" s="52"/>
      <c r="F391" s="52"/>
      <c r="G391" s="52"/>
      <c r="H391" s="2"/>
      <c r="I391" s="2"/>
      <c r="J391" s="2"/>
      <c r="K391" s="2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2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69"/>
      <c r="AM391" s="69"/>
      <c r="AN391" s="69"/>
      <c r="AO391" s="69"/>
      <c r="AP391" s="69"/>
      <c r="AQ391" s="69"/>
      <c r="AR391" s="69"/>
      <c r="AS391" s="69"/>
      <c r="AT391" s="69"/>
      <c r="AU391" s="1"/>
      <c r="AV391" s="1"/>
    </row>
    <row r="392" spans="1:48" ht="15.75" customHeight="1" x14ac:dyDescent="0.25">
      <c r="A392" s="1"/>
      <c r="B392" s="2"/>
      <c r="C392" s="3"/>
      <c r="D392" s="2"/>
      <c r="E392" s="52"/>
      <c r="F392" s="52"/>
      <c r="G392" s="52"/>
      <c r="H392" s="2"/>
      <c r="I392" s="2"/>
      <c r="J392" s="2"/>
      <c r="K392" s="2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2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69"/>
      <c r="AM392" s="69"/>
      <c r="AN392" s="69"/>
      <c r="AO392" s="69"/>
      <c r="AP392" s="69"/>
      <c r="AQ392" s="69"/>
      <c r="AR392" s="69"/>
      <c r="AS392" s="69"/>
      <c r="AT392" s="69"/>
      <c r="AU392" s="1"/>
      <c r="AV392" s="1"/>
    </row>
    <row r="393" spans="1:48" ht="15.75" customHeight="1" x14ac:dyDescent="0.25">
      <c r="A393" s="1"/>
      <c r="B393" s="2"/>
      <c r="C393" s="3"/>
      <c r="D393" s="2"/>
      <c r="E393" s="52"/>
      <c r="F393" s="52"/>
      <c r="G393" s="52"/>
      <c r="H393" s="2"/>
      <c r="I393" s="2"/>
      <c r="J393" s="2"/>
      <c r="K393" s="2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2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69"/>
      <c r="AM393" s="69"/>
      <c r="AN393" s="69"/>
      <c r="AO393" s="69"/>
      <c r="AP393" s="69"/>
      <c r="AQ393" s="69"/>
      <c r="AR393" s="69"/>
      <c r="AS393" s="69"/>
      <c r="AT393" s="69"/>
      <c r="AU393" s="1"/>
      <c r="AV393" s="1"/>
    </row>
    <row r="394" spans="1:48" ht="15.75" customHeight="1" x14ac:dyDescent="0.25">
      <c r="A394" s="1"/>
      <c r="B394" s="2"/>
      <c r="C394" s="3"/>
      <c r="D394" s="2"/>
      <c r="E394" s="52"/>
      <c r="F394" s="52"/>
      <c r="G394" s="52"/>
      <c r="H394" s="2"/>
      <c r="I394" s="2"/>
      <c r="J394" s="2"/>
      <c r="K394" s="2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2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69"/>
      <c r="AM394" s="69"/>
      <c r="AN394" s="69"/>
      <c r="AO394" s="69"/>
      <c r="AP394" s="69"/>
      <c r="AQ394" s="69"/>
      <c r="AR394" s="69"/>
      <c r="AS394" s="69"/>
      <c r="AT394" s="69"/>
      <c r="AU394" s="1"/>
      <c r="AV394" s="1"/>
    </row>
    <row r="395" spans="1:48" ht="15.75" customHeight="1" x14ac:dyDescent="0.25">
      <c r="A395" s="1"/>
      <c r="B395" s="2"/>
      <c r="C395" s="3"/>
      <c r="D395" s="2"/>
      <c r="E395" s="52"/>
      <c r="F395" s="52"/>
      <c r="G395" s="52"/>
      <c r="H395" s="2"/>
      <c r="I395" s="2"/>
      <c r="J395" s="2"/>
      <c r="K395" s="2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2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69"/>
      <c r="AM395" s="69"/>
      <c r="AN395" s="69"/>
      <c r="AO395" s="69"/>
      <c r="AP395" s="69"/>
      <c r="AQ395" s="69"/>
      <c r="AR395" s="69"/>
      <c r="AS395" s="69"/>
      <c r="AT395" s="69"/>
      <c r="AU395" s="1"/>
      <c r="AV395" s="1"/>
    </row>
    <row r="396" spans="1:48" ht="15.75" customHeight="1" x14ac:dyDescent="0.25">
      <c r="A396" s="1"/>
      <c r="B396" s="2"/>
      <c r="C396" s="3"/>
      <c r="D396" s="2"/>
      <c r="E396" s="52"/>
      <c r="F396" s="52"/>
      <c r="G396" s="52"/>
      <c r="H396" s="2"/>
      <c r="I396" s="2"/>
      <c r="J396" s="2"/>
      <c r="K396" s="2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2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69"/>
      <c r="AM396" s="69"/>
      <c r="AN396" s="69"/>
      <c r="AO396" s="69"/>
      <c r="AP396" s="69"/>
      <c r="AQ396" s="69"/>
      <c r="AR396" s="69"/>
      <c r="AS396" s="69"/>
      <c r="AT396" s="69"/>
      <c r="AU396" s="1"/>
      <c r="AV396" s="1"/>
    </row>
    <row r="397" spans="1:48" ht="15.75" customHeight="1" x14ac:dyDescent="0.25">
      <c r="A397" s="1"/>
      <c r="B397" s="2"/>
      <c r="C397" s="3"/>
      <c r="D397" s="2"/>
      <c r="E397" s="52"/>
      <c r="F397" s="52"/>
      <c r="G397" s="52"/>
      <c r="H397" s="2"/>
      <c r="I397" s="2"/>
      <c r="J397" s="2"/>
      <c r="K397" s="2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2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69"/>
      <c r="AM397" s="69"/>
      <c r="AN397" s="69"/>
      <c r="AO397" s="69"/>
      <c r="AP397" s="69"/>
      <c r="AQ397" s="69"/>
      <c r="AR397" s="69"/>
      <c r="AS397" s="69"/>
      <c r="AT397" s="69"/>
      <c r="AU397" s="1"/>
      <c r="AV397" s="1"/>
    </row>
    <row r="398" spans="1:48" ht="15.75" customHeight="1" x14ac:dyDescent="0.25">
      <c r="A398" s="1"/>
      <c r="B398" s="2"/>
      <c r="C398" s="3"/>
      <c r="D398" s="2"/>
      <c r="E398" s="52"/>
      <c r="F398" s="52"/>
      <c r="G398" s="52"/>
      <c r="H398" s="2"/>
      <c r="I398" s="2"/>
      <c r="J398" s="2"/>
      <c r="K398" s="2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2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69"/>
      <c r="AM398" s="69"/>
      <c r="AN398" s="69"/>
      <c r="AO398" s="69"/>
      <c r="AP398" s="69"/>
      <c r="AQ398" s="69"/>
      <c r="AR398" s="69"/>
      <c r="AS398" s="69"/>
      <c r="AT398" s="69"/>
      <c r="AU398" s="1"/>
      <c r="AV398" s="1"/>
    </row>
    <row r="399" spans="1:48" ht="15.75" customHeight="1" x14ac:dyDescent="0.25">
      <c r="A399" s="1"/>
      <c r="B399" s="2"/>
      <c r="C399" s="3"/>
      <c r="D399" s="2"/>
      <c r="E399" s="52"/>
      <c r="F399" s="52"/>
      <c r="G399" s="52"/>
      <c r="H399" s="2"/>
      <c r="I399" s="2"/>
      <c r="J399" s="2"/>
      <c r="K399" s="2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2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69"/>
      <c r="AM399" s="69"/>
      <c r="AN399" s="69"/>
      <c r="AO399" s="69"/>
      <c r="AP399" s="69"/>
      <c r="AQ399" s="69"/>
      <c r="AR399" s="69"/>
      <c r="AS399" s="69"/>
      <c r="AT399" s="69"/>
      <c r="AU399" s="1"/>
      <c r="AV399" s="1"/>
    </row>
    <row r="400" spans="1:48" ht="15.75" customHeight="1" x14ac:dyDescent="0.25">
      <c r="A400" s="1"/>
      <c r="B400" s="2"/>
      <c r="C400" s="3"/>
      <c r="D400" s="2"/>
      <c r="E400" s="52"/>
      <c r="F400" s="52"/>
      <c r="G400" s="52"/>
      <c r="H400" s="2"/>
      <c r="I400" s="2"/>
      <c r="J400" s="2"/>
      <c r="K400" s="2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2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69"/>
      <c r="AM400" s="69"/>
      <c r="AN400" s="69"/>
      <c r="AO400" s="69"/>
      <c r="AP400" s="69"/>
      <c r="AQ400" s="69"/>
      <c r="AR400" s="69"/>
      <c r="AS400" s="69"/>
      <c r="AT400" s="69"/>
      <c r="AU400" s="1"/>
      <c r="AV400" s="1"/>
    </row>
    <row r="401" spans="1:48" ht="15.75" customHeight="1" x14ac:dyDescent="0.25">
      <c r="A401" s="1"/>
      <c r="B401" s="2"/>
      <c r="C401" s="3"/>
      <c r="D401" s="2"/>
      <c r="E401" s="52"/>
      <c r="F401" s="52"/>
      <c r="G401" s="52"/>
      <c r="H401" s="2"/>
      <c r="I401" s="2"/>
      <c r="J401" s="2"/>
      <c r="K401" s="2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2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69"/>
      <c r="AM401" s="69"/>
      <c r="AN401" s="69"/>
      <c r="AO401" s="69"/>
      <c r="AP401" s="69"/>
      <c r="AQ401" s="69"/>
      <c r="AR401" s="69"/>
      <c r="AS401" s="69"/>
      <c r="AT401" s="69"/>
      <c r="AU401" s="1"/>
      <c r="AV401" s="1"/>
    </row>
    <row r="402" spans="1:48" ht="15.75" customHeight="1" x14ac:dyDescent="0.25">
      <c r="A402" s="1"/>
      <c r="B402" s="2"/>
      <c r="C402" s="3"/>
      <c r="D402" s="2"/>
      <c r="E402" s="52"/>
      <c r="F402" s="52"/>
      <c r="G402" s="52"/>
      <c r="H402" s="2"/>
      <c r="I402" s="2"/>
      <c r="J402" s="2"/>
      <c r="K402" s="2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2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69"/>
      <c r="AM402" s="69"/>
      <c r="AN402" s="69"/>
      <c r="AO402" s="69"/>
      <c r="AP402" s="69"/>
      <c r="AQ402" s="69"/>
      <c r="AR402" s="69"/>
      <c r="AS402" s="69"/>
      <c r="AT402" s="69"/>
      <c r="AU402" s="1"/>
      <c r="AV402" s="1"/>
    </row>
    <row r="403" spans="1:48" ht="15.75" customHeight="1" x14ac:dyDescent="0.25">
      <c r="A403" s="1"/>
      <c r="B403" s="2"/>
      <c r="C403" s="3"/>
      <c r="D403" s="2"/>
      <c r="E403" s="52"/>
      <c r="F403" s="52"/>
      <c r="G403" s="52"/>
      <c r="H403" s="2"/>
      <c r="I403" s="2"/>
      <c r="J403" s="2"/>
      <c r="K403" s="2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2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69"/>
      <c r="AM403" s="69"/>
      <c r="AN403" s="69"/>
      <c r="AO403" s="69"/>
      <c r="AP403" s="69"/>
      <c r="AQ403" s="69"/>
      <c r="AR403" s="69"/>
      <c r="AS403" s="69"/>
      <c r="AT403" s="69"/>
      <c r="AU403" s="1"/>
      <c r="AV403" s="1"/>
    </row>
    <row r="404" spans="1:48" ht="15.75" customHeight="1" x14ac:dyDescent="0.25">
      <c r="A404" s="1"/>
      <c r="B404" s="2"/>
      <c r="C404" s="3"/>
      <c r="D404" s="2"/>
      <c r="E404" s="52"/>
      <c r="F404" s="52"/>
      <c r="G404" s="52"/>
      <c r="H404" s="2"/>
      <c r="I404" s="2"/>
      <c r="J404" s="2"/>
      <c r="K404" s="2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2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69"/>
      <c r="AM404" s="69"/>
      <c r="AN404" s="69"/>
      <c r="AO404" s="69"/>
      <c r="AP404" s="69"/>
      <c r="AQ404" s="69"/>
      <c r="AR404" s="69"/>
      <c r="AS404" s="69"/>
      <c r="AT404" s="69"/>
      <c r="AU404" s="1"/>
      <c r="AV404" s="1"/>
    </row>
    <row r="405" spans="1:48" ht="15.75" customHeight="1" x14ac:dyDescent="0.25">
      <c r="A405" s="1"/>
      <c r="B405" s="2"/>
      <c r="C405" s="3"/>
      <c r="D405" s="2"/>
      <c r="E405" s="52"/>
      <c r="F405" s="52"/>
      <c r="G405" s="52"/>
      <c r="H405" s="2"/>
      <c r="I405" s="2"/>
      <c r="J405" s="2"/>
      <c r="K405" s="2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2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69"/>
      <c r="AM405" s="69"/>
      <c r="AN405" s="69"/>
      <c r="AO405" s="69"/>
      <c r="AP405" s="69"/>
      <c r="AQ405" s="69"/>
      <c r="AR405" s="69"/>
      <c r="AS405" s="69"/>
      <c r="AT405" s="69"/>
      <c r="AU405" s="1"/>
      <c r="AV405" s="1"/>
    </row>
    <row r="406" spans="1:48" ht="15.75" customHeight="1" x14ac:dyDescent="0.25">
      <c r="A406" s="1"/>
      <c r="B406" s="2"/>
      <c r="C406" s="3"/>
      <c r="D406" s="2"/>
      <c r="E406" s="52"/>
      <c r="F406" s="52"/>
      <c r="G406" s="52"/>
      <c r="H406" s="2"/>
      <c r="I406" s="2"/>
      <c r="J406" s="2"/>
      <c r="K406" s="2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2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69"/>
      <c r="AM406" s="69"/>
      <c r="AN406" s="69"/>
      <c r="AO406" s="69"/>
      <c r="AP406" s="69"/>
      <c r="AQ406" s="69"/>
      <c r="AR406" s="69"/>
      <c r="AS406" s="69"/>
      <c r="AT406" s="69"/>
      <c r="AU406" s="1"/>
      <c r="AV406" s="1"/>
    </row>
    <row r="407" spans="1:48" ht="15.75" customHeight="1" x14ac:dyDescent="0.25">
      <c r="A407" s="1"/>
      <c r="B407" s="2"/>
      <c r="C407" s="3"/>
      <c r="D407" s="2"/>
      <c r="E407" s="52"/>
      <c r="F407" s="52"/>
      <c r="G407" s="52"/>
      <c r="H407" s="2"/>
      <c r="I407" s="2"/>
      <c r="J407" s="2"/>
      <c r="K407" s="2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2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69"/>
      <c r="AM407" s="69"/>
      <c r="AN407" s="69"/>
      <c r="AO407" s="69"/>
      <c r="AP407" s="69"/>
      <c r="AQ407" s="69"/>
      <c r="AR407" s="69"/>
      <c r="AS407" s="69"/>
      <c r="AT407" s="69"/>
      <c r="AU407" s="1"/>
      <c r="AV407" s="1"/>
    </row>
    <row r="408" spans="1:48" ht="15.75" customHeight="1" x14ac:dyDescent="0.25">
      <c r="A408" s="1"/>
      <c r="B408" s="2"/>
      <c r="C408" s="3"/>
      <c r="D408" s="2"/>
      <c r="E408" s="52"/>
      <c r="F408" s="52"/>
      <c r="G408" s="52"/>
      <c r="H408" s="2"/>
      <c r="I408" s="2"/>
      <c r="J408" s="2"/>
      <c r="K408" s="2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2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69"/>
      <c r="AM408" s="69"/>
      <c r="AN408" s="69"/>
      <c r="AO408" s="69"/>
      <c r="AP408" s="69"/>
      <c r="AQ408" s="69"/>
      <c r="AR408" s="69"/>
      <c r="AS408" s="69"/>
      <c r="AT408" s="69"/>
      <c r="AU408" s="1"/>
      <c r="AV408" s="1"/>
    </row>
    <row r="409" spans="1:48" ht="15.75" customHeight="1" x14ac:dyDescent="0.25">
      <c r="A409" s="1"/>
      <c r="B409" s="2"/>
      <c r="C409" s="3"/>
      <c r="D409" s="2"/>
      <c r="E409" s="52"/>
      <c r="F409" s="52"/>
      <c r="G409" s="52"/>
      <c r="H409" s="2"/>
      <c r="I409" s="2"/>
      <c r="J409" s="2"/>
      <c r="K409" s="2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2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69"/>
      <c r="AM409" s="69"/>
      <c r="AN409" s="69"/>
      <c r="AO409" s="69"/>
      <c r="AP409" s="69"/>
      <c r="AQ409" s="69"/>
      <c r="AR409" s="69"/>
      <c r="AS409" s="69"/>
      <c r="AT409" s="69"/>
      <c r="AU409" s="1"/>
      <c r="AV409" s="1"/>
    </row>
    <row r="410" spans="1:48" ht="15.75" customHeight="1" x14ac:dyDescent="0.25">
      <c r="A410" s="1"/>
      <c r="B410" s="2"/>
      <c r="C410" s="3"/>
      <c r="D410" s="2"/>
      <c r="E410" s="52"/>
      <c r="F410" s="52"/>
      <c r="G410" s="52"/>
      <c r="H410" s="2"/>
      <c r="I410" s="2"/>
      <c r="J410" s="2"/>
      <c r="K410" s="2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2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69"/>
      <c r="AM410" s="69"/>
      <c r="AN410" s="69"/>
      <c r="AO410" s="69"/>
      <c r="AP410" s="69"/>
      <c r="AQ410" s="69"/>
      <c r="AR410" s="69"/>
      <c r="AS410" s="69"/>
      <c r="AT410" s="69"/>
      <c r="AU410" s="1"/>
      <c r="AV410" s="1"/>
    </row>
    <row r="411" spans="1:48" ht="15.75" customHeight="1" x14ac:dyDescent="0.25">
      <c r="A411" s="1"/>
      <c r="B411" s="2"/>
      <c r="C411" s="3"/>
      <c r="D411" s="2"/>
      <c r="E411" s="52"/>
      <c r="F411" s="52"/>
      <c r="G411" s="52"/>
      <c r="H411" s="2"/>
      <c r="I411" s="2"/>
      <c r="J411" s="2"/>
      <c r="K411" s="2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2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69"/>
      <c r="AM411" s="69"/>
      <c r="AN411" s="69"/>
      <c r="AO411" s="69"/>
      <c r="AP411" s="69"/>
      <c r="AQ411" s="69"/>
      <c r="AR411" s="69"/>
      <c r="AS411" s="69"/>
      <c r="AT411" s="69"/>
      <c r="AU411" s="1"/>
      <c r="AV411" s="1"/>
    </row>
    <row r="412" spans="1:48" ht="15.75" customHeight="1" x14ac:dyDescent="0.25">
      <c r="A412" s="1"/>
      <c r="B412" s="2"/>
      <c r="C412" s="3"/>
      <c r="D412" s="2"/>
      <c r="E412" s="52"/>
      <c r="F412" s="52"/>
      <c r="G412" s="52"/>
      <c r="H412" s="2"/>
      <c r="I412" s="2"/>
      <c r="J412" s="2"/>
      <c r="K412" s="2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2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69"/>
      <c r="AM412" s="69"/>
      <c r="AN412" s="69"/>
      <c r="AO412" s="69"/>
      <c r="AP412" s="69"/>
      <c r="AQ412" s="69"/>
      <c r="AR412" s="69"/>
      <c r="AS412" s="69"/>
      <c r="AT412" s="69"/>
      <c r="AU412" s="1"/>
      <c r="AV412" s="1"/>
    </row>
    <row r="413" spans="1:48" ht="15.75" customHeight="1" x14ac:dyDescent="0.25">
      <c r="A413" s="1"/>
      <c r="B413" s="2"/>
      <c r="C413" s="3"/>
      <c r="D413" s="2"/>
      <c r="E413" s="52"/>
      <c r="F413" s="52"/>
      <c r="G413" s="52"/>
      <c r="H413" s="2"/>
      <c r="I413" s="2"/>
      <c r="J413" s="2"/>
      <c r="K413" s="2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2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69"/>
      <c r="AM413" s="69"/>
      <c r="AN413" s="69"/>
      <c r="AO413" s="69"/>
      <c r="AP413" s="69"/>
      <c r="AQ413" s="69"/>
      <c r="AR413" s="69"/>
      <c r="AS413" s="69"/>
      <c r="AT413" s="69"/>
      <c r="AU413" s="1"/>
      <c r="AV413" s="1"/>
    </row>
    <row r="414" spans="1:48" ht="15.75" customHeight="1" x14ac:dyDescent="0.25">
      <c r="A414" s="1"/>
      <c r="B414" s="2"/>
      <c r="C414" s="3"/>
      <c r="D414" s="2"/>
      <c r="E414" s="52"/>
      <c r="F414" s="52"/>
      <c r="G414" s="52"/>
      <c r="H414" s="2"/>
      <c r="I414" s="2"/>
      <c r="J414" s="2"/>
      <c r="K414" s="2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2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69"/>
      <c r="AM414" s="69"/>
      <c r="AN414" s="69"/>
      <c r="AO414" s="69"/>
      <c r="AP414" s="69"/>
      <c r="AQ414" s="69"/>
      <c r="AR414" s="69"/>
      <c r="AS414" s="69"/>
      <c r="AT414" s="69"/>
      <c r="AU414" s="1"/>
      <c r="AV414" s="1"/>
    </row>
    <row r="415" spans="1:48" ht="15.75" customHeight="1" x14ac:dyDescent="0.25">
      <c r="A415" s="1"/>
      <c r="B415" s="2"/>
      <c r="C415" s="3"/>
      <c r="D415" s="2"/>
      <c r="E415" s="52"/>
      <c r="F415" s="52"/>
      <c r="G415" s="52"/>
      <c r="H415" s="2"/>
      <c r="I415" s="2"/>
      <c r="J415" s="2"/>
      <c r="K415" s="2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2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69"/>
      <c r="AM415" s="69"/>
      <c r="AN415" s="69"/>
      <c r="AO415" s="69"/>
      <c r="AP415" s="69"/>
      <c r="AQ415" s="69"/>
      <c r="AR415" s="69"/>
      <c r="AS415" s="69"/>
      <c r="AT415" s="69"/>
      <c r="AU415" s="1"/>
      <c r="AV415" s="1"/>
    </row>
    <row r="416" spans="1:48" ht="15.75" customHeight="1" x14ac:dyDescent="0.25">
      <c r="A416" s="1"/>
      <c r="B416" s="2"/>
      <c r="C416" s="3"/>
      <c r="D416" s="2"/>
      <c r="E416" s="52"/>
      <c r="F416" s="52"/>
      <c r="G416" s="52"/>
      <c r="H416" s="2"/>
      <c r="I416" s="2"/>
      <c r="J416" s="2"/>
      <c r="K416" s="2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2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69"/>
      <c r="AM416" s="69"/>
      <c r="AN416" s="69"/>
      <c r="AO416" s="69"/>
      <c r="AP416" s="69"/>
      <c r="AQ416" s="69"/>
      <c r="AR416" s="69"/>
      <c r="AS416" s="69"/>
      <c r="AT416" s="69"/>
      <c r="AU416" s="1"/>
      <c r="AV416" s="1"/>
    </row>
    <row r="417" spans="1:48" ht="15.75" customHeight="1" x14ac:dyDescent="0.25">
      <c r="A417" s="1"/>
      <c r="B417" s="2"/>
      <c r="C417" s="3"/>
      <c r="D417" s="2"/>
      <c r="E417" s="52"/>
      <c r="F417" s="52"/>
      <c r="G417" s="52"/>
      <c r="H417" s="2"/>
      <c r="I417" s="2"/>
      <c r="J417" s="2"/>
      <c r="K417" s="2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2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69"/>
      <c r="AM417" s="69"/>
      <c r="AN417" s="69"/>
      <c r="AO417" s="69"/>
      <c r="AP417" s="69"/>
      <c r="AQ417" s="69"/>
      <c r="AR417" s="69"/>
      <c r="AS417" s="69"/>
      <c r="AT417" s="69"/>
      <c r="AU417" s="1"/>
      <c r="AV417" s="1"/>
    </row>
    <row r="418" spans="1:48" ht="15.75" customHeight="1" x14ac:dyDescent="0.25">
      <c r="A418" s="1"/>
      <c r="B418" s="2"/>
      <c r="C418" s="3"/>
      <c r="D418" s="2"/>
      <c r="E418" s="52"/>
      <c r="F418" s="52"/>
      <c r="G418" s="52"/>
      <c r="H418" s="2"/>
      <c r="I418" s="2"/>
      <c r="J418" s="2"/>
      <c r="K418" s="2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2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69"/>
      <c r="AM418" s="69"/>
      <c r="AN418" s="69"/>
      <c r="AO418" s="69"/>
      <c r="AP418" s="69"/>
      <c r="AQ418" s="69"/>
      <c r="AR418" s="69"/>
      <c r="AS418" s="69"/>
      <c r="AT418" s="69"/>
      <c r="AU418" s="1"/>
      <c r="AV418" s="1"/>
    </row>
    <row r="419" spans="1:48" ht="15.75" customHeight="1" x14ac:dyDescent="0.25">
      <c r="A419" s="1"/>
      <c r="B419" s="2"/>
      <c r="C419" s="3"/>
      <c r="D419" s="2"/>
      <c r="E419" s="52"/>
      <c r="F419" s="52"/>
      <c r="G419" s="52"/>
      <c r="H419" s="2"/>
      <c r="I419" s="2"/>
      <c r="J419" s="2"/>
      <c r="K419" s="2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2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69"/>
      <c r="AM419" s="69"/>
      <c r="AN419" s="69"/>
      <c r="AO419" s="69"/>
      <c r="AP419" s="69"/>
      <c r="AQ419" s="69"/>
      <c r="AR419" s="69"/>
      <c r="AS419" s="69"/>
      <c r="AT419" s="69"/>
      <c r="AU419" s="1"/>
      <c r="AV419" s="1"/>
    </row>
    <row r="420" spans="1:48" ht="15.75" customHeight="1" x14ac:dyDescent="0.25">
      <c r="A420" s="1"/>
      <c r="B420" s="2"/>
      <c r="C420" s="3"/>
      <c r="D420" s="2"/>
      <c r="E420" s="52"/>
      <c r="F420" s="52"/>
      <c r="G420" s="52"/>
      <c r="H420" s="2"/>
      <c r="I420" s="2"/>
      <c r="J420" s="2"/>
      <c r="K420" s="2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2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69"/>
      <c r="AM420" s="69"/>
      <c r="AN420" s="69"/>
      <c r="AO420" s="69"/>
      <c r="AP420" s="69"/>
      <c r="AQ420" s="69"/>
      <c r="AR420" s="69"/>
      <c r="AS420" s="69"/>
      <c r="AT420" s="69"/>
      <c r="AU420" s="1"/>
      <c r="AV420" s="1"/>
    </row>
    <row r="421" spans="1:48" ht="15.75" customHeight="1" x14ac:dyDescent="0.25">
      <c r="A421" s="1"/>
      <c r="B421" s="2"/>
      <c r="C421" s="3"/>
      <c r="D421" s="2"/>
      <c r="E421" s="52"/>
      <c r="F421" s="52"/>
      <c r="G421" s="52"/>
      <c r="H421" s="2"/>
      <c r="I421" s="2"/>
      <c r="J421" s="2"/>
      <c r="K421" s="2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2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69"/>
      <c r="AM421" s="69"/>
      <c r="AN421" s="69"/>
      <c r="AO421" s="69"/>
      <c r="AP421" s="69"/>
      <c r="AQ421" s="69"/>
      <c r="AR421" s="69"/>
      <c r="AS421" s="69"/>
      <c r="AT421" s="69"/>
      <c r="AU421" s="1"/>
      <c r="AV421" s="1"/>
    </row>
    <row r="422" spans="1:48" ht="15.75" customHeight="1" x14ac:dyDescent="0.25">
      <c r="A422" s="1"/>
      <c r="B422" s="2"/>
      <c r="C422" s="3"/>
      <c r="D422" s="2"/>
      <c r="E422" s="52"/>
      <c r="F422" s="52"/>
      <c r="G422" s="52"/>
      <c r="H422" s="2"/>
      <c r="I422" s="2"/>
      <c r="J422" s="2"/>
      <c r="K422" s="2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2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69"/>
      <c r="AM422" s="69"/>
      <c r="AN422" s="69"/>
      <c r="AO422" s="69"/>
      <c r="AP422" s="69"/>
      <c r="AQ422" s="69"/>
      <c r="AR422" s="69"/>
      <c r="AS422" s="69"/>
      <c r="AT422" s="69"/>
      <c r="AU422" s="1"/>
      <c r="AV422" s="1"/>
    </row>
    <row r="423" spans="1:48" ht="15.75" customHeight="1" x14ac:dyDescent="0.25">
      <c r="A423" s="1"/>
      <c r="B423" s="2"/>
      <c r="C423" s="3"/>
      <c r="D423" s="2"/>
      <c r="E423" s="52"/>
      <c r="F423" s="52"/>
      <c r="G423" s="52"/>
      <c r="H423" s="2"/>
      <c r="I423" s="2"/>
      <c r="J423" s="2"/>
      <c r="K423" s="2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2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69"/>
      <c r="AM423" s="69"/>
      <c r="AN423" s="69"/>
      <c r="AO423" s="69"/>
      <c r="AP423" s="69"/>
      <c r="AQ423" s="69"/>
      <c r="AR423" s="69"/>
      <c r="AS423" s="69"/>
      <c r="AT423" s="69"/>
      <c r="AU423" s="1"/>
      <c r="AV423" s="1"/>
    </row>
    <row r="424" spans="1:48" ht="15.75" customHeight="1" x14ac:dyDescent="0.25">
      <c r="A424" s="1"/>
      <c r="B424" s="2"/>
      <c r="C424" s="3"/>
      <c r="D424" s="2"/>
      <c r="E424" s="52"/>
      <c r="F424" s="52"/>
      <c r="G424" s="52"/>
      <c r="H424" s="2"/>
      <c r="I424" s="2"/>
      <c r="J424" s="2"/>
      <c r="K424" s="2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2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69"/>
      <c r="AM424" s="69"/>
      <c r="AN424" s="69"/>
      <c r="AO424" s="69"/>
      <c r="AP424" s="69"/>
      <c r="AQ424" s="69"/>
      <c r="AR424" s="69"/>
      <c r="AS424" s="69"/>
      <c r="AT424" s="69"/>
      <c r="AU424" s="1"/>
      <c r="AV424" s="1"/>
    </row>
    <row r="425" spans="1:48" ht="15.75" customHeight="1" x14ac:dyDescent="0.25">
      <c r="A425" s="1"/>
      <c r="B425" s="2"/>
      <c r="C425" s="3"/>
      <c r="D425" s="2"/>
      <c r="E425" s="52"/>
      <c r="F425" s="52"/>
      <c r="G425" s="52"/>
      <c r="H425" s="2"/>
      <c r="I425" s="2"/>
      <c r="J425" s="2"/>
      <c r="K425" s="2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2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69"/>
      <c r="AM425" s="69"/>
      <c r="AN425" s="69"/>
      <c r="AO425" s="69"/>
      <c r="AP425" s="69"/>
      <c r="AQ425" s="69"/>
      <c r="AR425" s="69"/>
      <c r="AS425" s="69"/>
      <c r="AT425" s="69"/>
      <c r="AU425" s="1"/>
      <c r="AV425" s="1"/>
    </row>
    <row r="426" spans="1:48" ht="15.75" customHeight="1" x14ac:dyDescent="0.25">
      <c r="A426" s="1"/>
      <c r="B426" s="2"/>
      <c r="C426" s="3"/>
      <c r="D426" s="2"/>
      <c r="E426" s="52"/>
      <c r="F426" s="52"/>
      <c r="G426" s="52"/>
      <c r="H426" s="2"/>
      <c r="I426" s="2"/>
      <c r="J426" s="2"/>
      <c r="K426" s="2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2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69"/>
      <c r="AM426" s="69"/>
      <c r="AN426" s="69"/>
      <c r="AO426" s="69"/>
      <c r="AP426" s="69"/>
      <c r="AQ426" s="69"/>
      <c r="AR426" s="69"/>
      <c r="AS426" s="69"/>
      <c r="AT426" s="69"/>
      <c r="AU426" s="1"/>
      <c r="AV426" s="1"/>
    </row>
    <row r="427" spans="1:48" ht="15.75" customHeight="1" x14ac:dyDescent="0.25">
      <c r="A427" s="1"/>
      <c r="B427" s="2"/>
      <c r="C427" s="3"/>
      <c r="D427" s="2"/>
      <c r="E427" s="52"/>
      <c r="F427" s="52"/>
      <c r="G427" s="52"/>
      <c r="H427" s="2"/>
      <c r="I427" s="2"/>
      <c r="J427" s="2"/>
      <c r="K427" s="2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2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69"/>
      <c r="AM427" s="69"/>
      <c r="AN427" s="69"/>
      <c r="AO427" s="69"/>
      <c r="AP427" s="69"/>
      <c r="AQ427" s="69"/>
      <c r="AR427" s="69"/>
      <c r="AS427" s="69"/>
      <c r="AT427" s="69"/>
      <c r="AU427" s="1"/>
      <c r="AV427" s="1"/>
    </row>
    <row r="428" spans="1:48" ht="15.75" customHeight="1" x14ac:dyDescent="0.25">
      <c r="A428" s="1"/>
      <c r="B428" s="2"/>
      <c r="C428" s="3"/>
      <c r="D428" s="2"/>
      <c r="E428" s="52"/>
      <c r="F428" s="52"/>
      <c r="G428" s="52"/>
      <c r="H428" s="2"/>
      <c r="I428" s="2"/>
      <c r="J428" s="2"/>
      <c r="K428" s="2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2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69"/>
      <c r="AM428" s="69"/>
      <c r="AN428" s="69"/>
      <c r="AO428" s="69"/>
      <c r="AP428" s="69"/>
      <c r="AQ428" s="69"/>
      <c r="AR428" s="69"/>
      <c r="AS428" s="69"/>
      <c r="AT428" s="69"/>
      <c r="AU428" s="1"/>
      <c r="AV428" s="1"/>
    </row>
    <row r="429" spans="1:48" ht="15.75" customHeight="1" x14ac:dyDescent="0.25">
      <c r="A429" s="1"/>
      <c r="B429" s="2"/>
      <c r="C429" s="3"/>
      <c r="D429" s="2"/>
      <c r="E429" s="52"/>
      <c r="F429" s="52"/>
      <c r="G429" s="52"/>
      <c r="H429" s="2"/>
      <c r="I429" s="2"/>
      <c r="J429" s="2"/>
      <c r="K429" s="2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2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69"/>
      <c r="AM429" s="69"/>
      <c r="AN429" s="69"/>
      <c r="AO429" s="69"/>
      <c r="AP429" s="69"/>
      <c r="AQ429" s="69"/>
      <c r="AR429" s="69"/>
      <c r="AS429" s="69"/>
      <c r="AT429" s="69"/>
      <c r="AU429" s="1"/>
      <c r="AV429" s="1"/>
    </row>
    <row r="430" spans="1:48" ht="15.75" customHeight="1" x14ac:dyDescent="0.25">
      <c r="A430" s="1"/>
      <c r="B430" s="2"/>
      <c r="C430" s="3"/>
      <c r="D430" s="2"/>
      <c r="E430" s="52"/>
      <c r="F430" s="52"/>
      <c r="G430" s="52"/>
      <c r="H430" s="2"/>
      <c r="I430" s="2"/>
      <c r="J430" s="2"/>
      <c r="K430" s="2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2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69"/>
      <c r="AM430" s="69"/>
      <c r="AN430" s="69"/>
      <c r="AO430" s="69"/>
      <c r="AP430" s="69"/>
      <c r="AQ430" s="69"/>
      <c r="AR430" s="69"/>
      <c r="AS430" s="69"/>
      <c r="AT430" s="69"/>
      <c r="AU430" s="1"/>
      <c r="AV430" s="1"/>
    </row>
    <row r="431" spans="1:48" ht="15.75" customHeight="1" x14ac:dyDescent="0.25">
      <c r="A431" s="1"/>
      <c r="B431" s="2"/>
      <c r="C431" s="3"/>
      <c r="D431" s="2"/>
      <c r="E431" s="52"/>
      <c r="F431" s="52"/>
      <c r="G431" s="52"/>
      <c r="H431" s="2"/>
      <c r="I431" s="2"/>
      <c r="J431" s="2"/>
      <c r="K431" s="2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2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69"/>
      <c r="AM431" s="69"/>
      <c r="AN431" s="69"/>
      <c r="AO431" s="69"/>
      <c r="AP431" s="69"/>
      <c r="AQ431" s="69"/>
      <c r="AR431" s="69"/>
      <c r="AS431" s="69"/>
      <c r="AT431" s="69"/>
      <c r="AU431" s="1"/>
      <c r="AV431" s="1"/>
    </row>
    <row r="432" spans="1:48" ht="15.75" customHeight="1" x14ac:dyDescent="0.25">
      <c r="A432" s="1"/>
      <c r="B432" s="2"/>
      <c r="C432" s="3"/>
      <c r="D432" s="2"/>
      <c r="E432" s="52"/>
      <c r="F432" s="52"/>
      <c r="G432" s="52"/>
      <c r="H432" s="2"/>
      <c r="I432" s="2"/>
      <c r="J432" s="2"/>
      <c r="K432" s="2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2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69"/>
      <c r="AM432" s="69"/>
      <c r="AN432" s="69"/>
      <c r="AO432" s="69"/>
      <c r="AP432" s="69"/>
      <c r="AQ432" s="69"/>
      <c r="AR432" s="69"/>
      <c r="AS432" s="69"/>
      <c r="AT432" s="69"/>
      <c r="AU432" s="1"/>
      <c r="AV432" s="1"/>
    </row>
    <row r="433" spans="1:48" ht="15.75" customHeight="1" x14ac:dyDescent="0.25">
      <c r="A433" s="1"/>
      <c r="B433" s="2"/>
      <c r="C433" s="3"/>
      <c r="D433" s="2"/>
      <c r="E433" s="52"/>
      <c r="F433" s="52"/>
      <c r="G433" s="52"/>
      <c r="H433" s="2"/>
      <c r="I433" s="2"/>
      <c r="J433" s="2"/>
      <c r="K433" s="2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2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69"/>
      <c r="AM433" s="69"/>
      <c r="AN433" s="69"/>
      <c r="AO433" s="69"/>
      <c r="AP433" s="69"/>
      <c r="AQ433" s="69"/>
      <c r="AR433" s="69"/>
      <c r="AS433" s="69"/>
      <c r="AT433" s="69"/>
      <c r="AU433" s="1"/>
      <c r="AV433" s="1"/>
    </row>
    <row r="434" spans="1:48" ht="15.75" customHeight="1" x14ac:dyDescent="0.25">
      <c r="A434" s="1"/>
      <c r="B434" s="2"/>
      <c r="C434" s="3"/>
      <c r="D434" s="2"/>
      <c r="E434" s="52"/>
      <c r="F434" s="52"/>
      <c r="G434" s="52"/>
      <c r="H434" s="2"/>
      <c r="I434" s="2"/>
      <c r="J434" s="2"/>
      <c r="K434" s="2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2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69"/>
      <c r="AM434" s="69"/>
      <c r="AN434" s="69"/>
      <c r="AO434" s="69"/>
      <c r="AP434" s="69"/>
      <c r="AQ434" s="69"/>
      <c r="AR434" s="69"/>
      <c r="AS434" s="69"/>
      <c r="AT434" s="69"/>
      <c r="AU434" s="1"/>
      <c r="AV434" s="1"/>
    </row>
    <row r="435" spans="1:48" ht="15.75" customHeight="1" x14ac:dyDescent="0.25">
      <c r="A435" s="1"/>
      <c r="B435" s="2"/>
      <c r="C435" s="3"/>
      <c r="D435" s="2"/>
      <c r="E435" s="52"/>
      <c r="F435" s="52"/>
      <c r="G435" s="52"/>
      <c r="H435" s="2"/>
      <c r="I435" s="2"/>
      <c r="J435" s="2"/>
      <c r="K435" s="2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2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69"/>
      <c r="AM435" s="69"/>
      <c r="AN435" s="69"/>
      <c r="AO435" s="69"/>
      <c r="AP435" s="69"/>
      <c r="AQ435" s="69"/>
      <c r="AR435" s="69"/>
      <c r="AS435" s="69"/>
      <c r="AT435" s="69"/>
      <c r="AU435" s="1"/>
      <c r="AV435" s="1"/>
    </row>
    <row r="436" spans="1:48" ht="15.75" customHeight="1" x14ac:dyDescent="0.25">
      <c r="A436" s="1"/>
      <c r="B436" s="2"/>
      <c r="C436" s="3"/>
      <c r="D436" s="2"/>
      <c r="E436" s="52"/>
      <c r="F436" s="52"/>
      <c r="G436" s="52"/>
      <c r="H436" s="2"/>
      <c r="I436" s="2"/>
      <c r="J436" s="2"/>
      <c r="K436" s="2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2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69"/>
      <c r="AM436" s="69"/>
      <c r="AN436" s="69"/>
      <c r="AO436" s="69"/>
      <c r="AP436" s="69"/>
      <c r="AQ436" s="69"/>
      <c r="AR436" s="69"/>
      <c r="AS436" s="69"/>
      <c r="AT436" s="69"/>
      <c r="AU436" s="1"/>
      <c r="AV436" s="1"/>
    </row>
    <row r="437" spans="1:48" ht="15.75" customHeight="1" x14ac:dyDescent="0.25">
      <c r="A437" s="1"/>
      <c r="B437" s="2"/>
      <c r="C437" s="3"/>
      <c r="D437" s="2"/>
      <c r="E437" s="52"/>
      <c r="F437" s="52"/>
      <c r="G437" s="52"/>
      <c r="H437" s="2"/>
      <c r="I437" s="2"/>
      <c r="J437" s="2"/>
      <c r="K437" s="2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2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69"/>
      <c r="AM437" s="69"/>
      <c r="AN437" s="69"/>
      <c r="AO437" s="69"/>
      <c r="AP437" s="69"/>
      <c r="AQ437" s="69"/>
      <c r="AR437" s="69"/>
      <c r="AS437" s="69"/>
      <c r="AT437" s="69"/>
      <c r="AU437" s="1"/>
      <c r="AV437" s="1"/>
    </row>
    <row r="438" spans="1:48" ht="15.75" customHeight="1" x14ac:dyDescent="0.25">
      <c r="A438" s="1"/>
      <c r="B438" s="2"/>
      <c r="C438" s="3"/>
      <c r="D438" s="2"/>
      <c r="E438" s="52"/>
      <c r="F438" s="52"/>
      <c r="G438" s="52"/>
      <c r="H438" s="2"/>
      <c r="I438" s="2"/>
      <c r="J438" s="2"/>
      <c r="K438" s="2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2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69"/>
      <c r="AM438" s="69"/>
      <c r="AN438" s="69"/>
      <c r="AO438" s="69"/>
      <c r="AP438" s="69"/>
      <c r="AQ438" s="69"/>
      <c r="AR438" s="69"/>
      <c r="AS438" s="69"/>
      <c r="AT438" s="69"/>
      <c r="AU438" s="1"/>
      <c r="AV438" s="1"/>
    </row>
    <row r="439" spans="1:48" ht="15.75" customHeight="1" x14ac:dyDescent="0.25">
      <c r="A439" s="1"/>
      <c r="B439" s="2"/>
      <c r="C439" s="3"/>
      <c r="D439" s="2"/>
      <c r="E439" s="52"/>
      <c r="F439" s="52"/>
      <c r="G439" s="52"/>
      <c r="H439" s="2"/>
      <c r="I439" s="2"/>
      <c r="J439" s="2"/>
      <c r="K439" s="2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2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69"/>
      <c r="AM439" s="69"/>
      <c r="AN439" s="69"/>
      <c r="AO439" s="69"/>
      <c r="AP439" s="69"/>
      <c r="AQ439" s="69"/>
      <c r="AR439" s="69"/>
      <c r="AS439" s="69"/>
      <c r="AT439" s="69"/>
      <c r="AU439" s="1"/>
      <c r="AV439" s="1"/>
    </row>
    <row r="440" spans="1:48" ht="15.75" customHeight="1" x14ac:dyDescent="0.25">
      <c r="A440" s="1"/>
      <c r="B440" s="2"/>
      <c r="C440" s="3"/>
      <c r="D440" s="2"/>
      <c r="E440" s="52"/>
      <c r="F440" s="52"/>
      <c r="G440" s="52"/>
      <c r="H440" s="2"/>
      <c r="I440" s="2"/>
      <c r="J440" s="2"/>
      <c r="K440" s="2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2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69"/>
      <c r="AM440" s="69"/>
      <c r="AN440" s="69"/>
      <c r="AO440" s="69"/>
      <c r="AP440" s="69"/>
      <c r="AQ440" s="69"/>
      <c r="AR440" s="69"/>
      <c r="AS440" s="69"/>
      <c r="AT440" s="69"/>
      <c r="AU440" s="1"/>
      <c r="AV440" s="1"/>
    </row>
    <row r="441" spans="1:48" ht="15.75" customHeight="1" x14ac:dyDescent="0.25">
      <c r="A441" s="1"/>
      <c r="B441" s="2"/>
      <c r="C441" s="3"/>
      <c r="D441" s="2"/>
      <c r="E441" s="52"/>
      <c r="F441" s="52"/>
      <c r="G441" s="52"/>
      <c r="H441" s="2"/>
      <c r="I441" s="2"/>
      <c r="J441" s="2"/>
      <c r="K441" s="2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2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69"/>
      <c r="AM441" s="69"/>
      <c r="AN441" s="69"/>
      <c r="AO441" s="69"/>
      <c r="AP441" s="69"/>
      <c r="AQ441" s="69"/>
      <c r="AR441" s="69"/>
      <c r="AS441" s="69"/>
      <c r="AT441" s="69"/>
      <c r="AU441" s="1"/>
      <c r="AV441" s="1"/>
    </row>
    <row r="442" spans="1:48" ht="15.75" customHeight="1" x14ac:dyDescent="0.25">
      <c r="A442" s="1"/>
      <c r="B442" s="2"/>
      <c r="C442" s="3"/>
      <c r="D442" s="2"/>
      <c r="E442" s="52"/>
      <c r="F442" s="52"/>
      <c r="G442" s="52"/>
      <c r="H442" s="2"/>
      <c r="I442" s="2"/>
      <c r="J442" s="2"/>
      <c r="K442" s="2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2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69"/>
      <c r="AM442" s="69"/>
      <c r="AN442" s="69"/>
      <c r="AO442" s="69"/>
      <c r="AP442" s="69"/>
      <c r="AQ442" s="69"/>
      <c r="AR442" s="69"/>
      <c r="AS442" s="69"/>
      <c r="AT442" s="69"/>
      <c r="AU442" s="1"/>
      <c r="AV442" s="1"/>
    </row>
    <row r="443" spans="1:48" ht="15.75" customHeight="1" x14ac:dyDescent="0.25">
      <c r="A443" s="1"/>
      <c r="B443" s="2"/>
      <c r="C443" s="3"/>
      <c r="D443" s="2"/>
      <c r="E443" s="52"/>
      <c r="F443" s="52"/>
      <c r="G443" s="52"/>
      <c r="H443" s="2"/>
      <c r="I443" s="2"/>
      <c r="J443" s="2"/>
      <c r="K443" s="2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2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69"/>
      <c r="AM443" s="69"/>
      <c r="AN443" s="69"/>
      <c r="AO443" s="69"/>
      <c r="AP443" s="69"/>
      <c r="AQ443" s="69"/>
      <c r="AR443" s="69"/>
      <c r="AS443" s="69"/>
      <c r="AT443" s="69"/>
      <c r="AU443" s="1"/>
      <c r="AV443" s="1"/>
    </row>
    <row r="444" spans="1:48" ht="15.75" customHeight="1" x14ac:dyDescent="0.25">
      <c r="A444" s="1"/>
      <c r="B444" s="2"/>
      <c r="C444" s="3"/>
      <c r="D444" s="2"/>
      <c r="E444" s="52"/>
      <c r="F444" s="52"/>
      <c r="G444" s="52"/>
      <c r="H444" s="2"/>
      <c r="I444" s="2"/>
      <c r="J444" s="2"/>
      <c r="K444" s="2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2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69"/>
      <c r="AM444" s="69"/>
      <c r="AN444" s="69"/>
      <c r="AO444" s="69"/>
      <c r="AP444" s="69"/>
      <c r="AQ444" s="69"/>
      <c r="AR444" s="69"/>
      <c r="AS444" s="69"/>
      <c r="AT444" s="69"/>
      <c r="AU444" s="1"/>
      <c r="AV444" s="1"/>
    </row>
    <row r="445" spans="1:48" ht="15.75" customHeight="1" x14ac:dyDescent="0.25">
      <c r="A445" s="1"/>
      <c r="B445" s="2"/>
      <c r="C445" s="3"/>
      <c r="D445" s="2"/>
      <c r="E445" s="52"/>
      <c r="F445" s="52"/>
      <c r="G445" s="52"/>
      <c r="H445" s="2"/>
      <c r="I445" s="2"/>
      <c r="J445" s="2"/>
      <c r="K445" s="2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2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69"/>
      <c r="AM445" s="69"/>
      <c r="AN445" s="69"/>
      <c r="AO445" s="69"/>
      <c r="AP445" s="69"/>
      <c r="AQ445" s="69"/>
      <c r="AR445" s="69"/>
      <c r="AS445" s="69"/>
      <c r="AT445" s="69"/>
      <c r="AU445" s="1"/>
      <c r="AV445" s="1"/>
    </row>
    <row r="446" spans="1:48" ht="15.75" customHeight="1" x14ac:dyDescent="0.25">
      <c r="A446" s="1"/>
      <c r="B446" s="2"/>
      <c r="C446" s="3"/>
      <c r="D446" s="2"/>
      <c r="E446" s="52"/>
      <c r="F446" s="52"/>
      <c r="G446" s="52"/>
      <c r="H446" s="2"/>
      <c r="I446" s="2"/>
      <c r="J446" s="2"/>
      <c r="K446" s="2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2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69"/>
      <c r="AM446" s="69"/>
      <c r="AN446" s="69"/>
      <c r="AO446" s="69"/>
      <c r="AP446" s="69"/>
      <c r="AQ446" s="69"/>
      <c r="AR446" s="69"/>
      <c r="AS446" s="69"/>
      <c r="AT446" s="69"/>
      <c r="AU446" s="1"/>
      <c r="AV446" s="1"/>
    </row>
    <row r="447" spans="1:48" ht="15.75" customHeight="1" x14ac:dyDescent="0.25">
      <c r="A447" s="1"/>
      <c r="B447" s="2"/>
      <c r="C447" s="3"/>
      <c r="D447" s="2"/>
      <c r="E447" s="52"/>
      <c r="F447" s="52"/>
      <c r="G447" s="52"/>
      <c r="H447" s="2"/>
      <c r="I447" s="2"/>
      <c r="J447" s="2"/>
      <c r="K447" s="2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2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69"/>
      <c r="AM447" s="69"/>
      <c r="AN447" s="69"/>
      <c r="AO447" s="69"/>
      <c r="AP447" s="69"/>
      <c r="AQ447" s="69"/>
      <c r="AR447" s="69"/>
      <c r="AS447" s="69"/>
      <c r="AT447" s="69"/>
      <c r="AU447" s="1"/>
      <c r="AV447" s="1"/>
    </row>
    <row r="448" spans="1:48" ht="15.75" customHeight="1" x14ac:dyDescent="0.25">
      <c r="A448" s="1"/>
      <c r="B448" s="2"/>
      <c r="C448" s="3"/>
      <c r="D448" s="2"/>
      <c r="E448" s="52"/>
      <c r="F448" s="52"/>
      <c r="G448" s="52"/>
      <c r="H448" s="2"/>
      <c r="I448" s="2"/>
      <c r="J448" s="2"/>
      <c r="K448" s="2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2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69"/>
      <c r="AM448" s="69"/>
      <c r="AN448" s="69"/>
      <c r="AO448" s="69"/>
      <c r="AP448" s="69"/>
      <c r="AQ448" s="69"/>
      <c r="AR448" s="69"/>
      <c r="AS448" s="69"/>
      <c r="AT448" s="69"/>
      <c r="AU448" s="1"/>
      <c r="AV448" s="1"/>
    </row>
    <row r="449" spans="1:48" ht="15.75" customHeight="1" x14ac:dyDescent="0.25">
      <c r="A449" s="1"/>
      <c r="B449" s="2"/>
      <c r="C449" s="3"/>
      <c r="D449" s="2"/>
      <c r="E449" s="52"/>
      <c r="F449" s="52"/>
      <c r="G449" s="52"/>
      <c r="H449" s="2"/>
      <c r="I449" s="2"/>
      <c r="J449" s="2"/>
      <c r="K449" s="2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2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69"/>
      <c r="AM449" s="69"/>
      <c r="AN449" s="69"/>
      <c r="AO449" s="69"/>
      <c r="AP449" s="69"/>
      <c r="AQ449" s="69"/>
      <c r="AR449" s="69"/>
      <c r="AS449" s="69"/>
      <c r="AT449" s="69"/>
      <c r="AU449" s="1"/>
      <c r="AV449" s="1"/>
    </row>
    <row r="450" spans="1:48" ht="15.75" customHeight="1" x14ac:dyDescent="0.25">
      <c r="A450" s="1"/>
      <c r="B450" s="2"/>
      <c r="C450" s="3"/>
      <c r="D450" s="2"/>
      <c r="E450" s="52"/>
      <c r="F450" s="52"/>
      <c r="G450" s="52"/>
      <c r="H450" s="2"/>
      <c r="I450" s="2"/>
      <c r="J450" s="2"/>
      <c r="K450" s="2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2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69"/>
      <c r="AM450" s="69"/>
      <c r="AN450" s="69"/>
      <c r="AO450" s="69"/>
      <c r="AP450" s="69"/>
      <c r="AQ450" s="69"/>
      <c r="AR450" s="69"/>
      <c r="AS450" s="69"/>
      <c r="AT450" s="69"/>
      <c r="AU450" s="1"/>
      <c r="AV450" s="1"/>
    </row>
    <row r="451" spans="1:48" ht="15.75" customHeight="1" x14ac:dyDescent="0.25">
      <c r="A451" s="1"/>
      <c r="B451" s="2"/>
      <c r="C451" s="3"/>
      <c r="D451" s="2"/>
      <c r="E451" s="52"/>
      <c r="F451" s="52"/>
      <c r="G451" s="52"/>
      <c r="H451" s="2"/>
      <c r="I451" s="2"/>
      <c r="J451" s="2"/>
      <c r="K451" s="2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2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69"/>
      <c r="AM451" s="69"/>
      <c r="AN451" s="69"/>
      <c r="AO451" s="69"/>
      <c r="AP451" s="69"/>
      <c r="AQ451" s="69"/>
      <c r="AR451" s="69"/>
      <c r="AS451" s="69"/>
      <c r="AT451" s="69"/>
      <c r="AU451" s="1"/>
      <c r="AV451" s="1"/>
    </row>
    <row r="452" spans="1:48" ht="15.75" customHeight="1" x14ac:dyDescent="0.25">
      <c r="A452" s="1"/>
      <c r="B452" s="2"/>
      <c r="C452" s="3"/>
      <c r="D452" s="2"/>
      <c r="E452" s="52"/>
      <c r="F452" s="52"/>
      <c r="G452" s="52"/>
      <c r="H452" s="2"/>
      <c r="I452" s="2"/>
      <c r="J452" s="2"/>
      <c r="K452" s="2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2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69"/>
      <c r="AM452" s="69"/>
      <c r="AN452" s="69"/>
      <c r="AO452" s="69"/>
      <c r="AP452" s="69"/>
      <c r="AQ452" s="69"/>
      <c r="AR452" s="69"/>
      <c r="AS452" s="69"/>
      <c r="AT452" s="69"/>
      <c r="AU452" s="1"/>
      <c r="AV452" s="1"/>
    </row>
    <row r="453" spans="1:48" ht="15.75" customHeight="1" x14ac:dyDescent="0.25">
      <c r="A453" s="1"/>
      <c r="B453" s="2"/>
      <c r="C453" s="3"/>
      <c r="D453" s="2"/>
      <c r="E453" s="52"/>
      <c r="F453" s="52"/>
      <c r="G453" s="52"/>
      <c r="H453" s="2"/>
      <c r="I453" s="2"/>
      <c r="J453" s="2"/>
      <c r="K453" s="2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2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69"/>
      <c r="AM453" s="69"/>
      <c r="AN453" s="69"/>
      <c r="AO453" s="69"/>
      <c r="AP453" s="69"/>
      <c r="AQ453" s="69"/>
      <c r="AR453" s="69"/>
      <c r="AS453" s="69"/>
      <c r="AT453" s="69"/>
      <c r="AU453" s="1"/>
      <c r="AV453" s="1"/>
    </row>
    <row r="454" spans="1:48" ht="15.75" customHeight="1" x14ac:dyDescent="0.25">
      <c r="A454" s="1"/>
      <c r="B454" s="2"/>
      <c r="C454" s="3"/>
      <c r="D454" s="2"/>
      <c r="E454" s="52"/>
      <c r="F454" s="52"/>
      <c r="G454" s="52"/>
      <c r="H454" s="2"/>
      <c r="I454" s="2"/>
      <c r="J454" s="2"/>
      <c r="K454" s="2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2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69"/>
      <c r="AM454" s="69"/>
      <c r="AN454" s="69"/>
      <c r="AO454" s="69"/>
      <c r="AP454" s="69"/>
      <c r="AQ454" s="69"/>
      <c r="AR454" s="69"/>
      <c r="AS454" s="69"/>
      <c r="AT454" s="69"/>
      <c r="AU454" s="1"/>
      <c r="AV454" s="1"/>
    </row>
    <row r="455" spans="1:48" ht="15.75" customHeight="1" x14ac:dyDescent="0.25">
      <c r="A455" s="1"/>
      <c r="B455" s="2"/>
      <c r="C455" s="3"/>
      <c r="D455" s="2"/>
      <c r="E455" s="52"/>
      <c r="F455" s="52"/>
      <c r="G455" s="52"/>
      <c r="H455" s="2"/>
      <c r="I455" s="2"/>
      <c r="J455" s="2"/>
      <c r="K455" s="2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2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69"/>
      <c r="AM455" s="69"/>
      <c r="AN455" s="69"/>
      <c r="AO455" s="69"/>
      <c r="AP455" s="69"/>
      <c r="AQ455" s="69"/>
      <c r="AR455" s="69"/>
      <c r="AS455" s="69"/>
      <c r="AT455" s="69"/>
      <c r="AU455" s="1"/>
      <c r="AV455" s="1"/>
    </row>
    <row r="456" spans="1:48" ht="15.75" customHeight="1" x14ac:dyDescent="0.25">
      <c r="A456" s="1"/>
      <c r="B456" s="2"/>
      <c r="C456" s="3"/>
      <c r="D456" s="2"/>
      <c r="E456" s="52"/>
      <c r="F456" s="52"/>
      <c r="G456" s="52"/>
      <c r="H456" s="2"/>
      <c r="I456" s="2"/>
      <c r="J456" s="2"/>
      <c r="K456" s="2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2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69"/>
      <c r="AM456" s="69"/>
      <c r="AN456" s="69"/>
      <c r="AO456" s="69"/>
      <c r="AP456" s="69"/>
      <c r="AQ456" s="69"/>
      <c r="AR456" s="69"/>
      <c r="AS456" s="69"/>
      <c r="AT456" s="69"/>
      <c r="AU456" s="1"/>
      <c r="AV456" s="1"/>
    </row>
    <row r="457" spans="1:48" ht="15.75" customHeight="1" x14ac:dyDescent="0.25">
      <c r="A457" s="1"/>
      <c r="B457" s="2"/>
      <c r="C457" s="3"/>
      <c r="D457" s="2"/>
      <c r="E457" s="52"/>
      <c r="F457" s="52"/>
      <c r="G457" s="52"/>
      <c r="H457" s="2"/>
      <c r="I457" s="2"/>
      <c r="J457" s="2"/>
      <c r="K457" s="2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2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69"/>
      <c r="AM457" s="69"/>
      <c r="AN457" s="69"/>
      <c r="AO457" s="69"/>
      <c r="AP457" s="69"/>
      <c r="AQ457" s="69"/>
      <c r="AR457" s="69"/>
      <c r="AS457" s="69"/>
      <c r="AT457" s="69"/>
      <c r="AU457" s="1"/>
      <c r="AV457" s="1"/>
    </row>
    <row r="458" spans="1:48" ht="15.75" customHeight="1" x14ac:dyDescent="0.25">
      <c r="A458" s="1"/>
      <c r="B458" s="2"/>
      <c r="C458" s="3"/>
      <c r="D458" s="2"/>
      <c r="E458" s="52"/>
      <c r="F458" s="52"/>
      <c r="G458" s="52"/>
      <c r="H458" s="2"/>
      <c r="I458" s="2"/>
      <c r="J458" s="2"/>
      <c r="K458" s="2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2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69"/>
      <c r="AM458" s="69"/>
      <c r="AN458" s="69"/>
      <c r="AO458" s="69"/>
      <c r="AP458" s="69"/>
      <c r="AQ458" s="69"/>
      <c r="AR458" s="69"/>
      <c r="AS458" s="69"/>
      <c r="AT458" s="69"/>
      <c r="AU458" s="1"/>
      <c r="AV458" s="1"/>
    </row>
    <row r="459" spans="1:48" ht="15.75" customHeight="1" x14ac:dyDescent="0.25">
      <c r="A459" s="1"/>
      <c r="B459" s="2"/>
      <c r="C459" s="3"/>
      <c r="D459" s="2"/>
      <c r="E459" s="52"/>
      <c r="F459" s="52"/>
      <c r="G459" s="52"/>
      <c r="H459" s="2"/>
      <c r="I459" s="2"/>
      <c r="J459" s="2"/>
      <c r="K459" s="2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2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69"/>
      <c r="AM459" s="69"/>
      <c r="AN459" s="69"/>
      <c r="AO459" s="69"/>
      <c r="AP459" s="69"/>
      <c r="AQ459" s="69"/>
      <c r="AR459" s="69"/>
      <c r="AS459" s="69"/>
      <c r="AT459" s="69"/>
      <c r="AU459" s="1"/>
      <c r="AV459" s="1"/>
    </row>
    <row r="460" spans="1:48" ht="15.75" customHeight="1" x14ac:dyDescent="0.25">
      <c r="A460" s="1"/>
      <c r="B460" s="2"/>
      <c r="C460" s="3"/>
      <c r="D460" s="2"/>
      <c r="E460" s="52"/>
      <c r="F460" s="52"/>
      <c r="G460" s="52"/>
      <c r="H460" s="2"/>
      <c r="I460" s="2"/>
      <c r="J460" s="2"/>
      <c r="K460" s="2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2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69"/>
      <c r="AM460" s="69"/>
      <c r="AN460" s="69"/>
      <c r="AO460" s="69"/>
      <c r="AP460" s="69"/>
      <c r="AQ460" s="69"/>
      <c r="AR460" s="69"/>
      <c r="AS460" s="69"/>
      <c r="AT460" s="69"/>
      <c r="AU460" s="1"/>
      <c r="AV460" s="1"/>
    </row>
    <row r="461" spans="1:48" ht="15.75" customHeight="1" x14ac:dyDescent="0.25">
      <c r="A461" s="1"/>
      <c r="B461" s="2"/>
      <c r="C461" s="3"/>
      <c r="D461" s="2"/>
      <c r="E461" s="52"/>
      <c r="F461" s="52"/>
      <c r="G461" s="52"/>
      <c r="H461" s="2"/>
      <c r="I461" s="2"/>
      <c r="J461" s="2"/>
      <c r="K461" s="2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2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69"/>
      <c r="AM461" s="69"/>
      <c r="AN461" s="69"/>
      <c r="AO461" s="69"/>
      <c r="AP461" s="69"/>
      <c r="AQ461" s="69"/>
      <c r="AR461" s="69"/>
      <c r="AS461" s="69"/>
      <c r="AT461" s="69"/>
      <c r="AU461" s="1"/>
      <c r="AV461" s="1"/>
    </row>
    <row r="462" spans="1:48" ht="15.75" customHeight="1" x14ac:dyDescent="0.25">
      <c r="A462" s="1"/>
      <c r="B462" s="2"/>
      <c r="C462" s="3"/>
      <c r="D462" s="2"/>
      <c r="E462" s="52"/>
      <c r="F462" s="52"/>
      <c r="G462" s="52"/>
      <c r="H462" s="2"/>
      <c r="I462" s="2"/>
      <c r="J462" s="2"/>
      <c r="K462" s="2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2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69"/>
      <c r="AM462" s="69"/>
      <c r="AN462" s="69"/>
      <c r="AO462" s="69"/>
      <c r="AP462" s="69"/>
      <c r="AQ462" s="69"/>
      <c r="AR462" s="69"/>
      <c r="AS462" s="69"/>
      <c r="AT462" s="69"/>
      <c r="AU462" s="1"/>
      <c r="AV462" s="1"/>
    </row>
    <row r="463" spans="1:48" ht="15.75" customHeight="1" x14ac:dyDescent="0.25">
      <c r="A463" s="1"/>
      <c r="B463" s="2"/>
      <c r="C463" s="3"/>
      <c r="D463" s="2"/>
      <c r="E463" s="52"/>
      <c r="F463" s="52"/>
      <c r="G463" s="52"/>
      <c r="H463" s="2"/>
      <c r="I463" s="2"/>
      <c r="J463" s="2"/>
      <c r="K463" s="2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2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69"/>
      <c r="AM463" s="69"/>
      <c r="AN463" s="69"/>
      <c r="AO463" s="69"/>
      <c r="AP463" s="69"/>
      <c r="AQ463" s="69"/>
      <c r="AR463" s="69"/>
      <c r="AS463" s="69"/>
      <c r="AT463" s="69"/>
      <c r="AU463" s="1"/>
      <c r="AV463" s="1"/>
    </row>
    <row r="464" spans="1:48" ht="15.75" customHeight="1" x14ac:dyDescent="0.25">
      <c r="A464" s="1"/>
      <c r="B464" s="2"/>
      <c r="C464" s="3"/>
      <c r="D464" s="2"/>
      <c r="E464" s="52"/>
      <c r="F464" s="52"/>
      <c r="G464" s="52"/>
      <c r="H464" s="2"/>
      <c r="I464" s="2"/>
      <c r="J464" s="2"/>
      <c r="K464" s="2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2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69"/>
      <c r="AM464" s="69"/>
      <c r="AN464" s="69"/>
      <c r="AO464" s="69"/>
      <c r="AP464" s="69"/>
      <c r="AQ464" s="69"/>
      <c r="AR464" s="69"/>
      <c r="AS464" s="69"/>
      <c r="AT464" s="69"/>
      <c r="AU464" s="1"/>
      <c r="AV464" s="1"/>
    </row>
    <row r="465" spans="1:48" ht="15.75" customHeight="1" x14ac:dyDescent="0.25">
      <c r="A465" s="1"/>
      <c r="B465" s="2"/>
      <c r="C465" s="3"/>
      <c r="D465" s="2"/>
      <c r="E465" s="52"/>
      <c r="F465" s="52"/>
      <c r="G465" s="52"/>
      <c r="H465" s="2"/>
      <c r="I465" s="2"/>
      <c r="J465" s="2"/>
      <c r="K465" s="2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2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69"/>
      <c r="AM465" s="69"/>
      <c r="AN465" s="69"/>
      <c r="AO465" s="69"/>
      <c r="AP465" s="69"/>
      <c r="AQ465" s="69"/>
      <c r="AR465" s="69"/>
      <c r="AS465" s="69"/>
      <c r="AT465" s="69"/>
      <c r="AU465" s="1"/>
      <c r="AV465" s="1"/>
    </row>
    <row r="466" spans="1:48" ht="15.75" customHeight="1" x14ac:dyDescent="0.25">
      <c r="A466" s="1"/>
      <c r="B466" s="2"/>
      <c r="C466" s="3"/>
      <c r="D466" s="2"/>
      <c r="E466" s="52"/>
      <c r="F466" s="52"/>
      <c r="G466" s="52"/>
      <c r="H466" s="2"/>
      <c r="I466" s="2"/>
      <c r="J466" s="2"/>
      <c r="K466" s="2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2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69"/>
      <c r="AM466" s="69"/>
      <c r="AN466" s="69"/>
      <c r="AO466" s="69"/>
      <c r="AP466" s="69"/>
      <c r="AQ466" s="69"/>
      <c r="AR466" s="69"/>
      <c r="AS466" s="69"/>
      <c r="AT466" s="69"/>
      <c r="AU466" s="1"/>
      <c r="AV466" s="1"/>
    </row>
    <row r="467" spans="1:48" ht="15.75" customHeight="1" x14ac:dyDescent="0.25">
      <c r="A467" s="1"/>
      <c r="B467" s="2"/>
      <c r="C467" s="3"/>
      <c r="D467" s="2"/>
      <c r="E467" s="52"/>
      <c r="F467" s="52"/>
      <c r="G467" s="52"/>
      <c r="H467" s="2"/>
      <c r="I467" s="2"/>
      <c r="J467" s="2"/>
      <c r="K467" s="2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2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69"/>
      <c r="AM467" s="69"/>
      <c r="AN467" s="69"/>
      <c r="AO467" s="69"/>
      <c r="AP467" s="69"/>
      <c r="AQ467" s="69"/>
      <c r="AR467" s="69"/>
      <c r="AS467" s="69"/>
      <c r="AT467" s="69"/>
      <c r="AU467" s="1"/>
      <c r="AV467" s="1"/>
    </row>
    <row r="468" spans="1:48" ht="15.75" customHeight="1" x14ac:dyDescent="0.25">
      <c r="A468" s="1"/>
      <c r="B468" s="2"/>
      <c r="C468" s="3"/>
      <c r="D468" s="2"/>
      <c r="E468" s="52"/>
      <c r="F468" s="52"/>
      <c r="G468" s="52"/>
      <c r="H468" s="2"/>
      <c r="I468" s="2"/>
      <c r="J468" s="2"/>
      <c r="K468" s="2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2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69"/>
      <c r="AM468" s="69"/>
      <c r="AN468" s="69"/>
      <c r="AO468" s="69"/>
      <c r="AP468" s="69"/>
      <c r="AQ468" s="69"/>
      <c r="AR468" s="69"/>
      <c r="AS468" s="69"/>
      <c r="AT468" s="69"/>
      <c r="AU468" s="1"/>
      <c r="AV468" s="1"/>
    </row>
    <row r="469" spans="1:48" ht="15.75" customHeight="1" x14ac:dyDescent="0.25">
      <c r="A469" s="1"/>
      <c r="B469" s="2"/>
      <c r="C469" s="3"/>
      <c r="D469" s="2"/>
      <c r="E469" s="52"/>
      <c r="F469" s="52"/>
      <c r="G469" s="52"/>
      <c r="H469" s="2"/>
      <c r="I469" s="2"/>
      <c r="J469" s="2"/>
      <c r="K469" s="2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2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69"/>
      <c r="AM469" s="69"/>
      <c r="AN469" s="69"/>
      <c r="AO469" s="69"/>
      <c r="AP469" s="69"/>
      <c r="AQ469" s="69"/>
      <c r="AR469" s="69"/>
      <c r="AS469" s="69"/>
      <c r="AT469" s="69"/>
      <c r="AU469" s="1"/>
      <c r="AV469" s="1"/>
    </row>
    <row r="470" spans="1:48" ht="15.75" customHeight="1" x14ac:dyDescent="0.25">
      <c r="A470" s="1"/>
      <c r="B470" s="2"/>
      <c r="C470" s="3"/>
      <c r="D470" s="2"/>
      <c r="E470" s="52"/>
      <c r="F470" s="52"/>
      <c r="G470" s="52"/>
      <c r="H470" s="2"/>
      <c r="I470" s="2"/>
      <c r="J470" s="2"/>
      <c r="K470" s="2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2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69"/>
      <c r="AM470" s="69"/>
      <c r="AN470" s="69"/>
      <c r="AO470" s="69"/>
      <c r="AP470" s="69"/>
      <c r="AQ470" s="69"/>
      <c r="AR470" s="69"/>
      <c r="AS470" s="69"/>
      <c r="AT470" s="69"/>
      <c r="AU470" s="1"/>
      <c r="AV470" s="1"/>
    </row>
    <row r="471" spans="1:48" ht="15.75" customHeight="1" x14ac:dyDescent="0.25">
      <c r="A471" s="1"/>
      <c r="B471" s="2"/>
      <c r="C471" s="3"/>
      <c r="D471" s="2"/>
      <c r="E471" s="52"/>
      <c r="F471" s="52"/>
      <c r="G471" s="52"/>
      <c r="H471" s="2"/>
      <c r="I471" s="2"/>
      <c r="J471" s="2"/>
      <c r="K471" s="2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2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69"/>
      <c r="AM471" s="69"/>
      <c r="AN471" s="69"/>
      <c r="AO471" s="69"/>
      <c r="AP471" s="69"/>
      <c r="AQ471" s="69"/>
      <c r="AR471" s="69"/>
      <c r="AS471" s="69"/>
      <c r="AT471" s="69"/>
      <c r="AU471" s="1"/>
      <c r="AV471" s="1"/>
    </row>
    <row r="472" spans="1:48" ht="15.75" customHeight="1" x14ac:dyDescent="0.25">
      <c r="A472" s="1"/>
      <c r="B472" s="2"/>
      <c r="C472" s="3"/>
      <c r="D472" s="2"/>
      <c r="E472" s="52"/>
      <c r="F472" s="52"/>
      <c r="G472" s="52"/>
      <c r="H472" s="2"/>
      <c r="I472" s="2"/>
      <c r="J472" s="2"/>
      <c r="K472" s="2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2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69"/>
      <c r="AM472" s="69"/>
      <c r="AN472" s="69"/>
      <c r="AO472" s="69"/>
      <c r="AP472" s="69"/>
      <c r="AQ472" s="69"/>
      <c r="AR472" s="69"/>
      <c r="AS472" s="69"/>
      <c r="AT472" s="69"/>
      <c r="AU472" s="1"/>
      <c r="AV472" s="1"/>
    </row>
    <row r="473" spans="1:48" ht="15.75" customHeight="1" x14ac:dyDescent="0.25">
      <c r="A473" s="1"/>
      <c r="B473" s="2"/>
      <c r="C473" s="3"/>
      <c r="D473" s="2"/>
      <c r="E473" s="52"/>
      <c r="F473" s="52"/>
      <c r="G473" s="52"/>
      <c r="H473" s="2"/>
      <c r="I473" s="2"/>
      <c r="J473" s="2"/>
      <c r="K473" s="2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2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69"/>
      <c r="AM473" s="69"/>
      <c r="AN473" s="69"/>
      <c r="AO473" s="69"/>
      <c r="AP473" s="69"/>
      <c r="AQ473" s="69"/>
      <c r="AR473" s="69"/>
      <c r="AS473" s="69"/>
      <c r="AT473" s="69"/>
      <c r="AU473" s="1"/>
      <c r="AV473" s="1"/>
    </row>
    <row r="474" spans="1:48" ht="15.75" customHeight="1" x14ac:dyDescent="0.25">
      <c r="A474" s="1"/>
      <c r="B474" s="2"/>
      <c r="C474" s="3"/>
      <c r="D474" s="2"/>
      <c r="E474" s="52"/>
      <c r="F474" s="52"/>
      <c r="G474" s="52"/>
      <c r="H474" s="2"/>
      <c r="I474" s="2"/>
      <c r="J474" s="2"/>
      <c r="K474" s="2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2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69"/>
      <c r="AM474" s="69"/>
      <c r="AN474" s="69"/>
      <c r="AO474" s="69"/>
      <c r="AP474" s="69"/>
      <c r="AQ474" s="69"/>
      <c r="AR474" s="69"/>
      <c r="AS474" s="69"/>
      <c r="AT474" s="69"/>
      <c r="AU474" s="1"/>
      <c r="AV474" s="1"/>
    </row>
    <row r="475" spans="1:48" ht="15.75" customHeight="1" x14ac:dyDescent="0.25">
      <c r="A475" s="1"/>
      <c r="B475" s="2"/>
      <c r="C475" s="3"/>
      <c r="D475" s="2"/>
      <c r="E475" s="52"/>
      <c r="F475" s="52"/>
      <c r="G475" s="52"/>
      <c r="H475" s="2"/>
      <c r="I475" s="2"/>
      <c r="J475" s="2"/>
      <c r="K475" s="2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2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69"/>
      <c r="AM475" s="69"/>
      <c r="AN475" s="69"/>
      <c r="AO475" s="69"/>
      <c r="AP475" s="69"/>
      <c r="AQ475" s="69"/>
      <c r="AR475" s="69"/>
      <c r="AS475" s="69"/>
      <c r="AT475" s="69"/>
      <c r="AU475" s="1"/>
      <c r="AV475" s="1"/>
    </row>
    <row r="476" spans="1:48" ht="15.75" customHeight="1" x14ac:dyDescent="0.25">
      <c r="A476" s="1"/>
      <c r="B476" s="2"/>
      <c r="C476" s="3"/>
      <c r="D476" s="2"/>
      <c r="E476" s="52"/>
      <c r="F476" s="52"/>
      <c r="G476" s="52"/>
      <c r="H476" s="2"/>
      <c r="I476" s="2"/>
      <c r="J476" s="2"/>
      <c r="K476" s="2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2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69"/>
      <c r="AM476" s="69"/>
      <c r="AN476" s="69"/>
      <c r="AO476" s="69"/>
      <c r="AP476" s="69"/>
      <c r="AQ476" s="69"/>
      <c r="AR476" s="69"/>
      <c r="AS476" s="69"/>
      <c r="AT476" s="69"/>
      <c r="AU476" s="1"/>
      <c r="AV476" s="1"/>
    </row>
    <row r="477" spans="1:48" ht="15.75" customHeight="1" x14ac:dyDescent="0.25">
      <c r="A477" s="1"/>
      <c r="B477" s="2"/>
      <c r="C477" s="3"/>
      <c r="D477" s="2"/>
      <c r="E477" s="52"/>
      <c r="F477" s="52"/>
      <c r="G477" s="52"/>
      <c r="H477" s="2"/>
      <c r="I477" s="2"/>
      <c r="J477" s="2"/>
      <c r="K477" s="2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2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69"/>
      <c r="AM477" s="69"/>
      <c r="AN477" s="69"/>
      <c r="AO477" s="69"/>
      <c r="AP477" s="69"/>
      <c r="AQ477" s="69"/>
      <c r="AR477" s="69"/>
      <c r="AS477" s="69"/>
      <c r="AT477" s="69"/>
      <c r="AU477" s="1"/>
      <c r="AV477" s="1"/>
    </row>
    <row r="478" spans="1:48" ht="15.75" customHeight="1" x14ac:dyDescent="0.25">
      <c r="A478" s="1"/>
      <c r="B478" s="2"/>
      <c r="C478" s="3"/>
      <c r="D478" s="2"/>
      <c r="E478" s="52"/>
      <c r="F478" s="52"/>
      <c r="G478" s="52"/>
      <c r="H478" s="2"/>
      <c r="I478" s="2"/>
      <c r="J478" s="2"/>
      <c r="K478" s="2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2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69"/>
      <c r="AM478" s="69"/>
      <c r="AN478" s="69"/>
      <c r="AO478" s="69"/>
      <c r="AP478" s="69"/>
      <c r="AQ478" s="69"/>
      <c r="AR478" s="69"/>
      <c r="AS478" s="69"/>
      <c r="AT478" s="69"/>
      <c r="AU478" s="1"/>
      <c r="AV478" s="1"/>
    </row>
    <row r="479" spans="1:48" ht="15.75" customHeight="1" x14ac:dyDescent="0.25">
      <c r="A479" s="1"/>
      <c r="B479" s="2"/>
      <c r="C479" s="3"/>
      <c r="D479" s="2"/>
      <c r="E479" s="52"/>
      <c r="F479" s="52"/>
      <c r="G479" s="52"/>
      <c r="H479" s="2"/>
      <c r="I479" s="2"/>
      <c r="J479" s="2"/>
      <c r="K479" s="2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2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69"/>
      <c r="AM479" s="69"/>
      <c r="AN479" s="69"/>
      <c r="AO479" s="69"/>
      <c r="AP479" s="69"/>
      <c r="AQ479" s="69"/>
      <c r="AR479" s="69"/>
      <c r="AS479" s="69"/>
      <c r="AT479" s="69"/>
      <c r="AU479" s="1"/>
      <c r="AV479" s="1"/>
    </row>
    <row r="480" spans="1:48" ht="15.75" customHeight="1" x14ac:dyDescent="0.25">
      <c r="A480" s="1"/>
      <c r="B480" s="2"/>
      <c r="C480" s="3"/>
      <c r="D480" s="2"/>
      <c r="E480" s="52"/>
      <c r="F480" s="52"/>
      <c r="G480" s="52"/>
      <c r="H480" s="2"/>
      <c r="I480" s="2"/>
      <c r="J480" s="2"/>
      <c r="K480" s="2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2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69"/>
      <c r="AM480" s="69"/>
      <c r="AN480" s="69"/>
      <c r="AO480" s="69"/>
      <c r="AP480" s="69"/>
      <c r="AQ480" s="69"/>
      <c r="AR480" s="69"/>
      <c r="AS480" s="69"/>
      <c r="AT480" s="69"/>
      <c r="AU480" s="1"/>
      <c r="AV480" s="1"/>
    </row>
    <row r="481" spans="1:48" ht="15.75" customHeight="1" x14ac:dyDescent="0.25">
      <c r="A481" s="1"/>
      <c r="B481" s="2"/>
      <c r="C481" s="3"/>
      <c r="D481" s="2"/>
      <c r="E481" s="52"/>
      <c r="F481" s="52"/>
      <c r="G481" s="52"/>
      <c r="H481" s="2"/>
      <c r="I481" s="2"/>
      <c r="J481" s="2"/>
      <c r="K481" s="2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2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69"/>
      <c r="AM481" s="69"/>
      <c r="AN481" s="69"/>
      <c r="AO481" s="69"/>
      <c r="AP481" s="69"/>
      <c r="AQ481" s="69"/>
      <c r="AR481" s="69"/>
      <c r="AS481" s="69"/>
      <c r="AT481" s="69"/>
      <c r="AU481" s="1"/>
      <c r="AV481" s="1"/>
    </row>
    <row r="482" spans="1:48" ht="15.75" customHeight="1" x14ac:dyDescent="0.25">
      <c r="A482" s="1"/>
      <c r="B482" s="2"/>
      <c r="C482" s="3"/>
      <c r="D482" s="2"/>
      <c r="E482" s="52"/>
      <c r="F482" s="52"/>
      <c r="G482" s="52"/>
      <c r="H482" s="2"/>
      <c r="I482" s="2"/>
      <c r="J482" s="2"/>
      <c r="K482" s="2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2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69"/>
      <c r="AM482" s="69"/>
      <c r="AN482" s="69"/>
      <c r="AO482" s="69"/>
      <c r="AP482" s="69"/>
      <c r="AQ482" s="69"/>
      <c r="AR482" s="69"/>
      <c r="AS482" s="69"/>
      <c r="AT482" s="69"/>
      <c r="AU482" s="1"/>
      <c r="AV482" s="1"/>
    </row>
    <row r="483" spans="1:48" ht="15.75" customHeight="1" x14ac:dyDescent="0.25">
      <c r="A483" s="1"/>
      <c r="B483" s="2"/>
      <c r="C483" s="3"/>
      <c r="D483" s="2"/>
      <c r="E483" s="52"/>
      <c r="F483" s="52"/>
      <c r="G483" s="52"/>
      <c r="H483" s="2"/>
      <c r="I483" s="2"/>
      <c r="J483" s="2"/>
      <c r="K483" s="2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2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69"/>
      <c r="AM483" s="69"/>
      <c r="AN483" s="69"/>
      <c r="AO483" s="69"/>
      <c r="AP483" s="69"/>
      <c r="AQ483" s="69"/>
      <c r="AR483" s="69"/>
      <c r="AS483" s="69"/>
      <c r="AT483" s="69"/>
      <c r="AU483" s="1"/>
      <c r="AV483" s="1"/>
    </row>
    <row r="484" spans="1:48" ht="15.75" customHeight="1" x14ac:dyDescent="0.25">
      <c r="A484" s="1"/>
      <c r="B484" s="2"/>
      <c r="C484" s="3"/>
      <c r="D484" s="2"/>
      <c r="E484" s="52"/>
      <c r="F484" s="52"/>
      <c r="G484" s="52"/>
      <c r="H484" s="2"/>
      <c r="I484" s="2"/>
      <c r="J484" s="2"/>
      <c r="K484" s="2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2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69"/>
      <c r="AM484" s="69"/>
      <c r="AN484" s="69"/>
      <c r="AO484" s="69"/>
      <c r="AP484" s="69"/>
      <c r="AQ484" s="69"/>
      <c r="AR484" s="69"/>
      <c r="AS484" s="69"/>
      <c r="AT484" s="69"/>
      <c r="AU484" s="1"/>
      <c r="AV484" s="1"/>
    </row>
    <row r="485" spans="1:48" ht="15.75" customHeight="1" x14ac:dyDescent="0.25">
      <c r="A485" s="1"/>
      <c r="B485" s="2"/>
      <c r="C485" s="3"/>
      <c r="D485" s="2"/>
      <c r="E485" s="52"/>
      <c r="F485" s="52"/>
      <c r="G485" s="52"/>
      <c r="H485" s="2"/>
      <c r="I485" s="2"/>
      <c r="J485" s="2"/>
      <c r="K485" s="2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2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69"/>
      <c r="AM485" s="69"/>
      <c r="AN485" s="69"/>
      <c r="AO485" s="69"/>
      <c r="AP485" s="69"/>
      <c r="AQ485" s="69"/>
      <c r="AR485" s="69"/>
      <c r="AS485" s="69"/>
      <c r="AT485" s="69"/>
      <c r="AU485" s="1"/>
      <c r="AV485" s="1"/>
    </row>
    <row r="486" spans="1:48" ht="15.75" customHeight="1" x14ac:dyDescent="0.25">
      <c r="A486" s="1"/>
      <c r="B486" s="2"/>
      <c r="C486" s="3"/>
      <c r="D486" s="2"/>
      <c r="E486" s="52"/>
      <c r="F486" s="52"/>
      <c r="G486" s="52"/>
      <c r="H486" s="2"/>
      <c r="I486" s="2"/>
      <c r="J486" s="2"/>
      <c r="K486" s="2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2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69"/>
      <c r="AM486" s="69"/>
      <c r="AN486" s="69"/>
      <c r="AO486" s="69"/>
      <c r="AP486" s="69"/>
      <c r="AQ486" s="69"/>
      <c r="AR486" s="69"/>
      <c r="AS486" s="69"/>
      <c r="AT486" s="69"/>
      <c r="AU486" s="1"/>
      <c r="AV486" s="1"/>
    </row>
    <row r="487" spans="1:48" ht="15.75" customHeight="1" x14ac:dyDescent="0.25">
      <c r="A487" s="1"/>
      <c r="B487" s="2"/>
      <c r="C487" s="3"/>
      <c r="D487" s="2"/>
      <c r="E487" s="52"/>
      <c r="F487" s="52"/>
      <c r="G487" s="52"/>
      <c r="H487" s="2"/>
      <c r="I487" s="2"/>
      <c r="J487" s="2"/>
      <c r="K487" s="2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2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69"/>
      <c r="AM487" s="69"/>
      <c r="AN487" s="69"/>
      <c r="AO487" s="69"/>
      <c r="AP487" s="69"/>
      <c r="AQ487" s="69"/>
      <c r="AR487" s="69"/>
      <c r="AS487" s="69"/>
      <c r="AT487" s="69"/>
      <c r="AU487" s="1"/>
      <c r="AV487" s="1"/>
    </row>
    <row r="488" spans="1:48" ht="15.75" customHeight="1" x14ac:dyDescent="0.25">
      <c r="A488" s="1"/>
      <c r="B488" s="2"/>
      <c r="C488" s="3"/>
      <c r="D488" s="2"/>
      <c r="E488" s="52"/>
      <c r="F488" s="52"/>
      <c r="G488" s="52"/>
      <c r="H488" s="2"/>
      <c r="I488" s="2"/>
      <c r="J488" s="2"/>
      <c r="K488" s="2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2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69"/>
      <c r="AM488" s="69"/>
      <c r="AN488" s="69"/>
      <c r="AO488" s="69"/>
      <c r="AP488" s="69"/>
      <c r="AQ488" s="69"/>
      <c r="AR488" s="69"/>
      <c r="AS488" s="69"/>
      <c r="AT488" s="69"/>
      <c r="AU488" s="1"/>
      <c r="AV488" s="1"/>
    </row>
    <row r="489" spans="1:48" ht="15.75" customHeight="1" x14ac:dyDescent="0.25">
      <c r="A489" s="1"/>
      <c r="B489" s="2"/>
      <c r="C489" s="3"/>
      <c r="D489" s="2"/>
      <c r="E489" s="52"/>
      <c r="F489" s="52"/>
      <c r="G489" s="52"/>
      <c r="H489" s="2"/>
      <c r="I489" s="2"/>
      <c r="J489" s="2"/>
      <c r="K489" s="2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2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69"/>
      <c r="AM489" s="69"/>
      <c r="AN489" s="69"/>
      <c r="AO489" s="69"/>
      <c r="AP489" s="69"/>
      <c r="AQ489" s="69"/>
      <c r="AR489" s="69"/>
      <c r="AS489" s="69"/>
      <c r="AT489" s="69"/>
      <c r="AU489" s="1"/>
      <c r="AV489" s="1"/>
    </row>
    <row r="490" spans="1:48" ht="15.75" customHeight="1" x14ac:dyDescent="0.25">
      <c r="A490" s="1"/>
      <c r="B490" s="2"/>
      <c r="C490" s="3"/>
      <c r="D490" s="2"/>
      <c r="E490" s="52"/>
      <c r="F490" s="52"/>
      <c r="G490" s="52"/>
      <c r="H490" s="2"/>
      <c r="I490" s="2"/>
      <c r="J490" s="2"/>
      <c r="K490" s="2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2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69"/>
      <c r="AM490" s="69"/>
      <c r="AN490" s="69"/>
      <c r="AO490" s="69"/>
      <c r="AP490" s="69"/>
      <c r="AQ490" s="69"/>
      <c r="AR490" s="69"/>
      <c r="AS490" s="69"/>
      <c r="AT490" s="69"/>
      <c r="AU490" s="1"/>
      <c r="AV490" s="1"/>
    </row>
    <row r="491" spans="1:48" ht="15.75" customHeight="1" x14ac:dyDescent="0.25">
      <c r="A491" s="1"/>
      <c r="B491" s="2"/>
      <c r="C491" s="3"/>
      <c r="D491" s="2"/>
      <c r="E491" s="52"/>
      <c r="F491" s="52"/>
      <c r="G491" s="52"/>
      <c r="H491" s="2"/>
      <c r="I491" s="2"/>
      <c r="J491" s="2"/>
      <c r="K491" s="2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2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69"/>
      <c r="AM491" s="69"/>
      <c r="AN491" s="69"/>
      <c r="AO491" s="69"/>
      <c r="AP491" s="69"/>
      <c r="AQ491" s="69"/>
      <c r="AR491" s="69"/>
      <c r="AS491" s="69"/>
      <c r="AT491" s="69"/>
      <c r="AU491" s="1"/>
      <c r="AV491" s="1"/>
    </row>
    <row r="492" spans="1:48" ht="15.75" customHeight="1" x14ac:dyDescent="0.25">
      <c r="A492" s="1"/>
      <c r="B492" s="2"/>
      <c r="C492" s="3"/>
      <c r="D492" s="2"/>
      <c r="E492" s="52"/>
      <c r="F492" s="52"/>
      <c r="G492" s="52"/>
      <c r="H492" s="2"/>
      <c r="I492" s="2"/>
      <c r="J492" s="2"/>
      <c r="K492" s="2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2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69"/>
      <c r="AM492" s="69"/>
      <c r="AN492" s="69"/>
      <c r="AO492" s="69"/>
      <c r="AP492" s="69"/>
      <c r="AQ492" s="69"/>
      <c r="AR492" s="69"/>
      <c r="AS492" s="69"/>
      <c r="AT492" s="69"/>
      <c r="AU492" s="1"/>
      <c r="AV492" s="1"/>
    </row>
    <row r="493" spans="1:48" ht="15.75" customHeight="1" x14ac:dyDescent="0.25">
      <c r="A493" s="1"/>
      <c r="B493" s="2"/>
      <c r="C493" s="3"/>
      <c r="D493" s="2"/>
      <c r="E493" s="52"/>
      <c r="F493" s="52"/>
      <c r="G493" s="52"/>
      <c r="H493" s="2"/>
      <c r="I493" s="2"/>
      <c r="J493" s="2"/>
      <c r="K493" s="2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2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69"/>
      <c r="AM493" s="69"/>
      <c r="AN493" s="69"/>
      <c r="AO493" s="69"/>
      <c r="AP493" s="69"/>
      <c r="AQ493" s="69"/>
      <c r="AR493" s="69"/>
      <c r="AS493" s="69"/>
      <c r="AT493" s="69"/>
      <c r="AU493" s="1"/>
      <c r="AV493" s="1"/>
    </row>
    <row r="494" spans="1:48" ht="15.75" customHeight="1" x14ac:dyDescent="0.25">
      <c r="A494" s="1"/>
      <c r="B494" s="2"/>
      <c r="C494" s="3"/>
      <c r="D494" s="2"/>
      <c r="E494" s="52"/>
      <c r="F494" s="52"/>
      <c r="G494" s="52"/>
      <c r="H494" s="2"/>
      <c r="I494" s="2"/>
      <c r="J494" s="2"/>
      <c r="K494" s="2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2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69"/>
      <c r="AM494" s="69"/>
      <c r="AN494" s="69"/>
      <c r="AO494" s="69"/>
      <c r="AP494" s="69"/>
      <c r="AQ494" s="69"/>
      <c r="AR494" s="69"/>
      <c r="AS494" s="69"/>
      <c r="AT494" s="69"/>
      <c r="AU494" s="1"/>
      <c r="AV494" s="1"/>
    </row>
    <row r="495" spans="1:48" ht="15.75" customHeight="1" x14ac:dyDescent="0.25">
      <c r="A495" s="1"/>
      <c r="B495" s="2"/>
      <c r="C495" s="3"/>
      <c r="D495" s="2"/>
      <c r="E495" s="52"/>
      <c r="F495" s="52"/>
      <c r="G495" s="52"/>
      <c r="H495" s="2"/>
      <c r="I495" s="2"/>
      <c r="J495" s="2"/>
      <c r="K495" s="2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2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69"/>
      <c r="AM495" s="69"/>
      <c r="AN495" s="69"/>
      <c r="AO495" s="69"/>
      <c r="AP495" s="69"/>
      <c r="AQ495" s="69"/>
      <c r="AR495" s="69"/>
      <c r="AS495" s="69"/>
      <c r="AT495" s="69"/>
      <c r="AU495" s="1"/>
      <c r="AV495" s="1"/>
    </row>
    <row r="496" spans="1:48" ht="15.75" customHeight="1" x14ac:dyDescent="0.25">
      <c r="A496" s="1"/>
      <c r="B496" s="2"/>
      <c r="C496" s="3"/>
      <c r="D496" s="2"/>
      <c r="E496" s="52"/>
      <c r="F496" s="52"/>
      <c r="G496" s="52"/>
      <c r="H496" s="2"/>
      <c r="I496" s="2"/>
      <c r="J496" s="2"/>
      <c r="K496" s="2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2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69"/>
      <c r="AM496" s="69"/>
      <c r="AN496" s="69"/>
      <c r="AO496" s="69"/>
      <c r="AP496" s="69"/>
      <c r="AQ496" s="69"/>
      <c r="AR496" s="69"/>
      <c r="AS496" s="69"/>
      <c r="AT496" s="69"/>
      <c r="AU496" s="1"/>
      <c r="AV496" s="1"/>
    </row>
    <row r="497" spans="1:48" ht="15.75" customHeight="1" x14ac:dyDescent="0.25">
      <c r="A497" s="1"/>
      <c r="B497" s="2"/>
      <c r="C497" s="3"/>
      <c r="D497" s="2"/>
      <c r="E497" s="52"/>
      <c r="F497" s="52"/>
      <c r="G497" s="52"/>
      <c r="H497" s="2"/>
      <c r="I497" s="2"/>
      <c r="J497" s="2"/>
      <c r="K497" s="2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2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69"/>
      <c r="AM497" s="69"/>
      <c r="AN497" s="69"/>
      <c r="AO497" s="69"/>
      <c r="AP497" s="69"/>
      <c r="AQ497" s="69"/>
      <c r="AR497" s="69"/>
      <c r="AS497" s="69"/>
      <c r="AT497" s="69"/>
      <c r="AU497" s="1"/>
      <c r="AV497" s="1"/>
    </row>
    <row r="498" spans="1:48" ht="15.75" customHeight="1" x14ac:dyDescent="0.25">
      <c r="A498" s="1"/>
      <c r="B498" s="2"/>
      <c r="C498" s="3"/>
      <c r="D498" s="2"/>
      <c r="E498" s="52"/>
      <c r="F498" s="52"/>
      <c r="G498" s="52"/>
      <c r="H498" s="2"/>
      <c r="I498" s="2"/>
      <c r="J498" s="2"/>
      <c r="K498" s="2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2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69"/>
      <c r="AM498" s="69"/>
      <c r="AN498" s="69"/>
      <c r="AO498" s="69"/>
      <c r="AP498" s="69"/>
      <c r="AQ498" s="69"/>
      <c r="AR498" s="69"/>
      <c r="AS498" s="69"/>
      <c r="AT498" s="69"/>
      <c r="AU498" s="1"/>
      <c r="AV498" s="1"/>
    </row>
    <row r="499" spans="1:48" ht="15.75" customHeight="1" x14ac:dyDescent="0.25">
      <c r="A499" s="1"/>
      <c r="B499" s="2"/>
      <c r="C499" s="3"/>
      <c r="D499" s="2"/>
      <c r="E499" s="52"/>
      <c r="F499" s="52"/>
      <c r="G499" s="52"/>
      <c r="H499" s="2"/>
      <c r="I499" s="2"/>
      <c r="J499" s="2"/>
      <c r="K499" s="2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2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69"/>
      <c r="AM499" s="69"/>
      <c r="AN499" s="69"/>
      <c r="AO499" s="69"/>
      <c r="AP499" s="69"/>
      <c r="AQ499" s="69"/>
      <c r="AR499" s="69"/>
      <c r="AS499" s="69"/>
      <c r="AT499" s="69"/>
      <c r="AU499" s="1"/>
      <c r="AV499" s="1"/>
    </row>
    <row r="500" spans="1:48" ht="15.75" customHeight="1" x14ac:dyDescent="0.25">
      <c r="A500" s="1"/>
      <c r="B500" s="2"/>
      <c r="C500" s="3"/>
      <c r="D500" s="2"/>
      <c r="E500" s="52"/>
      <c r="F500" s="52"/>
      <c r="G500" s="52"/>
      <c r="H500" s="2"/>
      <c r="I500" s="2"/>
      <c r="J500" s="2"/>
      <c r="K500" s="2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2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69"/>
      <c r="AM500" s="69"/>
      <c r="AN500" s="69"/>
      <c r="AO500" s="69"/>
      <c r="AP500" s="69"/>
      <c r="AQ500" s="69"/>
      <c r="AR500" s="69"/>
      <c r="AS500" s="69"/>
      <c r="AT500" s="69"/>
      <c r="AU500" s="1"/>
      <c r="AV500" s="1"/>
    </row>
    <row r="501" spans="1:48" ht="15.75" customHeight="1" x14ac:dyDescent="0.25">
      <c r="A501" s="1"/>
      <c r="B501" s="2"/>
      <c r="C501" s="3"/>
      <c r="D501" s="2"/>
      <c r="E501" s="52"/>
      <c r="F501" s="52"/>
      <c r="G501" s="52"/>
      <c r="H501" s="2"/>
      <c r="I501" s="2"/>
      <c r="J501" s="2"/>
      <c r="K501" s="2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2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69"/>
      <c r="AM501" s="69"/>
      <c r="AN501" s="69"/>
      <c r="AO501" s="69"/>
      <c r="AP501" s="69"/>
      <c r="AQ501" s="69"/>
      <c r="AR501" s="69"/>
      <c r="AS501" s="69"/>
      <c r="AT501" s="69"/>
      <c r="AU501" s="1"/>
      <c r="AV501" s="1"/>
    </row>
    <row r="502" spans="1:48" ht="15.75" customHeight="1" x14ac:dyDescent="0.25">
      <c r="A502" s="1"/>
      <c r="B502" s="2"/>
      <c r="C502" s="3"/>
      <c r="D502" s="2"/>
      <c r="E502" s="52"/>
      <c r="F502" s="52"/>
      <c r="G502" s="52"/>
      <c r="H502" s="2"/>
      <c r="I502" s="2"/>
      <c r="J502" s="2"/>
      <c r="K502" s="2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2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69"/>
      <c r="AM502" s="69"/>
      <c r="AN502" s="69"/>
      <c r="AO502" s="69"/>
      <c r="AP502" s="69"/>
      <c r="AQ502" s="69"/>
      <c r="AR502" s="69"/>
      <c r="AS502" s="69"/>
      <c r="AT502" s="69"/>
      <c r="AU502" s="1"/>
      <c r="AV502" s="1"/>
    </row>
    <row r="503" spans="1:48" ht="15.75" customHeight="1" x14ac:dyDescent="0.25">
      <c r="A503" s="1"/>
      <c r="B503" s="2"/>
      <c r="C503" s="3"/>
      <c r="D503" s="2"/>
      <c r="E503" s="52"/>
      <c r="F503" s="52"/>
      <c r="G503" s="52"/>
      <c r="H503" s="2"/>
      <c r="I503" s="2"/>
      <c r="J503" s="2"/>
      <c r="K503" s="2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2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69"/>
      <c r="AM503" s="69"/>
      <c r="AN503" s="69"/>
      <c r="AO503" s="69"/>
      <c r="AP503" s="69"/>
      <c r="AQ503" s="69"/>
      <c r="AR503" s="69"/>
      <c r="AS503" s="69"/>
      <c r="AT503" s="69"/>
      <c r="AU503" s="1"/>
      <c r="AV503" s="1"/>
    </row>
    <row r="504" spans="1:48" ht="15.75" customHeight="1" x14ac:dyDescent="0.25">
      <c r="A504" s="1"/>
      <c r="B504" s="2"/>
      <c r="C504" s="3"/>
      <c r="D504" s="2"/>
      <c r="E504" s="52"/>
      <c r="F504" s="52"/>
      <c r="G504" s="52"/>
      <c r="H504" s="2"/>
      <c r="I504" s="2"/>
      <c r="J504" s="2"/>
      <c r="K504" s="2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2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69"/>
      <c r="AM504" s="69"/>
      <c r="AN504" s="69"/>
      <c r="AO504" s="69"/>
      <c r="AP504" s="69"/>
      <c r="AQ504" s="69"/>
      <c r="AR504" s="69"/>
      <c r="AS504" s="69"/>
      <c r="AT504" s="69"/>
      <c r="AU504" s="1"/>
      <c r="AV504" s="1"/>
    </row>
    <row r="505" spans="1:48" ht="15.75" customHeight="1" x14ac:dyDescent="0.25">
      <c r="A505" s="1"/>
      <c r="B505" s="2"/>
      <c r="C505" s="3"/>
      <c r="D505" s="2"/>
      <c r="E505" s="52"/>
      <c r="F505" s="52"/>
      <c r="G505" s="52"/>
      <c r="H505" s="2"/>
      <c r="I505" s="2"/>
      <c r="J505" s="2"/>
      <c r="K505" s="2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2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69"/>
      <c r="AM505" s="69"/>
      <c r="AN505" s="69"/>
      <c r="AO505" s="69"/>
      <c r="AP505" s="69"/>
      <c r="AQ505" s="69"/>
      <c r="AR505" s="69"/>
      <c r="AS505" s="69"/>
      <c r="AT505" s="69"/>
      <c r="AU505" s="1"/>
      <c r="AV505" s="1"/>
    </row>
    <row r="506" spans="1:48" ht="15.75" customHeight="1" x14ac:dyDescent="0.25">
      <c r="A506" s="1"/>
      <c r="B506" s="2"/>
      <c r="C506" s="3"/>
      <c r="D506" s="2"/>
      <c r="E506" s="52"/>
      <c r="F506" s="52"/>
      <c r="G506" s="52"/>
      <c r="H506" s="2"/>
      <c r="I506" s="2"/>
      <c r="J506" s="2"/>
      <c r="K506" s="2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2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69"/>
      <c r="AM506" s="69"/>
      <c r="AN506" s="69"/>
      <c r="AO506" s="69"/>
      <c r="AP506" s="69"/>
      <c r="AQ506" s="69"/>
      <c r="AR506" s="69"/>
      <c r="AS506" s="69"/>
      <c r="AT506" s="69"/>
      <c r="AU506" s="1"/>
      <c r="AV506" s="1"/>
    </row>
    <row r="507" spans="1:48" ht="15.75" customHeight="1" x14ac:dyDescent="0.25">
      <c r="A507" s="1"/>
      <c r="B507" s="2"/>
      <c r="C507" s="3"/>
      <c r="D507" s="2"/>
      <c r="E507" s="52"/>
      <c r="F507" s="52"/>
      <c r="G507" s="52"/>
      <c r="H507" s="2"/>
      <c r="I507" s="2"/>
      <c r="J507" s="2"/>
      <c r="K507" s="2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2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69"/>
      <c r="AM507" s="69"/>
      <c r="AN507" s="69"/>
      <c r="AO507" s="69"/>
      <c r="AP507" s="69"/>
      <c r="AQ507" s="69"/>
      <c r="AR507" s="69"/>
      <c r="AS507" s="69"/>
      <c r="AT507" s="69"/>
      <c r="AU507" s="1"/>
      <c r="AV507" s="1"/>
    </row>
    <row r="508" spans="1:48" ht="15.75" customHeight="1" x14ac:dyDescent="0.25">
      <c r="A508" s="1"/>
      <c r="B508" s="2"/>
      <c r="C508" s="3"/>
      <c r="D508" s="2"/>
      <c r="E508" s="52"/>
      <c r="F508" s="52"/>
      <c r="G508" s="52"/>
      <c r="H508" s="2"/>
      <c r="I508" s="2"/>
      <c r="J508" s="2"/>
      <c r="K508" s="2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2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69"/>
      <c r="AM508" s="69"/>
      <c r="AN508" s="69"/>
      <c r="AO508" s="69"/>
      <c r="AP508" s="69"/>
      <c r="AQ508" s="69"/>
      <c r="AR508" s="69"/>
      <c r="AS508" s="69"/>
      <c r="AT508" s="69"/>
      <c r="AU508" s="1"/>
      <c r="AV508" s="1"/>
    </row>
    <row r="509" spans="1:48" ht="15.75" customHeight="1" x14ac:dyDescent="0.25">
      <c r="A509" s="1"/>
      <c r="B509" s="2"/>
      <c r="C509" s="3"/>
      <c r="D509" s="2"/>
      <c r="E509" s="52"/>
      <c r="F509" s="52"/>
      <c r="G509" s="52"/>
      <c r="H509" s="2"/>
      <c r="I509" s="2"/>
      <c r="J509" s="2"/>
      <c r="K509" s="2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2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69"/>
      <c r="AM509" s="69"/>
      <c r="AN509" s="69"/>
      <c r="AO509" s="69"/>
      <c r="AP509" s="69"/>
      <c r="AQ509" s="69"/>
      <c r="AR509" s="69"/>
      <c r="AS509" s="69"/>
      <c r="AT509" s="69"/>
      <c r="AU509" s="1"/>
      <c r="AV509" s="1"/>
    </row>
    <row r="510" spans="1:48" ht="15.75" customHeight="1" x14ac:dyDescent="0.25">
      <c r="A510" s="1"/>
      <c r="B510" s="2"/>
      <c r="C510" s="3"/>
      <c r="D510" s="2"/>
      <c r="E510" s="52"/>
      <c r="F510" s="52"/>
      <c r="G510" s="52"/>
      <c r="H510" s="2"/>
      <c r="I510" s="2"/>
      <c r="J510" s="2"/>
      <c r="K510" s="2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2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69"/>
      <c r="AM510" s="69"/>
      <c r="AN510" s="69"/>
      <c r="AO510" s="69"/>
      <c r="AP510" s="69"/>
      <c r="AQ510" s="69"/>
      <c r="AR510" s="69"/>
      <c r="AS510" s="69"/>
      <c r="AT510" s="69"/>
      <c r="AU510" s="1"/>
      <c r="AV510" s="1"/>
    </row>
    <row r="511" spans="1:48" ht="15.75" customHeight="1" x14ac:dyDescent="0.25">
      <c r="A511" s="1"/>
      <c r="B511" s="2"/>
      <c r="C511" s="3"/>
      <c r="D511" s="2"/>
      <c r="E511" s="52"/>
      <c r="F511" s="52"/>
      <c r="G511" s="52"/>
      <c r="H511" s="2"/>
      <c r="I511" s="2"/>
      <c r="J511" s="2"/>
      <c r="K511" s="2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2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69"/>
      <c r="AM511" s="69"/>
      <c r="AN511" s="69"/>
      <c r="AO511" s="69"/>
      <c r="AP511" s="69"/>
      <c r="AQ511" s="69"/>
      <c r="AR511" s="69"/>
      <c r="AS511" s="69"/>
      <c r="AT511" s="69"/>
      <c r="AU511" s="1"/>
      <c r="AV511" s="1"/>
    </row>
    <row r="512" spans="1:48" ht="15.75" customHeight="1" x14ac:dyDescent="0.25">
      <c r="A512" s="1"/>
      <c r="B512" s="2"/>
      <c r="C512" s="3"/>
      <c r="D512" s="2"/>
      <c r="E512" s="52"/>
      <c r="F512" s="52"/>
      <c r="G512" s="52"/>
      <c r="H512" s="2"/>
      <c r="I512" s="2"/>
      <c r="J512" s="2"/>
      <c r="K512" s="2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2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69"/>
      <c r="AM512" s="69"/>
      <c r="AN512" s="69"/>
      <c r="AO512" s="69"/>
      <c r="AP512" s="69"/>
      <c r="AQ512" s="69"/>
      <c r="AR512" s="69"/>
      <c r="AS512" s="69"/>
      <c r="AT512" s="69"/>
      <c r="AU512" s="1"/>
      <c r="AV512" s="1"/>
    </row>
    <row r="513" spans="1:48" ht="15.75" customHeight="1" x14ac:dyDescent="0.25">
      <c r="A513" s="1"/>
      <c r="B513" s="2"/>
      <c r="C513" s="3"/>
      <c r="D513" s="2"/>
      <c r="E513" s="52"/>
      <c r="F513" s="52"/>
      <c r="G513" s="52"/>
      <c r="H513" s="2"/>
      <c r="I513" s="2"/>
      <c r="J513" s="2"/>
      <c r="K513" s="2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2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69"/>
      <c r="AM513" s="69"/>
      <c r="AN513" s="69"/>
      <c r="AO513" s="69"/>
      <c r="AP513" s="69"/>
      <c r="AQ513" s="69"/>
      <c r="AR513" s="69"/>
      <c r="AS513" s="69"/>
      <c r="AT513" s="69"/>
      <c r="AU513" s="1"/>
      <c r="AV513" s="1"/>
    </row>
    <row r="514" spans="1:48" ht="15.75" customHeight="1" x14ac:dyDescent="0.25">
      <c r="A514" s="1"/>
      <c r="B514" s="2"/>
      <c r="C514" s="3"/>
      <c r="D514" s="2"/>
      <c r="E514" s="52"/>
      <c r="F514" s="52"/>
      <c r="G514" s="52"/>
      <c r="H514" s="2"/>
      <c r="I514" s="2"/>
      <c r="J514" s="2"/>
      <c r="K514" s="2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2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69"/>
      <c r="AM514" s="69"/>
      <c r="AN514" s="69"/>
      <c r="AO514" s="69"/>
      <c r="AP514" s="69"/>
      <c r="AQ514" s="69"/>
      <c r="AR514" s="69"/>
      <c r="AS514" s="69"/>
      <c r="AT514" s="69"/>
      <c r="AU514" s="1"/>
      <c r="AV514" s="1"/>
    </row>
    <row r="515" spans="1:48" ht="15.75" customHeight="1" x14ac:dyDescent="0.25">
      <c r="A515" s="1"/>
      <c r="B515" s="2"/>
      <c r="C515" s="3"/>
      <c r="D515" s="2"/>
      <c r="E515" s="52"/>
      <c r="F515" s="52"/>
      <c r="G515" s="52"/>
      <c r="H515" s="2"/>
      <c r="I515" s="2"/>
      <c r="J515" s="2"/>
      <c r="K515" s="2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2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69"/>
      <c r="AM515" s="69"/>
      <c r="AN515" s="69"/>
      <c r="AO515" s="69"/>
      <c r="AP515" s="69"/>
      <c r="AQ515" s="69"/>
      <c r="AR515" s="69"/>
      <c r="AS515" s="69"/>
      <c r="AT515" s="69"/>
      <c r="AU515" s="1"/>
      <c r="AV515" s="1"/>
    </row>
    <row r="516" spans="1:48" ht="15.75" customHeight="1" x14ac:dyDescent="0.25">
      <c r="A516" s="1"/>
      <c r="B516" s="2"/>
      <c r="C516" s="3"/>
      <c r="D516" s="2"/>
      <c r="E516" s="52"/>
      <c r="F516" s="52"/>
      <c r="G516" s="52"/>
      <c r="H516" s="2"/>
      <c r="I516" s="2"/>
      <c r="J516" s="2"/>
      <c r="K516" s="2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2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69"/>
      <c r="AM516" s="69"/>
      <c r="AN516" s="69"/>
      <c r="AO516" s="69"/>
      <c r="AP516" s="69"/>
      <c r="AQ516" s="69"/>
      <c r="AR516" s="69"/>
      <c r="AS516" s="69"/>
      <c r="AT516" s="69"/>
      <c r="AU516" s="1"/>
      <c r="AV516" s="1"/>
    </row>
    <row r="517" spans="1:48" ht="15.75" customHeight="1" x14ac:dyDescent="0.25">
      <c r="A517" s="1"/>
      <c r="B517" s="2"/>
      <c r="C517" s="3"/>
      <c r="D517" s="2"/>
      <c r="E517" s="52"/>
      <c r="F517" s="52"/>
      <c r="G517" s="52"/>
      <c r="H517" s="2"/>
      <c r="I517" s="2"/>
      <c r="J517" s="2"/>
      <c r="K517" s="2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2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69"/>
      <c r="AM517" s="69"/>
      <c r="AN517" s="69"/>
      <c r="AO517" s="69"/>
      <c r="AP517" s="69"/>
      <c r="AQ517" s="69"/>
      <c r="AR517" s="69"/>
      <c r="AS517" s="69"/>
      <c r="AT517" s="69"/>
      <c r="AU517" s="1"/>
      <c r="AV517" s="1"/>
    </row>
    <row r="518" spans="1:48" ht="15.75" customHeight="1" x14ac:dyDescent="0.25">
      <c r="A518" s="1"/>
      <c r="B518" s="2"/>
      <c r="C518" s="3"/>
      <c r="D518" s="2"/>
      <c r="E518" s="52"/>
      <c r="F518" s="52"/>
      <c r="G518" s="52"/>
      <c r="H518" s="2"/>
      <c r="I518" s="2"/>
      <c r="J518" s="2"/>
      <c r="K518" s="2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2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69"/>
      <c r="AM518" s="69"/>
      <c r="AN518" s="69"/>
      <c r="AO518" s="69"/>
      <c r="AP518" s="69"/>
      <c r="AQ518" s="69"/>
      <c r="AR518" s="69"/>
      <c r="AS518" s="69"/>
      <c r="AT518" s="69"/>
      <c r="AU518" s="1"/>
      <c r="AV518" s="1"/>
    </row>
    <row r="519" spans="1:48" ht="15.75" customHeight="1" x14ac:dyDescent="0.25">
      <c r="A519" s="1"/>
      <c r="B519" s="2"/>
      <c r="C519" s="3"/>
      <c r="D519" s="2"/>
      <c r="E519" s="52"/>
      <c r="F519" s="52"/>
      <c r="G519" s="52"/>
      <c r="H519" s="2"/>
      <c r="I519" s="2"/>
      <c r="J519" s="2"/>
      <c r="K519" s="2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2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69"/>
      <c r="AM519" s="69"/>
      <c r="AN519" s="69"/>
      <c r="AO519" s="69"/>
      <c r="AP519" s="69"/>
      <c r="AQ519" s="69"/>
      <c r="AR519" s="69"/>
      <c r="AS519" s="69"/>
      <c r="AT519" s="69"/>
      <c r="AU519" s="1"/>
      <c r="AV519" s="1"/>
    </row>
    <row r="520" spans="1:48" ht="15.75" customHeight="1" x14ac:dyDescent="0.25">
      <c r="A520" s="1"/>
      <c r="B520" s="2"/>
      <c r="C520" s="3"/>
      <c r="D520" s="2"/>
      <c r="E520" s="52"/>
      <c r="F520" s="52"/>
      <c r="G520" s="52"/>
      <c r="H520" s="2"/>
      <c r="I520" s="2"/>
      <c r="J520" s="2"/>
      <c r="K520" s="2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2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69"/>
      <c r="AM520" s="69"/>
      <c r="AN520" s="69"/>
      <c r="AO520" s="69"/>
      <c r="AP520" s="69"/>
      <c r="AQ520" s="69"/>
      <c r="AR520" s="69"/>
      <c r="AS520" s="69"/>
      <c r="AT520" s="69"/>
      <c r="AU520" s="1"/>
      <c r="AV520" s="1"/>
    </row>
    <row r="521" spans="1:48" ht="15.75" customHeight="1" x14ac:dyDescent="0.25">
      <c r="A521" s="1"/>
      <c r="B521" s="2"/>
      <c r="C521" s="3"/>
      <c r="D521" s="2"/>
      <c r="E521" s="52"/>
      <c r="F521" s="52"/>
      <c r="G521" s="52"/>
      <c r="H521" s="2"/>
      <c r="I521" s="2"/>
      <c r="J521" s="2"/>
      <c r="K521" s="2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2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69"/>
      <c r="AM521" s="69"/>
      <c r="AN521" s="69"/>
      <c r="AO521" s="69"/>
      <c r="AP521" s="69"/>
      <c r="AQ521" s="69"/>
      <c r="AR521" s="69"/>
      <c r="AS521" s="69"/>
      <c r="AT521" s="69"/>
      <c r="AU521" s="1"/>
      <c r="AV521" s="1"/>
    </row>
    <row r="522" spans="1:48" ht="15.75" customHeight="1" x14ac:dyDescent="0.25">
      <c r="A522" s="1"/>
      <c r="B522" s="2"/>
      <c r="C522" s="3"/>
      <c r="D522" s="2"/>
      <c r="E522" s="52"/>
      <c r="F522" s="52"/>
      <c r="G522" s="52"/>
      <c r="H522" s="2"/>
      <c r="I522" s="2"/>
      <c r="J522" s="2"/>
      <c r="K522" s="2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2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69"/>
      <c r="AM522" s="69"/>
      <c r="AN522" s="69"/>
      <c r="AO522" s="69"/>
      <c r="AP522" s="69"/>
      <c r="AQ522" s="69"/>
      <c r="AR522" s="69"/>
      <c r="AS522" s="69"/>
      <c r="AT522" s="69"/>
      <c r="AU522" s="1"/>
      <c r="AV522" s="1"/>
    </row>
    <row r="523" spans="1:48" ht="15.75" customHeight="1" x14ac:dyDescent="0.25">
      <c r="A523" s="1"/>
      <c r="B523" s="2"/>
      <c r="C523" s="3"/>
      <c r="D523" s="2"/>
      <c r="E523" s="52"/>
      <c r="F523" s="52"/>
      <c r="G523" s="52"/>
      <c r="H523" s="2"/>
      <c r="I523" s="2"/>
      <c r="J523" s="2"/>
      <c r="K523" s="2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2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69"/>
      <c r="AM523" s="69"/>
      <c r="AN523" s="69"/>
      <c r="AO523" s="69"/>
      <c r="AP523" s="69"/>
      <c r="AQ523" s="69"/>
      <c r="AR523" s="69"/>
      <c r="AS523" s="69"/>
      <c r="AT523" s="69"/>
      <c r="AU523" s="1"/>
      <c r="AV523" s="1"/>
    </row>
    <row r="524" spans="1:48" ht="15.75" customHeight="1" x14ac:dyDescent="0.25">
      <c r="A524" s="1"/>
      <c r="B524" s="2"/>
      <c r="C524" s="3"/>
      <c r="D524" s="2"/>
      <c r="E524" s="52"/>
      <c r="F524" s="52"/>
      <c r="G524" s="52"/>
      <c r="H524" s="2"/>
      <c r="I524" s="2"/>
      <c r="J524" s="2"/>
      <c r="K524" s="2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2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69"/>
      <c r="AM524" s="69"/>
      <c r="AN524" s="69"/>
      <c r="AO524" s="69"/>
      <c r="AP524" s="69"/>
      <c r="AQ524" s="69"/>
      <c r="AR524" s="69"/>
      <c r="AS524" s="69"/>
      <c r="AT524" s="69"/>
      <c r="AU524" s="1"/>
      <c r="AV524" s="1"/>
    </row>
    <row r="525" spans="1:48" ht="15.75" customHeight="1" x14ac:dyDescent="0.25">
      <c r="A525" s="1"/>
      <c r="B525" s="2"/>
      <c r="C525" s="3"/>
      <c r="D525" s="2"/>
      <c r="E525" s="52"/>
      <c r="F525" s="52"/>
      <c r="G525" s="52"/>
      <c r="H525" s="2"/>
      <c r="I525" s="2"/>
      <c r="J525" s="2"/>
      <c r="K525" s="2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2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69"/>
      <c r="AM525" s="69"/>
      <c r="AN525" s="69"/>
      <c r="AO525" s="69"/>
      <c r="AP525" s="69"/>
      <c r="AQ525" s="69"/>
      <c r="AR525" s="69"/>
      <c r="AS525" s="69"/>
      <c r="AT525" s="69"/>
      <c r="AU525" s="1"/>
      <c r="AV525" s="1"/>
    </row>
    <row r="526" spans="1:48" ht="15.75" customHeight="1" x14ac:dyDescent="0.25">
      <c r="A526" s="1"/>
      <c r="B526" s="2"/>
      <c r="C526" s="3"/>
      <c r="D526" s="2"/>
      <c r="E526" s="52"/>
      <c r="F526" s="52"/>
      <c r="G526" s="52"/>
      <c r="H526" s="2"/>
      <c r="I526" s="2"/>
      <c r="J526" s="2"/>
      <c r="K526" s="2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2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69"/>
      <c r="AM526" s="69"/>
      <c r="AN526" s="69"/>
      <c r="AO526" s="69"/>
      <c r="AP526" s="69"/>
      <c r="AQ526" s="69"/>
      <c r="AR526" s="69"/>
      <c r="AS526" s="69"/>
      <c r="AT526" s="69"/>
      <c r="AU526" s="1"/>
      <c r="AV526" s="1"/>
    </row>
    <row r="527" spans="1:48" ht="15.75" customHeight="1" x14ac:dyDescent="0.25">
      <c r="A527" s="1"/>
      <c r="B527" s="2"/>
      <c r="C527" s="3"/>
      <c r="D527" s="2"/>
      <c r="E527" s="52"/>
      <c r="F527" s="52"/>
      <c r="G527" s="52"/>
      <c r="H527" s="2"/>
      <c r="I527" s="2"/>
      <c r="J527" s="2"/>
      <c r="K527" s="2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2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69"/>
      <c r="AM527" s="69"/>
      <c r="AN527" s="69"/>
      <c r="AO527" s="69"/>
      <c r="AP527" s="69"/>
      <c r="AQ527" s="69"/>
      <c r="AR527" s="69"/>
      <c r="AS527" s="69"/>
      <c r="AT527" s="69"/>
      <c r="AU527" s="1"/>
      <c r="AV527" s="1"/>
    </row>
    <row r="528" spans="1:48" ht="15.75" customHeight="1" x14ac:dyDescent="0.25">
      <c r="A528" s="1"/>
      <c r="B528" s="2"/>
      <c r="C528" s="3"/>
      <c r="D528" s="2"/>
      <c r="E528" s="52"/>
      <c r="F528" s="52"/>
      <c r="G528" s="52"/>
      <c r="H528" s="2"/>
      <c r="I528" s="2"/>
      <c r="J528" s="2"/>
      <c r="K528" s="2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2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69"/>
      <c r="AM528" s="69"/>
      <c r="AN528" s="69"/>
      <c r="AO528" s="69"/>
      <c r="AP528" s="69"/>
      <c r="AQ528" s="69"/>
      <c r="AR528" s="69"/>
      <c r="AS528" s="69"/>
      <c r="AT528" s="69"/>
      <c r="AU528" s="1"/>
      <c r="AV528" s="1"/>
    </row>
    <row r="529" spans="1:48" ht="15.75" customHeight="1" x14ac:dyDescent="0.25">
      <c r="A529" s="1"/>
      <c r="B529" s="2"/>
      <c r="C529" s="3"/>
      <c r="D529" s="2"/>
      <c r="E529" s="52"/>
      <c r="F529" s="52"/>
      <c r="G529" s="52"/>
      <c r="H529" s="2"/>
      <c r="I529" s="2"/>
      <c r="J529" s="2"/>
      <c r="K529" s="2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2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69"/>
      <c r="AM529" s="69"/>
      <c r="AN529" s="69"/>
      <c r="AO529" s="69"/>
      <c r="AP529" s="69"/>
      <c r="AQ529" s="69"/>
      <c r="AR529" s="69"/>
      <c r="AS529" s="69"/>
      <c r="AT529" s="69"/>
      <c r="AU529" s="1"/>
      <c r="AV529" s="1"/>
    </row>
    <row r="530" spans="1:48" ht="15.75" customHeight="1" x14ac:dyDescent="0.25">
      <c r="A530" s="1"/>
      <c r="B530" s="2"/>
      <c r="C530" s="3"/>
      <c r="D530" s="2"/>
      <c r="E530" s="52"/>
      <c r="F530" s="52"/>
      <c r="G530" s="52"/>
      <c r="H530" s="2"/>
      <c r="I530" s="2"/>
      <c r="J530" s="2"/>
      <c r="K530" s="2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2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69"/>
      <c r="AM530" s="69"/>
      <c r="AN530" s="69"/>
      <c r="AO530" s="69"/>
      <c r="AP530" s="69"/>
      <c r="AQ530" s="69"/>
      <c r="AR530" s="69"/>
      <c r="AS530" s="69"/>
      <c r="AT530" s="69"/>
      <c r="AU530" s="1"/>
      <c r="AV530" s="1"/>
    </row>
    <row r="531" spans="1:48" ht="15.75" customHeight="1" x14ac:dyDescent="0.25">
      <c r="A531" s="1"/>
      <c r="B531" s="2"/>
      <c r="C531" s="3"/>
      <c r="D531" s="2"/>
      <c r="E531" s="52"/>
      <c r="F531" s="52"/>
      <c r="G531" s="52"/>
      <c r="H531" s="2"/>
      <c r="I531" s="2"/>
      <c r="J531" s="2"/>
      <c r="K531" s="2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2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69"/>
      <c r="AM531" s="69"/>
      <c r="AN531" s="69"/>
      <c r="AO531" s="69"/>
      <c r="AP531" s="69"/>
      <c r="AQ531" s="69"/>
      <c r="AR531" s="69"/>
      <c r="AS531" s="69"/>
      <c r="AT531" s="69"/>
      <c r="AU531" s="1"/>
      <c r="AV531" s="1"/>
    </row>
    <row r="532" spans="1:48" ht="15.75" customHeight="1" x14ac:dyDescent="0.25">
      <c r="A532" s="1"/>
      <c r="B532" s="2"/>
      <c r="C532" s="3"/>
      <c r="D532" s="2"/>
      <c r="E532" s="52"/>
      <c r="F532" s="52"/>
      <c r="G532" s="52"/>
      <c r="H532" s="2"/>
      <c r="I532" s="2"/>
      <c r="J532" s="2"/>
      <c r="K532" s="2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2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69"/>
      <c r="AM532" s="69"/>
      <c r="AN532" s="69"/>
      <c r="AO532" s="69"/>
      <c r="AP532" s="69"/>
      <c r="AQ532" s="69"/>
      <c r="AR532" s="69"/>
      <c r="AS532" s="69"/>
      <c r="AT532" s="69"/>
      <c r="AU532" s="1"/>
      <c r="AV532" s="1"/>
    </row>
    <row r="533" spans="1:48" ht="15.75" customHeight="1" x14ac:dyDescent="0.25">
      <c r="A533" s="1"/>
      <c r="B533" s="2"/>
      <c r="C533" s="3"/>
      <c r="D533" s="2"/>
      <c r="E533" s="52"/>
      <c r="F533" s="52"/>
      <c r="G533" s="52"/>
      <c r="H533" s="2"/>
      <c r="I533" s="2"/>
      <c r="J533" s="2"/>
      <c r="K533" s="2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2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69"/>
      <c r="AM533" s="69"/>
      <c r="AN533" s="69"/>
      <c r="AO533" s="69"/>
      <c r="AP533" s="69"/>
      <c r="AQ533" s="69"/>
      <c r="AR533" s="69"/>
      <c r="AS533" s="69"/>
      <c r="AT533" s="69"/>
      <c r="AU533" s="1"/>
      <c r="AV533" s="1"/>
    </row>
    <row r="534" spans="1:48" ht="15.75" customHeight="1" x14ac:dyDescent="0.25">
      <c r="A534" s="1"/>
      <c r="B534" s="2"/>
      <c r="C534" s="3"/>
      <c r="D534" s="2"/>
      <c r="E534" s="52"/>
      <c r="F534" s="52"/>
      <c r="G534" s="52"/>
      <c r="H534" s="2"/>
      <c r="I534" s="2"/>
      <c r="J534" s="2"/>
      <c r="K534" s="2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2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69"/>
      <c r="AM534" s="69"/>
      <c r="AN534" s="69"/>
      <c r="AO534" s="69"/>
      <c r="AP534" s="69"/>
      <c r="AQ534" s="69"/>
      <c r="AR534" s="69"/>
      <c r="AS534" s="69"/>
      <c r="AT534" s="69"/>
      <c r="AU534" s="1"/>
      <c r="AV534" s="1"/>
    </row>
    <row r="535" spans="1:48" ht="15.75" customHeight="1" x14ac:dyDescent="0.25">
      <c r="A535" s="1"/>
      <c r="B535" s="2"/>
      <c r="C535" s="3"/>
      <c r="D535" s="2"/>
      <c r="E535" s="52"/>
      <c r="F535" s="52"/>
      <c r="G535" s="52"/>
      <c r="H535" s="2"/>
      <c r="I535" s="2"/>
      <c r="J535" s="2"/>
      <c r="K535" s="2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2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69"/>
      <c r="AM535" s="69"/>
      <c r="AN535" s="69"/>
      <c r="AO535" s="69"/>
      <c r="AP535" s="69"/>
      <c r="AQ535" s="69"/>
      <c r="AR535" s="69"/>
      <c r="AS535" s="69"/>
      <c r="AT535" s="69"/>
      <c r="AU535" s="1"/>
      <c r="AV535" s="1"/>
    </row>
    <row r="536" spans="1:48" ht="15.75" customHeight="1" x14ac:dyDescent="0.25">
      <c r="A536" s="1"/>
      <c r="B536" s="2"/>
      <c r="C536" s="3"/>
      <c r="D536" s="2"/>
      <c r="E536" s="52"/>
      <c r="F536" s="52"/>
      <c r="G536" s="52"/>
      <c r="H536" s="2"/>
      <c r="I536" s="2"/>
      <c r="J536" s="2"/>
      <c r="K536" s="2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2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69"/>
      <c r="AM536" s="69"/>
      <c r="AN536" s="69"/>
      <c r="AO536" s="69"/>
      <c r="AP536" s="69"/>
      <c r="AQ536" s="69"/>
      <c r="AR536" s="69"/>
      <c r="AS536" s="69"/>
      <c r="AT536" s="69"/>
      <c r="AU536" s="1"/>
      <c r="AV536" s="1"/>
    </row>
    <row r="537" spans="1:48" ht="15.75" customHeight="1" x14ac:dyDescent="0.25">
      <c r="A537" s="1"/>
      <c r="B537" s="2"/>
      <c r="C537" s="3"/>
      <c r="D537" s="2"/>
      <c r="E537" s="52"/>
      <c r="F537" s="52"/>
      <c r="G537" s="52"/>
      <c r="H537" s="2"/>
      <c r="I537" s="2"/>
      <c r="J537" s="2"/>
      <c r="K537" s="2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2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69"/>
      <c r="AM537" s="69"/>
      <c r="AN537" s="69"/>
      <c r="AO537" s="69"/>
      <c r="AP537" s="69"/>
      <c r="AQ537" s="69"/>
      <c r="AR537" s="69"/>
      <c r="AS537" s="69"/>
      <c r="AT537" s="69"/>
      <c r="AU537" s="1"/>
      <c r="AV537" s="1"/>
    </row>
    <row r="538" spans="1:48" ht="15.75" customHeight="1" x14ac:dyDescent="0.25">
      <c r="A538" s="1"/>
      <c r="B538" s="2"/>
      <c r="C538" s="3"/>
      <c r="D538" s="2"/>
      <c r="E538" s="52"/>
      <c r="F538" s="52"/>
      <c r="G538" s="52"/>
      <c r="H538" s="2"/>
      <c r="I538" s="2"/>
      <c r="J538" s="2"/>
      <c r="K538" s="2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2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69"/>
      <c r="AM538" s="69"/>
      <c r="AN538" s="69"/>
      <c r="AO538" s="69"/>
      <c r="AP538" s="69"/>
      <c r="AQ538" s="69"/>
      <c r="AR538" s="69"/>
      <c r="AS538" s="69"/>
      <c r="AT538" s="69"/>
      <c r="AU538" s="1"/>
      <c r="AV538" s="1"/>
    </row>
    <row r="539" spans="1:48" ht="15.75" customHeight="1" x14ac:dyDescent="0.25">
      <c r="A539" s="1"/>
      <c r="B539" s="2"/>
      <c r="C539" s="3"/>
      <c r="D539" s="2"/>
      <c r="E539" s="52"/>
      <c r="F539" s="52"/>
      <c r="G539" s="52"/>
      <c r="H539" s="2"/>
      <c r="I539" s="2"/>
      <c r="J539" s="2"/>
      <c r="K539" s="2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2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69"/>
      <c r="AM539" s="69"/>
      <c r="AN539" s="69"/>
      <c r="AO539" s="69"/>
      <c r="AP539" s="69"/>
      <c r="AQ539" s="69"/>
      <c r="AR539" s="69"/>
      <c r="AS539" s="69"/>
      <c r="AT539" s="69"/>
      <c r="AU539" s="1"/>
      <c r="AV539" s="1"/>
    </row>
    <row r="540" spans="1:48" ht="15.75" customHeight="1" x14ac:dyDescent="0.25">
      <c r="A540" s="1"/>
      <c r="B540" s="2"/>
      <c r="C540" s="3"/>
      <c r="D540" s="2"/>
      <c r="E540" s="52"/>
      <c r="F540" s="52"/>
      <c r="G540" s="52"/>
      <c r="H540" s="2"/>
      <c r="I540" s="2"/>
      <c r="J540" s="2"/>
      <c r="K540" s="2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2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69"/>
      <c r="AM540" s="69"/>
      <c r="AN540" s="69"/>
      <c r="AO540" s="69"/>
      <c r="AP540" s="69"/>
      <c r="AQ540" s="69"/>
      <c r="AR540" s="69"/>
      <c r="AS540" s="69"/>
      <c r="AT540" s="69"/>
      <c r="AU540" s="1"/>
      <c r="AV540" s="1"/>
    </row>
    <row r="541" spans="1:48" ht="15.75" customHeight="1" x14ac:dyDescent="0.25">
      <c r="A541" s="1"/>
      <c r="B541" s="2"/>
      <c r="C541" s="3"/>
      <c r="D541" s="2"/>
      <c r="E541" s="52"/>
      <c r="F541" s="52"/>
      <c r="G541" s="52"/>
      <c r="H541" s="2"/>
      <c r="I541" s="2"/>
      <c r="J541" s="2"/>
      <c r="K541" s="2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2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69"/>
      <c r="AM541" s="69"/>
      <c r="AN541" s="69"/>
      <c r="AO541" s="69"/>
      <c r="AP541" s="69"/>
      <c r="AQ541" s="69"/>
      <c r="AR541" s="69"/>
      <c r="AS541" s="69"/>
      <c r="AT541" s="69"/>
      <c r="AU541" s="1"/>
      <c r="AV541" s="1"/>
    </row>
    <row r="542" spans="1:48" ht="15.75" customHeight="1" x14ac:dyDescent="0.25">
      <c r="A542" s="1"/>
      <c r="B542" s="2"/>
      <c r="C542" s="3"/>
      <c r="D542" s="2"/>
      <c r="E542" s="52"/>
      <c r="F542" s="52"/>
      <c r="G542" s="52"/>
      <c r="H542" s="2"/>
      <c r="I542" s="2"/>
      <c r="J542" s="2"/>
      <c r="K542" s="2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2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69"/>
      <c r="AM542" s="69"/>
      <c r="AN542" s="69"/>
      <c r="AO542" s="69"/>
      <c r="AP542" s="69"/>
      <c r="AQ542" s="69"/>
      <c r="AR542" s="69"/>
      <c r="AS542" s="69"/>
      <c r="AT542" s="69"/>
      <c r="AU542" s="1"/>
      <c r="AV542" s="1"/>
    </row>
    <row r="543" spans="1:48" ht="15.75" customHeight="1" x14ac:dyDescent="0.25">
      <c r="A543" s="1"/>
      <c r="B543" s="2"/>
      <c r="C543" s="3"/>
      <c r="D543" s="2"/>
      <c r="E543" s="52"/>
      <c r="F543" s="52"/>
      <c r="G543" s="52"/>
      <c r="H543" s="2"/>
      <c r="I543" s="2"/>
      <c r="J543" s="2"/>
      <c r="K543" s="2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2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69"/>
      <c r="AM543" s="69"/>
      <c r="AN543" s="69"/>
      <c r="AO543" s="69"/>
      <c r="AP543" s="69"/>
      <c r="AQ543" s="69"/>
      <c r="AR543" s="69"/>
      <c r="AS543" s="69"/>
      <c r="AT543" s="69"/>
      <c r="AU543" s="1"/>
      <c r="AV543" s="1"/>
    </row>
    <row r="544" spans="1:48" ht="15.75" customHeight="1" x14ac:dyDescent="0.25">
      <c r="A544" s="1"/>
      <c r="B544" s="2"/>
      <c r="C544" s="3"/>
      <c r="D544" s="2"/>
      <c r="E544" s="52"/>
      <c r="F544" s="52"/>
      <c r="G544" s="52"/>
      <c r="H544" s="2"/>
      <c r="I544" s="2"/>
      <c r="J544" s="2"/>
      <c r="K544" s="2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2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69"/>
      <c r="AM544" s="69"/>
      <c r="AN544" s="69"/>
      <c r="AO544" s="69"/>
      <c r="AP544" s="69"/>
      <c r="AQ544" s="69"/>
      <c r="AR544" s="69"/>
      <c r="AS544" s="69"/>
      <c r="AT544" s="69"/>
      <c r="AU544" s="1"/>
      <c r="AV544" s="1"/>
    </row>
    <row r="545" spans="1:48" ht="15.75" customHeight="1" x14ac:dyDescent="0.25">
      <c r="A545" s="1"/>
      <c r="B545" s="2"/>
      <c r="C545" s="3"/>
      <c r="D545" s="2"/>
      <c r="E545" s="52"/>
      <c r="F545" s="52"/>
      <c r="G545" s="52"/>
      <c r="H545" s="2"/>
      <c r="I545" s="2"/>
      <c r="J545" s="2"/>
      <c r="K545" s="2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2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69"/>
      <c r="AM545" s="69"/>
      <c r="AN545" s="69"/>
      <c r="AO545" s="69"/>
      <c r="AP545" s="69"/>
      <c r="AQ545" s="69"/>
      <c r="AR545" s="69"/>
      <c r="AS545" s="69"/>
      <c r="AT545" s="69"/>
      <c r="AU545" s="1"/>
      <c r="AV545" s="1"/>
    </row>
    <row r="546" spans="1:48" ht="15.75" customHeight="1" x14ac:dyDescent="0.25">
      <c r="A546" s="1"/>
      <c r="B546" s="2"/>
      <c r="C546" s="3"/>
      <c r="D546" s="2"/>
      <c r="E546" s="52"/>
      <c r="F546" s="52"/>
      <c r="G546" s="52"/>
      <c r="H546" s="2"/>
      <c r="I546" s="2"/>
      <c r="J546" s="2"/>
      <c r="K546" s="2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2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69"/>
      <c r="AM546" s="69"/>
      <c r="AN546" s="69"/>
      <c r="AO546" s="69"/>
      <c r="AP546" s="69"/>
      <c r="AQ546" s="69"/>
      <c r="AR546" s="69"/>
      <c r="AS546" s="69"/>
      <c r="AT546" s="69"/>
      <c r="AU546" s="1"/>
      <c r="AV546" s="1"/>
    </row>
    <row r="547" spans="1:48" ht="15.75" customHeight="1" x14ac:dyDescent="0.25">
      <c r="A547" s="1"/>
      <c r="B547" s="2"/>
      <c r="C547" s="3"/>
      <c r="D547" s="2"/>
      <c r="E547" s="52"/>
      <c r="F547" s="52"/>
      <c r="G547" s="52"/>
      <c r="H547" s="2"/>
      <c r="I547" s="2"/>
      <c r="J547" s="2"/>
      <c r="K547" s="2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2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69"/>
      <c r="AM547" s="69"/>
      <c r="AN547" s="69"/>
      <c r="AO547" s="69"/>
      <c r="AP547" s="69"/>
      <c r="AQ547" s="69"/>
      <c r="AR547" s="69"/>
      <c r="AS547" s="69"/>
      <c r="AT547" s="69"/>
      <c r="AU547" s="1"/>
      <c r="AV547" s="1"/>
    </row>
    <row r="548" spans="1:48" ht="15.75" customHeight="1" x14ac:dyDescent="0.25">
      <c r="A548" s="1"/>
      <c r="B548" s="2"/>
      <c r="C548" s="3"/>
      <c r="D548" s="2"/>
      <c r="E548" s="52"/>
      <c r="F548" s="52"/>
      <c r="G548" s="52"/>
      <c r="H548" s="2"/>
      <c r="I548" s="2"/>
      <c r="J548" s="2"/>
      <c r="K548" s="2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2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69"/>
      <c r="AM548" s="69"/>
      <c r="AN548" s="69"/>
      <c r="AO548" s="69"/>
      <c r="AP548" s="69"/>
      <c r="AQ548" s="69"/>
      <c r="AR548" s="69"/>
      <c r="AS548" s="69"/>
      <c r="AT548" s="69"/>
      <c r="AU548" s="1"/>
      <c r="AV548" s="1"/>
    </row>
    <row r="549" spans="1:48" ht="15.75" customHeight="1" x14ac:dyDescent="0.25">
      <c r="A549" s="1"/>
      <c r="B549" s="2"/>
      <c r="C549" s="3"/>
      <c r="D549" s="2"/>
      <c r="E549" s="52"/>
      <c r="F549" s="52"/>
      <c r="G549" s="52"/>
      <c r="H549" s="2"/>
      <c r="I549" s="2"/>
      <c r="J549" s="2"/>
      <c r="K549" s="2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2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69"/>
      <c r="AM549" s="69"/>
      <c r="AN549" s="69"/>
      <c r="AO549" s="69"/>
      <c r="AP549" s="69"/>
      <c r="AQ549" s="69"/>
      <c r="AR549" s="69"/>
      <c r="AS549" s="69"/>
      <c r="AT549" s="69"/>
      <c r="AU549" s="1"/>
      <c r="AV549" s="1"/>
    </row>
    <row r="550" spans="1:48" ht="15.75" customHeight="1" x14ac:dyDescent="0.25">
      <c r="A550" s="1"/>
      <c r="B550" s="2"/>
      <c r="C550" s="3"/>
      <c r="D550" s="2"/>
      <c r="E550" s="52"/>
      <c r="F550" s="52"/>
      <c r="G550" s="52"/>
      <c r="H550" s="2"/>
      <c r="I550" s="2"/>
      <c r="J550" s="2"/>
      <c r="K550" s="2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2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69"/>
      <c r="AM550" s="69"/>
      <c r="AN550" s="69"/>
      <c r="AO550" s="69"/>
      <c r="AP550" s="69"/>
      <c r="AQ550" s="69"/>
      <c r="AR550" s="69"/>
      <c r="AS550" s="69"/>
      <c r="AT550" s="69"/>
      <c r="AU550" s="1"/>
      <c r="AV550" s="1"/>
    </row>
    <row r="551" spans="1:48" ht="15.75" customHeight="1" x14ac:dyDescent="0.25">
      <c r="A551" s="1"/>
      <c r="B551" s="2"/>
      <c r="C551" s="3"/>
      <c r="D551" s="2"/>
      <c r="E551" s="52"/>
      <c r="F551" s="52"/>
      <c r="G551" s="52"/>
      <c r="H551" s="2"/>
      <c r="I551" s="2"/>
      <c r="J551" s="2"/>
      <c r="K551" s="2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2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69"/>
      <c r="AM551" s="69"/>
      <c r="AN551" s="69"/>
      <c r="AO551" s="69"/>
      <c r="AP551" s="69"/>
      <c r="AQ551" s="69"/>
      <c r="AR551" s="69"/>
      <c r="AS551" s="69"/>
      <c r="AT551" s="69"/>
      <c r="AU551" s="1"/>
      <c r="AV551" s="1"/>
    </row>
    <row r="552" spans="1:48" ht="15.75" customHeight="1" x14ac:dyDescent="0.25">
      <c r="A552" s="1"/>
      <c r="B552" s="2"/>
      <c r="C552" s="3"/>
      <c r="D552" s="2"/>
      <c r="E552" s="52"/>
      <c r="F552" s="52"/>
      <c r="G552" s="52"/>
      <c r="H552" s="2"/>
      <c r="I552" s="2"/>
      <c r="J552" s="2"/>
      <c r="K552" s="2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2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69"/>
      <c r="AM552" s="69"/>
      <c r="AN552" s="69"/>
      <c r="AO552" s="69"/>
      <c r="AP552" s="69"/>
      <c r="AQ552" s="69"/>
      <c r="AR552" s="69"/>
      <c r="AS552" s="69"/>
      <c r="AT552" s="69"/>
      <c r="AU552" s="1"/>
      <c r="AV552" s="1"/>
    </row>
    <row r="553" spans="1:48" ht="15.75" customHeight="1" x14ac:dyDescent="0.25">
      <c r="A553" s="1"/>
      <c r="B553" s="2"/>
      <c r="C553" s="3"/>
      <c r="D553" s="2"/>
      <c r="E553" s="52"/>
      <c r="F553" s="52"/>
      <c r="G553" s="52"/>
      <c r="H553" s="2"/>
      <c r="I553" s="2"/>
      <c r="J553" s="2"/>
      <c r="K553" s="2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2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69"/>
      <c r="AM553" s="69"/>
      <c r="AN553" s="69"/>
      <c r="AO553" s="69"/>
      <c r="AP553" s="69"/>
      <c r="AQ553" s="69"/>
      <c r="AR553" s="69"/>
      <c r="AS553" s="69"/>
      <c r="AT553" s="69"/>
      <c r="AU553" s="1"/>
      <c r="AV553" s="1"/>
    </row>
    <row r="554" spans="1:48" ht="15.75" customHeight="1" x14ac:dyDescent="0.25">
      <c r="A554" s="1"/>
      <c r="B554" s="2"/>
      <c r="C554" s="3"/>
      <c r="D554" s="2"/>
      <c r="E554" s="52"/>
      <c r="F554" s="52"/>
      <c r="G554" s="52"/>
      <c r="H554" s="2"/>
      <c r="I554" s="2"/>
      <c r="J554" s="2"/>
      <c r="K554" s="2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2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69"/>
      <c r="AM554" s="69"/>
      <c r="AN554" s="69"/>
      <c r="AO554" s="69"/>
      <c r="AP554" s="69"/>
      <c r="AQ554" s="69"/>
      <c r="AR554" s="69"/>
      <c r="AS554" s="69"/>
      <c r="AT554" s="69"/>
      <c r="AU554" s="1"/>
      <c r="AV554" s="1"/>
    </row>
    <row r="555" spans="1:48" ht="15.75" customHeight="1" x14ac:dyDescent="0.25">
      <c r="A555" s="1"/>
      <c r="B555" s="2"/>
      <c r="C555" s="3"/>
      <c r="D555" s="2"/>
      <c r="E555" s="52"/>
      <c r="F555" s="52"/>
      <c r="G555" s="52"/>
      <c r="H555" s="2"/>
      <c r="I555" s="2"/>
      <c r="J555" s="2"/>
      <c r="K555" s="2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2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69"/>
      <c r="AM555" s="69"/>
      <c r="AN555" s="69"/>
      <c r="AO555" s="69"/>
      <c r="AP555" s="69"/>
      <c r="AQ555" s="69"/>
      <c r="AR555" s="69"/>
      <c r="AS555" s="69"/>
      <c r="AT555" s="69"/>
      <c r="AU555" s="1"/>
      <c r="AV555" s="1"/>
    </row>
    <row r="556" spans="1:48" ht="15.75" customHeight="1" x14ac:dyDescent="0.25">
      <c r="A556" s="1"/>
      <c r="B556" s="2"/>
      <c r="C556" s="3"/>
      <c r="D556" s="2"/>
      <c r="E556" s="52"/>
      <c r="F556" s="52"/>
      <c r="G556" s="52"/>
      <c r="H556" s="2"/>
      <c r="I556" s="2"/>
      <c r="J556" s="2"/>
      <c r="K556" s="2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2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69"/>
      <c r="AM556" s="69"/>
      <c r="AN556" s="69"/>
      <c r="AO556" s="69"/>
      <c r="AP556" s="69"/>
      <c r="AQ556" s="69"/>
      <c r="AR556" s="69"/>
      <c r="AS556" s="69"/>
      <c r="AT556" s="69"/>
      <c r="AU556" s="1"/>
      <c r="AV556" s="1"/>
    </row>
    <row r="557" spans="1:48" ht="15.75" customHeight="1" x14ac:dyDescent="0.25">
      <c r="A557" s="1"/>
      <c r="B557" s="2"/>
      <c r="C557" s="3"/>
      <c r="D557" s="2"/>
      <c r="E557" s="52"/>
      <c r="F557" s="52"/>
      <c r="G557" s="52"/>
      <c r="H557" s="2"/>
      <c r="I557" s="2"/>
      <c r="J557" s="2"/>
      <c r="K557" s="2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2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69"/>
      <c r="AM557" s="69"/>
      <c r="AN557" s="69"/>
      <c r="AO557" s="69"/>
      <c r="AP557" s="69"/>
      <c r="AQ557" s="69"/>
      <c r="AR557" s="69"/>
      <c r="AS557" s="69"/>
      <c r="AT557" s="69"/>
      <c r="AU557" s="1"/>
      <c r="AV557" s="1"/>
    </row>
    <row r="558" spans="1:48" ht="15.75" customHeight="1" x14ac:dyDescent="0.25">
      <c r="A558" s="1"/>
      <c r="B558" s="2"/>
      <c r="C558" s="3"/>
      <c r="D558" s="2"/>
      <c r="E558" s="52"/>
      <c r="F558" s="52"/>
      <c r="G558" s="52"/>
      <c r="H558" s="2"/>
      <c r="I558" s="2"/>
      <c r="J558" s="2"/>
      <c r="K558" s="2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2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69"/>
      <c r="AM558" s="69"/>
      <c r="AN558" s="69"/>
      <c r="AO558" s="69"/>
      <c r="AP558" s="69"/>
      <c r="AQ558" s="69"/>
      <c r="AR558" s="69"/>
      <c r="AS558" s="69"/>
      <c r="AT558" s="69"/>
      <c r="AU558" s="1"/>
      <c r="AV558" s="1"/>
    </row>
    <row r="559" spans="1:48" ht="15.75" customHeight="1" x14ac:dyDescent="0.25">
      <c r="A559" s="1"/>
      <c r="B559" s="2"/>
      <c r="C559" s="3"/>
      <c r="D559" s="2"/>
      <c r="E559" s="52"/>
      <c r="F559" s="52"/>
      <c r="G559" s="52"/>
      <c r="H559" s="2"/>
      <c r="I559" s="2"/>
      <c r="J559" s="2"/>
      <c r="K559" s="2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2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69"/>
      <c r="AM559" s="69"/>
      <c r="AN559" s="69"/>
      <c r="AO559" s="69"/>
      <c r="AP559" s="69"/>
      <c r="AQ559" s="69"/>
      <c r="AR559" s="69"/>
      <c r="AS559" s="69"/>
      <c r="AT559" s="69"/>
      <c r="AU559" s="1"/>
      <c r="AV559" s="1"/>
    </row>
    <row r="560" spans="1:48" ht="15.75" customHeight="1" x14ac:dyDescent="0.25">
      <c r="A560" s="1"/>
      <c r="B560" s="2"/>
      <c r="C560" s="3"/>
      <c r="D560" s="2"/>
      <c r="E560" s="52"/>
      <c r="F560" s="52"/>
      <c r="G560" s="52"/>
      <c r="H560" s="2"/>
      <c r="I560" s="2"/>
      <c r="J560" s="2"/>
      <c r="K560" s="2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2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69"/>
      <c r="AM560" s="69"/>
      <c r="AN560" s="69"/>
      <c r="AO560" s="69"/>
      <c r="AP560" s="69"/>
      <c r="AQ560" s="69"/>
      <c r="AR560" s="69"/>
      <c r="AS560" s="69"/>
      <c r="AT560" s="69"/>
      <c r="AU560" s="1"/>
      <c r="AV560" s="1"/>
    </row>
    <row r="561" spans="1:48" ht="15.75" customHeight="1" x14ac:dyDescent="0.25">
      <c r="A561" s="1"/>
      <c r="B561" s="2"/>
      <c r="C561" s="3"/>
      <c r="D561" s="2"/>
      <c r="E561" s="52"/>
      <c r="F561" s="52"/>
      <c r="G561" s="52"/>
      <c r="H561" s="2"/>
      <c r="I561" s="2"/>
      <c r="J561" s="2"/>
      <c r="K561" s="2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2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69"/>
      <c r="AM561" s="69"/>
      <c r="AN561" s="69"/>
      <c r="AO561" s="69"/>
      <c r="AP561" s="69"/>
      <c r="AQ561" s="69"/>
      <c r="AR561" s="69"/>
      <c r="AS561" s="69"/>
      <c r="AT561" s="69"/>
      <c r="AU561" s="1"/>
      <c r="AV561" s="1"/>
    </row>
    <row r="562" spans="1:48" ht="15.75" customHeight="1" x14ac:dyDescent="0.25">
      <c r="A562" s="1"/>
      <c r="B562" s="2"/>
      <c r="C562" s="3"/>
      <c r="D562" s="2"/>
      <c r="E562" s="52"/>
      <c r="F562" s="52"/>
      <c r="G562" s="52"/>
      <c r="H562" s="2"/>
      <c r="I562" s="2"/>
      <c r="J562" s="2"/>
      <c r="K562" s="2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2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69"/>
      <c r="AM562" s="69"/>
      <c r="AN562" s="69"/>
      <c r="AO562" s="69"/>
      <c r="AP562" s="69"/>
      <c r="AQ562" s="69"/>
      <c r="AR562" s="69"/>
      <c r="AS562" s="69"/>
      <c r="AT562" s="69"/>
      <c r="AU562" s="1"/>
      <c r="AV562" s="1"/>
    </row>
    <row r="563" spans="1:48" ht="15.75" customHeight="1" x14ac:dyDescent="0.25">
      <c r="A563" s="1"/>
      <c r="B563" s="2"/>
      <c r="C563" s="3"/>
      <c r="D563" s="2"/>
      <c r="E563" s="52"/>
      <c r="F563" s="52"/>
      <c r="G563" s="52"/>
      <c r="H563" s="2"/>
      <c r="I563" s="2"/>
      <c r="J563" s="2"/>
      <c r="K563" s="2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2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69"/>
      <c r="AM563" s="69"/>
      <c r="AN563" s="69"/>
      <c r="AO563" s="69"/>
      <c r="AP563" s="69"/>
      <c r="AQ563" s="69"/>
      <c r="AR563" s="69"/>
      <c r="AS563" s="69"/>
      <c r="AT563" s="69"/>
      <c r="AU563" s="1"/>
      <c r="AV563" s="1"/>
    </row>
    <row r="564" spans="1:48" ht="15.75" customHeight="1" x14ac:dyDescent="0.25">
      <c r="A564" s="1"/>
      <c r="B564" s="2"/>
      <c r="C564" s="3"/>
      <c r="D564" s="2"/>
      <c r="E564" s="52"/>
      <c r="F564" s="52"/>
      <c r="G564" s="52"/>
      <c r="H564" s="2"/>
      <c r="I564" s="2"/>
      <c r="J564" s="2"/>
      <c r="K564" s="2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2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69"/>
      <c r="AM564" s="69"/>
      <c r="AN564" s="69"/>
      <c r="AO564" s="69"/>
      <c r="AP564" s="69"/>
      <c r="AQ564" s="69"/>
      <c r="AR564" s="69"/>
      <c r="AS564" s="69"/>
      <c r="AT564" s="69"/>
      <c r="AU564" s="1"/>
      <c r="AV564" s="1"/>
    </row>
    <row r="565" spans="1:48" ht="15.75" customHeight="1" x14ac:dyDescent="0.25">
      <c r="A565" s="1"/>
      <c r="B565" s="2"/>
      <c r="C565" s="3"/>
      <c r="D565" s="2"/>
      <c r="E565" s="52"/>
      <c r="F565" s="52"/>
      <c r="G565" s="52"/>
      <c r="H565" s="2"/>
      <c r="I565" s="2"/>
      <c r="J565" s="2"/>
      <c r="K565" s="2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2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69"/>
      <c r="AM565" s="69"/>
      <c r="AN565" s="69"/>
      <c r="AO565" s="69"/>
      <c r="AP565" s="69"/>
      <c r="AQ565" s="69"/>
      <c r="AR565" s="69"/>
      <c r="AS565" s="69"/>
      <c r="AT565" s="69"/>
      <c r="AU565" s="1"/>
      <c r="AV565" s="1"/>
    </row>
    <row r="566" spans="1:48" ht="15.75" customHeight="1" x14ac:dyDescent="0.25">
      <c r="A566" s="1"/>
      <c r="B566" s="2"/>
      <c r="C566" s="3"/>
      <c r="D566" s="2"/>
      <c r="E566" s="52"/>
      <c r="F566" s="52"/>
      <c r="G566" s="52"/>
      <c r="H566" s="2"/>
      <c r="I566" s="2"/>
      <c r="J566" s="2"/>
      <c r="K566" s="2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2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69"/>
      <c r="AM566" s="69"/>
      <c r="AN566" s="69"/>
      <c r="AO566" s="69"/>
      <c r="AP566" s="69"/>
      <c r="AQ566" s="69"/>
      <c r="AR566" s="69"/>
      <c r="AS566" s="69"/>
      <c r="AT566" s="69"/>
      <c r="AU566" s="1"/>
      <c r="AV566" s="1"/>
    </row>
    <row r="567" spans="1:48" ht="15.75" customHeight="1" x14ac:dyDescent="0.25">
      <c r="A567" s="1"/>
      <c r="B567" s="2"/>
      <c r="C567" s="3"/>
      <c r="D567" s="2"/>
      <c r="E567" s="52"/>
      <c r="F567" s="52"/>
      <c r="G567" s="52"/>
      <c r="H567" s="2"/>
      <c r="I567" s="2"/>
      <c r="J567" s="2"/>
      <c r="K567" s="2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2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69"/>
      <c r="AM567" s="69"/>
      <c r="AN567" s="69"/>
      <c r="AO567" s="69"/>
      <c r="AP567" s="69"/>
      <c r="AQ567" s="69"/>
      <c r="AR567" s="69"/>
      <c r="AS567" s="69"/>
      <c r="AT567" s="69"/>
      <c r="AU567" s="1"/>
      <c r="AV567" s="1"/>
    </row>
    <row r="568" spans="1:48" ht="15.75" customHeight="1" x14ac:dyDescent="0.25">
      <c r="A568" s="1"/>
      <c r="B568" s="2"/>
      <c r="C568" s="3"/>
      <c r="D568" s="2"/>
      <c r="E568" s="52"/>
      <c r="F568" s="52"/>
      <c r="G568" s="52"/>
      <c r="H568" s="2"/>
      <c r="I568" s="2"/>
      <c r="J568" s="2"/>
      <c r="K568" s="2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2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69"/>
      <c r="AM568" s="69"/>
      <c r="AN568" s="69"/>
      <c r="AO568" s="69"/>
      <c r="AP568" s="69"/>
      <c r="AQ568" s="69"/>
      <c r="AR568" s="69"/>
      <c r="AS568" s="69"/>
      <c r="AT568" s="69"/>
      <c r="AU568" s="1"/>
      <c r="AV568" s="1"/>
    </row>
    <row r="569" spans="1:48" ht="15.75" customHeight="1" x14ac:dyDescent="0.25">
      <c r="A569" s="1"/>
      <c r="B569" s="2"/>
      <c r="C569" s="3"/>
      <c r="D569" s="2"/>
      <c r="E569" s="52"/>
      <c r="F569" s="52"/>
      <c r="G569" s="52"/>
      <c r="H569" s="2"/>
      <c r="I569" s="2"/>
      <c r="J569" s="2"/>
      <c r="K569" s="2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2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69"/>
      <c r="AM569" s="69"/>
      <c r="AN569" s="69"/>
      <c r="AO569" s="69"/>
      <c r="AP569" s="69"/>
      <c r="AQ569" s="69"/>
      <c r="AR569" s="69"/>
      <c r="AS569" s="69"/>
      <c r="AT569" s="69"/>
      <c r="AU569" s="1"/>
      <c r="AV569" s="1"/>
    </row>
    <row r="570" spans="1:48" ht="15.75" customHeight="1" x14ac:dyDescent="0.25">
      <c r="A570" s="1"/>
      <c r="B570" s="2"/>
      <c r="C570" s="3"/>
      <c r="D570" s="2"/>
      <c r="E570" s="52"/>
      <c r="F570" s="52"/>
      <c r="G570" s="52"/>
      <c r="H570" s="2"/>
      <c r="I570" s="2"/>
      <c r="J570" s="2"/>
      <c r="K570" s="2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2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69"/>
      <c r="AM570" s="69"/>
      <c r="AN570" s="69"/>
      <c r="AO570" s="69"/>
      <c r="AP570" s="69"/>
      <c r="AQ570" s="69"/>
      <c r="AR570" s="69"/>
      <c r="AS570" s="69"/>
      <c r="AT570" s="69"/>
      <c r="AU570" s="1"/>
      <c r="AV570" s="1"/>
    </row>
    <row r="571" spans="1:48" ht="15.75" customHeight="1" x14ac:dyDescent="0.25">
      <c r="A571" s="1"/>
      <c r="B571" s="2"/>
      <c r="C571" s="3"/>
      <c r="D571" s="2"/>
      <c r="E571" s="52"/>
      <c r="F571" s="52"/>
      <c r="G571" s="52"/>
      <c r="H571" s="2"/>
      <c r="I571" s="2"/>
      <c r="J571" s="2"/>
      <c r="K571" s="2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2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69"/>
      <c r="AM571" s="69"/>
      <c r="AN571" s="69"/>
      <c r="AO571" s="69"/>
      <c r="AP571" s="69"/>
      <c r="AQ571" s="69"/>
      <c r="AR571" s="69"/>
      <c r="AS571" s="69"/>
      <c r="AT571" s="69"/>
      <c r="AU571" s="1"/>
      <c r="AV571" s="1"/>
    </row>
    <row r="572" spans="1:48" ht="15.75" customHeight="1" x14ac:dyDescent="0.25">
      <c r="A572" s="1"/>
      <c r="B572" s="2"/>
      <c r="C572" s="3"/>
      <c r="D572" s="2"/>
      <c r="E572" s="52"/>
      <c r="F572" s="52"/>
      <c r="G572" s="52"/>
      <c r="H572" s="2"/>
      <c r="I572" s="2"/>
      <c r="J572" s="2"/>
      <c r="K572" s="2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2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69"/>
      <c r="AM572" s="69"/>
      <c r="AN572" s="69"/>
      <c r="AO572" s="69"/>
      <c r="AP572" s="69"/>
      <c r="AQ572" s="69"/>
      <c r="AR572" s="69"/>
      <c r="AS572" s="69"/>
      <c r="AT572" s="69"/>
      <c r="AU572" s="1"/>
      <c r="AV572" s="1"/>
    </row>
    <row r="573" spans="1:48" ht="15.75" customHeight="1" x14ac:dyDescent="0.25">
      <c r="A573" s="1"/>
      <c r="B573" s="2"/>
      <c r="C573" s="3"/>
      <c r="D573" s="2"/>
      <c r="E573" s="52"/>
      <c r="F573" s="52"/>
      <c r="G573" s="52"/>
      <c r="H573" s="2"/>
      <c r="I573" s="2"/>
      <c r="J573" s="2"/>
      <c r="K573" s="2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2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69"/>
      <c r="AM573" s="69"/>
      <c r="AN573" s="69"/>
      <c r="AO573" s="69"/>
      <c r="AP573" s="69"/>
      <c r="AQ573" s="69"/>
      <c r="AR573" s="69"/>
      <c r="AS573" s="69"/>
      <c r="AT573" s="69"/>
      <c r="AU573" s="1"/>
      <c r="AV573" s="1"/>
    </row>
    <row r="574" spans="1:48" ht="15.75" customHeight="1" x14ac:dyDescent="0.25">
      <c r="A574" s="1"/>
      <c r="B574" s="2"/>
      <c r="C574" s="3"/>
      <c r="D574" s="2"/>
      <c r="E574" s="52"/>
      <c r="F574" s="52"/>
      <c r="G574" s="52"/>
      <c r="H574" s="2"/>
      <c r="I574" s="2"/>
      <c r="J574" s="2"/>
      <c r="K574" s="2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2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69"/>
      <c r="AM574" s="69"/>
      <c r="AN574" s="69"/>
      <c r="AO574" s="69"/>
      <c r="AP574" s="69"/>
      <c r="AQ574" s="69"/>
      <c r="AR574" s="69"/>
      <c r="AS574" s="69"/>
      <c r="AT574" s="69"/>
      <c r="AU574" s="1"/>
      <c r="AV574" s="1"/>
    </row>
    <row r="575" spans="1:48" ht="15.75" customHeight="1" x14ac:dyDescent="0.25">
      <c r="A575" s="1"/>
      <c r="B575" s="2"/>
      <c r="C575" s="3"/>
      <c r="D575" s="2"/>
      <c r="E575" s="52"/>
      <c r="F575" s="52"/>
      <c r="G575" s="52"/>
      <c r="H575" s="2"/>
      <c r="I575" s="2"/>
      <c r="J575" s="2"/>
      <c r="K575" s="2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2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69"/>
      <c r="AM575" s="69"/>
      <c r="AN575" s="69"/>
      <c r="AO575" s="69"/>
      <c r="AP575" s="69"/>
      <c r="AQ575" s="69"/>
      <c r="AR575" s="69"/>
      <c r="AS575" s="69"/>
      <c r="AT575" s="69"/>
      <c r="AU575" s="1"/>
      <c r="AV575" s="1"/>
    </row>
    <row r="576" spans="1:48" ht="15.75" customHeight="1" x14ac:dyDescent="0.25">
      <c r="A576" s="1"/>
      <c r="B576" s="2"/>
      <c r="C576" s="3"/>
      <c r="D576" s="2"/>
      <c r="E576" s="52"/>
      <c r="F576" s="52"/>
      <c r="G576" s="52"/>
      <c r="H576" s="2"/>
      <c r="I576" s="2"/>
      <c r="J576" s="2"/>
      <c r="K576" s="2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2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69"/>
      <c r="AM576" s="69"/>
      <c r="AN576" s="69"/>
      <c r="AO576" s="69"/>
      <c r="AP576" s="69"/>
      <c r="AQ576" s="69"/>
      <c r="AR576" s="69"/>
      <c r="AS576" s="69"/>
      <c r="AT576" s="69"/>
      <c r="AU576" s="1"/>
      <c r="AV576" s="1"/>
    </row>
    <row r="577" spans="1:48" ht="15.75" customHeight="1" x14ac:dyDescent="0.25">
      <c r="A577" s="1"/>
      <c r="B577" s="2"/>
      <c r="C577" s="3"/>
      <c r="D577" s="2"/>
      <c r="E577" s="52"/>
      <c r="F577" s="52"/>
      <c r="G577" s="52"/>
      <c r="H577" s="2"/>
      <c r="I577" s="2"/>
      <c r="J577" s="2"/>
      <c r="K577" s="2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2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69"/>
      <c r="AM577" s="69"/>
      <c r="AN577" s="69"/>
      <c r="AO577" s="69"/>
      <c r="AP577" s="69"/>
      <c r="AQ577" s="69"/>
      <c r="AR577" s="69"/>
      <c r="AS577" s="69"/>
      <c r="AT577" s="69"/>
      <c r="AU577" s="1"/>
      <c r="AV577" s="1"/>
    </row>
    <row r="578" spans="1:48" ht="15.75" customHeight="1" x14ac:dyDescent="0.25">
      <c r="A578" s="1"/>
      <c r="B578" s="2"/>
      <c r="C578" s="3"/>
      <c r="D578" s="2"/>
      <c r="E578" s="52"/>
      <c r="F578" s="52"/>
      <c r="G578" s="52"/>
      <c r="H578" s="2"/>
      <c r="I578" s="2"/>
      <c r="J578" s="2"/>
      <c r="K578" s="2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2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69"/>
      <c r="AM578" s="69"/>
      <c r="AN578" s="69"/>
      <c r="AO578" s="69"/>
      <c r="AP578" s="69"/>
      <c r="AQ578" s="69"/>
      <c r="AR578" s="69"/>
      <c r="AS578" s="69"/>
      <c r="AT578" s="69"/>
      <c r="AU578" s="1"/>
      <c r="AV578" s="1"/>
    </row>
    <row r="579" spans="1:48" ht="15.75" customHeight="1" x14ac:dyDescent="0.25">
      <c r="A579" s="1"/>
      <c r="B579" s="2"/>
      <c r="C579" s="3"/>
      <c r="D579" s="2"/>
      <c r="E579" s="52"/>
      <c r="F579" s="52"/>
      <c r="G579" s="52"/>
      <c r="H579" s="2"/>
      <c r="I579" s="2"/>
      <c r="J579" s="2"/>
      <c r="K579" s="2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2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69"/>
      <c r="AM579" s="69"/>
      <c r="AN579" s="69"/>
      <c r="AO579" s="69"/>
      <c r="AP579" s="69"/>
      <c r="AQ579" s="69"/>
      <c r="AR579" s="69"/>
      <c r="AS579" s="69"/>
      <c r="AT579" s="69"/>
      <c r="AU579" s="1"/>
      <c r="AV579" s="1"/>
    </row>
    <row r="580" spans="1:48" ht="15.75" customHeight="1" x14ac:dyDescent="0.25">
      <c r="A580" s="1"/>
      <c r="B580" s="2"/>
      <c r="C580" s="3"/>
      <c r="D580" s="2"/>
      <c r="E580" s="52"/>
      <c r="F580" s="52"/>
      <c r="G580" s="52"/>
      <c r="H580" s="2"/>
      <c r="I580" s="2"/>
      <c r="J580" s="2"/>
      <c r="K580" s="2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2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69"/>
      <c r="AM580" s="69"/>
      <c r="AN580" s="69"/>
      <c r="AO580" s="69"/>
      <c r="AP580" s="69"/>
      <c r="AQ580" s="69"/>
      <c r="AR580" s="69"/>
      <c r="AS580" s="69"/>
      <c r="AT580" s="69"/>
      <c r="AU580" s="1"/>
      <c r="AV580" s="1"/>
    </row>
    <row r="581" spans="1:48" ht="15.75" customHeight="1" x14ac:dyDescent="0.25">
      <c r="A581" s="1"/>
      <c r="B581" s="2"/>
      <c r="C581" s="3"/>
      <c r="D581" s="2"/>
      <c r="E581" s="52"/>
      <c r="F581" s="52"/>
      <c r="G581" s="52"/>
      <c r="H581" s="2"/>
      <c r="I581" s="2"/>
      <c r="J581" s="2"/>
      <c r="K581" s="2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2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69"/>
      <c r="AM581" s="69"/>
      <c r="AN581" s="69"/>
      <c r="AO581" s="69"/>
      <c r="AP581" s="69"/>
      <c r="AQ581" s="69"/>
      <c r="AR581" s="69"/>
      <c r="AS581" s="69"/>
      <c r="AT581" s="69"/>
      <c r="AU581" s="1"/>
      <c r="AV581" s="1"/>
    </row>
    <row r="582" spans="1:48" ht="15.75" customHeight="1" x14ac:dyDescent="0.25">
      <c r="A582" s="1"/>
      <c r="B582" s="2"/>
      <c r="C582" s="3"/>
      <c r="D582" s="2"/>
      <c r="E582" s="52"/>
      <c r="F582" s="52"/>
      <c r="G582" s="52"/>
      <c r="H582" s="2"/>
      <c r="I582" s="2"/>
      <c r="J582" s="2"/>
      <c r="K582" s="2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2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69"/>
      <c r="AM582" s="69"/>
      <c r="AN582" s="69"/>
      <c r="AO582" s="69"/>
      <c r="AP582" s="69"/>
      <c r="AQ582" s="69"/>
      <c r="AR582" s="69"/>
      <c r="AS582" s="69"/>
      <c r="AT582" s="69"/>
      <c r="AU582" s="1"/>
      <c r="AV582" s="1"/>
    </row>
    <row r="583" spans="1:48" ht="15.75" customHeight="1" x14ac:dyDescent="0.25">
      <c r="A583" s="1"/>
      <c r="B583" s="2"/>
      <c r="C583" s="3"/>
      <c r="D583" s="2"/>
      <c r="E583" s="52"/>
      <c r="F583" s="52"/>
      <c r="G583" s="52"/>
      <c r="H583" s="2"/>
      <c r="I583" s="2"/>
      <c r="J583" s="2"/>
      <c r="K583" s="2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2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69"/>
      <c r="AM583" s="69"/>
      <c r="AN583" s="69"/>
      <c r="AO583" s="69"/>
      <c r="AP583" s="69"/>
      <c r="AQ583" s="69"/>
      <c r="AR583" s="69"/>
      <c r="AS583" s="69"/>
      <c r="AT583" s="69"/>
      <c r="AU583" s="1"/>
      <c r="AV583" s="1"/>
    </row>
    <row r="584" spans="1:48" ht="15.75" customHeight="1" x14ac:dyDescent="0.25">
      <c r="A584" s="1"/>
      <c r="B584" s="2"/>
      <c r="C584" s="3"/>
      <c r="D584" s="2"/>
      <c r="E584" s="52"/>
      <c r="F584" s="52"/>
      <c r="G584" s="52"/>
      <c r="H584" s="2"/>
      <c r="I584" s="2"/>
      <c r="J584" s="2"/>
      <c r="K584" s="2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2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69"/>
      <c r="AM584" s="69"/>
      <c r="AN584" s="69"/>
      <c r="AO584" s="69"/>
      <c r="AP584" s="69"/>
      <c r="AQ584" s="69"/>
      <c r="AR584" s="69"/>
      <c r="AS584" s="69"/>
      <c r="AT584" s="69"/>
      <c r="AU584" s="1"/>
      <c r="AV584" s="1"/>
    </row>
    <row r="585" spans="1:48" ht="15.75" customHeight="1" x14ac:dyDescent="0.25">
      <c r="A585" s="1"/>
      <c r="B585" s="2"/>
      <c r="C585" s="3"/>
      <c r="D585" s="2"/>
      <c r="E585" s="52"/>
      <c r="F585" s="52"/>
      <c r="G585" s="52"/>
      <c r="H585" s="2"/>
      <c r="I585" s="2"/>
      <c r="J585" s="2"/>
      <c r="K585" s="2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2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69"/>
      <c r="AM585" s="69"/>
      <c r="AN585" s="69"/>
      <c r="AO585" s="69"/>
      <c r="AP585" s="69"/>
      <c r="AQ585" s="69"/>
      <c r="AR585" s="69"/>
      <c r="AS585" s="69"/>
      <c r="AT585" s="69"/>
      <c r="AU585" s="1"/>
      <c r="AV585" s="1"/>
    </row>
    <row r="586" spans="1:48" ht="15.75" customHeight="1" x14ac:dyDescent="0.25">
      <c r="A586" s="1"/>
      <c r="B586" s="2"/>
      <c r="C586" s="3"/>
      <c r="D586" s="2"/>
      <c r="E586" s="52"/>
      <c r="F586" s="52"/>
      <c r="G586" s="52"/>
      <c r="H586" s="2"/>
      <c r="I586" s="2"/>
      <c r="J586" s="2"/>
      <c r="K586" s="2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2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69"/>
      <c r="AM586" s="69"/>
      <c r="AN586" s="69"/>
      <c r="AO586" s="69"/>
      <c r="AP586" s="69"/>
      <c r="AQ586" s="69"/>
      <c r="AR586" s="69"/>
      <c r="AS586" s="69"/>
      <c r="AT586" s="69"/>
      <c r="AU586" s="1"/>
      <c r="AV586" s="1"/>
    </row>
    <row r="587" spans="1:48" ht="15.75" customHeight="1" x14ac:dyDescent="0.25">
      <c r="A587" s="1"/>
      <c r="B587" s="2"/>
      <c r="C587" s="3"/>
      <c r="D587" s="2"/>
      <c r="E587" s="52"/>
      <c r="F587" s="52"/>
      <c r="G587" s="52"/>
      <c r="H587" s="2"/>
      <c r="I587" s="2"/>
      <c r="J587" s="2"/>
      <c r="K587" s="2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2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69"/>
      <c r="AM587" s="69"/>
      <c r="AN587" s="69"/>
      <c r="AO587" s="69"/>
      <c r="AP587" s="69"/>
      <c r="AQ587" s="69"/>
      <c r="AR587" s="69"/>
      <c r="AS587" s="69"/>
      <c r="AT587" s="69"/>
      <c r="AU587" s="1"/>
      <c r="AV587" s="1"/>
    </row>
    <row r="588" spans="1:48" ht="15.75" customHeight="1" x14ac:dyDescent="0.25">
      <c r="A588" s="1"/>
      <c r="B588" s="2"/>
      <c r="C588" s="3"/>
      <c r="D588" s="2"/>
      <c r="E588" s="52"/>
      <c r="F588" s="52"/>
      <c r="G588" s="52"/>
      <c r="H588" s="2"/>
      <c r="I588" s="2"/>
      <c r="J588" s="2"/>
      <c r="K588" s="2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2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69"/>
      <c r="AM588" s="69"/>
      <c r="AN588" s="69"/>
      <c r="AO588" s="69"/>
      <c r="AP588" s="69"/>
      <c r="AQ588" s="69"/>
      <c r="AR588" s="69"/>
      <c r="AS588" s="69"/>
      <c r="AT588" s="69"/>
      <c r="AU588" s="1"/>
      <c r="AV588" s="1"/>
    </row>
    <row r="589" spans="1:48" ht="15.75" customHeight="1" x14ac:dyDescent="0.25">
      <c r="A589" s="1"/>
      <c r="B589" s="2"/>
      <c r="C589" s="3"/>
      <c r="D589" s="2"/>
      <c r="E589" s="52"/>
      <c r="F589" s="52"/>
      <c r="G589" s="52"/>
      <c r="H589" s="2"/>
      <c r="I589" s="2"/>
      <c r="J589" s="2"/>
      <c r="K589" s="2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2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69"/>
      <c r="AM589" s="69"/>
      <c r="AN589" s="69"/>
      <c r="AO589" s="69"/>
      <c r="AP589" s="69"/>
      <c r="AQ589" s="69"/>
      <c r="AR589" s="69"/>
      <c r="AS589" s="69"/>
      <c r="AT589" s="69"/>
      <c r="AU589" s="1"/>
      <c r="AV589" s="1"/>
    </row>
    <row r="590" spans="1:48" ht="15.75" customHeight="1" x14ac:dyDescent="0.25">
      <c r="A590" s="1"/>
      <c r="B590" s="2"/>
      <c r="C590" s="3"/>
      <c r="D590" s="2"/>
      <c r="E590" s="52"/>
      <c r="F590" s="52"/>
      <c r="G590" s="52"/>
      <c r="H590" s="2"/>
      <c r="I590" s="2"/>
      <c r="J590" s="2"/>
      <c r="K590" s="2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2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69"/>
      <c r="AM590" s="69"/>
      <c r="AN590" s="69"/>
      <c r="AO590" s="69"/>
      <c r="AP590" s="69"/>
      <c r="AQ590" s="69"/>
      <c r="AR590" s="69"/>
      <c r="AS590" s="69"/>
      <c r="AT590" s="69"/>
      <c r="AU590" s="1"/>
      <c r="AV590" s="1"/>
    </row>
    <row r="591" spans="1:48" ht="15.75" customHeight="1" x14ac:dyDescent="0.25">
      <c r="A591" s="1"/>
      <c r="B591" s="2"/>
      <c r="C591" s="3"/>
      <c r="D591" s="2"/>
      <c r="E591" s="52"/>
      <c r="F591" s="52"/>
      <c r="G591" s="52"/>
      <c r="H591" s="2"/>
      <c r="I591" s="2"/>
      <c r="J591" s="2"/>
      <c r="K591" s="2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2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69"/>
      <c r="AM591" s="69"/>
      <c r="AN591" s="69"/>
      <c r="AO591" s="69"/>
      <c r="AP591" s="69"/>
      <c r="AQ591" s="69"/>
      <c r="AR591" s="69"/>
      <c r="AS591" s="69"/>
      <c r="AT591" s="69"/>
      <c r="AU591" s="1"/>
      <c r="AV591" s="1"/>
    </row>
    <row r="592" spans="1:48" ht="15.75" customHeight="1" x14ac:dyDescent="0.25">
      <c r="A592" s="1"/>
      <c r="B592" s="2"/>
      <c r="C592" s="3"/>
      <c r="D592" s="2"/>
      <c r="E592" s="52"/>
      <c r="F592" s="52"/>
      <c r="G592" s="52"/>
      <c r="H592" s="2"/>
      <c r="I592" s="2"/>
      <c r="J592" s="2"/>
      <c r="K592" s="2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2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69"/>
      <c r="AM592" s="69"/>
      <c r="AN592" s="69"/>
      <c r="AO592" s="69"/>
      <c r="AP592" s="69"/>
      <c r="AQ592" s="69"/>
      <c r="AR592" s="69"/>
      <c r="AS592" s="69"/>
      <c r="AT592" s="69"/>
      <c r="AU592" s="1"/>
      <c r="AV592" s="1"/>
    </row>
    <row r="593" spans="1:48" ht="15.75" customHeight="1" x14ac:dyDescent="0.25">
      <c r="A593" s="1"/>
      <c r="B593" s="2"/>
      <c r="C593" s="3"/>
      <c r="D593" s="2"/>
      <c r="E593" s="52"/>
      <c r="F593" s="52"/>
      <c r="G593" s="52"/>
      <c r="H593" s="2"/>
      <c r="I593" s="2"/>
      <c r="J593" s="2"/>
      <c r="K593" s="2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2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69"/>
      <c r="AM593" s="69"/>
      <c r="AN593" s="69"/>
      <c r="AO593" s="69"/>
      <c r="AP593" s="69"/>
      <c r="AQ593" s="69"/>
      <c r="AR593" s="69"/>
      <c r="AS593" s="69"/>
      <c r="AT593" s="69"/>
      <c r="AU593" s="1"/>
      <c r="AV593" s="1"/>
    </row>
    <row r="594" spans="1:48" ht="15.75" customHeight="1" x14ac:dyDescent="0.25">
      <c r="A594" s="1"/>
      <c r="B594" s="2"/>
      <c r="C594" s="3"/>
      <c r="D594" s="2"/>
      <c r="E594" s="52"/>
      <c r="F594" s="52"/>
      <c r="G594" s="52"/>
      <c r="H594" s="2"/>
      <c r="I594" s="2"/>
      <c r="J594" s="2"/>
      <c r="K594" s="2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2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69"/>
      <c r="AM594" s="69"/>
      <c r="AN594" s="69"/>
      <c r="AO594" s="69"/>
      <c r="AP594" s="69"/>
      <c r="AQ594" s="69"/>
      <c r="AR594" s="69"/>
      <c r="AS594" s="69"/>
      <c r="AT594" s="69"/>
      <c r="AU594" s="1"/>
      <c r="AV594" s="1"/>
    </row>
    <row r="595" spans="1:48" ht="15.75" customHeight="1" x14ac:dyDescent="0.25">
      <c r="A595" s="1"/>
      <c r="B595" s="2"/>
      <c r="C595" s="3"/>
      <c r="D595" s="2"/>
      <c r="E595" s="52"/>
      <c r="F595" s="52"/>
      <c r="G595" s="52"/>
      <c r="H595" s="2"/>
      <c r="I595" s="2"/>
      <c r="J595" s="2"/>
      <c r="K595" s="2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2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69"/>
      <c r="AM595" s="69"/>
      <c r="AN595" s="69"/>
      <c r="AO595" s="69"/>
      <c r="AP595" s="69"/>
      <c r="AQ595" s="69"/>
      <c r="AR595" s="69"/>
      <c r="AS595" s="69"/>
      <c r="AT595" s="69"/>
      <c r="AU595" s="1"/>
      <c r="AV595" s="1"/>
    </row>
    <row r="596" spans="1:48" ht="15.75" customHeight="1" x14ac:dyDescent="0.25">
      <c r="A596" s="1"/>
      <c r="B596" s="2"/>
      <c r="C596" s="3"/>
      <c r="D596" s="2"/>
      <c r="E596" s="52"/>
      <c r="F596" s="52"/>
      <c r="G596" s="52"/>
      <c r="H596" s="2"/>
      <c r="I596" s="2"/>
      <c r="J596" s="2"/>
      <c r="K596" s="2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2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69"/>
      <c r="AM596" s="69"/>
      <c r="AN596" s="69"/>
      <c r="AO596" s="69"/>
      <c r="AP596" s="69"/>
      <c r="AQ596" s="69"/>
      <c r="AR596" s="69"/>
      <c r="AS596" s="69"/>
      <c r="AT596" s="69"/>
      <c r="AU596" s="1"/>
      <c r="AV596" s="1"/>
    </row>
    <row r="597" spans="1:48" ht="15.75" customHeight="1" x14ac:dyDescent="0.25">
      <c r="A597" s="1"/>
      <c r="B597" s="2"/>
      <c r="C597" s="3"/>
      <c r="D597" s="2"/>
      <c r="E597" s="52"/>
      <c r="F597" s="52"/>
      <c r="G597" s="52"/>
      <c r="H597" s="2"/>
      <c r="I597" s="2"/>
      <c r="J597" s="2"/>
      <c r="K597" s="2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2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69"/>
      <c r="AM597" s="69"/>
      <c r="AN597" s="69"/>
      <c r="AO597" s="69"/>
      <c r="AP597" s="69"/>
      <c r="AQ597" s="69"/>
      <c r="AR597" s="69"/>
      <c r="AS597" s="69"/>
      <c r="AT597" s="69"/>
      <c r="AU597" s="1"/>
      <c r="AV597" s="1"/>
    </row>
    <row r="598" spans="1:48" ht="15.75" customHeight="1" x14ac:dyDescent="0.25">
      <c r="A598" s="1"/>
      <c r="B598" s="2"/>
      <c r="C598" s="3"/>
      <c r="D598" s="2"/>
      <c r="E598" s="52"/>
      <c r="F598" s="52"/>
      <c r="G598" s="52"/>
      <c r="H598" s="2"/>
      <c r="I598" s="2"/>
      <c r="J598" s="2"/>
      <c r="K598" s="2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2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69"/>
      <c r="AM598" s="69"/>
      <c r="AN598" s="69"/>
      <c r="AO598" s="69"/>
      <c r="AP598" s="69"/>
      <c r="AQ598" s="69"/>
      <c r="AR598" s="69"/>
      <c r="AS598" s="69"/>
      <c r="AT598" s="69"/>
      <c r="AU598" s="1"/>
      <c r="AV598" s="1"/>
    </row>
    <row r="599" spans="1:48" ht="15.75" customHeight="1" x14ac:dyDescent="0.25">
      <c r="A599" s="1"/>
      <c r="B599" s="2"/>
      <c r="C599" s="3"/>
      <c r="D599" s="2"/>
      <c r="E599" s="52"/>
      <c r="F599" s="52"/>
      <c r="G599" s="52"/>
      <c r="H599" s="2"/>
      <c r="I599" s="2"/>
      <c r="J599" s="2"/>
      <c r="K599" s="2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2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69"/>
      <c r="AM599" s="69"/>
      <c r="AN599" s="69"/>
      <c r="AO599" s="69"/>
      <c r="AP599" s="69"/>
      <c r="AQ599" s="69"/>
      <c r="AR599" s="69"/>
      <c r="AS599" s="69"/>
      <c r="AT599" s="69"/>
      <c r="AU599" s="1"/>
      <c r="AV599" s="1"/>
    </row>
    <row r="600" spans="1:48" ht="15.75" customHeight="1" x14ac:dyDescent="0.25">
      <c r="A600" s="1"/>
      <c r="B600" s="2"/>
      <c r="C600" s="3"/>
      <c r="D600" s="2"/>
      <c r="E600" s="52"/>
      <c r="F600" s="52"/>
      <c r="G600" s="52"/>
      <c r="H600" s="2"/>
      <c r="I600" s="2"/>
      <c r="J600" s="2"/>
      <c r="K600" s="2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2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69"/>
      <c r="AM600" s="69"/>
      <c r="AN600" s="69"/>
      <c r="AO600" s="69"/>
      <c r="AP600" s="69"/>
      <c r="AQ600" s="69"/>
      <c r="AR600" s="69"/>
      <c r="AS600" s="69"/>
      <c r="AT600" s="69"/>
      <c r="AU600" s="1"/>
      <c r="AV600" s="1"/>
    </row>
    <row r="601" spans="1:48" ht="15.75" customHeight="1" x14ac:dyDescent="0.25">
      <c r="A601" s="1"/>
      <c r="B601" s="2"/>
      <c r="C601" s="3"/>
      <c r="D601" s="2"/>
      <c r="E601" s="52"/>
      <c r="F601" s="52"/>
      <c r="G601" s="52"/>
      <c r="H601" s="2"/>
      <c r="I601" s="2"/>
      <c r="J601" s="2"/>
      <c r="K601" s="2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2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69"/>
      <c r="AM601" s="69"/>
      <c r="AN601" s="69"/>
      <c r="AO601" s="69"/>
      <c r="AP601" s="69"/>
      <c r="AQ601" s="69"/>
      <c r="AR601" s="69"/>
      <c r="AS601" s="69"/>
      <c r="AT601" s="69"/>
      <c r="AU601" s="1"/>
      <c r="AV601" s="1"/>
    </row>
    <row r="602" spans="1:48" ht="15.75" customHeight="1" x14ac:dyDescent="0.25">
      <c r="A602" s="1"/>
      <c r="B602" s="2"/>
      <c r="C602" s="3"/>
      <c r="D602" s="2"/>
      <c r="E602" s="52"/>
      <c r="F602" s="52"/>
      <c r="G602" s="52"/>
      <c r="H602" s="2"/>
      <c r="I602" s="2"/>
      <c r="J602" s="2"/>
      <c r="K602" s="2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2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69"/>
      <c r="AM602" s="69"/>
      <c r="AN602" s="69"/>
      <c r="AO602" s="69"/>
      <c r="AP602" s="69"/>
      <c r="AQ602" s="69"/>
      <c r="AR602" s="69"/>
      <c r="AS602" s="69"/>
      <c r="AT602" s="69"/>
      <c r="AU602" s="1"/>
      <c r="AV602" s="1"/>
    </row>
    <row r="603" spans="1:48" ht="15.75" customHeight="1" x14ac:dyDescent="0.25">
      <c r="A603" s="1"/>
      <c r="B603" s="2"/>
      <c r="C603" s="3"/>
      <c r="D603" s="2"/>
      <c r="E603" s="52"/>
      <c r="F603" s="52"/>
      <c r="G603" s="52"/>
      <c r="H603" s="2"/>
      <c r="I603" s="2"/>
      <c r="J603" s="2"/>
      <c r="K603" s="2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2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69"/>
      <c r="AM603" s="69"/>
      <c r="AN603" s="69"/>
      <c r="AO603" s="69"/>
      <c r="AP603" s="69"/>
      <c r="AQ603" s="69"/>
      <c r="AR603" s="69"/>
      <c r="AS603" s="69"/>
      <c r="AT603" s="69"/>
      <c r="AU603" s="1"/>
      <c r="AV603" s="1"/>
    </row>
    <row r="604" spans="1:48" ht="15.75" customHeight="1" x14ac:dyDescent="0.25">
      <c r="A604" s="1"/>
      <c r="B604" s="2"/>
      <c r="C604" s="3"/>
      <c r="D604" s="2"/>
      <c r="E604" s="52"/>
      <c r="F604" s="52"/>
      <c r="G604" s="52"/>
      <c r="H604" s="2"/>
      <c r="I604" s="2"/>
      <c r="J604" s="2"/>
      <c r="K604" s="2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2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69"/>
      <c r="AM604" s="69"/>
      <c r="AN604" s="69"/>
      <c r="AO604" s="69"/>
      <c r="AP604" s="69"/>
      <c r="AQ604" s="69"/>
      <c r="AR604" s="69"/>
      <c r="AS604" s="69"/>
      <c r="AT604" s="69"/>
      <c r="AU604" s="1"/>
      <c r="AV604" s="1"/>
    </row>
    <row r="605" spans="1:48" ht="15.75" customHeight="1" x14ac:dyDescent="0.25">
      <c r="A605" s="1"/>
      <c r="B605" s="2"/>
      <c r="C605" s="3"/>
      <c r="D605" s="2"/>
      <c r="E605" s="52"/>
      <c r="F605" s="52"/>
      <c r="G605" s="52"/>
      <c r="H605" s="2"/>
      <c r="I605" s="2"/>
      <c r="J605" s="2"/>
      <c r="K605" s="2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2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69"/>
      <c r="AM605" s="69"/>
      <c r="AN605" s="69"/>
      <c r="AO605" s="69"/>
      <c r="AP605" s="69"/>
      <c r="AQ605" s="69"/>
      <c r="AR605" s="69"/>
      <c r="AS605" s="69"/>
      <c r="AT605" s="69"/>
      <c r="AU605" s="1"/>
      <c r="AV605" s="1"/>
    </row>
    <row r="606" spans="1:48" ht="15.75" customHeight="1" x14ac:dyDescent="0.25">
      <c r="A606" s="1"/>
      <c r="B606" s="2"/>
      <c r="C606" s="3"/>
      <c r="D606" s="2"/>
      <c r="E606" s="52"/>
      <c r="F606" s="52"/>
      <c r="G606" s="52"/>
      <c r="H606" s="2"/>
      <c r="I606" s="2"/>
      <c r="J606" s="2"/>
      <c r="K606" s="2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2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69"/>
      <c r="AM606" s="69"/>
      <c r="AN606" s="69"/>
      <c r="AO606" s="69"/>
      <c r="AP606" s="69"/>
      <c r="AQ606" s="69"/>
      <c r="AR606" s="69"/>
      <c r="AS606" s="69"/>
      <c r="AT606" s="69"/>
      <c r="AU606" s="1"/>
      <c r="AV606" s="1"/>
    </row>
    <row r="607" spans="1:48" ht="15.75" customHeight="1" x14ac:dyDescent="0.25">
      <c r="A607" s="1"/>
      <c r="B607" s="2"/>
      <c r="C607" s="3"/>
      <c r="D607" s="2"/>
      <c r="E607" s="52"/>
      <c r="F607" s="52"/>
      <c r="G607" s="52"/>
      <c r="H607" s="2"/>
      <c r="I607" s="2"/>
      <c r="J607" s="2"/>
      <c r="K607" s="2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2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69"/>
      <c r="AM607" s="69"/>
      <c r="AN607" s="69"/>
      <c r="AO607" s="69"/>
      <c r="AP607" s="69"/>
      <c r="AQ607" s="69"/>
      <c r="AR607" s="69"/>
      <c r="AS607" s="69"/>
      <c r="AT607" s="69"/>
      <c r="AU607" s="1"/>
      <c r="AV607" s="1"/>
    </row>
    <row r="608" spans="1:48" ht="15.75" customHeight="1" x14ac:dyDescent="0.25">
      <c r="A608" s="1"/>
      <c r="B608" s="2"/>
      <c r="C608" s="3"/>
      <c r="D608" s="2"/>
      <c r="E608" s="52"/>
      <c r="F608" s="52"/>
      <c r="G608" s="52"/>
      <c r="H608" s="2"/>
      <c r="I608" s="2"/>
      <c r="J608" s="2"/>
      <c r="K608" s="2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2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69"/>
      <c r="AM608" s="69"/>
      <c r="AN608" s="69"/>
      <c r="AO608" s="69"/>
      <c r="AP608" s="69"/>
      <c r="AQ608" s="69"/>
      <c r="AR608" s="69"/>
      <c r="AS608" s="69"/>
      <c r="AT608" s="69"/>
      <c r="AU608" s="1"/>
      <c r="AV608" s="1"/>
    </row>
    <row r="609" spans="1:48" ht="15.75" customHeight="1" x14ac:dyDescent="0.25">
      <c r="A609" s="1"/>
      <c r="B609" s="2"/>
      <c r="C609" s="3"/>
      <c r="D609" s="2"/>
      <c r="E609" s="52"/>
      <c r="F609" s="52"/>
      <c r="G609" s="52"/>
      <c r="H609" s="2"/>
      <c r="I609" s="2"/>
      <c r="J609" s="2"/>
      <c r="K609" s="2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2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69"/>
      <c r="AM609" s="69"/>
      <c r="AN609" s="69"/>
      <c r="AO609" s="69"/>
      <c r="AP609" s="69"/>
      <c r="AQ609" s="69"/>
      <c r="AR609" s="69"/>
      <c r="AS609" s="69"/>
      <c r="AT609" s="69"/>
      <c r="AU609" s="1"/>
      <c r="AV609" s="1"/>
    </row>
    <row r="610" spans="1:48" ht="15.75" customHeight="1" x14ac:dyDescent="0.25">
      <c r="A610" s="1"/>
      <c r="B610" s="2"/>
      <c r="C610" s="3"/>
      <c r="D610" s="2"/>
      <c r="E610" s="52"/>
      <c r="F610" s="52"/>
      <c r="G610" s="52"/>
      <c r="H610" s="2"/>
      <c r="I610" s="2"/>
      <c r="J610" s="2"/>
      <c r="K610" s="2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2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69"/>
      <c r="AM610" s="69"/>
      <c r="AN610" s="69"/>
      <c r="AO610" s="69"/>
      <c r="AP610" s="69"/>
      <c r="AQ610" s="69"/>
      <c r="AR610" s="69"/>
      <c r="AS610" s="69"/>
      <c r="AT610" s="69"/>
      <c r="AU610" s="1"/>
      <c r="AV610" s="1"/>
    </row>
    <row r="611" spans="1:48" ht="15.75" customHeight="1" x14ac:dyDescent="0.25">
      <c r="A611" s="1"/>
      <c r="B611" s="2"/>
      <c r="C611" s="3"/>
      <c r="D611" s="2"/>
      <c r="E611" s="52"/>
      <c r="F611" s="52"/>
      <c r="G611" s="52"/>
      <c r="H611" s="2"/>
      <c r="I611" s="2"/>
      <c r="J611" s="2"/>
      <c r="K611" s="2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2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69"/>
      <c r="AM611" s="69"/>
      <c r="AN611" s="69"/>
      <c r="AO611" s="69"/>
      <c r="AP611" s="69"/>
      <c r="AQ611" s="69"/>
      <c r="AR611" s="69"/>
      <c r="AS611" s="69"/>
      <c r="AT611" s="69"/>
      <c r="AU611" s="1"/>
      <c r="AV611" s="1"/>
    </row>
    <row r="612" spans="1:48" ht="15.75" customHeight="1" x14ac:dyDescent="0.25">
      <c r="A612" s="1"/>
      <c r="B612" s="2"/>
      <c r="C612" s="3"/>
      <c r="D612" s="2"/>
      <c r="E612" s="52"/>
      <c r="F612" s="52"/>
      <c r="G612" s="52"/>
      <c r="H612" s="2"/>
      <c r="I612" s="2"/>
      <c r="J612" s="2"/>
      <c r="K612" s="2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2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69"/>
      <c r="AM612" s="69"/>
      <c r="AN612" s="69"/>
      <c r="AO612" s="69"/>
      <c r="AP612" s="69"/>
      <c r="AQ612" s="69"/>
      <c r="AR612" s="69"/>
      <c r="AS612" s="69"/>
      <c r="AT612" s="69"/>
      <c r="AU612" s="1"/>
      <c r="AV612" s="1"/>
    </row>
    <row r="613" spans="1:48" ht="15.75" customHeight="1" x14ac:dyDescent="0.25">
      <c r="A613" s="1"/>
      <c r="B613" s="2"/>
      <c r="C613" s="3"/>
      <c r="D613" s="2"/>
      <c r="E613" s="52"/>
      <c r="F613" s="52"/>
      <c r="G613" s="52"/>
      <c r="H613" s="2"/>
      <c r="I613" s="2"/>
      <c r="J613" s="2"/>
      <c r="K613" s="2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2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69"/>
      <c r="AM613" s="69"/>
      <c r="AN613" s="69"/>
      <c r="AO613" s="69"/>
      <c r="AP613" s="69"/>
      <c r="AQ613" s="69"/>
      <c r="AR613" s="69"/>
      <c r="AS613" s="69"/>
      <c r="AT613" s="69"/>
      <c r="AU613" s="1"/>
      <c r="AV613" s="1"/>
    </row>
    <row r="614" spans="1:48" ht="15.75" customHeight="1" x14ac:dyDescent="0.25">
      <c r="A614" s="1"/>
      <c r="B614" s="2"/>
      <c r="C614" s="3"/>
      <c r="D614" s="2"/>
      <c r="E614" s="52"/>
      <c r="F614" s="52"/>
      <c r="G614" s="52"/>
      <c r="H614" s="2"/>
      <c r="I614" s="2"/>
      <c r="J614" s="2"/>
      <c r="K614" s="2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2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69"/>
      <c r="AM614" s="69"/>
      <c r="AN614" s="69"/>
      <c r="AO614" s="69"/>
      <c r="AP614" s="69"/>
      <c r="AQ614" s="69"/>
      <c r="AR614" s="69"/>
      <c r="AS614" s="69"/>
      <c r="AT614" s="69"/>
      <c r="AU614" s="1"/>
      <c r="AV614" s="1"/>
    </row>
    <row r="615" spans="1:48" ht="15.75" customHeight="1" x14ac:dyDescent="0.25">
      <c r="A615" s="1"/>
      <c r="B615" s="2"/>
      <c r="C615" s="3"/>
      <c r="D615" s="2"/>
      <c r="E615" s="52"/>
      <c r="F615" s="52"/>
      <c r="G615" s="52"/>
      <c r="H615" s="2"/>
      <c r="I615" s="2"/>
      <c r="J615" s="2"/>
      <c r="K615" s="2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2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69"/>
      <c r="AM615" s="69"/>
      <c r="AN615" s="69"/>
      <c r="AO615" s="69"/>
      <c r="AP615" s="69"/>
      <c r="AQ615" s="69"/>
      <c r="AR615" s="69"/>
      <c r="AS615" s="69"/>
      <c r="AT615" s="69"/>
      <c r="AU615" s="1"/>
      <c r="AV615" s="1"/>
    </row>
    <row r="616" spans="1:48" ht="15.75" customHeight="1" x14ac:dyDescent="0.25">
      <c r="A616" s="1"/>
      <c r="B616" s="2"/>
      <c r="C616" s="3"/>
      <c r="D616" s="2"/>
      <c r="E616" s="52"/>
      <c r="F616" s="52"/>
      <c r="G616" s="52"/>
      <c r="H616" s="2"/>
      <c r="I616" s="2"/>
      <c r="J616" s="2"/>
      <c r="K616" s="2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2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69"/>
      <c r="AM616" s="69"/>
      <c r="AN616" s="69"/>
      <c r="AO616" s="69"/>
      <c r="AP616" s="69"/>
      <c r="AQ616" s="69"/>
      <c r="AR616" s="69"/>
      <c r="AS616" s="69"/>
      <c r="AT616" s="69"/>
      <c r="AU616" s="1"/>
      <c r="AV616" s="1"/>
    </row>
    <row r="617" spans="1:48" ht="15.75" customHeight="1" x14ac:dyDescent="0.25">
      <c r="A617" s="1"/>
      <c r="B617" s="2"/>
      <c r="C617" s="3"/>
      <c r="D617" s="2"/>
      <c r="E617" s="52"/>
      <c r="F617" s="52"/>
      <c r="G617" s="52"/>
      <c r="H617" s="2"/>
      <c r="I617" s="2"/>
      <c r="J617" s="2"/>
      <c r="K617" s="2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2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69"/>
      <c r="AM617" s="69"/>
      <c r="AN617" s="69"/>
      <c r="AO617" s="69"/>
      <c r="AP617" s="69"/>
      <c r="AQ617" s="69"/>
      <c r="AR617" s="69"/>
      <c r="AS617" s="69"/>
      <c r="AT617" s="69"/>
      <c r="AU617" s="1"/>
      <c r="AV617" s="1"/>
    </row>
    <row r="618" spans="1:48" ht="15.75" customHeight="1" x14ac:dyDescent="0.25">
      <c r="A618" s="1"/>
      <c r="B618" s="2"/>
      <c r="C618" s="3"/>
      <c r="D618" s="2"/>
      <c r="E618" s="52"/>
      <c r="F618" s="52"/>
      <c r="G618" s="52"/>
      <c r="H618" s="2"/>
      <c r="I618" s="2"/>
      <c r="J618" s="2"/>
      <c r="K618" s="2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2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69"/>
      <c r="AM618" s="69"/>
      <c r="AN618" s="69"/>
      <c r="AO618" s="69"/>
      <c r="AP618" s="69"/>
      <c r="AQ618" s="69"/>
      <c r="AR618" s="69"/>
      <c r="AS618" s="69"/>
      <c r="AT618" s="69"/>
      <c r="AU618" s="1"/>
      <c r="AV618" s="1"/>
    </row>
    <row r="619" spans="1:48" ht="15.75" customHeight="1" x14ac:dyDescent="0.25">
      <c r="A619" s="1"/>
      <c r="B619" s="2"/>
      <c r="C619" s="3"/>
      <c r="D619" s="2"/>
      <c r="E619" s="52"/>
      <c r="F619" s="52"/>
      <c r="G619" s="52"/>
      <c r="H619" s="2"/>
      <c r="I619" s="2"/>
      <c r="J619" s="2"/>
      <c r="K619" s="2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2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69"/>
      <c r="AM619" s="69"/>
      <c r="AN619" s="69"/>
      <c r="AO619" s="69"/>
      <c r="AP619" s="69"/>
      <c r="AQ619" s="69"/>
      <c r="AR619" s="69"/>
      <c r="AS619" s="69"/>
      <c r="AT619" s="69"/>
      <c r="AU619" s="1"/>
      <c r="AV619" s="1"/>
    </row>
    <row r="620" spans="1:48" ht="15.75" customHeight="1" x14ac:dyDescent="0.25">
      <c r="A620" s="1"/>
      <c r="B620" s="2"/>
      <c r="C620" s="3"/>
      <c r="D620" s="2"/>
      <c r="E620" s="52"/>
      <c r="F620" s="52"/>
      <c r="G620" s="52"/>
      <c r="H620" s="2"/>
      <c r="I620" s="2"/>
      <c r="J620" s="2"/>
      <c r="K620" s="2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2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69"/>
      <c r="AM620" s="69"/>
      <c r="AN620" s="69"/>
      <c r="AO620" s="69"/>
      <c r="AP620" s="69"/>
      <c r="AQ620" s="69"/>
      <c r="AR620" s="69"/>
      <c r="AS620" s="69"/>
      <c r="AT620" s="69"/>
      <c r="AU620" s="1"/>
      <c r="AV620" s="1"/>
    </row>
    <row r="621" spans="1:48" ht="15.75" customHeight="1" x14ac:dyDescent="0.25">
      <c r="A621" s="1"/>
      <c r="B621" s="2"/>
      <c r="C621" s="3"/>
      <c r="D621" s="2"/>
      <c r="E621" s="52"/>
      <c r="F621" s="52"/>
      <c r="G621" s="52"/>
      <c r="H621" s="2"/>
      <c r="I621" s="2"/>
      <c r="J621" s="2"/>
      <c r="K621" s="2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2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69"/>
      <c r="AM621" s="69"/>
      <c r="AN621" s="69"/>
      <c r="AO621" s="69"/>
      <c r="AP621" s="69"/>
      <c r="AQ621" s="69"/>
      <c r="AR621" s="69"/>
      <c r="AS621" s="69"/>
      <c r="AT621" s="69"/>
      <c r="AU621" s="1"/>
      <c r="AV621" s="1"/>
    </row>
    <row r="622" spans="1:48" ht="15.75" customHeight="1" x14ac:dyDescent="0.25">
      <c r="A622" s="1"/>
      <c r="B622" s="2"/>
      <c r="C622" s="3"/>
      <c r="D622" s="2"/>
      <c r="E622" s="52"/>
      <c r="F622" s="52"/>
      <c r="G622" s="52"/>
      <c r="H622" s="2"/>
      <c r="I622" s="2"/>
      <c r="J622" s="2"/>
      <c r="K622" s="2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2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69"/>
      <c r="AM622" s="69"/>
      <c r="AN622" s="69"/>
      <c r="AO622" s="69"/>
      <c r="AP622" s="69"/>
      <c r="AQ622" s="69"/>
      <c r="AR622" s="69"/>
      <c r="AS622" s="69"/>
      <c r="AT622" s="69"/>
      <c r="AU622" s="1"/>
      <c r="AV622" s="1"/>
    </row>
    <row r="623" spans="1:48" ht="15.75" customHeight="1" x14ac:dyDescent="0.25">
      <c r="A623" s="1"/>
      <c r="B623" s="2"/>
      <c r="C623" s="3"/>
      <c r="D623" s="2"/>
      <c r="E623" s="52"/>
      <c r="F623" s="52"/>
      <c r="G623" s="52"/>
      <c r="H623" s="2"/>
      <c r="I623" s="2"/>
      <c r="J623" s="2"/>
      <c r="K623" s="2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2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69"/>
      <c r="AM623" s="69"/>
      <c r="AN623" s="69"/>
      <c r="AO623" s="69"/>
      <c r="AP623" s="69"/>
      <c r="AQ623" s="69"/>
      <c r="AR623" s="69"/>
      <c r="AS623" s="69"/>
      <c r="AT623" s="69"/>
      <c r="AU623" s="1"/>
      <c r="AV623" s="1"/>
    </row>
    <row r="624" spans="1:48" ht="15.75" customHeight="1" x14ac:dyDescent="0.25">
      <c r="A624" s="1"/>
      <c r="B624" s="2"/>
      <c r="C624" s="3"/>
      <c r="D624" s="2"/>
      <c r="E624" s="52"/>
      <c r="F624" s="52"/>
      <c r="G624" s="52"/>
      <c r="H624" s="2"/>
      <c r="I624" s="2"/>
      <c r="J624" s="2"/>
      <c r="K624" s="2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2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69"/>
      <c r="AM624" s="69"/>
      <c r="AN624" s="69"/>
      <c r="AO624" s="69"/>
      <c r="AP624" s="69"/>
      <c r="AQ624" s="69"/>
      <c r="AR624" s="69"/>
      <c r="AS624" s="69"/>
      <c r="AT624" s="69"/>
      <c r="AU624" s="1"/>
      <c r="AV624" s="1"/>
    </row>
    <row r="625" spans="1:48" ht="15.75" customHeight="1" x14ac:dyDescent="0.25">
      <c r="A625" s="1"/>
      <c r="B625" s="2"/>
      <c r="C625" s="3"/>
      <c r="D625" s="2"/>
      <c r="E625" s="52"/>
      <c r="F625" s="52"/>
      <c r="G625" s="52"/>
      <c r="H625" s="2"/>
      <c r="I625" s="2"/>
      <c r="J625" s="2"/>
      <c r="K625" s="2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2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69"/>
      <c r="AM625" s="69"/>
      <c r="AN625" s="69"/>
      <c r="AO625" s="69"/>
      <c r="AP625" s="69"/>
      <c r="AQ625" s="69"/>
      <c r="AR625" s="69"/>
      <c r="AS625" s="69"/>
      <c r="AT625" s="69"/>
      <c r="AU625" s="1"/>
      <c r="AV625" s="1"/>
    </row>
    <row r="626" spans="1:48" ht="15.75" customHeight="1" x14ac:dyDescent="0.25">
      <c r="A626" s="1"/>
      <c r="B626" s="2"/>
      <c r="C626" s="3"/>
      <c r="D626" s="2"/>
      <c r="E626" s="52"/>
      <c r="F626" s="52"/>
      <c r="G626" s="52"/>
      <c r="H626" s="2"/>
      <c r="I626" s="2"/>
      <c r="J626" s="2"/>
      <c r="K626" s="2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2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69"/>
      <c r="AM626" s="69"/>
      <c r="AN626" s="69"/>
      <c r="AO626" s="69"/>
      <c r="AP626" s="69"/>
      <c r="AQ626" s="69"/>
      <c r="AR626" s="69"/>
      <c r="AS626" s="69"/>
      <c r="AT626" s="69"/>
      <c r="AU626" s="1"/>
      <c r="AV626" s="1"/>
    </row>
    <row r="627" spans="1:48" ht="15.75" customHeight="1" x14ac:dyDescent="0.25">
      <c r="A627" s="1"/>
      <c r="B627" s="2"/>
      <c r="C627" s="3"/>
      <c r="D627" s="2"/>
      <c r="E627" s="52"/>
      <c r="F627" s="52"/>
      <c r="G627" s="52"/>
      <c r="H627" s="2"/>
      <c r="I627" s="2"/>
      <c r="J627" s="2"/>
      <c r="K627" s="2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2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69"/>
      <c r="AM627" s="69"/>
      <c r="AN627" s="69"/>
      <c r="AO627" s="69"/>
      <c r="AP627" s="69"/>
      <c r="AQ627" s="69"/>
      <c r="AR627" s="69"/>
      <c r="AS627" s="69"/>
      <c r="AT627" s="69"/>
      <c r="AU627" s="1"/>
      <c r="AV627" s="1"/>
    </row>
    <row r="628" spans="1:48" ht="15.75" customHeight="1" x14ac:dyDescent="0.25">
      <c r="A628" s="1"/>
      <c r="B628" s="2"/>
      <c r="C628" s="3"/>
      <c r="D628" s="2"/>
      <c r="E628" s="52"/>
      <c r="F628" s="52"/>
      <c r="G628" s="52"/>
      <c r="H628" s="2"/>
      <c r="I628" s="2"/>
      <c r="J628" s="2"/>
      <c r="K628" s="2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2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69"/>
      <c r="AM628" s="69"/>
      <c r="AN628" s="69"/>
      <c r="AO628" s="69"/>
      <c r="AP628" s="69"/>
      <c r="AQ628" s="69"/>
      <c r="AR628" s="69"/>
      <c r="AS628" s="69"/>
      <c r="AT628" s="69"/>
      <c r="AU628" s="1"/>
      <c r="AV628" s="1"/>
    </row>
    <row r="629" spans="1:48" ht="15.75" customHeight="1" x14ac:dyDescent="0.25">
      <c r="A629" s="1"/>
      <c r="B629" s="2"/>
      <c r="C629" s="3"/>
      <c r="D629" s="2"/>
      <c r="E629" s="52"/>
      <c r="F629" s="52"/>
      <c r="G629" s="52"/>
      <c r="H629" s="2"/>
      <c r="I629" s="2"/>
      <c r="J629" s="2"/>
      <c r="K629" s="2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2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69"/>
      <c r="AM629" s="69"/>
      <c r="AN629" s="69"/>
      <c r="AO629" s="69"/>
      <c r="AP629" s="69"/>
      <c r="AQ629" s="69"/>
      <c r="AR629" s="69"/>
      <c r="AS629" s="69"/>
      <c r="AT629" s="69"/>
      <c r="AU629" s="1"/>
      <c r="AV629" s="1"/>
    </row>
    <row r="630" spans="1:48" ht="15.75" customHeight="1" x14ac:dyDescent="0.25">
      <c r="A630" s="1"/>
      <c r="B630" s="2"/>
      <c r="C630" s="3"/>
      <c r="D630" s="2"/>
      <c r="E630" s="52"/>
      <c r="F630" s="52"/>
      <c r="G630" s="52"/>
      <c r="H630" s="2"/>
      <c r="I630" s="2"/>
      <c r="J630" s="2"/>
      <c r="K630" s="2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2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69"/>
      <c r="AM630" s="69"/>
      <c r="AN630" s="69"/>
      <c r="AO630" s="69"/>
      <c r="AP630" s="69"/>
      <c r="AQ630" s="69"/>
      <c r="AR630" s="69"/>
      <c r="AS630" s="69"/>
      <c r="AT630" s="69"/>
      <c r="AU630" s="1"/>
      <c r="AV630" s="1"/>
    </row>
    <row r="631" spans="1:48" ht="15.75" customHeight="1" x14ac:dyDescent="0.25">
      <c r="A631" s="1"/>
      <c r="B631" s="2"/>
      <c r="C631" s="3"/>
      <c r="D631" s="2"/>
      <c r="E631" s="52"/>
      <c r="F631" s="52"/>
      <c r="G631" s="52"/>
      <c r="H631" s="2"/>
      <c r="I631" s="2"/>
      <c r="J631" s="2"/>
      <c r="K631" s="2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2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69"/>
      <c r="AM631" s="69"/>
      <c r="AN631" s="69"/>
      <c r="AO631" s="69"/>
      <c r="AP631" s="69"/>
      <c r="AQ631" s="69"/>
      <c r="AR631" s="69"/>
      <c r="AS631" s="69"/>
      <c r="AT631" s="69"/>
      <c r="AU631" s="1"/>
      <c r="AV631" s="1"/>
    </row>
    <row r="632" spans="1:48" ht="15.75" customHeight="1" x14ac:dyDescent="0.25">
      <c r="A632" s="1"/>
      <c r="B632" s="2"/>
      <c r="C632" s="3"/>
      <c r="D632" s="2"/>
      <c r="E632" s="52"/>
      <c r="F632" s="52"/>
      <c r="G632" s="52"/>
      <c r="H632" s="2"/>
      <c r="I632" s="2"/>
      <c r="J632" s="2"/>
      <c r="K632" s="2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2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69"/>
      <c r="AM632" s="69"/>
      <c r="AN632" s="69"/>
      <c r="AO632" s="69"/>
      <c r="AP632" s="69"/>
      <c r="AQ632" s="69"/>
      <c r="AR632" s="69"/>
      <c r="AS632" s="69"/>
      <c r="AT632" s="69"/>
      <c r="AU632" s="1"/>
      <c r="AV632" s="1"/>
    </row>
    <row r="633" spans="1:48" ht="15.75" customHeight="1" x14ac:dyDescent="0.25">
      <c r="A633" s="1"/>
      <c r="B633" s="2"/>
      <c r="C633" s="3"/>
      <c r="D633" s="2"/>
      <c r="E633" s="52"/>
      <c r="F633" s="52"/>
      <c r="G633" s="52"/>
      <c r="H633" s="2"/>
      <c r="I633" s="2"/>
      <c r="J633" s="2"/>
      <c r="K633" s="2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2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69"/>
      <c r="AM633" s="69"/>
      <c r="AN633" s="69"/>
      <c r="AO633" s="69"/>
      <c r="AP633" s="69"/>
      <c r="AQ633" s="69"/>
      <c r="AR633" s="69"/>
      <c r="AS633" s="69"/>
      <c r="AT633" s="69"/>
      <c r="AU633" s="1"/>
      <c r="AV633" s="1"/>
    </row>
    <row r="634" spans="1:48" ht="15.75" customHeight="1" x14ac:dyDescent="0.25">
      <c r="A634" s="1"/>
      <c r="B634" s="2"/>
      <c r="C634" s="3"/>
      <c r="D634" s="2"/>
      <c r="E634" s="52"/>
      <c r="F634" s="52"/>
      <c r="G634" s="52"/>
      <c r="H634" s="2"/>
      <c r="I634" s="2"/>
      <c r="J634" s="2"/>
      <c r="K634" s="2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2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69"/>
      <c r="AM634" s="69"/>
      <c r="AN634" s="69"/>
      <c r="AO634" s="69"/>
      <c r="AP634" s="69"/>
      <c r="AQ634" s="69"/>
      <c r="AR634" s="69"/>
      <c r="AS634" s="69"/>
      <c r="AT634" s="69"/>
      <c r="AU634" s="1"/>
      <c r="AV634" s="1"/>
    </row>
    <row r="635" spans="1:48" ht="15.75" customHeight="1" x14ac:dyDescent="0.25">
      <c r="A635" s="1"/>
      <c r="B635" s="2"/>
      <c r="C635" s="3"/>
      <c r="D635" s="2"/>
      <c r="E635" s="52"/>
      <c r="F635" s="52"/>
      <c r="G635" s="52"/>
      <c r="H635" s="2"/>
      <c r="I635" s="2"/>
      <c r="J635" s="2"/>
      <c r="K635" s="2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2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69"/>
      <c r="AM635" s="69"/>
      <c r="AN635" s="69"/>
      <c r="AO635" s="69"/>
      <c r="AP635" s="69"/>
      <c r="AQ635" s="69"/>
      <c r="AR635" s="69"/>
      <c r="AS635" s="69"/>
      <c r="AT635" s="69"/>
      <c r="AU635" s="1"/>
      <c r="AV635" s="1"/>
    </row>
    <row r="636" spans="1:48" ht="15.75" customHeight="1" x14ac:dyDescent="0.25">
      <c r="A636" s="1"/>
      <c r="B636" s="2"/>
      <c r="C636" s="3"/>
      <c r="D636" s="2"/>
      <c r="E636" s="52"/>
      <c r="F636" s="52"/>
      <c r="G636" s="52"/>
      <c r="H636" s="2"/>
      <c r="I636" s="2"/>
      <c r="J636" s="2"/>
      <c r="K636" s="2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2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69"/>
      <c r="AM636" s="69"/>
      <c r="AN636" s="69"/>
      <c r="AO636" s="69"/>
      <c r="AP636" s="69"/>
      <c r="AQ636" s="69"/>
      <c r="AR636" s="69"/>
      <c r="AS636" s="69"/>
      <c r="AT636" s="69"/>
      <c r="AU636" s="1"/>
      <c r="AV636" s="1"/>
    </row>
    <row r="637" spans="1:48" ht="15.75" customHeight="1" x14ac:dyDescent="0.25">
      <c r="A637" s="1"/>
      <c r="B637" s="2"/>
      <c r="C637" s="3"/>
      <c r="D637" s="2"/>
      <c r="E637" s="52"/>
      <c r="F637" s="52"/>
      <c r="G637" s="52"/>
      <c r="H637" s="2"/>
      <c r="I637" s="2"/>
      <c r="J637" s="2"/>
      <c r="K637" s="2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2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69"/>
      <c r="AM637" s="69"/>
      <c r="AN637" s="69"/>
      <c r="AO637" s="69"/>
      <c r="AP637" s="69"/>
      <c r="AQ637" s="69"/>
      <c r="AR637" s="69"/>
      <c r="AS637" s="69"/>
      <c r="AT637" s="69"/>
      <c r="AU637" s="1"/>
      <c r="AV637" s="1"/>
    </row>
    <row r="638" spans="1:48" ht="15.75" customHeight="1" x14ac:dyDescent="0.25">
      <c r="A638" s="1"/>
      <c r="B638" s="2"/>
      <c r="C638" s="3"/>
      <c r="D638" s="2"/>
      <c r="E638" s="52"/>
      <c r="F638" s="52"/>
      <c r="G638" s="52"/>
      <c r="H638" s="2"/>
      <c r="I638" s="2"/>
      <c r="J638" s="2"/>
      <c r="K638" s="2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2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69"/>
      <c r="AM638" s="69"/>
      <c r="AN638" s="69"/>
      <c r="AO638" s="69"/>
      <c r="AP638" s="69"/>
      <c r="AQ638" s="69"/>
      <c r="AR638" s="69"/>
      <c r="AS638" s="69"/>
      <c r="AT638" s="69"/>
      <c r="AU638" s="1"/>
      <c r="AV638" s="1"/>
    </row>
    <row r="639" spans="1:48" ht="15.75" customHeight="1" x14ac:dyDescent="0.25">
      <c r="A639" s="1"/>
      <c r="B639" s="2"/>
      <c r="C639" s="3"/>
      <c r="D639" s="2"/>
      <c r="E639" s="52"/>
      <c r="F639" s="52"/>
      <c r="G639" s="52"/>
      <c r="H639" s="2"/>
      <c r="I639" s="2"/>
      <c r="J639" s="2"/>
      <c r="K639" s="2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2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69"/>
      <c r="AM639" s="69"/>
      <c r="AN639" s="69"/>
      <c r="AO639" s="69"/>
      <c r="AP639" s="69"/>
      <c r="AQ639" s="69"/>
      <c r="AR639" s="69"/>
      <c r="AS639" s="69"/>
      <c r="AT639" s="69"/>
      <c r="AU639" s="1"/>
      <c r="AV639" s="1"/>
    </row>
    <row r="640" spans="1:48" ht="15.75" customHeight="1" x14ac:dyDescent="0.25">
      <c r="A640" s="1"/>
      <c r="B640" s="2"/>
      <c r="C640" s="3"/>
      <c r="D640" s="2"/>
      <c r="E640" s="52"/>
      <c r="F640" s="52"/>
      <c r="G640" s="52"/>
      <c r="H640" s="2"/>
      <c r="I640" s="2"/>
      <c r="J640" s="2"/>
      <c r="K640" s="2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2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69"/>
      <c r="AM640" s="69"/>
      <c r="AN640" s="69"/>
      <c r="AO640" s="69"/>
      <c r="AP640" s="69"/>
      <c r="AQ640" s="69"/>
      <c r="AR640" s="69"/>
      <c r="AS640" s="69"/>
      <c r="AT640" s="69"/>
      <c r="AU640" s="1"/>
      <c r="AV640" s="1"/>
    </row>
    <row r="641" spans="1:48" ht="15.75" customHeight="1" x14ac:dyDescent="0.25">
      <c r="A641" s="1"/>
      <c r="B641" s="2"/>
      <c r="C641" s="3"/>
      <c r="D641" s="2"/>
      <c r="E641" s="52"/>
      <c r="F641" s="52"/>
      <c r="G641" s="52"/>
      <c r="H641" s="2"/>
      <c r="I641" s="2"/>
      <c r="J641" s="2"/>
      <c r="K641" s="2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2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69"/>
      <c r="AM641" s="69"/>
      <c r="AN641" s="69"/>
      <c r="AO641" s="69"/>
      <c r="AP641" s="69"/>
      <c r="AQ641" s="69"/>
      <c r="AR641" s="69"/>
      <c r="AS641" s="69"/>
      <c r="AT641" s="69"/>
      <c r="AU641" s="1"/>
      <c r="AV641" s="1"/>
    </row>
    <row r="642" spans="1:48" ht="15.75" customHeight="1" x14ac:dyDescent="0.25">
      <c r="A642" s="1"/>
      <c r="B642" s="2"/>
      <c r="C642" s="3"/>
      <c r="D642" s="2"/>
      <c r="E642" s="52"/>
      <c r="F642" s="52"/>
      <c r="G642" s="52"/>
      <c r="H642" s="2"/>
      <c r="I642" s="2"/>
      <c r="J642" s="2"/>
      <c r="K642" s="2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2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69"/>
      <c r="AM642" s="69"/>
      <c r="AN642" s="69"/>
      <c r="AO642" s="69"/>
      <c r="AP642" s="69"/>
      <c r="AQ642" s="69"/>
      <c r="AR642" s="69"/>
      <c r="AS642" s="69"/>
      <c r="AT642" s="69"/>
      <c r="AU642" s="1"/>
      <c r="AV642" s="1"/>
    </row>
    <row r="643" spans="1:48" ht="15.75" customHeight="1" x14ac:dyDescent="0.25">
      <c r="A643" s="1"/>
      <c r="B643" s="2"/>
      <c r="C643" s="3"/>
      <c r="D643" s="2"/>
      <c r="E643" s="52"/>
      <c r="F643" s="52"/>
      <c r="G643" s="52"/>
      <c r="H643" s="2"/>
      <c r="I643" s="2"/>
      <c r="J643" s="2"/>
      <c r="K643" s="2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2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69"/>
      <c r="AM643" s="69"/>
      <c r="AN643" s="69"/>
      <c r="AO643" s="69"/>
      <c r="AP643" s="69"/>
      <c r="AQ643" s="69"/>
      <c r="AR643" s="69"/>
      <c r="AS643" s="69"/>
      <c r="AT643" s="69"/>
      <c r="AU643" s="1"/>
      <c r="AV643" s="1"/>
    </row>
    <row r="644" spans="1:48" ht="15.75" customHeight="1" x14ac:dyDescent="0.25">
      <c r="A644" s="1"/>
      <c r="B644" s="2"/>
      <c r="C644" s="3"/>
      <c r="D644" s="2"/>
      <c r="E644" s="52"/>
      <c r="F644" s="52"/>
      <c r="G644" s="52"/>
      <c r="H644" s="2"/>
      <c r="I644" s="2"/>
      <c r="J644" s="2"/>
      <c r="K644" s="2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2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69"/>
      <c r="AM644" s="69"/>
      <c r="AN644" s="69"/>
      <c r="AO644" s="69"/>
      <c r="AP644" s="69"/>
      <c r="AQ644" s="69"/>
      <c r="AR644" s="69"/>
      <c r="AS644" s="69"/>
      <c r="AT644" s="69"/>
      <c r="AU644" s="1"/>
      <c r="AV644" s="1"/>
    </row>
    <row r="645" spans="1:48" ht="15.75" customHeight="1" x14ac:dyDescent="0.25">
      <c r="A645" s="1"/>
      <c r="B645" s="2"/>
      <c r="C645" s="3"/>
      <c r="D645" s="2"/>
      <c r="E645" s="52"/>
      <c r="F645" s="52"/>
      <c r="G645" s="52"/>
      <c r="H645" s="2"/>
      <c r="I645" s="2"/>
      <c r="J645" s="2"/>
      <c r="K645" s="2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2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69"/>
      <c r="AM645" s="69"/>
      <c r="AN645" s="69"/>
      <c r="AO645" s="69"/>
      <c r="AP645" s="69"/>
      <c r="AQ645" s="69"/>
      <c r="AR645" s="69"/>
      <c r="AS645" s="69"/>
      <c r="AT645" s="69"/>
      <c r="AU645" s="1"/>
      <c r="AV645" s="1"/>
    </row>
    <row r="646" spans="1:48" ht="15.75" customHeight="1" x14ac:dyDescent="0.25">
      <c r="A646" s="1"/>
      <c r="B646" s="2"/>
      <c r="C646" s="3"/>
      <c r="D646" s="2"/>
      <c r="E646" s="52"/>
      <c r="F646" s="52"/>
      <c r="G646" s="52"/>
      <c r="H646" s="2"/>
      <c r="I646" s="2"/>
      <c r="J646" s="2"/>
      <c r="K646" s="2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2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69"/>
      <c r="AM646" s="69"/>
      <c r="AN646" s="69"/>
      <c r="AO646" s="69"/>
      <c r="AP646" s="69"/>
      <c r="AQ646" s="69"/>
      <c r="AR646" s="69"/>
      <c r="AS646" s="69"/>
      <c r="AT646" s="69"/>
      <c r="AU646" s="1"/>
      <c r="AV646" s="1"/>
    </row>
    <row r="647" spans="1:48" ht="15.75" customHeight="1" x14ac:dyDescent="0.25">
      <c r="A647" s="1"/>
      <c r="B647" s="2"/>
      <c r="C647" s="3"/>
      <c r="D647" s="2"/>
      <c r="E647" s="52"/>
      <c r="F647" s="52"/>
      <c r="G647" s="52"/>
      <c r="H647" s="2"/>
      <c r="I647" s="2"/>
      <c r="J647" s="2"/>
      <c r="K647" s="2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2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69"/>
      <c r="AM647" s="69"/>
      <c r="AN647" s="69"/>
      <c r="AO647" s="69"/>
      <c r="AP647" s="69"/>
      <c r="AQ647" s="69"/>
      <c r="AR647" s="69"/>
      <c r="AS647" s="69"/>
      <c r="AT647" s="69"/>
      <c r="AU647" s="1"/>
      <c r="AV647" s="1"/>
    </row>
    <row r="648" spans="1:48" ht="15.75" customHeight="1" x14ac:dyDescent="0.25">
      <c r="A648" s="1"/>
      <c r="B648" s="2"/>
      <c r="C648" s="3"/>
      <c r="D648" s="2"/>
      <c r="E648" s="52"/>
      <c r="F648" s="52"/>
      <c r="G648" s="52"/>
      <c r="H648" s="2"/>
      <c r="I648" s="2"/>
      <c r="J648" s="2"/>
      <c r="K648" s="2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2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69"/>
      <c r="AM648" s="69"/>
      <c r="AN648" s="69"/>
      <c r="AO648" s="69"/>
      <c r="AP648" s="69"/>
      <c r="AQ648" s="69"/>
      <c r="AR648" s="69"/>
      <c r="AS648" s="69"/>
      <c r="AT648" s="69"/>
      <c r="AU648" s="1"/>
      <c r="AV648" s="1"/>
    </row>
    <row r="649" spans="1:48" ht="15.75" customHeight="1" x14ac:dyDescent="0.25">
      <c r="A649" s="1"/>
      <c r="B649" s="2"/>
      <c r="C649" s="3"/>
      <c r="D649" s="2"/>
      <c r="E649" s="52"/>
      <c r="F649" s="52"/>
      <c r="G649" s="52"/>
      <c r="H649" s="2"/>
      <c r="I649" s="2"/>
      <c r="J649" s="2"/>
      <c r="K649" s="2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2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69"/>
      <c r="AM649" s="69"/>
      <c r="AN649" s="69"/>
      <c r="AO649" s="69"/>
      <c r="AP649" s="69"/>
      <c r="AQ649" s="69"/>
      <c r="AR649" s="69"/>
      <c r="AS649" s="69"/>
      <c r="AT649" s="69"/>
      <c r="AU649" s="1"/>
      <c r="AV649" s="1"/>
    </row>
    <row r="650" spans="1:48" ht="15.75" customHeight="1" x14ac:dyDescent="0.25">
      <c r="A650" s="1"/>
      <c r="B650" s="2"/>
      <c r="C650" s="3"/>
      <c r="D650" s="2"/>
      <c r="E650" s="52"/>
      <c r="F650" s="52"/>
      <c r="G650" s="52"/>
      <c r="H650" s="2"/>
      <c r="I650" s="2"/>
      <c r="J650" s="2"/>
      <c r="K650" s="2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2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69"/>
      <c r="AM650" s="69"/>
      <c r="AN650" s="69"/>
      <c r="AO650" s="69"/>
      <c r="AP650" s="69"/>
      <c r="AQ650" s="69"/>
      <c r="AR650" s="69"/>
      <c r="AS650" s="69"/>
      <c r="AT650" s="69"/>
      <c r="AU650" s="1"/>
      <c r="AV650" s="1"/>
    </row>
    <row r="651" spans="1:48" ht="15.75" customHeight="1" x14ac:dyDescent="0.25">
      <c r="A651" s="1"/>
      <c r="B651" s="2"/>
      <c r="C651" s="3"/>
      <c r="D651" s="2"/>
      <c r="E651" s="52"/>
      <c r="F651" s="52"/>
      <c r="G651" s="52"/>
      <c r="H651" s="2"/>
      <c r="I651" s="2"/>
      <c r="J651" s="2"/>
      <c r="K651" s="2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2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69"/>
      <c r="AM651" s="69"/>
      <c r="AN651" s="69"/>
      <c r="AO651" s="69"/>
      <c r="AP651" s="69"/>
      <c r="AQ651" s="69"/>
      <c r="AR651" s="69"/>
      <c r="AS651" s="69"/>
      <c r="AT651" s="69"/>
      <c r="AU651" s="1"/>
      <c r="AV651" s="1"/>
    </row>
    <row r="652" spans="1:48" ht="15.75" customHeight="1" x14ac:dyDescent="0.25">
      <c r="A652" s="1"/>
      <c r="B652" s="2"/>
      <c r="C652" s="3"/>
      <c r="D652" s="2"/>
      <c r="E652" s="52"/>
      <c r="F652" s="52"/>
      <c r="G652" s="52"/>
      <c r="H652" s="2"/>
      <c r="I652" s="2"/>
      <c r="J652" s="2"/>
      <c r="K652" s="2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2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69"/>
      <c r="AM652" s="69"/>
      <c r="AN652" s="69"/>
      <c r="AO652" s="69"/>
      <c r="AP652" s="69"/>
      <c r="AQ652" s="69"/>
      <c r="AR652" s="69"/>
      <c r="AS652" s="69"/>
      <c r="AT652" s="69"/>
      <c r="AU652" s="1"/>
      <c r="AV652" s="1"/>
    </row>
    <row r="653" spans="1:48" ht="15.75" customHeight="1" x14ac:dyDescent="0.25">
      <c r="A653" s="1"/>
      <c r="B653" s="2"/>
      <c r="C653" s="3"/>
      <c r="D653" s="2"/>
      <c r="E653" s="52"/>
      <c r="F653" s="52"/>
      <c r="G653" s="52"/>
      <c r="H653" s="2"/>
      <c r="I653" s="2"/>
      <c r="J653" s="2"/>
      <c r="K653" s="2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2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69"/>
      <c r="AM653" s="69"/>
      <c r="AN653" s="69"/>
      <c r="AO653" s="69"/>
      <c r="AP653" s="69"/>
      <c r="AQ653" s="69"/>
      <c r="AR653" s="69"/>
      <c r="AS653" s="69"/>
      <c r="AT653" s="69"/>
      <c r="AU653" s="1"/>
      <c r="AV653" s="1"/>
    </row>
    <row r="654" spans="1:48" ht="15.75" customHeight="1" x14ac:dyDescent="0.25">
      <c r="A654" s="1"/>
      <c r="B654" s="2"/>
      <c r="C654" s="3"/>
      <c r="D654" s="2"/>
      <c r="E654" s="52"/>
      <c r="F654" s="52"/>
      <c r="G654" s="52"/>
      <c r="H654" s="2"/>
      <c r="I654" s="2"/>
      <c r="J654" s="2"/>
      <c r="K654" s="2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2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69"/>
      <c r="AM654" s="69"/>
      <c r="AN654" s="69"/>
      <c r="AO654" s="69"/>
      <c r="AP654" s="69"/>
      <c r="AQ654" s="69"/>
      <c r="AR654" s="69"/>
      <c r="AS654" s="69"/>
      <c r="AT654" s="69"/>
      <c r="AU654" s="1"/>
      <c r="AV654" s="1"/>
    </row>
    <row r="655" spans="1:48" ht="15.75" customHeight="1" x14ac:dyDescent="0.25">
      <c r="A655" s="1"/>
      <c r="B655" s="2"/>
      <c r="C655" s="3"/>
      <c r="D655" s="2"/>
      <c r="E655" s="52"/>
      <c r="F655" s="52"/>
      <c r="G655" s="52"/>
      <c r="H655" s="2"/>
      <c r="I655" s="2"/>
      <c r="J655" s="2"/>
      <c r="K655" s="2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2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69"/>
      <c r="AM655" s="69"/>
      <c r="AN655" s="69"/>
      <c r="AO655" s="69"/>
      <c r="AP655" s="69"/>
      <c r="AQ655" s="69"/>
      <c r="AR655" s="69"/>
      <c r="AS655" s="69"/>
      <c r="AT655" s="69"/>
      <c r="AU655" s="1"/>
      <c r="AV655" s="1"/>
    </row>
    <row r="656" spans="1:48" ht="15.75" customHeight="1" x14ac:dyDescent="0.25">
      <c r="A656" s="1"/>
      <c r="B656" s="2"/>
      <c r="C656" s="3"/>
      <c r="D656" s="2"/>
      <c r="E656" s="52"/>
      <c r="F656" s="52"/>
      <c r="G656" s="52"/>
      <c r="H656" s="2"/>
      <c r="I656" s="2"/>
      <c r="J656" s="2"/>
      <c r="K656" s="2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2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69"/>
      <c r="AM656" s="69"/>
      <c r="AN656" s="69"/>
      <c r="AO656" s="69"/>
      <c r="AP656" s="69"/>
      <c r="AQ656" s="69"/>
      <c r="AR656" s="69"/>
      <c r="AS656" s="69"/>
      <c r="AT656" s="69"/>
      <c r="AU656" s="1"/>
      <c r="AV656" s="1"/>
    </row>
    <row r="657" spans="1:48" ht="15.75" customHeight="1" x14ac:dyDescent="0.25">
      <c r="A657" s="1"/>
      <c r="B657" s="2"/>
      <c r="C657" s="3"/>
      <c r="D657" s="2"/>
      <c r="E657" s="52"/>
      <c r="F657" s="52"/>
      <c r="G657" s="52"/>
      <c r="H657" s="2"/>
      <c r="I657" s="2"/>
      <c r="J657" s="2"/>
      <c r="K657" s="2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2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69"/>
      <c r="AM657" s="69"/>
      <c r="AN657" s="69"/>
      <c r="AO657" s="69"/>
      <c r="AP657" s="69"/>
      <c r="AQ657" s="69"/>
      <c r="AR657" s="69"/>
      <c r="AS657" s="69"/>
      <c r="AT657" s="69"/>
      <c r="AU657" s="1"/>
      <c r="AV657" s="1"/>
    </row>
    <row r="658" spans="1:48" ht="15.75" customHeight="1" x14ac:dyDescent="0.25">
      <c r="A658" s="1"/>
      <c r="B658" s="2"/>
      <c r="C658" s="3"/>
      <c r="D658" s="2"/>
      <c r="E658" s="52"/>
      <c r="F658" s="52"/>
      <c r="G658" s="52"/>
      <c r="H658" s="2"/>
      <c r="I658" s="2"/>
      <c r="J658" s="2"/>
      <c r="K658" s="2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2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69"/>
      <c r="AM658" s="69"/>
      <c r="AN658" s="69"/>
      <c r="AO658" s="69"/>
      <c r="AP658" s="69"/>
      <c r="AQ658" s="69"/>
      <c r="AR658" s="69"/>
      <c r="AS658" s="69"/>
      <c r="AT658" s="69"/>
      <c r="AU658" s="1"/>
      <c r="AV658" s="1"/>
    </row>
    <row r="659" spans="1:48" ht="15.75" customHeight="1" x14ac:dyDescent="0.25">
      <c r="A659" s="1"/>
      <c r="B659" s="2"/>
      <c r="C659" s="3"/>
      <c r="D659" s="2"/>
      <c r="E659" s="52"/>
      <c r="F659" s="52"/>
      <c r="G659" s="52"/>
      <c r="H659" s="2"/>
      <c r="I659" s="2"/>
      <c r="J659" s="2"/>
      <c r="K659" s="2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2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69"/>
      <c r="AM659" s="69"/>
      <c r="AN659" s="69"/>
      <c r="AO659" s="69"/>
      <c r="AP659" s="69"/>
      <c r="AQ659" s="69"/>
      <c r="AR659" s="69"/>
      <c r="AS659" s="69"/>
      <c r="AT659" s="69"/>
      <c r="AU659" s="1"/>
      <c r="AV659" s="1"/>
    </row>
    <row r="660" spans="1:48" ht="15.75" customHeight="1" x14ac:dyDescent="0.25">
      <c r="A660" s="1"/>
      <c r="B660" s="2"/>
      <c r="C660" s="3"/>
      <c r="D660" s="2"/>
      <c r="E660" s="52"/>
      <c r="F660" s="52"/>
      <c r="G660" s="52"/>
      <c r="H660" s="2"/>
      <c r="I660" s="2"/>
      <c r="J660" s="2"/>
      <c r="K660" s="2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2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69"/>
      <c r="AM660" s="69"/>
      <c r="AN660" s="69"/>
      <c r="AO660" s="69"/>
      <c r="AP660" s="69"/>
      <c r="AQ660" s="69"/>
      <c r="AR660" s="69"/>
      <c r="AS660" s="69"/>
      <c r="AT660" s="69"/>
      <c r="AU660" s="1"/>
      <c r="AV660" s="1"/>
    </row>
    <row r="661" spans="1:48" ht="15.75" customHeight="1" x14ac:dyDescent="0.25">
      <c r="A661" s="1"/>
      <c r="B661" s="2"/>
      <c r="C661" s="3"/>
      <c r="D661" s="2"/>
      <c r="E661" s="52"/>
      <c r="F661" s="52"/>
      <c r="G661" s="52"/>
      <c r="H661" s="2"/>
      <c r="I661" s="2"/>
      <c r="J661" s="2"/>
      <c r="K661" s="2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2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69"/>
      <c r="AM661" s="69"/>
      <c r="AN661" s="69"/>
      <c r="AO661" s="69"/>
      <c r="AP661" s="69"/>
      <c r="AQ661" s="69"/>
      <c r="AR661" s="69"/>
      <c r="AS661" s="69"/>
      <c r="AT661" s="69"/>
      <c r="AU661" s="1"/>
      <c r="AV661" s="1"/>
    </row>
    <row r="662" spans="1:48" ht="15.75" customHeight="1" x14ac:dyDescent="0.25">
      <c r="A662" s="1"/>
      <c r="B662" s="2"/>
      <c r="C662" s="3"/>
      <c r="D662" s="2"/>
      <c r="E662" s="52"/>
      <c r="F662" s="52"/>
      <c r="G662" s="52"/>
      <c r="H662" s="2"/>
      <c r="I662" s="2"/>
      <c r="J662" s="2"/>
      <c r="K662" s="2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2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69"/>
      <c r="AM662" s="69"/>
      <c r="AN662" s="69"/>
      <c r="AO662" s="69"/>
      <c r="AP662" s="69"/>
      <c r="AQ662" s="69"/>
      <c r="AR662" s="69"/>
      <c r="AS662" s="69"/>
      <c r="AT662" s="69"/>
      <c r="AU662" s="1"/>
      <c r="AV662" s="1"/>
    </row>
    <row r="663" spans="1:48" ht="15.75" customHeight="1" x14ac:dyDescent="0.25">
      <c r="A663" s="1"/>
      <c r="B663" s="2"/>
      <c r="C663" s="3"/>
      <c r="D663" s="2"/>
      <c r="E663" s="52"/>
      <c r="F663" s="52"/>
      <c r="G663" s="52"/>
      <c r="H663" s="2"/>
      <c r="I663" s="2"/>
      <c r="J663" s="2"/>
      <c r="K663" s="2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2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69"/>
      <c r="AM663" s="69"/>
      <c r="AN663" s="69"/>
      <c r="AO663" s="69"/>
      <c r="AP663" s="69"/>
      <c r="AQ663" s="69"/>
      <c r="AR663" s="69"/>
      <c r="AS663" s="69"/>
      <c r="AT663" s="69"/>
      <c r="AU663" s="1"/>
      <c r="AV663" s="1"/>
    </row>
    <row r="664" spans="1:48" ht="15.75" customHeight="1" x14ac:dyDescent="0.25">
      <c r="A664" s="1"/>
      <c r="B664" s="2"/>
      <c r="C664" s="3"/>
      <c r="D664" s="2"/>
      <c r="E664" s="52"/>
      <c r="F664" s="52"/>
      <c r="G664" s="52"/>
      <c r="H664" s="2"/>
      <c r="I664" s="2"/>
      <c r="J664" s="2"/>
      <c r="K664" s="2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2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69"/>
      <c r="AM664" s="69"/>
      <c r="AN664" s="69"/>
      <c r="AO664" s="69"/>
      <c r="AP664" s="69"/>
      <c r="AQ664" s="69"/>
      <c r="AR664" s="69"/>
      <c r="AS664" s="69"/>
      <c r="AT664" s="69"/>
      <c r="AU664" s="1"/>
      <c r="AV664" s="1"/>
    </row>
    <row r="665" spans="1:48" ht="15.75" customHeight="1" x14ac:dyDescent="0.25">
      <c r="A665" s="1"/>
      <c r="B665" s="2"/>
      <c r="C665" s="3"/>
      <c r="D665" s="2"/>
      <c r="E665" s="52"/>
      <c r="F665" s="52"/>
      <c r="G665" s="52"/>
      <c r="H665" s="2"/>
      <c r="I665" s="2"/>
      <c r="J665" s="2"/>
      <c r="K665" s="2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2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69"/>
      <c r="AM665" s="69"/>
      <c r="AN665" s="69"/>
      <c r="AO665" s="69"/>
      <c r="AP665" s="69"/>
      <c r="AQ665" s="69"/>
      <c r="AR665" s="69"/>
      <c r="AS665" s="69"/>
      <c r="AT665" s="69"/>
      <c r="AU665" s="1"/>
      <c r="AV665" s="1"/>
    </row>
    <row r="666" spans="1:48" ht="15.75" customHeight="1" x14ac:dyDescent="0.25">
      <c r="A666" s="1"/>
      <c r="B666" s="2"/>
      <c r="C666" s="3"/>
      <c r="D666" s="2"/>
      <c r="E666" s="52"/>
      <c r="F666" s="52"/>
      <c r="G666" s="52"/>
      <c r="H666" s="2"/>
      <c r="I666" s="2"/>
      <c r="J666" s="2"/>
      <c r="K666" s="2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2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69"/>
      <c r="AM666" s="69"/>
      <c r="AN666" s="69"/>
      <c r="AO666" s="69"/>
      <c r="AP666" s="69"/>
      <c r="AQ666" s="69"/>
      <c r="AR666" s="69"/>
      <c r="AS666" s="69"/>
      <c r="AT666" s="69"/>
      <c r="AU666" s="1"/>
      <c r="AV666" s="1"/>
    </row>
    <row r="667" spans="1:48" ht="15.75" customHeight="1" x14ac:dyDescent="0.25">
      <c r="A667" s="1"/>
      <c r="B667" s="2"/>
      <c r="C667" s="3"/>
      <c r="D667" s="2"/>
      <c r="E667" s="52"/>
      <c r="F667" s="52"/>
      <c r="G667" s="52"/>
      <c r="H667" s="2"/>
      <c r="I667" s="2"/>
      <c r="J667" s="2"/>
      <c r="K667" s="2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2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69"/>
      <c r="AM667" s="69"/>
      <c r="AN667" s="69"/>
      <c r="AO667" s="69"/>
      <c r="AP667" s="69"/>
      <c r="AQ667" s="69"/>
      <c r="AR667" s="69"/>
      <c r="AS667" s="69"/>
      <c r="AT667" s="69"/>
      <c r="AU667" s="1"/>
      <c r="AV667" s="1"/>
    </row>
    <row r="668" spans="1:48" ht="15.75" customHeight="1" x14ac:dyDescent="0.25">
      <c r="A668" s="1"/>
      <c r="B668" s="2"/>
      <c r="C668" s="3"/>
      <c r="D668" s="2"/>
      <c r="E668" s="52"/>
      <c r="F668" s="52"/>
      <c r="G668" s="52"/>
      <c r="H668" s="2"/>
      <c r="I668" s="2"/>
      <c r="J668" s="2"/>
      <c r="K668" s="2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2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69"/>
      <c r="AM668" s="69"/>
      <c r="AN668" s="69"/>
      <c r="AO668" s="69"/>
      <c r="AP668" s="69"/>
      <c r="AQ668" s="69"/>
      <c r="AR668" s="69"/>
      <c r="AS668" s="69"/>
      <c r="AT668" s="69"/>
      <c r="AU668" s="1"/>
      <c r="AV668" s="1"/>
    </row>
    <row r="669" spans="1:48" ht="15.75" customHeight="1" x14ac:dyDescent="0.25">
      <c r="A669" s="1"/>
      <c r="B669" s="2"/>
      <c r="C669" s="3"/>
      <c r="D669" s="2"/>
      <c r="E669" s="52"/>
      <c r="F669" s="52"/>
      <c r="G669" s="52"/>
      <c r="H669" s="2"/>
      <c r="I669" s="2"/>
      <c r="J669" s="2"/>
      <c r="K669" s="2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2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69"/>
      <c r="AM669" s="69"/>
      <c r="AN669" s="69"/>
      <c r="AO669" s="69"/>
      <c r="AP669" s="69"/>
      <c r="AQ669" s="69"/>
      <c r="AR669" s="69"/>
      <c r="AS669" s="69"/>
      <c r="AT669" s="69"/>
      <c r="AU669" s="1"/>
      <c r="AV669" s="1"/>
    </row>
    <row r="670" spans="1:48" ht="15.75" customHeight="1" x14ac:dyDescent="0.25">
      <c r="A670" s="1"/>
      <c r="B670" s="2"/>
      <c r="C670" s="3"/>
      <c r="D670" s="2"/>
      <c r="E670" s="52"/>
      <c r="F670" s="52"/>
      <c r="G670" s="52"/>
      <c r="H670" s="2"/>
      <c r="I670" s="2"/>
      <c r="J670" s="2"/>
      <c r="K670" s="2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2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69"/>
      <c r="AM670" s="69"/>
      <c r="AN670" s="69"/>
      <c r="AO670" s="69"/>
      <c r="AP670" s="69"/>
      <c r="AQ670" s="69"/>
      <c r="AR670" s="69"/>
      <c r="AS670" s="69"/>
      <c r="AT670" s="69"/>
      <c r="AU670" s="1"/>
      <c r="AV670" s="1"/>
    </row>
    <row r="671" spans="1:48" ht="15.75" customHeight="1" x14ac:dyDescent="0.25">
      <c r="A671" s="1"/>
      <c r="B671" s="2"/>
      <c r="C671" s="3"/>
      <c r="D671" s="2"/>
      <c r="E671" s="52"/>
      <c r="F671" s="52"/>
      <c r="G671" s="52"/>
      <c r="H671" s="2"/>
      <c r="I671" s="2"/>
      <c r="J671" s="2"/>
      <c r="K671" s="2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2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69"/>
      <c r="AM671" s="69"/>
      <c r="AN671" s="69"/>
      <c r="AO671" s="69"/>
      <c r="AP671" s="69"/>
      <c r="AQ671" s="69"/>
      <c r="AR671" s="69"/>
      <c r="AS671" s="69"/>
      <c r="AT671" s="69"/>
      <c r="AU671" s="1"/>
      <c r="AV671" s="1"/>
    </row>
    <row r="672" spans="1:48" ht="15.75" customHeight="1" x14ac:dyDescent="0.25">
      <c r="A672" s="1"/>
      <c r="B672" s="2"/>
      <c r="C672" s="3"/>
      <c r="D672" s="2"/>
      <c r="E672" s="52"/>
      <c r="F672" s="52"/>
      <c r="G672" s="52"/>
      <c r="H672" s="2"/>
      <c r="I672" s="2"/>
      <c r="J672" s="2"/>
      <c r="K672" s="2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2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69"/>
      <c r="AM672" s="69"/>
      <c r="AN672" s="69"/>
      <c r="AO672" s="69"/>
      <c r="AP672" s="69"/>
      <c r="AQ672" s="69"/>
      <c r="AR672" s="69"/>
      <c r="AS672" s="69"/>
      <c r="AT672" s="69"/>
      <c r="AU672" s="1"/>
      <c r="AV672" s="1"/>
    </row>
    <row r="673" spans="1:48" ht="15.75" customHeight="1" x14ac:dyDescent="0.25">
      <c r="A673" s="1"/>
      <c r="B673" s="2"/>
      <c r="C673" s="3"/>
      <c r="D673" s="2"/>
      <c r="E673" s="52"/>
      <c r="F673" s="52"/>
      <c r="G673" s="52"/>
      <c r="H673" s="2"/>
      <c r="I673" s="2"/>
      <c r="J673" s="2"/>
      <c r="K673" s="2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2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69"/>
      <c r="AM673" s="69"/>
      <c r="AN673" s="69"/>
      <c r="AO673" s="69"/>
      <c r="AP673" s="69"/>
      <c r="AQ673" s="69"/>
      <c r="AR673" s="69"/>
      <c r="AS673" s="69"/>
      <c r="AT673" s="69"/>
      <c r="AU673" s="1"/>
      <c r="AV673" s="1"/>
    </row>
    <row r="674" spans="1:48" ht="15.75" customHeight="1" x14ac:dyDescent="0.25">
      <c r="A674" s="1"/>
      <c r="B674" s="2"/>
      <c r="C674" s="3"/>
      <c r="D674" s="2"/>
      <c r="E674" s="52"/>
      <c r="F674" s="52"/>
      <c r="G674" s="52"/>
      <c r="H674" s="2"/>
      <c r="I674" s="2"/>
      <c r="J674" s="2"/>
      <c r="K674" s="2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2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69"/>
      <c r="AM674" s="69"/>
      <c r="AN674" s="69"/>
      <c r="AO674" s="69"/>
      <c r="AP674" s="69"/>
      <c r="AQ674" s="69"/>
      <c r="AR674" s="69"/>
      <c r="AS674" s="69"/>
      <c r="AT674" s="69"/>
      <c r="AU674" s="1"/>
      <c r="AV674" s="1"/>
    </row>
    <row r="675" spans="1:48" ht="15.75" customHeight="1" x14ac:dyDescent="0.25">
      <c r="A675" s="1"/>
      <c r="B675" s="2"/>
      <c r="C675" s="3"/>
      <c r="D675" s="2"/>
      <c r="E675" s="52"/>
      <c r="F675" s="52"/>
      <c r="G675" s="52"/>
      <c r="H675" s="2"/>
      <c r="I675" s="2"/>
      <c r="J675" s="2"/>
      <c r="K675" s="2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2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69"/>
      <c r="AM675" s="69"/>
      <c r="AN675" s="69"/>
      <c r="AO675" s="69"/>
      <c r="AP675" s="69"/>
      <c r="AQ675" s="69"/>
      <c r="AR675" s="69"/>
      <c r="AS675" s="69"/>
      <c r="AT675" s="69"/>
      <c r="AU675" s="1"/>
      <c r="AV675" s="1"/>
    </row>
    <row r="676" spans="1:48" ht="15.75" customHeight="1" x14ac:dyDescent="0.25">
      <c r="A676" s="1"/>
      <c r="B676" s="2"/>
      <c r="C676" s="3"/>
      <c r="D676" s="2"/>
      <c r="E676" s="52"/>
      <c r="F676" s="52"/>
      <c r="G676" s="52"/>
      <c r="H676" s="2"/>
      <c r="I676" s="2"/>
      <c r="J676" s="2"/>
      <c r="K676" s="2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2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69"/>
      <c r="AM676" s="69"/>
      <c r="AN676" s="69"/>
      <c r="AO676" s="69"/>
      <c r="AP676" s="69"/>
      <c r="AQ676" s="69"/>
      <c r="AR676" s="69"/>
      <c r="AS676" s="69"/>
      <c r="AT676" s="69"/>
      <c r="AU676" s="1"/>
      <c r="AV676" s="1"/>
    </row>
    <row r="677" spans="1:48" ht="15.75" customHeight="1" x14ac:dyDescent="0.25">
      <c r="A677" s="1"/>
      <c r="B677" s="2"/>
      <c r="C677" s="3"/>
      <c r="D677" s="2"/>
      <c r="E677" s="52"/>
      <c r="F677" s="52"/>
      <c r="G677" s="52"/>
      <c r="H677" s="2"/>
      <c r="I677" s="2"/>
      <c r="J677" s="2"/>
      <c r="K677" s="2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2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69"/>
      <c r="AM677" s="69"/>
      <c r="AN677" s="69"/>
      <c r="AO677" s="69"/>
      <c r="AP677" s="69"/>
      <c r="AQ677" s="69"/>
      <c r="AR677" s="69"/>
      <c r="AS677" s="69"/>
      <c r="AT677" s="69"/>
      <c r="AU677" s="1"/>
      <c r="AV677" s="1"/>
    </row>
    <row r="678" spans="1:48" ht="15.75" customHeight="1" x14ac:dyDescent="0.25">
      <c r="A678" s="1"/>
      <c r="B678" s="2"/>
      <c r="C678" s="3"/>
      <c r="D678" s="2"/>
      <c r="E678" s="52"/>
      <c r="F678" s="52"/>
      <c r="G678" s="52"/>
      <c r="H678" s="2"/>
      <c r="I678" s="2"/>
      <c r="J678" s="2"/>
      <c r="K678" s="2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2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69"/>
      <c r="AM678" s="69"/>
      <c r="AN678" s="69"/>
      <c r="AO678" s="69"/>
      <c r="AP678" s="69"/>
      <c r="AQ678" s="69"/>
      <c r="AR678" s="69"/>
      <c r="AS678" s="69"/>
      <c r="AT678" s="69"/>
      <c r="AU678" s="1"/>
      <c r="AV678" s="1"/>
    </row>
    <row r="679" spans="1:48" ht="15.75" customHeight="1" x14ac:dyDescent="0.25">
      <c r="A679" s="1"/>
      <c r="B679" s="2"/>
      <c r="C679" s="3"/>
      <c r="D679" s="2"/>
      <c r="E679" s="52"/>
      <c r="F679" s="52"/>
      <c r="G679" s="52"/>
      <c r="H679" s="2"/>
      <c r="I679" s="2"/>
      <c r="J679" s="2"/>
      <c r="K679" s="2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2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69"/>
      <c r="AM679" s="69"/>
      <c r="AN679" s="69"/>
      <c r="AO679" s="69"/>
      <c r="AP679" s="69"/>
      <c r="AQ679" s="69"/>
      <c r="AR679" s="69"/>
      <c r="AS679" s="69"/>
      <c r="AT679" s="69"/>
      <c r="AU679" s="1"/>
      <c r="AV679" s="1"/>
    </row>
    <row r="680" spans="1:48" ht="15.75" customHeight="1" x14ac:dyDescent="0.25">
      <c r="A680" s="1"/>
      <c r="B680" s="2"/>
      <c r="C680" s="3"/>
      <c r="D680" s="2"/>
      <c r="E680" s="52"/>
      <c r="F680" s="52"/>
      <c r="G680" s="52"/>
      <c r="H680" s="2"/>
      <c r="I680" s="2"/>
      <c r="J680" s="2"/>
      <c r="K680" s="2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2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69"/>
      <c r="AM680" s="69"/>
      <c r="AN680" s="69"/>
      <c r="AO680" s="69"/>
      <c r="AP680" s="69"/>
      <c r="AQ680" s="69"/>
      <c r="AR680" s="69"/>
      <c r="AS680" s="69"/>
      <c r="AT680" s="69"/>
      <c r="AU680" s="1"/>
      <c r="AV680" s="1"/>
    </row>
    <row r="681" spans="1:48" ht="15.75" customHeight="1" x14ac:dyDescent="0.25">
      <c r="A681" s="1"/>
      <c r="B681" s="2"/>
      <c r="C681" s="3"/>
      <c r="D681" s="2"/>
      <c r="E681" s="52"/>
      <c r="F681" s="52"/>
      <c r="G681" s="52"/>
      <c r="H681" s="2"/>
      <c r="I681" s="2"/>
      <c r="J681" s="2"/>
      <c r="K681" s="2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2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69"/>
      <c r="AM681" s="69"/>
      <c r="AN681" s="69"/>
      <c r="AO681" s="69"/>
      <c r="AP681" s="69"/>
      <c r="AQ681" s="69"/>
      <c r="AR681" s="69"/>
      <c r="AS681" s="69"/>
      <c r="AT681" s="69"/>
      <c r="AU681" s="1"/>
      <c r="AV681" s="1"/>
    </row>
    <row r="682" spans="1:48" ht="15.75" customHeight="1" x14ac:dyDescent="0.25">
      <c r="A682" s="1"/>
      <c r="B682" s="2"/>
      <c r="C682" s="3"/>
      <c r="D682" s="2"/>
      <c r="E682" s="52"/>
      <c r="F682" s="52"/>
      <c r="G682" s="52"/>
      <c r="H682" s="2"/>
      <c r="I682" s="2"/>
      <c r="J682" s="2"/>
      <c r="K682" s="2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2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69"/>
      <c r="AM682" s="69"/>
      <c r="AN682" s="69"/>
      <c r="AO682" s="69"/>
      <c r="AP682" s="69"/>
      <c r="AQ682" s="69"/>
      <c r="AR682" s="69"/>
      <c r="AS682" s="69"/>
      <c r="AT682" s="69"/>
      <c r="AU682" s="1"/>
      <c r="AV682" s="1"/>
    </row>
    <row r="683" spans="1:48" ht="15.75" customHeight="1" x14ac:dyDescent="0.25">
      <c r="A683" s="1"/>
      <c r="B683" s="2"/>
      <c r="C683" s="3"/>
      <c r="D683" s="2"/>
      <c r="E683" s="52"/>
      <c r="F683" s="52"/>
      <c r="G683" s="52"/>
      <c r="H683" s="2"/>
      <c r="I683" s="2"/>
      <c r="J683" s="2"/>
      <c r="K683" s="2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2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69"/>
      <c r="AM683" s="69"/>
      <c r="AN683" s="69"/>
      <c r="AO683" s="69"/>
      <c r="AP683" s="69"/>
      <c r="AQ683" s="69"/>
      <c r="AR683" s="69"/>
      <c r="AS683" s="69"/>
      <c r="AT683" s="69"/>
      <c r="AU683" s="1"/>
      <c r="AV683" s="1"/>
    </row>
    <row r="684" spans="1:48" ht="15.75" customHeight="1" x14ac:dyDescent="0.25">
      <c r="A684" s="1"/>
      <c r="B684" s="2"/>
      <c r="C684" s="3"/>
      <c r="D684" s="2"/>
      <c r="E684" s="52"/>
      <c r="F684" s="52"/>
      <c r="G684" s="52"/>
      <c r="H684" s="2"/>
      <c r="I684" s="2"/>
      <c r="J684" s="2"/>
      <c r="K684" s="2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2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69"/>
      <c r="AM684" s="69"/>
      <c r="AN684" s="69"/>
      <c r="AO684" s="69"/>
      <c r="AP684" s="69"/>
      <c r="AQ684" s="69"/>
      <c r="AR684" s="69"/>
      <c r="AS684" s="69"/>
      <c r="AT684" s="69"/>
      <c r="AU684" s="1"/>
      <c r="AV684" s="1"/>
    </row>
    <row r="685" spans="1:48" ht="15.75" customHeight="1" x14ac:dyDescent="0.25">
      <c r="A685" s="1"/>
      <c r="B685" s="2"/>
      <c r="C685" s="3"/>
      <c r="D685" s="2"/>
      <c r="E685" s="52"/>
      <c r="F685" s="52"/>
      <c r="G685" s="52"/>
      <c r="H685" s="2"/>
      <c r="I685" s="2"/>
      <c r="J685" s="2"/>
      <c r="K685" s="2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2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69"/>
      <c r="AM685" s="69"/>
      <c r="AN685" s="69"/>
      <c r="AO685" s="69"/>
      <c r="AP685" s="69"/>
      <c r="AQ685" s="69"/>
      <c r="AR685" s="69"/>
      <c r="AS685" s="69"/>
      <c r="AT685" s="69"/>
      <c r="AU685" s="1"/>
      <c r="AV685" s="1"/>
    </row>
    <row r="686" spans="1:48" ht="15.75" customHeight="1" x14ac:dyDescent="0.25">
      <c r="A686" s="1"/>
      <c r="B686" s="2"/>
      <c r="C686" s="3"/>
      <c r="D686" s="2"/>
      <c r="E686" s="52"/>
      <c r="F686" s="52"/>
      <c r="G686" s="52"/>
      <c r="H686" s="2"/>
      <c r="I686" s="2"/>
      <c r="J686" s="2"/>
      <c r="K686" s="2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2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69"/>
      <c r="AM686" s="69"/>
      <c r="AN686" s="69"/>
      <c r="AO686" s="69"/>
      <c r="AP686" s="69"/>
      <c r="AQ686" s="69"/>
      <c r="AR686" s="69"/>
      <c r="AS686" s="69"/>
      <c r="AT686" s="69"/>
      <c r="AU686" s="1"/>
      <c r="AV686" s="1"/>
    </row>
    <row r="687" spans="1:48" ht="15.75" customHeight="1" x14ac:dyDescent="0.25">
      <c r="A687" s="1"/>
      <c r="B687" s="2"/>
      <c r="C687" s="3"/>
      <c r="D687" s="2"/>
      <c r="E687" s="52"/>
      <c r="F687" s="52"/>
      <c r="G687" s="52"/>
      <c r="H687" s="2"/>
      <c r="I687" s="2"/>
      <c r="J687" s="2"/>
      <c r="K687" s="2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2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69"/>
      <c r="AM687" s="69"/>
      <c r="AN687" s="69"/>
      <c r="AO687" s="69"/>
      <c r="AP687" s="69"/>
      <c r="AQ687" s="69"/>
      <c r="AR687" s="69"/>
      <c r="AS687" s="69"/>
      <c r="AT687" s="69"/>
      <c r="AU687" s="1"/>
      <c r="AV687" s="1"/>
    </row>
    <row r="688" spans="1:48" ht="15.75" customHeight="1" x14ac:dyDescent="0.25">
      <c r="A688" s="1"/>
      <c r="B688" s="2"/>
      <c r="C688" s="3"/>
      <c r="D688" s="2"/>
      <c r="E688" s="52"/>
      <c r="F688" s="52"/>
      <c r="G688" s="52"/>
      <c r="H688" s="2"/>
      <c r="I688" s="2"/>
      <c r="J688" s="2"/>
      <c r="K688" s="2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2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69"/>
      <c r="AM688" s="69"/>
      <c r="AN688" s="69"/>
      <c r="AO688" s="69"/>
      <c r="AP688" s="69"/>
      <c r="AQ688" s="69"/>
      <c r="AR688" s="69"/>
      <c r="AS688" s="69"/>
      <c r="AT688" s="69"/>
      <c r="AU688" s="1"/>
      <c r="AV688" s="1"/>
    </row>
    <row r="689" spans="1:48" ht="15.75" customHeight="1" x14ac:dyDescent="0.25">
      <c r="A689" s="1"/>
      <c r="B689" s="2"/>
      <c r="C689" s="3"/>
      <c r="D689" s="2"/>
      <c r="E689" s="52"/>
      <c r="F689" s="52"/>
      <c r="G689" s="52"/>
      <c r="H689" s="2"/>
      <c r="I689" s="2"/>
      <c r="J689" s="2"/>
      <c r="K689" s="2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2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69"/>
      <c r="AM689" s="69"/>
      <c r="AN689" s="69"/>
      <c r="AO689" s="69"/>
      <c r="AP689" s="69"/>
      <c r="AQ689" s="69"/>
      <c r="AR689" s="69"/>
      <c r="AS689" s="69"/>
      <c r="AT689" s="69"/>
      <c r="AU689" s="1"/>
      <c r="AV689" s="1"/>
    </row>
    <row r="690" spans="1:48" ht="15.75" customHeight="1" x14ac:dyDescent="0.25">
      <c r="A690" s="1"/>
      <c r="B690" s="2"/>
      <c r="C690" s="3"/>
      <c r="D690" s="2"/>
      <c r="E690" s="52"/>
      <c r="F690" s="52"/>
      <c r="G690" s="52"/>
      <c r="H690" s="2"/>
      <c r="I690" s="2"/>
      <c r="J690" s="2"/>
      <c r="K690" s="2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2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69"/>
      <c r="AM690" s="69"/>
      <c r="AN690" s="69"/>
      <c r="AO690" s="69"/>
      <c r="AP690" s="69"/>
      <c r="AQ690" s="69"/>
      <c r="AR690" s="69"/>
      <c r="AS690" s="69"/>
      <c r="AT690" s="69"/>
      <c r="AU690" s="1"/>
      <c r="AV690" s="1"/>
    </row>
    <row r="691" spans="1:48" ht="15.75" customHeight="1" x14ac:dyDescent="0.25">
      <c r="A691" s="1"/>
      <c r="B691" s="2"/>
      <c r="C691" s="3"/>
      <c r="D691" s="2"/>
      <c r="E691" s="52"/>
      <c r="F691" s="52"/>
      <c r="G691" s="52"/>
      <c r="H691" s="2"/>
      <c r="I691" s="2"/>
      <c r="J691" s="2"/>
      <c r="K691" s="2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2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69"/>
      <c r="AM691" s="69"/>
      <c r="AN691" s="69"/>
      <c r="AO691" s="69"/>
      <c r="AP691" s="69"/>
      <c r="AQ691" s="69"/>
      <c r="AR691" s="69"/>
      <c r="AS691" s="69"/>
      <c r="AT691" s="69"/>
      <c r="AU691" s="1"/>
      <c r="AV691" s="1"/>
    </row>
    <row r="692" spans="1:48" ht="15.75" customHeight="1" x14ac:dyDescent="0.25">
      <c r="A692" s="1"/>
      <c r="B692" s="2"/>
      <c r="C692" s="3"/>
      <c r="D692" s="2"/>
      <c r="E692" s="52"/>
      <c r="F692" s="52"/>
      <c r="G692" s="52"/>
      <c r="H692" s="2"/>
      <c r="I692" s="2"/>
      <c r="J692" s="2"/>
      <c r="K692" s="2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2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69"/>
      <c r="AM692" s="69"/>
      <c r="AN692" s="69"/>
      <c r="AO692" s="69"/>
      <c r="AP692" s="69"/>
      <c r="AQ692" s="69"/>
      <c r="AR692" s="69"/>
      <c r="AS692" s="69"/>
      <c r="AT692" s="69"/>
      <c r="AU692" s="1"/>
      <c r="AV692" s="1"/>
    </row>
    <row r="693" spans="1:48" ht="15.75" customHeight="1" x14ac:dyDescent="0.25">
      <c r="A693" s="1"/>
      <c r="B693" s="2"/>
      <c r="C693" s="3"/>
      <c r="D693" s="2"/>
      <c r="E693" s="52"/>
      <c r="F693" s="52"/>
      <c r="G693" s="52"/>
      <c r="H693" s="2"/>
      <c r="I693" s="2"/>
      <c r="J693" s="2"/>
      <c r="K693" s="2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2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69"/>
      <c r="AM693" s="69"/>
      <c r="AN693" s="69"/>
      <c r="AO693" s="69"/>
      <c r="AP693" s="69"/>
      <c r="AQ693" s="69"/>
      <c r="AR693" s="69"/>
      <c r="AS693" s="69"/>
      <c r="AT693" s="69"/>
      <c r="AU693" s="1"/>
      <c r="AV693" s="1"/>
    </row>
    <row r="694" spans="1:48" ht="15.75" customHeight="1" x14ac:dyDescent="0.25">
      <c r="A694" s="1"/>
      <c r="B694" s="2"/>
      <c r="C694" s="3"/>
      <c r="D694" s="2"/>
      <c r="E694" s="52"/>
      <c r="F694" s="52"/>
      <c r="G694" s="52"/>
      <c r="H694" s="2"/>
      <c r="I694" s="2"/>
      <c r="J694" s="2"/>
      <c r="K694" s="2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2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69"/>
      <c r="AM694" s="69"/>
      <c r="AN694" s="69"/>
      <c r="AO694" s="69"/>
      <c r="AP694" s="69"/>
      <c r="AQ694" s="69"/>
      <c r="AR694" s="69"/>
      <c r="AS694" s="69"/>
      <c r="AT694" s="69"/>
      <c r="AU694" s="1"/>
      <c r="AV694" s="1"/>
    </row>
    <row r="695" spans="1:48" ht="15.75" customHeight="1" x14ac:dyDescent="0.25">
      <c r="A695" s="1"/>
      <c r="B695" s="2"/>
      <c r="C695" s="3"/>
      <c r="D695" s="2"/>
      <c r="E695" s="52"/>
      <c r="F695" s="52"/>
      <c r="G695" s="52"/>
      <c r="H695" s="2"/>
      <c r="I695" s="2"/>
      <c r="J695" s="2"/>
      <c r="K695" s="2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2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69"/>
      <c r="AM695" s="69"/>
      <c r="AN695" s="69"/>
      <c r="AO695" s="69"/>
      <c r="AP695" s="69"/>
      <c r="AQ695" s="69"/>
      <c r="AR695" s="69"/>
      <c r="AS695" s="69"/>
      <c r="AT695" s="69"/>
      <c r="AU695" s="1"/>
      <c r="AV695" s="1"/>
    </row>
    <row r="696" spans="1:48" ht="15.75" customHeight="1" x14ac:dyDescent="0.25">
      <c r="A696" s="1"/>
      <c r="B696" s="2"/>
      <c r="C696" s="3"/>
      <c r="D696" s="2"/>
      <c r="E696" s="52"/>
      <c r="F696" s="52"/>
      <c r="G696" s="52"/>
      <c r="H696" s="2"/>
      <c r="I696" s="2"/>
      <c r="J696" s="2"/>
      <c r="K696" s="2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2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69"/>
      <c r="AM696" s="69"/>
      <c r="AN696" s="69"/>
      <c r="AO696" s="69"/>
      <c r="AP696" s="69"/>
      <c r="AQ696" s="69"/>
      <c r="AR696" s="69"/>
      <c r="AS696" s="69"/>
      <c r="AT696" s="69"/>
      <c r="AU696" s="1"/>
      <c r="AV696" s="1"/>
    </row>
    <row r="697" spans="1:48" ht="15.75" customHeight="1" x14ac:dyDescent="0.25">
      <c r="A697" s="1"/>
      <c r="B697" s="2"/>
      <c r="C697" s="3"/>
      <c r="D697" s="2"/>
      <c r="E697" s="52"/>
      <c r="F697" s="52"/>
      <c r="G697" s="52"/>
      <c r="H697" s="2"/>
      <c r="I697" s="2"/>
      <c r="J697" s="2"/>
      <c r="K697" s="2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2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69"/>
      <c r="AM697" s="69"/>
      <c r="AN697" s="69"/>
      <c r="AO697" s="69"/>
      <c r="AP697" s="69"/>
      <c r="AQ697" s="69"/>
      <c r="AR697" s="69"/>
      <c r="AS697" s="69"/>
      <c r="AT697" s="69"/>
      <c r="AU697" s="1"/>
      <c r="AV697" s="1"/>
    </row>
    <row r="698" spans="1:48" ht="15.75" customHeight="1" x14ac:dyDescent="0.25">
      <c r="A698" s="1"/>
      <c r="B698" s="2"/>
      <c r="C698" s="3"/>
      <c r="D698" s="2"/>
      <c r="E698" s="52"/>
      <c r="F698" s="52"/>
      <c r="G698" s="52"/>
      <c r="H698" s="2"/>
      <c r="I698" s="2"/>
      <c r="J698" s="2"/>
      <c r="K698" s="2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2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69"/>
      <c r="AM698" s="69"/>
      <c r="AN698" s="69"/>
      <c r="AO698" s="69"/>
      <c r="AP698" s="69"/>
      <c r="AQ698" s="69"/>
      <c r="AR698" s="69"/>
      <c r="AS698" s="69"/>
      <c r="AT698" s="69"/>
      <c r="AU698" s="1"/>
      <c r="AV698" s="1"/>
    </row>
    <row r="699" spans="1:48" ht="15.75" customHeight="1" x14ac:dyDescent="0.25">
      <c r="A699" s="1"/>
      <c r="B699" s="2"/>
      <c r="C699" s="3"/>
      <c r="D699" s="2"/>
      <c r="E699" s="52"/>
      <c r="F699" s="52"/>
      <c r="G699" s="52"/>
      <c r="H699" s="2"/>
      <c r="I699" s="2"/>
      <c r="J699" s="2"/>
      <c r="K699" s="2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2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69"/>
      <c r="AM699" s="69"/>
      <c r="AN699" s="69"/>
      <c r="AO699" s="69"/>
      <c r="AP699" s="69"/>
      <c r="AQ699" s="69"/>
      <c r="AR699" s="69"/>
      <c r="AS699" s="69"/>
      <c r="AT699" s="69"/>
      <c r="AU699" s="1"/>
      <c r="AV699" s="1"/>
    </row>
    <row r="700" spans="1:48" ht="15.75" customHeight="1" x14ac:dyDescent="0.25">
      <c r="A700" s="1"/>
      <c r="B700" s="2"/>
      <c r="C700" s="3"/>
      <c r="D700" s="2"/>
      <c r="E700" s="52"/>
      <c r="F700" s="52"/>
      <c r="G700" s="52"/>
      <c r="H700" s="2"/>
      <c r="I700" s="2"/>
      <c r="J700" s="2"/>
      <c r="K700" s="2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2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69"/>
      <c r="AM700" s="69"/>
      <c r="AN700" s="69"/>
      <c r="AO700" s="69"/>
      <c r="AP700" s="69"/>
      <c r="AQ700" s="69"/>
      <c r="AR700" s="69"/>
      <c r="AS700" s="69"/>
      <c r="AT700" s="69"/>
      <c r="AU700" s="1"/>
      <c r="AV700" s="1"/>
    </row>
    <row r="701" spans="1:48" ht="15.75" customHeight="1" x14ac:dyDescent="0.25">
      <c r="A701" s="1"/>
      <c r="B701" s="2"/>
      <c r="C701" s="3"/>
      <c r="D701" s="2"/>
      <c r="E701" s="52"/>
      <c r="F701" s="52"/>
      <c r="G701" s="52"/>
      <c r="H701" s="2"/>
      <c r="I701" s="2"/>
      <c r="J701" s="2"/>
      <c r="K701" s="2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2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69"/>
      <c r="AM701" s="69"/>
      <c r="AN701" s="69"/>
      <c r="AO701" s="69"/>
      <c r="AP701" s="69"/>
      <c r="AQ701" s="69"/>
      <c r="AR701" s="69"/>
      <c r="AS701" s="69"/>
      <c r="AT701" s="69"/>
      <c r="AU701" s="1"/>
      <c r="AV701" s="1"/>
    </row>
    <row r="702" spans="1:48" ht="15.75" customHeight="1" x14ac:dyDescent="0.25">
      <c r="A702" s="1"/>
      <c r="B702" s="2"/>
      <c r="C702" s="3"/>
      <c r="D702" s="2"/>
      <c r="E702" s="52"/>
      <c r="F702" s="52"/>
      <c r="G702" s="52"/>
      <c r="H702" s="2"/>
      <c r="I702" s="2"/>
      <c r="J702" s="2"/>
      <c r="K702" s="2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2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69"/>
      <c r="AM702" s="69"/>
      <c r="AN702" s="69"/>
      <c r="AO702" s="69"/>
      <c r="AP702" s="69"/>
      <c r="AQ702" s="69"/>
      <c r="AR702" s="69"/>
      <c r="AS702" s="69"/>
      <c r="AT702" s="69"/>
      <c r="AU702" s="1"/>
      <c r="AV702" s="1"/>
    </row>
    <row r="703" spans="1:48" ht="15.75" customHeight="1" x14ac:dyDescent="0.25">
      <c r="A703" s="1"/>
      <c r="B703" s="2"/>
      <c r="C703" s="3"/>
      <c r="D703" s="2"/>
      <c r="E703" s="52"/>
      <c r="F703" s="52"/>
      <c r="G703" s="52"/>
      <c r="H703" s="2"/>
      <c r="I703" s="2"/>
      <c r="J703" s="2"/>
      <c r="K703" s="2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2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69"/>
      <c r="AM703" s="69"/>
      <c r="AN703" s="69"/>
      <c r="AO703" s="69"/>
      <c r="AP703" s="69"/>
      <c r="AQ703" s="69"/>
      <c r="AR703" s="69"/>
      <c r="AS703" s="69"/>
      <c r="AT703" s="69"/>
      <c r="AU703" s="1"/>
      <c r="AV703" s="1"/>
    </row>
    <row r="704" spans="1:48" ht="15.75" customHeight="1" x14ac:dyDescent="0.25">
      <c r="A704" s="1"/>
      <c r="B704" s="2"/>
      <c r="C704" s="3"/>
      <c r="D704" s="2"/>
      <c r="E704" s="52"/>
      <c r="F704" s="52"/>
      <c r="G704" s="52"/>
      <c r="H704" s="2"/>
      <c r="I704" s="2"/>
      <c r="J704" s="2"/>
      <c r="K704" s="2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2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69"/>
      <c r="AM704" s="69"/>
      <c r="AN704" s="69"/>
      <c r="AO704" s="69"/>
      <c r="AP704" s="69"/>
      <c r="AQ704" s="69"/>
      <c r="AR704" s="69"/>
      <c r="AS704" s="69"/>
      <c r="AT704" s="69"/>
      <c r="AU704" s="1"/>
      <c r="AV704" s="1"/>
    </row>
    <row r="705" spans="1:48" ht="15.75" customHeight="1" x14ac:dyDescent="0.25">
      <c r="A705" s="1"/>
      <c r="B705" s="2"/>
      <c r="C705" s="3"/>
      <c r="D705" s="2"/>
      <c r="E705" s="52"/>
      <c r="F705" s="52"/>
      <c r="G705" s="52"/>
      <c r="H705" s="2"/>
      <c r="I705" s="2"/>
      <c r="J705" s="2"/>
      <c r="K705" s="2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2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69"/>
      <c r="AM705" s="69"/>
      <c r="AN705" s="69"/>
      <c r="AO705" s="69"/>
      <c r="AP705" s="69"/>
      <c r="AQ705" s="69"/>
      <c r="AR705" s="69"/>
      <c r="AS705" s="69"/>
      <c r="AT705" s="69"/>
      <c r="AU705" s="1"/>
      <c r="AV705" s="1"/>
    </row>
    <row r="706" spans="1:48" ht="15.75" customHeight="1" x14ac:dyDescent="0.25">
      <c r="A706" s="1"/>
      <c r="B706" s="2"/>
      <c r="C706" s="3"/>
      <c r="D706" s="2"/>
      <c r="E706" s="52"/>
      <c r="F706" s="52"/>
      <c r="G706" s="52"/>
      <c r="H706" s="2"/>
      <c r="I706" s="2"/>
      <c r="J706" s="2"/>
      <c r="K706" s="2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2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69"/>
      <c r="AM706" s="69"/>
      <c r="AN706" s="69"/>
      <c r="AO706" s="69"/>
      <c r="AP706" s="69"/>
      <c r="AQ706" s="69"/>
      <c r="AR706" s="69"/>
      <c r="AS706" s="69"/>
      <c r="AT706" s="69"/>
      <c r="AU706" s="1"/>
      <c r="AV706" s="1"/>
    </row>
    <row r="707" spans="1:48" ht="15.75" customHeight="1" x14ac:dyDescent="0.25">
      <c r="A707" s="1"/>
      <c r="B707" s="2"/>
      <c r="C707" s="3"/>
      <c r="D707" s="2"/>
      <c r="E707" s="52"/>
      <c r="F707" s="52"/>
      <c r="G707" s="52"/>
      <c r="H707" s="2"/>
      <c r="I707" s="2"/>
      <c r="J707" s="2"/>
      <c r="K707" s="2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2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69"/>
      <c r="AM707" s="69"/>
      <c r="AN707" s="69"/>
      <c r="AO707" s="69"/>
      <c r="AP707" s="69"/>
      <c r="AQ707" s="69"/>
      <c r="AR707" s="69"/>
      <c r="AS707" s="69"/>
      <c r="AT707" s="69"/>
      <c r="AU707" s="1"/>
      <c r="AV707" s="1"/>
    </row>
    <row r="708" spans="1:48" ht="15.75" customHeight="1" x14ac:dyDescent="0.25">
      <c r="A708" s="1"/>
      <c r="B708" s="2"/>
      <c r="C708" s="3"/>
      <c r="D708" s="2"/>
      <c r="E708" s="52"/>
      <c r="F708" s="52"/>
      <c r="G708" s="52"/>
      <c r="H708" s="2"/>
      <c r="I708" s="2"/>
      <c r="J708" s="2"/>
      <c r="K708" s="2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2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69"/>
      <c r="AM708" s="69"/>
      <c r="AN708" s="69"/>
      <c r="AO708" s="69"/>
      <c r="AP708" s="69"/>
      <c r="AQ708" s="69"/>
      <c r="AR708" s="69"/>
      <c r="AS708" s="69"/>
      <c r="AT708" s="69"/>
      <c r="AU708" s="1"/>
      <c r="AV708" s="1"/>
    </row>
    <row r="709" spans="1:48" ht="15.75" customHeight="1" x14ac:dyDescent="0.25">
      <c r="A709" s="1"/>
      <c r="B709" s="2"/>
      <c r="C709" s="3"/>
      <c r="D709" s="2"/>
      <c r="E709" s="52"/>
      <c r="F709" s="52"/>
      <c r="G709" s="52"/>
      <c r="H709" s="2"/>
      <c r="I709" s="2"/>
      <c r="J709" s="2"/>
      <c r="K709" s="2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2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69"/>
      <c r="AM709" s="69"/>
      <c r="AN709" s="69"/>
      <c r="AO709" s="69"/>
      <c r="AP709" s="69"/>
      <c r="AQ709" s="69"/>
      <c r="AR709" s="69"/>
      <c r="AS709" s="69"/>
      <c r="AT709" s="69"/>
      <c r="AU709" s="1"/>
      <c r="AV709" s="1"/>
    </row>
    <row r="710" spans="1:48" ht="15.75" customHeight="1" x14ac:dyDescent="0.25">
      <c r="A710" s="1"/>
      <c r="B710" s="2"/>
      <c r="C710" s="3"/>
      <c r="D710" s="2"/>
      <c r="E710" s="52"/>
      <c r="F710" s="52"/>
      <c r="G710" s="52"/>
      <c r="H710" s="2"/>
      <c r="I710" s="2"/>
      <c r="J710" s="2"/>
      <c r="K710" s="2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2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69"/>
      <c r="AM710" s="69"/>
      <c r="AN710" s="69"/>
      <c r="AO710" s="69"/>
      <c r="AP710" s="69"/>
      <c r="AQ710" s="69"/>
      <c r="AR710" s="69"/>
      <c r="AS710" s="69"/>
      <c r="AT710" s="69"/>
      <c r="AU710" s="1"/>
      <c r="AV710" s="1"/>
    </row>
    <row r="711" spans="1:48" ht="15.75" customHeight="1" x14ac:dyDescent="0.25">
      <c r="A711" s="1"/>
      <c r="B711" s="2"/>
      <c r="C711" s="3"/>
      <c r="D711" s="2"/>
      <c r="E711" s="52"/>
      <c r="F711" s="52"/>
      <c r="G711" s="52"/>
      <c r="H711" s="2"/>
      <c r="I711" s="2"/>
      <c r="J711" s="2"/>
      <c r="K711" s="2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2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69"/>
      <c r="AM711" s="69"/>
      <c r="AN711" s="69"/>
      <c r="AO711" s="69"/>
      <c r="AP711" s="69"/>
      <c r="AQ711" s="69"/>
      <c r="AR711" s="69"/>
      <c r="AS711" s="69"/>
      <c r="AT711" s="69"/>
      <c r="AU711" s="1"/>
      <c r="AV711" s="1"/>
    </row>
    <row r="712" spans="1:48" ht="15.75" customHeight="1" x14ac:dyDescent="0.25">
      <c r="A712" s="1"/>
      <c r="B712" s="2"/>
      <c r="C712" s="3"/>
      <c r="D712" s="2"/>
      <c r="E712" s="52"/>
      <c r="F712" s="52"/>
      <c r="G712" s="52"/>
      <c r="H712" s="2"/>
      <c r="I712" s="2"/>
      <c r="J712" s="2"/>
      <c r="K712" s="2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2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69"/>
      <c r="AM712" s="69"/>
      <c r="AN712" s="69"/>
      <c r="AO712" s="69"/>
      <c r="AP712" s="69"/>
      <c r="AQ712" s="69"/>
      <c r="AR712" s="69"/>
      <c r="AS712" s="69"/>
      <c r="AT712" s="69"/>
      <c r="AU712" s="1"/>
      <c r="AV712" s="1"/>
    </row>
    <row r="713" spans="1:48" ht="15.75" customHeight="1" x14ac:dyDescent="0.25">
      <c r="A713" s="1"/>
      <c r="B713" s="2"/>
      <c r="C713" s="3"/>
      <c r="D713" s="2"/>
      <c r="E713" s="52"/>
      <c r="F713" s="52"/>
      <c r="G713" s="52"/>
      <c r="H713" s="2"/>
      <c r="I713" s="2"/>
      <c r="J713" s="2"/>
      <c r="K713" s="2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2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69"/>
      <c r="AM713" s="69"/>
      <c r="AN713" s="69"/>
      <c r="AO713" s="69"/>
      <c r="AP713" s="69"/>
      <c r="AQ713" s="69"/>
      <c r="AR713" s="69"/>
      <c r="AS713" s="69"/>
      <c r="AT713" s="69"/>
      <c r="AU713" s="1"/>
      <c r="AV713" s="1"/>
    </row>
    <row r="714" spans="1:48" ht="15.75" customHeight="1" x14ac:dyDescent="0.25">
      <c r="A714" s="1"/>
      <c r="B714" s="2"/>
      <c r="C714" s="3"/>
      <c r="D714" s="2"/>
      <c r="E714" s="52"/>
      <c r="F714" s="52"/>
      <c r="G714" s="52"/>
      <c r="H714" s="2"/>
      <c r="I714" s="2"/>
      <c r="J714" s="2"/>
      <c r="K714" s="2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2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69"/>
      <c r="AM714" s="69"/>
      <c r="AN714" s="69"/>
      <c r="AO714" s="69"/>
      <c r="AP714" s="69"/>
      <c r="AQ714" s="69"/>
      <c r="AR714" s="69"/>
      <c r="AS714" s="69"/>
      <c r="AT714" s="69"/>
      <c r="AU714" s="1"/>
      <c r="AV714" s="1"/>
    </row>
    <row r="715" spans="1:48" ht="15.75" customHeight="1" x14ac:dyDescent="0.25">
      <c r="A715" s="1"/>
      <c r="B715" s="2"/>
      <c r="C715" s="3"/>
      <c r="D715" s="2"/>
      <c r="E715" s="52"/>
      <c r="F715" s="52"/>
      <c r="G715" s="52"/>
      <c r="H715" s="2"/>
      <c r="I715" s="2"/>
      <c r="J715" s="2"/>
      <c r="K715" s="2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2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69"/>
      <c r="AM715" s="69"/>
      <c r="AN715" s="69"/>
      <c r="AO715" s="69"/>
      <c r="AP715" s="69"/>
      <c r="AQ715" s="69"/>
      <c r="AR715" s="69"/>
      <c r="AS715" s="69"/>
      <c r="AT715" s="69"/>
      <c r="AU715" s="1"/>
      <c r="AV715" s="1"/>
    </row>
    <row r="716" spans="1:48" ht="15.75" customHeight="1" x14ac:dyDescent="0.25">
      <c r="A716" s="1"/>
      <c r="B716" s="2"/>
      <c r="C716" s="3"/>
      <c r="D716" s="2"/>
      <c r="E716" s="52"/>
      <c r="F716" s="52"/>
      <c r="G716" s="52"/>
      <c r="H716" s="2"/>
      <c r="I716" s="2"/>
      <c r="J716" s="2"/>
      <c r="K716" s="2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2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69"/>
      <c r="AM716" s="69"/>
      <c r="AN716" s="69"/>
      <c r="AO716" s="69"/>
      <c r="AP716" s="69"/>
      <c r="AQ716" s="69"/>
      <c r="AR716" s="69"/>
      <c r="AS716" s="69"/>
      <c r="AT716" s="69"/>
      <c r="AU716" s="1"/>
      <c r="AV716" s="1"/>
    </row>
    <row r="717" spans="1:48" ht="15.75" customHeight="1" x14ac:dyDescent="0.25">
      <c r="A717" s="1"/>
      <c r="B717" s="2"/>
      <c r="C717" s="3"/>
      <c r="D717" s="2"/>
      <c r="E717" s="52"/>
      <c r="F717" s="52"/>
      <c r="G717" s="52"/>
      <c r="H717" s="2"/>
      <c r="I717" s="2"/>
      <c r="J717" s="2"/>
      <c r="K717" s="2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2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69"/>
      <c r="AM717" s="69"/>
      <c r="AN717" s="69"/>
      <c r="AO717" s="69"/>
      <c r="AP717" s="69"/>
      <c r="AQ717" s="69"/>
      <c r="AR717" s="69"/>
      <c r="AS717" s="69"/>
      <c r="AT717" s="69"/>
      <c r="AU717" s="1"/>
      <c r="AV717" s="1"/>
    </row>
    <row r="718" spans="1:48" ht="15.75" customHeight="1" x14ac:dyDescent="0.25">
      <c r="A718" s="1"/>
      <c r="B718" s="2"/>
      <c r="C718" s="3"/>
      <c r="D718" s="2"/>
      <c r="E718" s="52"/>
      <c r="F718" s="52"/>
      <c r="G718" s="52"/>
      <c r="H718" s="2"/>
      <c r="I718" s="2"/>
      <c r="J718" s="2"/>
      <c r="K718" s="2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2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69"/>
      <c r="AM718" s="69"/>
      <c r="AN718" s="69"/>
      <c r="AO718" s="69"/>
      <c r="AP718" s="69"/>
      <c r="AQ718" s="69"/>
      <c r="AR718" s="69"/>
      <c r="AS718" s="69"/>
      <c r="AT718" s="69"/>
      <c r="AU718" s="1"/>
      <c r="AV718" s="1"/>
    </row>
    <row r="719" spans="1:48" ht="15.75" customHeight="1" x14ac:dyDescent="0.25">
      <c r="A719" s="1"/>
      <c r="B719" s="2"/>
      <c r="C719" s="3"/>
      <c r="D719" s="2"/>
      <c r="E719" s="52"/>
      <c r="F719" s="52"/>
      <c r="G719" s="52"/>
      <c r="H719" s="2"/>
      <c r="I719" s="2"/>
      <c r="J719" s="2"/>
      <c r="K719" s="2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2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69"/>
      <c r="AM719" s="69"/>
      <c r="AN719" s="69"/>
      <c r="AO719" s="69"/>
      <c r="AP719" s="69"/>
      <c r="AQ719" s="69"/>
      <c r="AR719" s="69"/>
      <c r="AS719" s="69"/>
      <c r="AT719" s="69"/>
      <c r="AU719" s="1"/>
      <c r="AV719" s="1"/>
    </row>
    <row r="720" spans="1:48" ht="15.75" customHeight="1" x14ac:dyDescent="0.25">
      <c r="A720" s="1"/>
      <c r="B720" s="2"/>
      <c r="C720" s="3"/>
      <c r="D720" s="2"/>
      <c r="E720" s="52"/>
      <c r="F720" s="52"/>
      <c r="G720" s="52"/>
      <c r="H720" s="2"/>
      <c r="I720" s="2"/>
      <c r="J720" s="2"/>
      <c r="K720" s="2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2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69"/>
      <c r="AM720" s="69"/>
      <c r="AN720" s="69"/>
      <c r="AO720" s="69"/>
      <c r="AP720" s="69"/>
      <c r="AQ720" s="69"/>
      <c r="AR720" s="69"/>
      <c r="AS720" s="69"/>
      <c r="AT720" s="69"/>
      <c r="AU720" s="1"/>
      <c r="AV720" s="1"/>
    </row>
    <row r="721" spans="1:48" ht="15.75" customHeight="1" x14ac:dyDescent="0.25">
      <c r="A721" s="1"/>
      <c r="B721" s="2"/>
      <c r="C721" s="3"/>
      <c r="D721" s="2"/>
      <c r="E721" s="52"/>
      <c r="F721" s="52"/>
      <c r="G721" s="52"/>
      <c r="H721" s="2"/>
      <c r="I721" s="2"/>
      <c r="J721" s="2"/>
      <c r="K721" s="2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2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69"/>
      <c r="AM721" s="69"/>
      <c r="AN721" s="69"/>
      <c r="AO721" s="69"/>
      <c r="AP721" s="69"/>
      <c r="AQ721" s="69"/>
      <c r="AR721" s="69"/>
      <c r="AS721" s="69"/>
      <c r="AT721" s="69"/>
      <c r="AU721" s="1"/>
      <c r="AV721" s="1"/>
    </row>
    <row r="722" spans="1:48" ht="15.75" customHeight="1" x14ac:dyDescent="0.25">
      <c r="A722" s="1"/>
      <c r="B722" s="2"/>
      <c r="C722" s="3"/>
      <c r="D722" s="2"/>
      <c r="E722" s="52"/>
      <c r="F722" s="52"/>
      <c r="G722" s="52"/>
      <c r="H722" s="2"/>
      <c r="I722" s="2"/>
      <c r="J722" s="2"/>
      <c r="K722" s="2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2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69"/>
      <c r="AM722" s="69"/>
      <c r="AN722" s="69"/>
      <c r="AO722" s="69"/>
      <c r="AP722" s="69"/>
      <c r="AQ722" s="69"/>
      <c r="AR722" s="69"/>
      <c r="AS722" s="69"/>
      <c r="AT722" s="69"/>
      <c r="AU722" s="1"/>
      <c r="AV722" s="1"/>
    </row>
    <row r="723" spans="1:48" ht="15.75" customHeight="1" x14ac:dyDescent="0.25">
      <c r="A723" s="1"/>
      <c r="B723" s="2"/>
      <c r="C723" s="3"/>
      <c r="D723" s="2"/>
      <c r="E723" s="52"/>
      <c r="F723" s="52"/>
      <c r="G723" s="52"/>
      <c r="H723" s="2"/>
      <c r="I723" s="2"/>
      <c r="J723" s="2"/>
      <c r="K723" s="2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2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69"/>
      <c r="AM723" s="69"/>
      <c r="AN723" s="69"/>
      <c r="AO723" s="69"/>
      <c r="AP723" s="69"/>
      <c r="AQ723" s="69"/>
      <c r="AR723" s="69"/>
      <c r="AS723" s="69"/>
      <c r="AT723" s="69"/>
      <c r="AU723" s="1"/>
      <c r="AV723" s="1"/>
    </row>
    <row r="724" spans="1:48" ht="15.75" customHeight="1" x14ac:dyDescent="0.25">
      <c r="A724" s="1"/>
      <c r="B724" s="2"/>
      <c r="C724" s="3"/>
      <c r="D724" s="2"/>
      <c r="E724" s="52"/>
      <c r="F724" s="52"/>
      <c r="G724" s="52"/>
      <c r="H724" s="2"/>
      <c r="I724" s="2"/>
      <c r="J724" s="2"/>
      <c r="K724" s="2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2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69"/>
      <c r="AM724" s="69"/>
      <c r="AN724" s="69"/>
      <c r="AO724" s="69"/>
      <c r="AP724" s="69"/>
      <c r="AQ724" s="69"/>
      <c r="AR724" s="69"/>
      <c r="AS724" s="69"/>
      <c r="AT724" s="69"/>
      <c r="AU724" s="1"/>
      <c r="AV724" s="1"/>
    </row>
    <row r="725" spans="1:48" ht="15.75" customHeight="1" x14ac:dyDescent="0.25">
      <c r="A725" s="1"/>
      <c r="B725" s="2"/>
      <c r="C725" s="3"/>
      <c r="D725" s="2"/>
      <c r="E725" s="52"/>
      <c r="F725" s="52"/>
      <c r="G725" s="52"/>
      <c r="H725" s="2"/>
      <c r="I725" s="2"/>
      <c r="J725" s="2"/>
      <c r="K725" s="2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2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69"/>
      <c r="AM725" s="69"/>
      <c r="AN725" s="69"/>
      <c r="AO725" s="69"/>
      <c r="AP725" s="69"/>
      <c r="AQ725" s="69"/>
      <c r="AR725" s="69"/>
      <c r="AS725" s="69"/>
      <c r="AT725" s="69"/>
      <c r="AU725" s="1"/>
      <c r="AV725" s="1"/>
    </row>
    <row r="726" spans="1:48" ht="15.75" customHeight="1" x14ac:dyDescent="0.25">
      <c r="A726" s="1"/>
      <c r="B726" s="2"/>
      <c r="C726" s="3"/>
      <c r="D726" s="2"/>
      <c r="E726" s="52"/>
      <c r="F726" s="52"/>
      <c r="G726" s="52"/>
      <c r="H726" s="2"/>
      <c r="I726" s="2"/>
      <c r="J726" s="2"/>
      <c r="K726" s="2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2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69"/>
      <c r="AM726" s="69"/>
      <c r="AN726" s="69"/>
      <c r="AO726" s="69"/>
      <c r="AP726" s="69"/>
      <c r="AQ726" s="69"/>
      <c r="AR726" s="69"/>
      <c r="AS726" s="69"/>
      <c r="AT726" s="69"/>
      <c r="AU726" s="1"/>
      <c r="AV726" s="1"/>
    </row>
    <row r="727" spans="1:48" ht="15.75" customHeight="1" x14ac:dyDescent="0.25">
      <c r="A727" s="1"/>
      <c r="B727" s="2"/>
      <c r="C727" s="3"/>
      <c r="D727" s="2"/>
      <c r="E727" s="52"/>
      <c r="F727" s="52"/>
      <c r="G727" s="52"/>
      <c r="H727" s="2"/>
      <c r="I727" s="2"/>
      <c r="J727" s="2"/>
      <c r="K727" s="2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2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69"/>
      <c r="AM727" s="69"/>
      <c r="AN727" s="69"/>
      <c r="AO727" s="69"/>
      <c r="AP727" s="69"/>
      <c r="AQ727" s="69"/>
      <c r="AR727" s="69"/>
      <c r="AS727" s="69"/>
      <c r="AT727" s="69"/>
      <c r="AU727" s="1"/>
      <c r="AV727" s="1"/>
    </row>
    <row r="728" spans="1:48" ht="15.75" customHeight="1" x14ac:dyDescent="0.25">
      <c r="A728" s="1"/>
      <c r="B728" s="2"/>
      <c r="C728" s="3"/>
      <c r="D728" s="2"/>
      <c r="E728" s="52"/>
      <c r="F728" s="52"/>
      <c r="G728" s="52"/>
      <c r="H728" s="2"/>
      <c r="I728" s="2"/>
      <c r="J728" s="2"/>
      <c r="K728" s="2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2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69"/>
      <c r="AM728" s="69"/>
      <c r="AN728" s="69"/>
      <c r="AO728" s="69"/>
      <c r="AP728" s="69"/>
      <c r="AQ728" s="69"/>
      <c r="AR728" s="69"/>
      <c r="AS728" s="69"/>
      <c r="AT728" s="69"/>
      <c r="AU728" s="1"/>
      <c r="AV728" s="1"/>
    </row>
    <row r="729" spans="1:48" ht="15.75" customHeight="1" x14ac:dyDescent="0.25">
      <c r="A729" s="1"/>
      <c r="B729" s="2"/>
      <c r="C729" s="3"/>
      <c r="D729" s="2"/>
      <c r="E729" s="52"/>
      <c r="F729" s="52"/>
      <c r="G729" s="52"/>
      <c r="H729" s="2"/>
      <c r="I729" s="2"/>
      <c r="J729" s="2"/>
      <c r="K729" s="2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2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69"/>
      <c r="AM729" s="69"/>
      <c r="AN729" s="69"/>
      <c r="AO729" s="69"/>
      <c r="AP729" s="69"/>
      <c r="AQ729" s="69"/>
      <c r="AR729" s="69"/>
      <c r="AS729" s="69"/>
      <c r="AT729" s="69"/>
      <c r="AU729" s="1"/>
      <c r="AV729" s="1"/>
    </row>
    <row r="730" spans="1:48" ht="15.75" customHeight="1" x14ac:dyDescent="0.25">
      <c r="A730" s="1"/>
      <c r="B730" s="2"/>
      <c r="C730" s="3"/>
      <c r="D730" s="2"/>
      <c r="E730" s="52"/>
      <c r="F730" s="52"/>
      <c r="G730" s="52"/>
      <c r="H730" s="2"/>
      <c r="I730" s="2"/>
      <c r="J730" s="2"/>
      <c r="K730" s="2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2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69"/>
      <c r="AM730" s="69"/>
      <c r="AN730" s="69"/>
      <c r="AO730" s="69"/>
      <c r="AP730" s="69"/>
      <c r="AQ730" s="69"/>
      <c r="AR730" s="69"/>
      <c r="AS730" s="69"/>
      <c r="AT730" s="69"/>
      <c r="AU730" s="1"/>
      <c r="AV730" s="1"/>
    </row>
    <row r="731" spans="1:48" ht="15.75" customHeight="1" x14ac:dyDescent="0.25">
      <c r="A731" s="1"/>
      <c r="B731" s="2"/>
      <c r="C731" s="3"/>
      <c r="D731" s="2"/>
      <c r="E731" s="52"/>
      <c r="F731" s="52"/>
      <c r="G731" s="52"/>
      <c r="H731" s="2"/>
      <c r="I731" s="2"/>
      <c r="J731" s="2"/>
      <c r="K731" s="2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2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69"/>
      <c r="AM731" s="69"/>
      <c r="AN731" s="69"/>
      <c r="AO731" s="69"/>
      <c r="AP731" s="69"/>
      <c r="AQ731" s="69"/>
      <c r="AR731" s="69"/>
      <c r="AS731" s="69"/>
      <c r="AT731" s="69"/>
      <c r="AU731" s="1"/>
      <c r="AV731" s="1"/>
    </row>
    <row r="732" spans="1:48" ht="15.75" customHeight="1" x14ac:dyDescent="0.25">
      <c r="A732" s="1"/>
      <c r="B732" s="2"/>
      <c r="C732" s="3"/>
      <c r="D732" s="2"/>
      <c r="E732" s="52"/>
      <c r="F732" s="52"/>
      <c r="G732" s="52"/>
      <c r="H732" s="2"/>
      <c r="I732" s="2"/>
      <c r="J732" s="2"/>
      <c r="K732" s="2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2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69"/>
      <c r="AM732" s="69"/>
      <c r="AN732" s="69"/>
      <c r="AO732" s="69"/>
      <c r="AP732" s="69"/>
      <c r="AQ732" s="69"/>
      <c r="AR732" s="69"/>
      <c r="AS732" s="69"/>
      <c r="AT732" s="69"/>
      <c r="AU732" s="1"/>
      <c r="AV732" s="1"/>
    </row>
    <row r="733" spans="1:48" ht="15.75" customHeight="1" x14ac:dyDescent="0.25">
      <c r="A733" s="1"/>
      <c r="B733" s="2"/>
      <c r="C733" s="3"/>
      <c r="D733" s="2"/>
      <c r="E733" s="52"/>
      <c r="F733" s="52"/>
      <c r="G733" s="52"/>
      <c r="H733" s="2"/>
      <c r="I733" s="2"/>
      <c r="J733" s="2"/>
      <c r="K733" s="2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2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69"/>
      <c r="AM733" s="69"/>
      <c r="AN733" s="69"/>
      <c r="AO733" s="69"/>
      <c r="AP733" s="69"/>
      <c r="AQ733" s="69"/>
      <c r="AR733" s="69"/>
      <c r="AS733" s="69"/>
      <c r="AT733" s="69"/>
      <c r="AU733" s="1"/>
      <c r="AV733" s="1"/>
    </row>
    <row r="734" spans="1:48" ht="15.75" customHeight="1" x14ac:dyDescent="0.25">
      <c r="A734" s="1"/>
      <c r="B734" s="2"/>
      <c r="C734" s="3"/>
      <c r="D734" s="2"/>
      <c r="E734" s="52"/>
      <c r="F734" s="52"/>
      <c r="G734" s="52"/>
      <c r="H734" s="2"/>
      <c r="I734" s="2"/>
      <c r="J734" s="2"/>
      <c r="K734" s="2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2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69"/>
      <c r="AM734" s="69"/>
      <c r="AN734" s="69"/>
      <c r="AO734" s="69"/>
      <c r="AP734" s="69"/>
      <c r="AQ734" s="69"/>
      <c r="AR734" s="69"/>
      <c r="AS734" s="69"/>
      <c r="AT734" s="69"/>
      <c r="AU734" s="1"/>
      <c r="AV734" s="1"/>
    </row>
    <row r="735" spans="1:48" ht="15.75" customHeight="1" x14ac:dyDescent="0.25">
      <c r="A735" s="1"/>
      <c r="B735" s="2"/>
      <c r="C735" s="3"/>
      <c r="D735" s="2"/>
      <c r="E735" s="52"/>
      <c r="F735" s="52"/>
      <c r="G735" s="52"/>
      <c r="H735" s="2"/>
      <c r="I735" s="2"/>
      <c r="J735" s="2"/>
      <c r="K735" s="2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2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69"/>
      <c r="AM735" s="69"/>
      <c r="AN735" s="69"/>
      <c r="AO735" s="69"/>
      <c r="AP735" s="69"/>
      <c r="AQ735" s="69"/>
      <c r="AR735" s="69"/>
      <c r="AS735" s="69"/>
      <c r="AT735" s="69"/>
      <c r="AU735" s="1"/>
      <c r="AV735" s="1"/>
    </row>
    <row r="736" spans="1:48" ht="15.75" customHeight="1" x14ac:dyDescent="0.25">
      <c r="A736" s="1"/>
      <c r="B736" s="2"/>
      <c r="C736" s="3"/>
      <c r="D736" s="2"/>
      <c r="E736" s="52"/>
      <c r="F736" s="52"/>
      <c r="G736" s="52"/>
      <c r="H736" s="2"/>
      <c r="I736" s="2"/>
      <c r="J736" s="2"/>
      <c r="K736" s="2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2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69"/>
      <c r="AM736" s="69"/>
      <c r="AN736" s="69"/>
      <c r="AO736" s="69"/>
      <c r="AP736" s="69"/>
      <c r="AQ736" s="69"/>
      <c r="AR736" s="69"/>
      <c r="AS736" s="69"/>
      <c r="AT736" s="69"/>
      <c r="AU736" s="1"/>
      <c r="AV736" s="1"/>
    </row>
    <row r="737" spans="1:48" ht="15.75" customHeight="1" x14ac:dyDescent="0.25">
      <c r="A737" s="1"/>
      <c r="B737" s="2"/>
      <c r="C737" s="3"/>
      <c r="D737" s="2"/>
      <c r="E737" s="52"/>
      <c r="F737" s="52"/>
      <c r="G737" s="52"/>
      <c r="H737" s="2"/>
      <c r="I737" s="2"/>
      <c r="J737" s="2"/>
      <c r="K737" s="2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2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69"/>
      <c r="AM737" s="69"/>
      <c r="AN737" s="69"/>
      <c r="AO737" s="69"/>
      <c r="AP737" s="69"/>
      <c r="AQ737" s="69"/>
      <c r="AR737" s="69"/>
      <c r="AS737" s="69"/>
      <c r="AT737" s="69"/>
      <c r="AU737" s="1"/>
      <c r="AV737" s="1"/>
    </row>
    <row r="738" spans="1:48" ht="15.75" customHeight="1" x14ac:dyDescent="0.25">
      <c r="A738" s="1"/>
      <c r="B738" s="2"/>
      <c r="C738" s="3"/>
      <c r="D738" s="2"/>
      <c r="E738" s="52"/>
      <c r="F738" s="52"/>
      <c r="G738" s="52"/>
      <c r="H738" s="2"/>
      <c r="I738" s="2"/>
      <c r="J738" s="2"/>
      <c r="K738" s="2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2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69"/>
      <c r="AM738" s="69"/>
      <c r="AN738" s="69"/>
      <c r="AO738" s="69"/>
      <c r="AP738" s="69"/>
      <c r="AQ738" s="69"/>
      <c r="AR738" s="69"/>
      <c r="AS738" s="69"/>
      <c r="AT738" s="69"/>
      <c r="AU738" s="1"/>
      <c r="AV738" s="1"/>
    </row>
    <row r="739" spans="1:48" ht="15.75" customHeight="1" x14ac:dyDescent="0.25">
      <c r="A739" s="1"/>
      <c r="B739" s="2"/>
      <c r="C739" s="3"/>
      <c r="D739" s="2"/>
      <c r="E739" s="52"/>
      <c r="F739" s="52"/>
      <c r="G739" s="52"/>
      <c r="H739" s="2"/>
      <c r="I739" s="2"/>
      <c r="J739" s="2"/>
      <c r="K739" s="2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2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69"/>
      <c r="AM739" s="69"/>
      <c r="AN739" s="69"/>
      <c r="AO739" s="69"/>
      <c r="AP739" s="69"/>
      <c r="AQ739" s="69"/>
      <c r="AR739" s="69"/>
      <c r="AS739" s="69"/>
      <c r="AT739" s="69"/>
      <c r="AU739" s="1"/>
      <c r="AV739" s="1"/>
    </row>
    <row r="740" spans="1:48" ht="15.75" customHeight="1" x14ac:dyDescent="0.25">
      <c r="A740" s="1"/>
      <c r="B740" s="2"/>
      <c r="C740" s="3"/>
      <c r="D740" s="2"/>
      <c r="E740" s="52"/>
      <c r="F740" s="52"/>
      <c r="G740" s="52"/>
      <c r="H740" s="2"/>
      <c r="I740" s="2"/>
      <c r="J740" s="2"/>
      <c r="K740" s="2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2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69"/>
      <c r="AM740" s="69"/>
      <c r="AN740" s="69"/>
      <c r="AO740" s="69"/>
      <c r="AP740" s="69"/>
      <c r="AQ740" s="69"/>
      <c r="AR740" s="69"/>
      <c r="AS740" s="69"/>
      <c r="AT740" s="69"/>
      <c r="AU740" s="1"/>
      <c r="AV740" s="1"/>
    </row>
    <row r="741" spans="1:48" ht="15.75" customHeight="1" x14ac:dyDescent="0.25">
      <c r="A741" s="1"/>
      <c r="B741" s="2"/>
      <c r="C741" s="3"/>
      <c r="D741" s="2"/>
      <c r="E741" s="52"/>
      <c r="F741" s="52"/>
      <c r="G741" s="52"/>
      <c r="H741" s="2"/>
      <c r="I741" s="2"/>
      <c r="J741" s="2"/>
      <c r="K741" s="2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2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69"/>
      <c r="AM741" s="69"/>
      <c r="AN741" s="69"/>
      <c r="AO741" s="69"/>
      <c r="AP741" s="69"/>
      <c r="AQ741" s="69"/>
      <c r="AR741" s="69"/>
      <c r="AS741" s="69"/>
      <c r="AT741" s="69"/>
      <c r="AU741" s="1"/>
      <c r="AV741" s="1"/>
    </row>
    <row r="742" spans="1:48" ht="15.75" customHeight="1" x14ac:dyDescent="0.25">
      <c r="A742" s="1"/>
      <c r="B742" s="2"/>
      <c r="C742" s="3"/>
      <c r="D742" s="2"/>
      <c r="E742" s="52"/>
      <c r="F742" s="52"/>
      <c r="G742" s="52"/>
      <c r="H742" s="2"/>
      <c r="I742" s="2"/>
      <c r="J742" s="2"/>
      <c r="K742" s="2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2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69"/>
      <c r="AM742" s="69"/>
      <c r="AN742" s="69"/>
      <c r="AO742" s="69"/>
      <c r="AP742" s="69"/>
      <c r="AQ742" s="69"/>
      <c r="AR742" s="69"/>
      <c r="AS742" s="69"/>
      <c r="AT742" s="69"/>
      <c r="AU742" s="1"/>
      <c r="AV742" s="1"/>
    </row>
    <row r="743" spans="1:48" ht="15.75" customHeight="1" x14ac:dyDescent="0.25">
      <c r="A743" s="1"/>
      <c r="B743" s="2"/>
      <c r="C743" s="3"/>
      <c r="D743" s="2"/>
      <c r="E743" s="52"/>
      <c r="F743" s="52"/>
      <c r="G743" s="52"/>
      <c r="H743" s="2"/>
      <c r="I743" s="2"/>
      <c r="J743" s="2"/>
      <c r="K743" s="2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2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69"/>
      <c r="AM743" s="69"/>
      <c r="AN743" s="69"/>
      <c r="AO743" s="69"/>
      <c r="AP743" s="69"/>
      <c r="AQ743" s="69"/>
      <c r="AR743" s="69"/>
      <c r="AS743" s="69"/>
      <c r="AT743" s="69"/>
      <c r="AU743" s="1"/>
      <c r="AV743" s="1"/>
    </row>
    <row r="744" spans="1:48" ht="15.75" customHeight="1" x14ac:dyDescent="0.25">
      <c r="A744" s="1"/>
      <c r="B744" s="2"/>
      <c r="C744" s="3"/>
      <c r="D744" s="2"/>
      <c r="E744" s="52"/>
      <c r="F744" s="52"/>
      <c r="G744" s="52"/>
      <c r="H744" s="2"/>
      <c r="I744" s="2"/>
      <c r="J744" s="2"/>
      <c r="K744" s="2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2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69"/>
      <c r="AM744" s="69"/>
      <c r="AN744" s="69"/>
      <c r="AO744" s="69"/>
      <c r="AP744" s="69"/>
      <c r="AQ744" s="69"/>
      <c r="AR744" s="69"/>
      <c r="AS744" s="69"/>
      <c r="AT744" s="69"/>
      <c r="AU744" s="1"/>
      <c r="AV744" s="1"/>
    </row>
    <row r="745" spans="1:48" ht="15.75" customHeight="1" x14ac:dyDescent="0.25">
      <c r="A745" s="1"/>
      <c r="B745" s="2"/>
      <c r="C745" s="3"/>
      <c r="D745" s="2"/>
      <c r="E745" s="52"/>
      <c r="F745" s="52"/>
      <c r="G745" s="52"/>
      <c r="H745" s="2"/>
      <c r="I745" s="2"/>
      <c r="J745" s="2"/>
      <c r="K745" s="2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2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69"/>
      <c r="AM745" s="69"/>
      <c r="AN745" s="69"/>
      <c r="AO745" s="69"/>
      <c r="AP745" s="69"/>
      <c r="AQ745" s="69"/>
      <c r="AR745" s="69"/>
      <c r="AS745" s="69"/>
      <c r="AT745" s="69"/>
      <c r="AU745" s="1"/>
      <c r="AV745" s="1"/>
    </row>
    <row r="746" spans="1:48" ht="15.75" customHeight="1" x14ac:dyDescent="0.25">
      <c r="A746" s="1"/>
      <c r="B746" s="2"/>
      <c r="C746" s="3"/>
      <c r="D746" s="2"/>
      <c r="E746" s="52"/>
      <c r="F746" s="52"/>
      <c r="G746" s="52"/>
      <c r="H746" s="2"/>
      <c r="I746" s="2"/>
      <c r="J746" s="2"/>
      <c r="K746" s="2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2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69"/>
      <c r="AM746" s="69"/>
      <c r="AN746" s="69"/>
      <c r="AO746" s="69"/>
      <c r="AP746" s="69"/>
      <c r="AQ746" s="69"/>
      <c r="AR746" s="69"/>
      <c r="AS746" s="69"/>
      <c r="AT746" s="69"/>
      <c r="AU746" s="1"/>
      <c r="AV746" s="1"/>
    </row>
    <row r="747" spans="1:48" ht="15.75" customHeight="1" x14ac:dyDescent="0.25">
      <c r="A747" s="1"/>
      <c r="B747" s="2"/>
      <c r="C747" s="3"/>
      <c r="D747" s="2"/>
      <c r="E747" s="52"/>
      <c r="F747" s="52"/>
      <c r="G747" s="52"/>
      <c r="H747" s="2"/>
      <c r="I747" s="2"/>
      <c r="J747" s="2"/>
      <c r="K747" s="2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2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69"/>
      <c r="AM747" s="69"/>
      <c r="AN747" s="69"/>
      <c r="AO747" s="69"/>
      <c r="AP747" s="69"/>
      <c r="AQ747" s="69"/>
      <c r="AR747" s="69"/>
      <c r="AS747" s="69"/>
      <c r="AT747" s="69"/>
      <c r="AU747" s="1"/>
      <c r="AV747" s="1"/>
    </row>
    <row r="748" spans="1:48" ht="15.75" customHeight="1" x14ac:dyDescent="0.25">
      <c r="A748" s="1"/>
      <c r="B748" s="2"/>
      <c r="C748" s="3"/>
      <c r="D748" s="2"/>
      <c r="E748" s="52"/>
      <c r="F748" s="52"/>
      <c r="G748" s="52"/>
      <c r="H748" s="2"/>
      <c r="I748" s="2"/>
      <c r="J748" s="2"/>
      <c r="K748" s="2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2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69"/>
      <c r="AM748" s="69"/>
      <c r="AN748" s="69"/>
      <c r="AO748" s="69"/>
      <c r="AP748" s="69"/>
      <c r="AQ748" s="69"/>
      <c r="AR748" s="69"/>
      <c r="AS748" s="69"/>
      <c r="AT748" s="69"/>
      <c r="AU748" s="1"/>
      <c r="AV748" s="1"/>
    </row>
    <row r="749" spans="1:48" ht="15.75" customHeight="1" x14ac:dyDescent="0.25">
      <c r="A749" s="1"/>
      <c r="B749" s="2"/>
      <c r="C749" s="3"/>
      <c r="D749" s="2"/>
      <c r="E749" s="52"/>
      <c r="F749" s="52"/>
      <c r="G749" s="52"/>
      <c r="H749" s="2"/>
      <c r="I749" s="2"/>
      <c r="J749" s="2"/>
      <c r="K749" s="2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2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69"/>
      <c r="AM749" s="69"/>
      <c r="AN749" s="69"/>
      <c r="AO749" s="69"/>
      <c r="AP749" s="69"/>
      <c r="AQ749" s="69"/>
      <c r="AR749" s="69"/>
      <c r="AS749" s="69"/>
      <c r="AT749" s="69"/>
      <c r="AU749" s="1"/>
      <c r="AV749" s="1"/>
    </row>
    <row r="750" spans="1:48" ht="15.75" customHeight="1" x14ac:dyDescent="0.25">
      <c r="A750" s="1"/>
      <c r="B750" s="2"/>
      <c r="C750" s="3"/>
      <c r="D750" s="2"/>
      <c r="E750" s="52"/>
      <c r="F750" s="52"/>
      <c r="G750" s="52"/>
      <c r="H750" s="2"/>
      <c r="I750" s="2"/>
      <c r="J750" s="2"/>
      <c r="K750" s="2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2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69"/>
      <c r="AM750" s="69"/>
      <c r="AN750" s="69"/>
      <c r="AO750" s="69"/>
      <c r="AP750" s="69"/>
      <c r="AQ750" s="69"/>
      <c r="AR750" s="69"/>
      <c r="AS750" s="69"/>
      <c r="AT750" s="69"/>
      <c r="AU750" s="1"/>
      <c r="AV750" s="1"/>
    </row>
    <row r="751" spans="1:48" ht="15.75" customHeight="1" x14ac:dyDescent="0.25">
      <c r="A751" s="1"/>
      <c r="B751" s="2"/>
      <c r="C751" s="3"/>
      <c r="D751" s="2"/>
      <c r="E751" s="52"/>
      <c r="F751" s="52"/>
      <c r="G751" s="52"/>
      <c r="H751" s="2"/>
      <c r="I751" s="2"/>
      <c r="J751" s="2"/>
      <c r="K751" s="2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2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69"/>
      <c r="AM751" s="69"/>
      <c r="AN751" s="69"/>
      <c r="AO751" s="69"/>
      <c r="AP751" s="69"/>
      <c r="AQ751" s="69"/>
      <c r="AR751" s="69"/>
      <c r="AS751" s="69"/>
      <c r="AT751" s="69"/>
      <c r="AU751" s="1"/>
      <c r="AV751" s="1"/>
    </row>
    <row r="752" spans="1:48" ht="15.75" customHeight="1" x14ac:dyDescent="0.25">
      <c r="A752" s="1"/>
      <c r="B752" s="2"/>
      <c r="C752" s="3"/>
      <c r="D752" s="2"/>
      <c r="E752" s="52"/>
      <c r="F752" s="52"/>
      <c r="G752" s="52"/>
      <c r="H752" s="2"/>
      <c r="I752" s="2"/>
      <c r="J752" s="2"/>
      <c r="K752" s="2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2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69"/>
      <c r="AM752" s="69"/>
      <c r="AN752" s="69"/>
      <c r="AO752" s="69"/>
      <c r="AP752" s="69"/>
      <c r="AQ752" s="69"/>
      <c r="AR752" s="69"/>
      <c r="AS752" s="69"/>
      <c r="AT752" s="69"/>
      <c r="AU752" s="1"/>
      <c r="AV752" s="1"/>
    </row>
    <row r="753" spans="1:48" ht="15.75" customHeight="1" x14ac:dyDescent="0.25">
      <c r="A753" s="1"/>
      <c r="B753" s="2"/>
      <c r="C753" s="3"/>
      <c r="D753" s="2"/>
      <c r="E753" s="52"/>
      <c r="F753" s="52"/>
      <c r="G753" s="52"/>
      <c r="H753" s="2"/>
      <c r="I753" s="2"/>
      <c r="J753" s="2"/>
      <c r="K753" s="2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2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69"/>
      <c r="AM753" s="69"/>
      <c r="AN753" s="69"/>
      <c r="AO753" s="69"/>
      <c r="AP753" s="69"/>
      <c r="AQ753" s="69"/>
      <c r="AR753" s="69"/>
      <c r="AS753" s="69"/>
      <c r="AT753" s="69"/>
      <c r="AU753" s="1"/>
      <c r="AV753" s="1"/>
    </row>
    <row r="754" spans="1:48" ht="15.75" customHeight="1" x14ac:dyDescent="0.25">
      <c r="A754" s="1"/>
      <c r="B754" s="2"/>
      <c r="C754" s="3"/>
      <c r="D754" s="2"/>
      <c r="E754" s="52"/>
      <c r="F754" s="52"/>
      <c r="G754" s="52"/>
      <c r="H754" s="2"/>
      <c r="I754" s="2"/>
      <c r="J754" s="2"/>
      <c r="K754" s="2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2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69"/>
      <c r="AM754" s="69"/>
      <c r="AN754" s="69"/>
      <c r="AO754" s="69"/>
      <c r="AP754" s="69"/>
      <c r="AQ754" s="69"/>
      <c r="AR754" s="69"/>
      <c r="AS754" s="69"/>
      <c r="AT754" s="69"/>
      <c r="AU754" s="1"/>
      <c r="AV754" s="1"/>
    </row>
    <row r="755" spans="1:48" ht="15.75" customHeight="1" x14ac:dyDescent="0.25">
      <c r="A755" s="1"/>
      <c r="B755" s="2"/>
      <c r="C755" s="3"/>
      <c r="D755" s="2"/>
      <c r="E755" s="52"/>
      <c r="F755" s="52"/>
      <c r="G755" s="52"/>
      <c r="H755" s="2"/>
      <c r="I755" s="2"/>
      <c r="J755" s="2"/>
      <c r="K755" s="2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2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69"/>
      <c r="AM755" s="69"/>
      <c r="AN755" s="69"/>
      <c r="AO755" s="69"/>
      <c r="AP755" s="69"/>
      <c r="AQ755" s="69"/>
      <c r="AR755" s="69"/>
      <c r="AS755" s="69"/>
      <c r="AT755" s="69"/>
      <c r="AU755" s="1"/>
      <c r="AV755" s="1"/>
    </row>
    <row r="756" spans="1:48" ht="15.75" customHeight="1" x14ac:dyDescent="0.25">
      <c r="A756" s="1"/>
      <c r="B756" s="2"/>
      <c r="C756" s="3"/>
      <c r="D756" s="2"/>
      <c r="E756" s="52"/>
      <c r="F756" s="52"/>
      <c r="G756" s="52"/>
      <c r="H756" s="2"/>
      <c r="I756" s="2"/>
      <c r="J756" s="2"/>
      <c r="K756" s="2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2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69"/>
      <c r="AM756" s="69"/>
      <c r="AN756" s="69"/>
      <c r="AO756" s="69"/>
      <c r="AP756" s="69"/>
      <c r="AQ756" s="69"/>
      <c r="AR756" s="69"/>
      <c r="AS756" s="69"/>
      <c r="AT756" s="69"/>
      <c r="AU756" s="1"/>
      <c r="AV756" s="1"/>
    </row>
    <row r="757" spans="1:48" ht="15.75" customHeight="1" x14ac:dyDescent="0.25">
      <c r="A757" s="1"/>
      <c r="B757" s="2"/>
      <c r="C757" s="3"/>
      <c r="D757" s="2"/>
      <c r="E757" s="52"/>
      <c r="F757" s="52"/>
      <c r="G757" s="52"/>
      <c r="H757" s="2"/>
      <c r="I757" s="2"/>
      <c r="J757" s="2"/>
      <c r="K757" s="2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2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69"/>
      <c r="AM757" s="69"/>
      <c r="AN757" s="69"/>
      <c r="AO757" s="69"/>
      <c r="AP757" s="69"/>
      <c r="AQ757" s="69"/>
      <c r="AR757" s="69"/>
      <c r="AS757" s="69"/>
      <c r="AT757" s="69"/>
      <c r="AU757" s="1"/>
      <c r="AV757" s="1"/>
    </row>
    <row r="758" spans="1:48" ht="15.75" customHeight="1" x14ac:dyDescent="0.25">
      <c r="A758" s="1"/>
      <c r="B758" s="2"/>
      <c r="C758" s="3"/>
      <c r="D758" s="2"/>
      <c r="E758" s="52"/>
      <c r="F758" s="52"/>
      <c r="G758" s="52"/>
      <c r="H758" s="2"/>
      <c r="I758" s="2"/>
      <c r="J758" s="2"/>
      <c r="K758" s="2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2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69"/>
      <c r="AM758" s="69"/>
      <c r="AN758" s="69"/>
      <c r="AO758" s="69"/>
      <c r="AP758" s="69"/>
      <c r="AQ758" s="69"/>
      <c r="AR758" s="69"/>
      <c r="AS758" s="69"/>
      <c r="AT758" s="69"/>
      <c r="AU758" s="1"/>
      <c r="AV758" s="1"/>
    </row>
    <row r="759" spans="1:48" ht="15.75" customHeight="1" x14ac:dyDescent="0.25">
      <c r="A759" s="1"/>
      <c r="B759" s="2"/>
      <c r="C759" s="3"/>
      <c r="D759" s="2"/>
      <c r="E759" s="52"/>
      <c r="F759" s="52"/>
      <c r="G759" s="52"/>
      <c r="H759" s="2"/>
      <c r="I759" s="2"/>
      <c r="J759" s="2"/>
      <c r="K759" s="2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2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69"/>
      <c r="AM759" s="69"/>
      <c r="AN759" s="69"/>
      <c r="AO759" s="69"/>
      <c r="AP759" s="69"/>
      <c r="AQ759" s="69"/>
      <c r="AR759" s="69"/>
      <c r="AS759" s="69"/>
      <c r="AT759" s="69"/>
      <c r="AU759" s="1"/>
      <c r="AV759" s="1"/>
    </row>
    <row r="760" spans="1:48" ht="15.75" customHeight="1" x14ac:dyDescent="0.25">
      <c r="A760" s="1"/>
      <c r="B760" s="2"/>
      <c r="C760" s="3"/>
      <c r="D760" s="2"/>
      <c r="E760" s="52"/>
      <c r="F760" s="52"/>
      <c r="G760" s="52"/>
      <c r="H760" s="2"/>
      <c r="I760" s="2"/>
      <c r="J760" s="2"/>
      <c r="K760" s="2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2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69"/>
      <c r="AM760" s="69"/>
      <c r="AN760" s="69"/>
      <c r="AO760" s="69"/>
      <c r="AP760" s="69"/>
      <c r="AQ760" s="69"/>
      <c r="AR760" s="69"/>
      <c r="AS760" s="69"/>
      <c r="AT760" s="69"/>
      <c r="AU760" s="1"/>
      <c r="AV760" s="1"/>
    </row>
    <row r="761" spans="1:48" ht="15.75" customHeight="1" x14ac:dyDescent="0.25">
      <c r="A761" s="1"/>
      <c r="B761" s="2"/>
      <c r="C761" s="3"/>
      <c r="D761" s="2"/>
      <c r="E761" s="52"/>
      <c r="F761" s="52"/>
      <c r="G761" s="52"/>
      <c r="H761" s="2"/>
      <c r="I761" s="2"/>
      <c r="J761" s="2"/>
      <c r="K761" s="2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2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69"/>
      <c r="AM761" s="69"/>
      <c r="AN761" s="69"/>
      <c r="AO761" s="69"/>
      <c r="AP761" s="69"/>
      <c r="AQ761" s="69"/>
      <c r="AR761" s="69"/>
      <c r="AS761" s="69"/>
      <c r="AT761" s="69"/>
      <c r="AU761" s="1"/>
      <c r="AV761" s="1"/>
    </row>
    <row r="762" spans="1:48" ht="15.75" customHeight="1" x14ac:dyDescent="0.25">
      <c r="A762" s="1"/>
      <c r="B762" s="2"/>
      <c r="C762" s="3"/>
      <c r="D762" s="2"/>
      <c r="E762" s="52"/>
      <c r="F762" s="52"/>
      <c r="G762" s="52"/>
      <c r="H762" s="2"/>
      <c r="I762" s="2"/>
      <c r="J762" s="2"/>
      <c r="K762" s="2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2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69"/>
      <c r="AM762" s="69"/>
      <c r="AN762" s="69"/>
      <c r="AO762" s="69"/>
      <c r="AP762" s="69"/>
      <c r="AQ762" s="69"/>
      <c r="AR762" s="69"/>
      <c r="AS762" s="69"/>
      <c r="AT762" s="69"/>
      <c r="AU762" s="1"/>
      <c r="AV762" s="1"/>
    </row>
    <row r="763" spans="1:48" ht="15.75" customHeight="1" x14ac:dyDescent="0.25">
      <c r="A763" s="1"/>
      <c r="B763" s="2"/>
      <c r="C763" s="3"/>
      <c r="D763" s="2"/>
      <c r="E763" s="52"/>
      <c r="F763" s="52"/>
      <c r="G763" s="52"/>
      <c r="H763" s="2"/>
      <c r="I763" s="2"/>
      <c r="J763" s="2"/>
      <c r="K763" s="2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2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69"/>
      <c r="AM763" s="69"/>
      <c r="AN763" s="69"/>
      <c r="AO763" s="69"/>
      <c r="AP763" s="69"/>
      <c r="AQ763" s="69"/>
      <c r="AR763" s="69"/>
      <c r="AS763" s="69"/>
      <c r="AT763" s="69"/>
      <c r="AU763" s="1"/>
      <c r="AV763" s="1"/>
    </row>
    <row r="764" spans="1:48" ht="15.75" customHeight="1" x14ac:dyDescent="0.25">
      <c r="A764" s="1"/>
      <c r="B764" s="2"/>
      <c r="C764" s="3"/>
      <c r="D764" s="2"/>
      <c r="E764" s="52"/>
      <c r="F764" s="52"/>
      <c r="G764" s="52"/>
      <c r="H764" s="2"/>
      <c r="I764" s="2"/>
      <c r="J764" s="2"/>
      <c r="K764" s="2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2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69"/>
      <c r="AM764" s="69"/>
      <c r="AN764" s="69"/>
      <c r="AO764" s="69"/>
      <c r="AP764" s="69"/>
      <c r="AQ764" s="69"/>
      <c r="AR764" s="69"/>
      <c r="AS764" s="69"/>
      <c r="AT764" s="69"/>
      <c r="AU764" s="1"/>
      <c r="AV764" s="1"/>
    </row>
    <row r="765" spans="1:48" ht="15.75" customHeight="1" x14ac:dyDescent="0.25">
      <c r="A765" s="1"/>
      <c r="B765" s="2"/>
      <c r="C765" s="3"/>
      <c r="D765" s="2"/>
      <c r="E765" s="52"/>
      <c r="F765" s="52"/>
      <c r="G765" s="52"/>
      <c r="H765" s="2"/>
      <c r="I765" s="2"/>
      <c r="J765" s="2"/>
      <c r="K765" s="2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2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69"/>
      <c r="AM765" s="69"/>
      <c r="AN765" s="69"/>
      <c r="AO765" s="69"/>
      <c r="AP765" s="69"/>
      <c r="AQ765" s="69"/>
      <c r="AR765" s="69"/>
      <c r="AS765" s="69"/>
      <c r="AT765" s="69"/>
      <c r="AU765" s="1"/>
      <c r="AV765" s="1"/>
    </row>
    <row r="766" spans="1:48" ht="15.75" customHeight="1" x14ac:dyDescent="0.25">
      <c r="A766" s="1"/>
      <c r="B766" s="2"/>
      <c r="C766" s="3"/>
      <c r="D766" s="2"/>
      <c r="E766" s="52"/>
      <c r="F766" s="52"/>
      <c r="G766" s="52"/>
      <c r="H766" s="2"/>
      <c r="I766" s="2"/>
      <c r="J766" s="2"/>
      <c r="K766" s="2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2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69"/>
      <c r="AM766" s="69"/>
      <c r="AN766" s="69"/>
      <c r="AO766" s="69"/>
      <c r="AP766" s="69"/>
      <c r="AQ766" s="69"/>
      <c r="AR766" s="69"/>
      <c r="AS766" s="69"/>
      <c r="AT766" s="69"/>
      <c r="AU766" s="1"/>
      <c r="AV766" s="1"/>
    </row>
    <row r="767" spans="1:48" ht="15.75" customHeight="1" x14ac:dyDescent="0.25">
      <c r="A767" s="1"/>
      <c r="B767" s="2"/>
      <c r="C767" s="3"/>
      <c r="D767" s="2"/>
      <c r="E767" s="52"/>
      <c r="F767" s="52"/>
      <c r="G767" s="52"/>
      <c r="H767" s="2"/>
      <c r="I767" s="2"/>
      <c r="J767" s="2"/>
      <c r="K767" s="2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2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69"/>
      <c r="AM767" s="69"/>
      <c r="AN767" s="69"/>
      <c r="AO767" s="69"/>
      <c r="AP767" s="69"/>
      <c r="AQ767" s="69"/>
      <c r="AR767" s="69"/>
      <c r="AS767" s="69"/>
      <c r="AT767" s="69"/>
      <c r="AU767" s="1"/>
      <c r="AV767" s="1"/>
    </row>
    <row r="768" spans="1:48" ht="15.75" customHeight="1" x14ac:dyDescent="0.25">
      <c r="A768" s="1"/>
      <c r="B768" s="2"/>
      <c r="C768" s="3"/>
      <c r="D768" s="2"/>
      <c r="E768" s="52"/>
      <c r="F768" s="52"/>
      <c r="G768" s="52"/>
      <c r="H768" s="2"/>
      <c r="I768" s="2"/>
      <c r="J768" s="2"/>
      <c r="K768" s="2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2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69"/>
      <c r="AM768" s="69"/>
      <c r="AN768" s="69"/>
      <c r="AO768" s="69"/>
      <c r="AP768" s="69"/>
      <c r="AQ768" s="69"/>
      <c r="AR768" s="69"/>
      <c r="AS768" s="69"/>
      <c r="AT768" s="69"/>
      <c r="AU768" s="1"/>
      <c r="AV768" s="1"/>
    </row>
    <row r="769" spans="1:48" ht="15.75" customHeight="1" x14ac:dyDescent="0.25">
      <c r="A769" s="1"/>
      <c r="B769" s="2"/>
      <c r="C769" s="3"/>
      <c r="D769" s="2"/>
      <c r="E769" s="52"/>
      <c r="F769" s="52"/>
      <c r="G769" s="52"/>
      <c r="H769" s="2"/>
      <c r="I769" s="2"/>
      <c r="J769" s="2"/>
      <c r="K769" s="2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2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69"/>
      <c r="AM769" s="69"/>
      <c r="AN769" s="69"/>
      <c r="AO769" s="69"/>
      <c r="AP769" s="69"/>
      <c r="AQ769" s="69"/>
      <c r="AR769" s="69"/>
      <c r="AS769" s="69"/>
      <c r="AT769" s="69"/>
      <c r="AU769" s="1"/>
      <c r="AV769" s="1"/>
    </row>
    <row r="770" spans="1:48" ht="15.75" customHeight="1" x14ac:dyDescent="0.25">
      <c r="A770" s="1"/>
      <c r="B770" s="2"/>
      <c r="C770" s="3"/>
      <c r="D770" s="2"/>
      <c r="E770" s="52"/>
      <c r="F770" s="52"/>
      <c r="G770" s="52"/>
      <c r="H770" s="2"/>
      <c r="I770" s="2"/>
      <c r="J770" s="2"/>
      <c r="K770" s="2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2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69"/>
      <c r="AM770" s="69"/>
      <c r="AN770" s="69"/>
      <c r="AO770" s="69"/>
      <c r="AP770" s="69"/>
      <c r="AQ770" s="69"/>
      <c r="AR770" s="69"/>
      <c r="AS770" s="69"/>
      <c r="AT770" s="69"/>
      <c r="AU770" s="1"/>
      <c r="AV770" s="1"/>
    </row>
    <row r="771" spans="1:48" ht="15.75" customHeight="1" x14ac:dyDescent="0.25">
      <c r="A771" s="1"/>
      <c r="B771" s="2"/>
      <c r="C771" s="3"/>
      <c r="D771" s="2"/>
      <c r="E771" s="52"/>
      <c r="F771" s="52"/>
      <c r="G771" s="52"/>
      <c r="H771" s="2"/>
      <c r="I771" s="2"/>
      <c r="J771" s="2"/>
      <c r="K771" s="2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2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69"/>
      <c r="AM771" s="69"/>
      <c r="AN771" s="69"/>
      <c r="AO771" s="69"/>
      <c r="AP771" s="69"/>
      <c r="AQ771" s="69"/>
      <c r="AR771" s="69"/>
      <c r="AS771" s="69"/>
      <c r="AT771" s="69"/>
      <c r="AU771" s="1"/>
      <c r="AV771" s="1"/>
    </row>
    <row r="772" spans="1:48" ht="15.75" customHeight="1" x14ac:dyDescent="0.25">
      <c r="A772" s="1"/>
      <c r="B772" s="2"/>
      <c r="C772" s="3"/>
      <c r="D772" s="2"/>
      <c r="E772" s="52"/>
      <c r="F772" s="52"/>
      <c r="G772" s="52"/>
      <c r="H772" s="2"/>
      <c r="I772" s="2"/>
      <c r="J772" s="2"/>
      <c r="K772" s="2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2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69"/>
      <c r="AM772" s="69"/>
      <c r="AN772" s="69"/>
      <c r="AO772" s="69"/>
      <c r="AP772" s="69"/>
      <c r="AQ772" s="69"/>
      <c r="AR772" s="69"/>
      <c r="AS772" s="69"/>
      <c r="AT772" s="69"/>
      <c r="AU772" s="1"/>
      <c r="AV772" s="1"/>
    </row>
    <row r="773" spans="1:48" ht="15.75" customHeight="1" x14ac:dyDescent="0.25">
      <c r="A773" s="1"/>
      <c r="B773" s="2"/>
      <c r="C773" s="3"/>
      <c r="D773" s="2"/>
      <c r="E773" s="52"/>
      <c r="F773" s="52"/>
      <c r="G773" s="52"/>
      <c r="H773" s="2"/>
      <c r="I773" s="2"/>
      <c r="J773" s="2"/>
      <c r="K773" s="2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2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69"/>
      <c r="AM773" s="69"/>
      <c r="AN773" s="69"/>
      <c r="AO773" s="69"/>
      <c r="AP773" s="69"/>
      <c r="AQ773" s="69"/>
      <c r="AR773" s="69"/>
      <c r="AS773" s="69"/>
      <c r="AT773" s="69"/>
      <c r="AU773" s="1"/>
      <c r="AV773" s="1"/>
    </row>
    <row r="774" spans="1:48" ht="15.75" customHeight="1" x14ac:dyDescent="0.25">
      <c r="A774" s="1"/>
      <c r="B774" s="2"/>
      <c r="C774" s="3"/>
      <c r="D774" s="2"/>
      <c r="E774" s="52"/>
      <c r="F774" s="52"/>
      <c r="G774" s="52"/>
      <c r="H774" s="2"/>
      <c r="I774" s="2"/>
      <c r="J774" s="2"/>
      <c r="K774" s="2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2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69"/>
      <c r="AM774" s="69"/>
      <c r="AN774" s="69"/>
      <c r="AO774" s="69"/>
      <c r="AP774" s="69"/>
      <c r="AQ774" s="69"/>
      <c r="AR774" s="69"/>
      <c r="AS774" s="69"/>
      <c r="AT774" s="69"/>
      <c r="AU774" s="1"/>
      <c r="AV774" s="1"/>
    </row>
    <row r="775" spans="1:48" ht="15.75" customHeight="1" x14ac:dyDescent="0.25">
      <c r="A775" s="1"/>
      <c r="B775" s="2"/>
      <c r="C775" s="3"/>
      <c r="D775" s="2"/>
      <c r="E775" s="52"/>
      <c r="F775" s="52"/>
      <c r="G775" s="52"/>
      <c r="H775" s="2"/>
      <c r="I775" s="2"/>
      <c r="J775" s="2"/>
      <c r="K775" s="2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2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69"/>
      <c r="AM775" s="69"/>
      <c r="AN775" s="69"/>
      <c r="AO775" s="69"/>
      <c r="AP775" s="69"/>
      <c r="AQ775" s="69"/>
      <c r="AR775" s="69"/>
      <c r="AS775" s="69"/>
      <c r="AT775" s="69"/>
      <c r="AU775" s="1"/>
      <c r="AV775" s="1"/>
    </row>
    <row r="776" spans="1:48" ht="15.75" customHeight="1" x14ac:dyDescent="0.25">
      <c r="A776" s="1"/>
      <c r="B776" s="2"/>
      <c r="C776" s="3"/>
      <c r="D776" s="2"/>
      <c r="E776" s="52"/>
      <c r="F776" s="52"/>
      <c r="G776" s="52"/>
      <c r="H776" s="2"/>
      <c r="I776" s="2"/>
      <c r="J776" s="2"/>
      <c r="K776" s="2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2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69"/>
      <c r="AM776" s="69"/>
      <c r="AN776" s="69"/>
      <c r="AO776" s="69"/>
      <c r="AP776" s="69"/>
      <c r="AQ776" s="69"/>
      <c r="AR776" s="69"/>
      <c r="AS776" s="69"/>
      <c r="AT776" s="69"/>
      <c r="AU776" s="1"/>
      <c r="AV776" s="1"/>
    </row>
    <row r="777" spans="1:48" ht="15.75" customHeight="1" x14ac:dyDescent="0.25">
      <c r="A777" s="1"/>
      <c r="B777" s="2"/>
      <c r="C777" s="3"/>
      <c r="D777" s="2"/>
      <c r="E777" s="52"/>
      <c r="F777" s="52"/>
      <c r="G777" s="52"/>
      <c r="H777" s="2"/>
      <c r="I777" s="2"/>
      <c r="J777" s="2"/>
      <c r="K777" s="2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2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69"/>
      <c r="AM777" s="69"/>
      <c r="AN777" s="69"/>
      <c r="AO777" s="69"/>
      <c r="AP777" s="69"/>
      <c r="AQ777" s="69"/>
      <c r="AR777" s="69"/>
      <c r="AS777" s="69"/>
      <c r="AT777" s="69"/>
      <c r="AU777" s="1"/>
      <c r="AV777" s="1"/>
    </row>
    <row r="778" spans="1:48" ht="15.75" customHeight="1" x14ac:dyDescent="0.25">
      <c r="A778" s="1"/>
      <c r="B778" s="2"/>
      <c r="C778" s="3"/>
      <c r="D778" s="2"/>
      <c r="E778" s="52"/>
      <c r="F778" s="52"/>
      <c r="G778" s="52"/>
      <c r="H778" s="2"/>
      <c r="I778" s="2"/>
      <c r="J778" s="2"/>
      <c r="K778" s="2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2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69"/>
      <c r="AM778" s="69"/>
      <c r="AN778" s="69"/>
      <c r="AO778" s="69"/>
      <c r="AP778" s="69"/>
      <c r="AQ778" s="69"/>
      <c r="AR778" s="69"/>
      <c r="AS778" s="69"/>
      <c r="AT778" s="69"/>
      <c r="AU778" s="1"/>
      <c r="AV778" s="1"/>
    </row>
    <row r="779" spans="1:48" ht="15.75" customHeight="1" x14ac:dyDescent="0.25">
      <c r="A779" s="1"/>
      <c r="B779" s="2"/>
      <c r="C779" s="3"/>
      <c r="D779" s="2"/>
      <c r="E779" s="52"/>
      <c r="F779" s="52"/>
      <c r="G779" s="52"/>
      <c r="H779" s="2"/>
      <c r="I779" s="2"/>
      <c r="J779" s="2"/>
      <c r="K779" s="2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2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69"/>
      <c r="AM779" s="69"/>
      <c r="AN779" s="69"/>
      <c r="AO779" s="69"/>
      <c r="AP779" s="69"/>
      <c r="AQ779" s="69"/>
      <c r="AR779" s="69"/>
      <c r="AS779" s="69"/>
      <c r="AT779" s="69"/>
      <c r="AU779" s="1"/>
      <c r="AV779" s="1"/>
    </row>
    <row r="780" spans="1:48" ht="15.75" customHeight="1" x14ac:dyDescent="0.25">
      <c r="A780" s="1"/>
      <c r="B780" s="2"/>
      <c r="C780" s="3"/>
      <c r="D780" s="2"/>
      <c r="E780" s="52"/>
      <c r="F780" s="52"/>
      <c r="G780" s="52"/>
      <c r="H780" s="2"/>
      <c r="I780" s="2"/>
      <c r="J780" s="2"/>
      <c r="K780" s="2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2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69"/>
      <c r="AM780" s="69"/>
      <c r="AN780" s="69"/>
      <c r="AO780" s="69"/>
      <c r="AP780" s="69"/>
      <c r="AQ780" s="69"/>
      <c r="AR780" s="69"/>
      <c r="AS780" s="69"/>
      <c r="AT780" s="69"/>
      <c r="AU780" s="1"/>
      <c r="AV780" s="1"/>
    </row>
    <row r="781" spans="1:48" ht="15.75" customHeight="1" x14ac:dyDescent="0.25">
      <c r="A781" s="1"/>
      <c r="B781" s="2"/>
      <c r="C781" s="3"/>
      <c r="D781" s="2"/>
      <c r="E781" s="52"/>
      <c r="F781" s="52"/>
      <c r="G781" s="52"/>
      <c r="H781" s="2"/>
      <c r="I781" s="2"/>
      <c r="J781" s="2"/>
      <c r="K781" s="2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2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69"/>
      <c r="AM781" s="69"/>
      <c r="AN781" s="69"/>
      <c r="AO781" s="69"/>
      <c r="AP781" s="69"/>
      <c r="AQ781" s="69"/>
      <c r="AR781" s="69"/>
      <c r="AS781" s="69"/>
      <c r="AT781" s="69"/>
      <c r="AU781" s="1"/>
      <c r="AV781" s="1"/>
    </row>
    <row r="782" spans="1:48" ht="15.75" customHeight="1" x14ac:dyDescent="0.25">
      <c r="A782" s="1"/>
      <c r="B782" s="2"/>
      <c r="C782" s="3"/>
      <c r="D782" s="2"/>
      <c r="E782" s="52"/>
      <c r="F782" s="52"/>
      <c r="G782" s="52"/>
      <c r="H782" s="2"/>
      <c r="I782" s="2"/>
      <c r="J782" s="2"/>
      <c r="K782" s="2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2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69"/>
      <c r="AM782" s="69"/>
      <c r="AN782" s="69"/>
      <c r="AO782" s="69"/>
      <c r="AP782" s="69"/>
      <c r="AQ782" s="69"/>
      <c r="AR782" s="69"/>
      <c r="AS782" s="69"/>
      <c r="AT782" s="69"/>
      <c r="AU782" s="1"/>
      <c r="AV782" s="1"/>
    </row>
    <row r="783" spans="1:48" ht="15.75" customHeight="1" x14ac:dyDescent="0.25">
      <c r="A783" s="1"/>
      <c r="B783" s="2"/>
      <c r="C783" s="3"/>
      <c r="D783" s="2"/>
      <c r="E783" s="52"/>
      <c r="F783" s="52"/>
      <c r="G783" s="52"/>
      <c r="H783" s="2"/>
      <c r="I783" s="2"/>
      <c r="J783" s="2"/>
      <c r="K783" s="2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2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69"/>
      <c r="AM783" s="69"/>
      <c r="AN783" s="69"/>
      <c r="AO783" s="69"/>
      <c r="AP783" s="69"/>
      <c r="AQ783" s="69"/>
      <c r="AR783" s="69"/>
      <c r="AS783" s="69"/>
      <c r="AT783" s="69"/>
      <c r="AU783" s="1"/>
      <c r="AV783" s="1"/>
    </row>
    <row r="784" spans="1:48" ht="15.75" customHeight="1" x14ac:dyDescent="0.25">
      <c r="A784" s="1"/>
      <c r="B784" s="2"/>
      <c r="C784" s="3"/>
      <c r="D784" s="2"/>
      <c r="E784" s="52"/>
      <c r="F784" s="52"/>
      <c r="G784" s="52"/>
      <c r="H784" s="2"/>
      <c r="I784" s="2"/>
      <c r="J784" s="2"/>
      <c r="K784" s="2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2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69"/>
      <c r="AM784" s="69"/>
      <c r="AN784" s="69"/>
      <c r="AO784" s="69"/>
      <c r="AP784" s="69"/>
      <c r="AQ784" s="69"/>
      <c r="AR784" s="69"/>
      <c r="AS784" s="69"/>
      <c r="AT784" s="69"/>
      <c r="AU784" s="1"/>
      <c r="AV784" s="1"/>
    </row>
    <row r="785" spans="1:48" ht="15.75" customHeight="1" x14ac:dyDescent="0.25">
      <c r="A785" s="1"/>
      <c r="B785" s="2"/>
      <c r="C785" s="3"/>
      <c r="D785" s="2"/>
      <c r="E785" s="52"/>
      <c r="F785" s="52"/>
      <c r="G785" s="52"/>
      <c r="H785" s="2"/>
      <c r="I785" s="2"/>
      <c r="J785" s="2"/>
      <c r="K785" s="2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2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69"/>
      <c r="AM785" s="69"/>
      <c r="AN785" s="69"/>
      <c r="AO785" s="69"/>
      <c r="AP785" s="69"/>
      <c r="AQ785" s="69"/>
      <c r="AR785" s="69"/>
      <c r="AS785" s="69"/>
      <c r="AT785" s="69"/>
      <c r="AU785" s="1"/>
      <c r="AV785" s="1"/>
    </row>
    <row r="786" spans="1:48" ht="15.75" customHeight="1" x14ac:dyDescent="0.25">
      <c r="A786" s="1"/>
      <c r="B786" s="2"/>
      <c r="C786" s="3"/>
      <c r="D786" s="2"/>
      <c r="E786" s="52"/>
      <c r="F786" s="52"/>
      <c r="G786" s="52"/>
      <c r="H786" s="2"/>
      <c r="I786" s="2"/>
      <c r="J786" s="2"/>
      <c r="K786" s="2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2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69"/>
      <c r="AM786" s="69"/>
      <c r="AN786" s="69"/>
      <c r="AO786" s="69"/>
      <c r="AP786" s="69"/>
      <c r="AQ786" s="69"/>
      <c r="AR786" s="69"/>
      <c r="AS786" s="69"/>
      <c r="AT786" s="69"/>
      <c r="AU786" s="1"/>
      <c r="AV786" s="1"/>
    </row>
    <row r="787" spans="1:48" ht="15.75" customHeight="1" x14ac:dyDescent="0.25">
      <c r="A787" s="1"/>
      <c r="B787" s="2"/>
      <c r="C787" s="3"/>
      <c r="D787" s="2"/>
      <c r="E787" s="52"/>
      <c r="F787" s="52"/>
      <c r="G787" s="52"/>
      <c r="H787" s="2"/>
      <c r="I787" s="2"/>
      <c r="J787" s="2"/>
      <c r="K787" s="2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2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69"/>
      <c r="AM787" s="69"/>
      <c r="AN787" s="69"/>
      <c r="AO787" s="69"/>
      <c r="AP787" s="69"/>
      <c r="AQ787" s="69"/>
      <c r="AR787" s="69"/>
      <c r="AS787" s="69"/>
      <c r="AT787" s="69"/>
      <c r="AU787" s="1"/>
      <c r="AV787" s="1"/>
    </row>
    <row r="788" spans="1:48" ht="15.75" customHeight="1" x14ac:dyDescent="0.25">
      <c r="A788" s="1"/>
      <c r="B788" s="2"/>
      <c r="C788" s="3"/>
      <c r="D788" s="2"/>
      <c r="E788" s="52"/>
      <c r="F788" s="52"/>
      <c r="G788" s="52"/>
      <c r="H788" s="2"/>
      <c r="I788" s="2"/>
      <c r="J788" s="2"/>
      <c r="K788" s="2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2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69"/>
      <c r="AM788" s="69"/>
      <c r="AN788" s="69"/>
      <c r="AO788" s="69"/>
      <c r="AP788" s="69"/>
      <c r="AQ788" s="69"/>
      <c r="AR788" s="69"/>
      <c r="AS788" s="69"/>
      <c r="AT788" s="69"/>
      <c r="AU788" s="1"/>
      <c r="AV788" s="1"/>
    </row>
    <row r="789" spans="1:48" ht="15.75" customHeight="1" x14ac:dyDescent="0.25">
      <c r="A789" s="1"/>
      <c r="B789" s="2"/>
      <c r="C789" s="3"/>
      <c r="D789" s="2"/>
      <c r="E789" s="52"/>
      <c r="F789" s="52"/>
      <c r="G789" s="52"/>
      <c r="H789" s="2"/>
      <c r="I789" s="2"/>
      <c r="J789" s="2"/>
      <c r="K789" s="2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2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69"/>
      <c r="AM789" s="69"/>
      <c r="AN789" s="69"/>
      <c r="AO789" s="69"/>
      <c r="AP789" s="69"/>
      <c r="AQ789" s="69"/>
      <c r="AR789" s="69"/>
      <c r="AS789" s="69"/>
      <c r="AT789" s="69"/>
      <c r="AU789" s="1"/>
      <c r="AV789" s="1"/>
    </row>
    <row r="790" spans="1:48" ht="15.75" customHeight="1" x14ac:dyDescent="0.25">
      <c r="A790" s="1"/>
      <c r="B790" s="2"/>
      <c r="C790" s="3"/>
      <c r="D790" s="2"/>
      <c r="E790" s="52"/>
      <c r="F790" s="52"/>
      <c r="G790" s="52"/>
      <c r="H790" s="2"/>
      <c r="I790" s="2"/>
      <c r="J790" s="2"/>
      <c r="K790" s="2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2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69"/>
      <c r="AM790" s="69"/>
      <c r="AN790" s="69"/>
      <c r="AO790" s="69"/>
      <c r="AP790" s="69"/>
      <c r="AQ790" s="69"/>
      <c r="AR790" s="69"/>
      <c r="AS790" s="69"/>
      <c r="AT790" s="69"/>
      <c r="AU790" s="1"/>
      <c r="AV790" s="1"/>
    </row>
    <row r="791" spans="1:48" ht="15.75" customHeight="1" x14ac:dyDescent="0.25">
      <c r="A791" s="1"/>
      <c r="B791" s="2"/>
      <c r="C791" s="3"/>
      <c r="D791" s="2"/>
      <c r="E791" s="52"/>
      <c r="F791" s="52"/>
      <c r="G791" s="52"/>
      <c r="H791" s="2"/>
      <c r="I791" s="2"/>
      <c r="J791" s="2"/>
      <c r="K791" s="2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2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69"/>
      <c r="AM791" s="69"/>
      <c r="AN791" s="69"/>
      <c r="AO791" s="69"/>
      <c r="AP791" s="69"/>
      <c r="AQ791" s="69"/>
      <c r="AR791" s="69"/>
      <c r="AS791" s="69"/>
      <c r="AT791" s="69"/>
      <c r="AU791" s="1"/>
      <c r="AV791" s="1"/>
    </row>
    <row r="792" spans="1:48" ht="15.75" customHeight="1" x14ac:dyDescent="0.25">
      <c r="A792" s="1"/>
      <c r="B792" s="2"/>
      <c r="C792" s="3"/>
      <c r="D792" s="2"/>
      <c r="E792" s="52"/>
      <c r="F792" s="52"/>
      <c r="G792" s="52"/>
      <c r="H792" s="2"/>
      <c r="I792" s="2"/>
      <c r="J792" s="2"/>
      <c r="K792" s="2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2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69"/>
      <c r="AM792" s="69"/>
      <c r="AN792" s="69"/>
      <c r="AO792" s="69"/>
      <c r="AP792" s="69"/>
      <c r="AQ792" s="69"/>
      <c r="AR792" s="69"/>
      <c r="AS792" s="69"/>
      <c r="AT792" s="69"/>
      <c r="AU792" s="1"/>
      <c r="AV792" s="1"/>
    </row>
    <row r="793" spans="1:48" ht="15.75" customHeight="1" x14ac:dyDescent="0.25">
      <c r="A793" s="1"/>
      <c r="B793" s="2"/>
      <c r="C793" s="3"/>
      <c r="D793" s="2"/>
      <c r="E793" s="52"/>
      <c r="F793" s="52"/>
      <c r="G793" s="52"/>
      <c r="H793" s="2"/>
      <c r="I793" s="2"/>
      <c r="J793" s="2"/>
      <c r="K793" s="2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2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69"/>
      <c r="AM793" s="69"/>
      <c r="AN793" s="69"/>
      <c r="AO793" s="69"/>
      <c r="AP793" s="69"/>
      <c r="AQ793" s="69"/>
      <c r="AR793" s="69"/>
      <c r="AS793" s="69"/>
      <c r="AT793" s="69"/>
      <c r="AU793" s="1"/>
      <c r="AV793" s="1"/>
    </row>
    <row r="794" spans="1:48" ht="15.75" customHeight="1" x14ac:dyDescent="0.25">
      <c r="A794" s="1"/>
      <c r="B794" s="2"/>
      <c r="C794" s="3"/>
      <c r="D794" s="2"/>
      <c r="E794" s="52"/>
      <c r="F794" s="52"/>
      <c r="G794" s="52"/>
      <c r="H794" s="2"/>
      <c r="I794" s="2"/>
      <c r="J794" s="2"/>
      <c r="K794" s="2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2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69"/>
      <c r="AM794" s="69"/>
      <c r="AN794" s="69"/>
      <c r="AO794" s="69"/>
      <c r="AP794" s="69"/>
      <c r="AQ794" s="69"/>
      <c r="AR794" s="69"/>
      <c r="AS794" s="69"/>
      <c r="AT794" s="69"/>
      <c r="AU794" s="1"/>
      <c r="AV794" s="1"/>
    </row>
    <row r="795" spans="1:48" ht="15.75" customHeight="1" x14ac:dyDescent="0.25">
      <c r="A795" s="1"/>
      <c r="B795" s="2"/>
      <c r="C795" s="3"/>
      <c r="D795" s="2"/>
      <c r="E795" s="52"/>
      <c r="F795" s="52"/>
      <c r="G795" s="52"/>
      <c r="H795" s="2"/>
      <c r="I795" s="2"/>
      <c r="J795" s="2"/>
      <c r="K795" s="2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2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69"/>
      <c r="AM795" s="69"/>
      <c r="AN795" s="69"/>
      <c r="AO795" s="69"/>
      <c r="AP795" s="69"/>
      <c r="AQ795" s="69"/>
      <c r="AR795" s="69"/>
      <c r="AS795" s="69"/>
      <c r="AT795" s="69"/>
      <c r="AU795" s="1"/>
      <c r="AV795" s="1"/>
    </row>
    <row r="796" spans="1:48" ht="15.75" customHeight="1" x14ac:dyDescent="0.25">
      <c r="A796" s="1"/>
      <c r="B796" s="2"/>
      <c r="C796" s="3"/>
      <c r="D796" s="2"/>
      <c r="E796" s="52"/>
      <c r="F796" s="52"/>
      <c r="G796" s="52"/>
      <c r="H796" s="2"/>
      <c r="I796" s="2"/>
      <c r="J796" s="2"/>
      <c r="K796" s="2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2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69"/>
      <c r="AM796" s="69"/>
      <c r="AN796" s="69"/>
      <c r="AO796" s="69"/>
      <c r="AP796" s="69"/>
      <c r="AQ796" s="69"/>
      <c r="AR796" s="69"/>
      <c r="AS796" s="69"/>
      <c r="AT796" s="69"/>
      <c r="AU796" s="1"/>
      <c r="AV796" s="1"/>
    </row>
    <row r="797" spans="1:48" ht="15.75" customHeight="1" x14ac:dyDescent="0.25">
      <c r="A797" s="1"/>
      <c r="B797" s="2"/>
      <c r="C797" s="3"/>
      <c r="D797" s="2"/>
      <c r="E797" s="52"/>
      <c r="F797" s="52"/>
      <c r="G797" s="52"/>
      <c r="H797" s="2"/>
      <c r="I797" s="2"/>
      <c r="J797" s="2"/>
      <c r="K797" s="2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2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69"/>
      <c r="AM797" s="69"/>
      <c r="AN797" s="69"/>
      <c r="AO797" s="69"/>
      <c r="AP797" s="69"/>
      <c r="AQ797" s="69"/>
      <c r="AR797" s="69"/>
      <c r="AS797" s="69"/>
      <c r="AT797" s="69"/>
      <c r="AU797" s="1"/>
      <c r="AV797" s="1"/>
    </row>
    <row r="798" spans="1:48" ht="15.75" customHeight="1" x14ac:dyDescent="0.25">
      <c r="A798" s="1"/>
      <c r="B798" s="2"/>
      <c r="C798" s="3"/>
      <c r="D798" s="2"/>
      <c r="E798" s="52"/>
      <c r="F798" s="52"/>
      <c r="G798" s="52"/>
      <c r="H798" s="2"/>
      <c r="I798" s="2"/>
      <c r="J798" s="2"/>
      <c r="K798" s="2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2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69"/>
      <c r="AM798" s="69"/>
      <c r="AN798" s="69"/>
      <c r="AO798" s="69"/>
      <c r="AP798" s="69"/>
      <c r="AQ798" s="69"/>
      <c r="AR798" s="69"/>
      <c r="AS798" s="69"/>
      <c r="AT798" s="69"/>
      <c r="AU798" s="1"/>
      <c r="AV798" s="1"/>
    </row>
    <row r="799" spans="1:48" ht="15.75" customHeight="1" x14ac:dyDescent="0.25">
      <c r="A799" s="1"/>
      <c r="B799" s="2"/>
      <c r="C799" s="3"/>
      <c r="D799" s="2"/>
      <c r="E799" s="52"/>
      <c r="F799" s="52"/>
      <c r="G799" s="52"/>
      <c r="H799" s="2"/>
      <c r="I799" s="2"/>
      <c r="J799" s="2"/>
      <c r="K799" s="2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2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69"/>
      <c r="AM799" s="69"/>
      <c r="AN799" s="69"/>
      <c r="AO799" s="69"/>
      <c r="AP799" s="69"/>
      <c r="AQ799" s="69"/>
      <c r="AR799" s="69"/>
      <c r="AS799" s="69"/>
      <c r="AT799" s="69"/>
      <c r="AU799" s="1"/>
      <c r="AV799" s="1"/>
    </row>
    <row r="800" spans="1:48" ht="15.75" customHeight="1" x14ac:dyDescent="0.25">
      <c r="A800" s="1"/>
      <c r="B800" s="2"/>
      <c r="C800" s="3"/>
      <c r="D800" s="2"/>
      <c r="E800" s="52"/>
      <c r="F800" s="52"/>
      <c r="G800" s="52"/>
      <c r="H800" s="2"/>
      <c r="I800" s="2"/>
      <c r="J800" s="2"/>
      <c r="K800" s="2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2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69"/>
      <c r="AM800" s="69"/>
      <c r="AN800" s="69"/>
      <c r="AO800" s="69"/>
      <c r="AP800" s="69"/>
      <c r="AQ800" s="69"/>
      <c r="AR800" s="69"/>
      <c r="AS800" s="69"/>
      <c r="AT800" s="69"/>
      <c r="AU800" s="1"/>
      <c r="AV800" s="1"/>
    </row>
    <row r="801" spans="1:48" ht="15.75" customHeight="1" x14ac:dyDescent="0.25">
      <c r="A801" s="1"/>
      <c r="B801" s="2"/>
      <c r="C801" s="3"/>
      <c r="D801" s="2"/>
      <c r="E801" s="52"/>
      <c r="F801" s="52"/>
      <c r="G801" s="52"/>
      <c r="H801" s="2"/>
      <c r="I801" s="2"/>
      <c r="J801" s="2"/>
      <c r="K801" s="2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2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69"/>
      <c r="AM801" s="69"/>
      <c r="AN801" s="69"/>
      <c r="AO801" s="69"/>
      <c r="AP801" s="69"/>
      <c r="AQ801" s="69"/>
      <c r="AR801" s="69"/>
      <c r="AS801" s="69"/>
      <c r="AT801" s="69"/>
      <c r="AU801" s="1"/>
      <c r="AV801" s="1"/>
    </row>
    <row r="802" spans="1:48" ht="15.75" customHeight="1" x14ac:dyDescent="0.25">
      <c r="A802" s="1"/>
      <c r="B802" s="2"/>
      <c r="C802" s="3"/>
      <c r="D802" s="2"/>
      <c r="E802" s="52"/>
      <c r="F802" s="52"/>
      <c r="G802" s="52"/>
      <c r="H802" s="2"/>
      <c r="I802" s="2"/>
      <c r="J802" s="2"/>
      <c r="K802" s="2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2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69"/>
      <c r="AM802" s="69"/>
      <c r="AN802" s="69"/>
      <c r="AO802" s="69"/>
      <c r="AP802" s="69"/>
      <c r="AQ802" s="69"/>
      <c r="AR802" s="69"/>
      <c r="AS802" s="69"/>
      <c r="AT802" s="69"/>
      <c r="AU802" s="1"/>
      <c r="AV802" s="1"/>
    </row>
    <row r="803" spans="1:48" ht="15.75" customHeight="1" x14ac:dyDescent="0.25">
      <c r="A803" s="1"/>
      <c r="B803" s="2"/>
      <c r="C803" s="3"/>
      <c r="D803" s="2"/>
      <c r="E803" s="52"/>
      <c r="F803" s="52"/>
      <c r="G803" s="52"/>
      <c r="H803" s="2"/>
      <c r="I803" s="2"/>
      <c r="J803" s="2"/>
      <c r="K803" s="2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2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69"/>
      <c r="AM803" s="69"/>
      <c r="AN803" s="69"/>
      <c r="AO803" s="69"/>
      <c r="AP803" s="69"/>
      <c r="AQ803" s="69"/>
      <c r="AR803" s="69"/>
      <c r="AS803" s="69"/>
      <c r="AT803" s="69"/>
      <c r="AU803" s="1"/>
      <c r="AV803" s="1"/>
    </row>
    <row r="804" spans="1:48" ht="15.75" customHeight="1" x14ac:dyDescent="0.25">
      <c r="A804" s="1"/>
      <c r="B804" s="2"/>
      <c r="C804" s="3"/>
      <c r="D804" s="2"/>
      <c r="E804" s="52"/>
      <c r="F804" s="52"/>
      <c r="G804" s="52"/>
      <c r="H804" s="2"/>
      <c r="I804" s="2"/>
      <c r="J804" s="2"/>
      <c r="K804" s="2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2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69"/>
      <c r="AM804" s="69"/>
      <c r="AN804" s="69"/>
      <c r="AO804" s="69"/>
      <c r="AP804" s="69"/>
      <c r="AQ804" s="69"/>
      <c r="AR804" s="69"/>
      <c r="AS804" s="69"/>
      <c r="AT804" s="69"/>
      <c r="AU804" s="1"/>
      <c r="AV804" s="1"/>
    </row>
    <row r="805" spans="1:48" ht="15.75" customHeight="1" x14ac:dyDescent="0.25">
      <c r="A805" s="1"/>
      <c r="B805" s="2"/>
      <c r="C805" s="3"/>
      <c r="D805" s="2"/>
      <c r="E805" s="52"/>
      <c r="F805" s="52"/>
      <c r="G805" s="52"/>
      <c r="H805" s="2"/>
      <c r="I805" s="2"/>
      <c r="J805" s="2"/>
      <c r="K805" s="2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2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69"/>
      <c r="AM805" s="69"/>
      <c r="AN805" s="69"/>
      <c r="AO805" s="69"/>
      <c r="AP805" s="69"/>
      <c r="AQ805" s="69"/>
      <c r="AR805" s="69"/>
      <c r="AS805" s="69"/>
      <c r="AT805" s="69"/>
      <c r="AU805" s="1"/>
      <c r="AV805" s="1"/>
    </row>
    <row r="806" spans="1:48" ht="15.75" customHeight="1" x14ac:dyDescent="0.25">
      <c r="A806" s="1"/>
      <c r="B806" s="2"/>
      <c r="C806" s="3"/>
      <c r="D806" s="2"/>
      <c r="E806" s="52"/>
      <c r="F806" s="52"/>
      <c r="G806" s="52"/>
      <c r="H806" s="2"/>
      <c r="I806" s="2"/>
      <c r="J806" s="2"/>
      <c r="K806" s="2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2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69"/>
      <c r="AM806" s="69"/>
      <c r="AN806" s="69"/>
      <c r="AO806" s="69"/>
      <c r="AP806" s="69"/>
      <c r="AQ806" s="69"/>
      <c r="AR806" s="69"/>
      <c r="AS806" s="69"/>
      <c r="AT806" s="69"/>
      <c r="AU806" s="1"/>
      <c r="AV806" s="1"/>
    </row>
    <row r="807" spans="1:48" ht="15.75" customHeight="1" x14ac:dyDescent="0.25">
      <c r="A807" s="1"/>
      <c r="B807" s="2"/>
      <c r="C807" s="3"/>
      <c r="D807" s="2"/>
      <c r="E807" s="52"/>
      <c r="F807" s="52"/>
      <c r="G807" s="52"/>
      <c r="H807" s="2"/>
      <c r="I807" s="2"/>
      <c r="J807" s="2"/>
      <c r="K807" s="2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2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69"/>
      <c r="AM807" s="69"/>
      <c r="AN807" s="69"/>
      <c r="AO807" s="69"/>
      <c r="AP807" s="69"/>
      <c r="AQ807" s="69"/>
      <c r="AR807" s="69"/>
      <c r="AS807" s="69"/>
      <c r="AT807" s="69"/>
      <c r="AU807" s="1"/>
      <c r="AV807" s="1"/>
    </row>
    <row r="808" spans="1:48" ht="15.75" customHeight="1" x14ac:dyDescent="0.25">
      <c r="A808" s="1"/>
      <c r="B808" s="2"/>
      <c r="C808" s="3"/>
      <c r="D808" s="2"/>
      <c r="E808" s="52"/>
      <c r="F808" s="52"/>
      <c r="G808" s="52"/>
      <c r="H808" s="2"/>
      <c r="I808" s="2"/>
      <c r="J808" s="2"/>
      <c r="K808" s="2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2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69"/>
      <c r="AM808" s="69"/>
      <c r="AN808" s="69"/>
      <c r="AO808" s="69"/>
      <c r="AP808" s="69"/>
      <c r="AQ808" s="69"/>
      <c r="AR808" s="69"/>
      <c r="AS808" s="69"/>
      <c r="AT808" s="69"/>
      <c r="AU808" s="1"/>
      <c r="AV808" s="1"/>
    </row>
    <row r="809" spans="1:48" ht="15.75" customHeight="1" x14ac:dyDescent="0.25">
      <c r="A809" s="1"/>
      <c r="B809" s="2"/>
      <c r="C809" s="3"/>
      <c r="D809" s="2"/>
      <c r="E809" s="52"/>
      <c r="F809" s="52"/>
      <c r="G809" s="52"/>
      <c r="H809" s="2"/>
      <c r="I809" s="2"/>
      <c r="J809" s="2"/>
      <c r="K809" s="2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2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69"/>
      <c r="AM809" s="69"/>
      <c r="AN809" s="69"/>
      <c r="AO809" s="69"/>
      <c r="AP809" s="69"/>
      <c r="AQ809" s="69"/>
      <c r="AR809" s="69"/>
      <c r="AS809" s="69"/>
      <c r="AT809" s="69"/>
      <c r="AU809" s="1"/>
      <c r="AV809" s="1"/>
    </row>
    <row r="810" spans="1:48" ht="15.75" customHeight="1" x14ac:dyDescent="0.25">
      <c r="A810" s="1"/>
      <c r="B810" s="2"/>
      <c r="C810" s="3"/>
      <c r="D810" s="2"/>
      <c r="E810" s="52"/>
      <c r="F810" s="52"/>
      <c r="G810" s="52"/>
      <c r="H810" s="2"/>
      <c r="I810" s="2"/>
      <c r="J810" s="2"/>
      <c r="K810" s="2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2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69"/>
      <c r="AM810" s="69"/>
      <c r="AN810" s="69"/>
      <c r="AO810" s="69"/>
      <c r="AP810" s="69"/>
      <c r="AQ810" s="69"/>
      <c r="AR810" s="69"/>
      <c r="AS810" s="69"/>
      <c r="AT810" s="69"/>
      <c r="AU810" s="1"/>
      <c r="AV810" s="1"/>
    </row>
    <row r="811" spans="1:48" ht="15.75" customHeight="1" x14ac:dyDescent="0.25">
      <c r="A811" s="1"/>
      <c r="B811" s="2"/>
      <c r="C811" s="3"/>
      <c r="D811" s="2"/>
      <c r="E811" s="52"/>
      <c r="F811" s="52"/>
      <c r="G811" s="52"/>
      <c r="H811" s="2"/>
      <c r="I811" s="2"/>
      <c r="J811" s="2"/>
      <c r="K811" s="2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2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69"/>
      <c r="AM811" s="69"/>
      <c r="AN811" s="69"/>
      <c r="AO811" s="69"/>
      <c r="AP811" s="69"/>
      <c r="AQ811" s="69"/>
      <c r="AR811" s="69"/>
      <c r="AS811" s="69"/>
      <c r="AT811" s="69"/>
      <c r="AU811" s="1"/>
      <c r="AV811" s="1"/>
    </row>
    <row r="812" spans="1:48" ht="15.75" customHeight="1" x14ac:dyDescent="0.25">
      <c r="A812" s="1"/>
      <c r="B812" s="2"/>
      <c r="C812" s="3"/>
      <c r="D812" s="2"/>
      <c r="E812" s="52"/>
      <c r="F812" s="52"/>
      <c r="G812" s="52"/>
      <c r="H812" s="2"/>
      <c r="I812" s="2"/>
      <c r="J812" s="2"/>
      <c r="K812" s="2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2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69"/>
      <c r="AM812" s="69"/>
      <c r="AN812" s="69"/>
      <c r="AO812" s="69"/>
      <c r="AP812" s="69"/>
      <c r="AQ812" s="69"/>
      <c r="AR812" s="69"/>
      <c r="AS812" s="69"/>
      <c r="AT812" s="69"/>
      <c r="AU812" s="1"/>
      <c r="AV812" s="1"/>
    </row>
    <row r="813" spans="1:48" ht="15.75" customHeight="1" x14ac:dyDescent="0.25">
      <c r="A813" s="1"/>
      <c r="B813" s="2"/>
      <c r="C813" s="3"/>
      <c r="D813" s="2"/>
      <c r="E813" s="52"/>
      <c r="F813" s="52"/>
      <c r="G813" s="52"/>
      <c r="H813" s="2"/>
      <c r="I813" s="2"/>
      <c r="J813" s="2"/>
      <c r="K813" s="2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2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69"/>
      <c r="AM813" s="69"/>
      <c r="AN813" s="69"/>
      <c r="AO813" s="69"/>
      <c r="AP813" s="69"/>
      <c r="AQ813" s="69"/>
      <c r="AR813" s="69"/>
      <c r="AS813" s="69"/>
      <c r="AT813" s="69"/>
      <c r="AU813" s="1"/>
      <c r="AV813" s="1"/>
    </row>
    <row r="814" spans="1:48" ht="15.75" customHeight="1" x14ac:dyDescent="0.25">
      <c r="A814" s="1"/>
      <c r="B814" s="2"/>
      <c r="C814" s="3"/>
      <c r="D814" s="2"/>
      <c r="E814" s="52"/>
      <c r="F814" s="52"/>
      <c r="G814" s="52"/>
      <c r="H814" s="2"/>
      <c r="I814" s="2"/>
      <c r="J814" s="2"/>
      <c r="K814" s="2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2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69"/>
      <c r="AM814" s="69"/>
      <c r="AN814" s="69"/>
      <c r="AO814" s="69"/>
      <c r="AP814" s="69"/>
      <c r="AQ814" s="69"/>
      <c r="AR814" s="69"/>
      <c r="AS814" s="69"/>
      <c r="AT814" s="69"/>
      <c r="AU814" s="1"/>
      <c r="AV814" s="1"/>
    </row>
    <row r="815" spans="1:48" ht="15.75" customHeight="1" x14ac:dyDescent="0.25">
      <c r="A815" s="1"/>
      <c r="B815" s="2"/>
      <c r="C815" s="3"/>
      <c r="D815" s="2"/>
      <c r="E815" s="52"/>
      <c r="F815" s="52"/>
      <c r="G815" s="52"/>
      <c r="H815" s="2"/>
      <c r="I815" s="2"/>
      <c r="J815" s="2"/>
      <c r="K815" s="2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2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69"/>
      <c r="AM815" s="69"/>
      <c r="AN815" s="69"/>
      <c r="AO815" s="69"/>
      <c r="AP815" s="69"/>
      <c r="AQ815" s="69"/>
      <c r="AR815" s="69"/>
      <c r="AS815" s="69"/>
      <c r="AT815" s="69"/>
      <c r="AU815" s="1"/>
      <c r="AV815" s="1"/>
    </row>
    <row r="816" spans="1:48" ht="15.75" customHeight="1" x14ac:dyDescent="0.25">
      <c r="A816" s="1"/>
      <c r="B816" s="2"/>
      <c r="C816" s="3"/>
      <c r="D816" s="2"/>
      <c r="E816" s="52"/>
      <c r="F816" s="52"/>
      <c r="G816" s="52"/>
      <c r="H816" s="2"/>
      <c r="I816" s="2"/>
      <c r="J816" s="2"/>
      <c r="K816" s="2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2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69"/>
      <c r="AM816" s="69"/>
      <c r="AN816" s="69"/>
      <c r="AO816" s="69"/>
      <c r="AP816" s="69"/>
      <c r="AQ816" s="69"/>
      <c r="AR816" s="69"/>
      <c r="AS816" s="69"/>
      <c r="AT816" s="69"/>
      <c r="AU816" s="1"/>
      <c r="AV816" s="1"/>
    </row>
    <row r="817" spans="1:48" ht="15.75" customHeight="1" x14ac:dyDescent="0.25">
      <c r="A817" s="1"/>
      <c r="B817" s="2"/>
      <c r="C817" s="3"/>
      <c r="D817" s="2"/>
      <c r="E817" s="52"/>
      <c r="F817" s="52"/>
      <c r="G817" s="52"/>
      <c r="H817" s="2"/>
      <c r="I817" s="2"/>
      <c r="J817" s="2"/>
      <c r="K817" s="2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2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69"/>
      <c r="AM817" s="69"/>
      <c r="AN817" s="69"/>
      <c r="AO817" s="69"/>
      <c r="AP817" s="69"/>
      <c r="AQ817" s="69"/>
      <c r="AR817" s="69"/>
      <c r="AS817" s="69"/>
      <c r="AT817" s="69"/>
      <c r="AU817" s="1"/>
      <c r="AV817" s="1"/>
    </row>
    <row r="818" spans="1:48" ht="15.75" customHeight="1" x14ac:dyDescent="0.25">
      <c r="A818" s="1"/>
      <c r="B818" s="2"/>
      <c r="C818" s="3"/>
      <c r="D818" s="2"/>
      <c r="E818" s="52"/>
      <c r="F818" s="52"/>
      <c r="G818" s="52"/>
      <c r="H818" s="2"/>
      <c r="I818" s="2"/>
      <c r="J818" s="2"/>
      <c r="K818" s="2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2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69"/>
      <c r="AM818" s="69"/>
      <c r="AN818" s="69"/>
      <c r="AO818" s="69"/>
      <c r="AP818" s="69"/>
      <c r="AQ818" s="69"/>
      <c r="AR818" s="69"/>
      <c r="AS818" s="69"/>
      <c r="AT818" s="69"/>
      <c r="AU818" s="1"/>
      <c r="AV818" s="1"/>
    </row>
    <row r="819" spans="1:48" ht="15.75" customHeight="1" x14ac:dyDescent="0.25">
      <c r="A819" s="1"/>
      <c r="B819" s="2"/>
      <c r="C819" s="3"/>
      <c r="D819" s="2"/>
      <c r="E819" s="52"/>
      <c r="F819" s="52"/>
      <c r="G819" s="52"/>
      <c r="H819" s="2"/>
      <c r="I819" s="2"/>
      <c r="J819" s="2"/>
      <c r="K819" s="2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2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69"/>
      <c r="AM819" s="69"/>
      <c r="AN819" s="69"/>
      <c r="AO819" s="69"/>
      <c r="AP819" s="69"/>
      <c r="AQ819" s="69"/>
      <c r="AR819" s="69"/>
      <c r="AS819" s="69"/>
      <c r="AT819" s="69"/>
      <c r="AU819" s="1"/>
      <c r="AV819" s="1"/>
    </row>
    <row r="820" spans="1:48" ht="15.75" customHeight="1" x14ac:dyDescent="0.25">
      <c r="A820" s="1"/>
      <c r="B820" s="2"/>
      <c r="C820" s="3"/>
      <c r="D820" s="2"/>
      <c r="E820" s="52"/>
      <c r="F820" s="52"/>
      <c r="G820" s="52"/>
      <c r="H820" s="2"/>
      <c r="I820" s="2"/>
      <c r="J820" s="2"/>
      <c r="K820" s="2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2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69"/>
      <c r="AM820" s="69"/>
      <c r="AN820" s="69"/>
      <c r="AO820" s="69"/>
      <c r="AP820" s="69"/>
      <c r="AQ820" s="69"/>
      <c r="AR820" s="69"/>
      <c r="AS820" s="69"/>
      <c r="AT820" s="69"/>
      <c r="AU820" s="1"/>
      <c r="AV820" s="1"/>
    </row>
    <row r="821" spans="1:48" ht="15.75" customHeight="1" x14ac:dyDescent="0.25">
      <c r="A821" s="1"/>
      <c r="B821" s="2"/>
      <c r="C821" s="3"/>
      <c r="D821" s="2"/>
      <c r="E821" s="52"/>
      <c r="F821" s="52"/>
      <c r="G821" s="52"/>
      <c r="H821" s="2"/>
      <c r="I821" s="2"/>
      <c r="J821" s="2"/>
      <c r="K821" s="2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2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69"/>
      <c r="AM821" s="69"/>
      <c r="AN821" s="69"/>
      <c r="AO821" s="69"/>
      <c r="AP821" s="69"/>
      <c r="AQ821" s="69"/>
      <c r="AR821" s="69"/>
      <c r="AS821" s="69"/>
      <c r="AT821" s="69"/>
      <c r="AU821" s="1"/>
      <c r="AV821" s="1"/>
    </row>
    <row r="822" spans="1:48" ht="15.75" customHeight="1" x14ac:dyDescent="0.25">
      <c r="A822" s="1"/>
      <c r="B822" s="2"/>
      <c r="C822" s="3"/>
      <c r="D822" s="2"/>
      <c r="E822" s="52"/>
      <c r="F822" s="52"/>
      <c r="G822" s="52"/>
      <c r="H822" s="2"/>
      <c r="I822" s="2"/>
      <c r="J822" s="2"/>
      <c r="K822" s="2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2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69"/>
      <c r="AM822" s="69"/>
      <c r="AN822" s="69"/>
      <c r="AO822" s="69"/>
      <c r="AP822" s="69"/>
      <c r="AQ822" s="69"/>
      <c r="AR822" s="69"/>
      <c r="AS822" s="69"/>
      <c r="AT822" s="69"/>
      <c r="AU822" s="1"/>
      <c r="AV822" s="1"/>
    </row>
    <row r="823" spans="1:48" ht="15.75" customHeight="1" x14ac:dyDescent="0.25">
      <c r="A823" s="1"/>
      <c r="B823" s="2"/>
      <c r="C823" s="3"/>
      <c r="D823" s="2"/>
      <c r="E823" s="52"/>
      <c r="F823" s="52"/>
      <c r="G823" s="52"/>
      <c r="H823" s="2"/>
      <c r="I823" s="2"/>
      <c r="J823" s="2"/>
      <c r="K823" s="2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2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69"/>
      <c r="AM823" s="69"/>
      <c r="AN823" s="69"/>
      <c r="AO823" s="69"/>
      <c r="AP823" s="69"/>
      <c r="AQ823" s="69"/>
      <c r="AR823" s="69"/>
      <c r="AS823" s="69"/>
      <c r="AT823" s="69"/>
      <c r="AU823" s="1"/>
      <c r="AV823" s="1"/>
    </row>
    <row r="824" spans="1:48" ht="15.75" customHeight="1" x14ac:dyDescent="0.25">
      <c r="A824" s="1"/>
      <c r="B824" s="2"/>
      <c r="C824" s="3"/>
      <c r="D824" s="2"/>
      <c r="E824" s="52"/>
      <c r="F824" s="52"/>
      <c r="G824" s="52"/>
      <c r="H824" s="2"/>
      <c r="I824" s="2"/>
      <c r="J824" s="2"/>
      <c r="K824" s="2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2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69"/>
      <c r="AM824" s="69"/>
      <c r="AN824" s="69"/>
      <c r="AO824" s="69"/>
      <c r="AP824" s="69"/>
      <c r="AQ824" s="69"/>
      <c r="AR824" s="69"/>
      <c r="AS824" s="69"/>
      <c r="AT824" s="69"/>
      <c r="AU824" s="1"/>
      <c r="AV824" s="1"/>
    </row>
    <row r="825" spans="1:48" ht="15.75" customHeight="1" x14ac:dyDescent="0.25">
      <c r="A825" s="1"/>
      <c r="B825" s="2"/>
      <c r="C825" s="3"/>
      <c r="D825" s="2"/>
      <c r="E825" s="52"/>
      <c r="F825" s="52"/>
      <c r="G825" s="52"/>
      <c r="H825" s="2"/>
      <c r="I825" s="2"/>
      <c r="J825" s="2"/>
      <c r="K825" s="2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2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69"/>
      <c r="AM825" s="69"/>
      <c r="AN825" s="69"/>
      <c r="AO825" s="69"/>
      <c r="AP825" s="69"/>
      <c r="AQ825" s="69"/>
      <c r="AR825" s="69"/>
      <c r="AS825" s="69"/>
      <c r="AT825" s="69"/>
      <c r="AU825" s="1"/>
      <c r="AV825" s="1"/>
    </row>
    <row r="826" spans="1:48" ht="15.75" customHeight="1" x14ac:dyDescent="0.25">
      <c r="A826" s="1"/>
      <c r="B826" s="2"/>
      <c r="C826" s="3"/>
      <c r="D826" s="2"/>
      <c r="E826" s="52"/>
      <c r="F826" s="52"/>
      <c r="G826" s="52"/>
      <c r="H826" s="2"/>
      <c r="I826" s="2"/>
      <c r="J826" s="2"/>
      <c r="K826" s="2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2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69"/>
      <c r="AM826" s="69"/>
      <c r="AN826" s="69"/>
      <c r="AO826" s="69"/>
      <c r="AP826" s="69"/>
      <c r="AQ826" s="69"/>
      <c r="AR826" s="69"/>
      <c r="AS826" s="69"/>
      <c r="AT826" s="69"/>
      <c r="AU826" s="1"/>
      <c r="AV826" s="1"/>
    </row>
    <row r="827" spans="1:48" ht="15.75" customHeight="1" x14ac:dyDescent="0.25">
      <c r="A827" s="1"/>
      <c r="B827" s="2"/>
      <c r="C827" s="3"/>
      <c r="D827" s="2"/>
      <c r="E827" s="52"/>
      <c r="F827" s="52"/>
      <c r="G827" s="52"/>
      <c r="H827" s="2"/>
      <c r="I827" s="2"/>
      <c r="J827" s="2"/>
      <c r="K827" s="2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2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69"/>
      <c r="AM827" s="69"/>
      <c r="AN827" s="69"/>
      <c r="AO827" s="69"/>
      <c r="AP827" s="69"/>
      <c r="AQ827" s="69"/>
      <c r="AR827" s="69"/>
      <c r="AS827" s="69"/>
      <c r="AT827" s="69"/>
      <c r="AU827" s="1"/>
      <c r="AV827" s="1"/>
    </row>
    <row r="828" spans="1:48" ht="15.75" customHeight="1" x14ac:dyDescent="0.25">
      <c r="A828" s="1"/>
      <c r="B828" s="2"/>
      <c r="C828" s="3"/>
      <c r="D828" s="2"/>
      <c r="E828" s="52"/>
      <c r="F828" s="52"/>
      <c r="G828" s="52"/>
      <c r="H828" s="2"/>
      <c r="I828" s="2"/>
      <c r="J828" s="2"/>
      <c r="K828" s="2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2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69"/>
      <c r="AM828" s="69"/>
      <c r="AN828" s="69"/>
      <c r="AO828" s="69"/>
      <c r="AP828" s="69"/>
      <c r="AQ828" s="69"/>
      <c r="AR828" s="69"/>
      <c r="AS828" s="69"/>
      <c r="AT828" s="69"/>
      <c r="AU828" s="1"/>
      <c r="AV828" s="1"/>
    </row>
    <row r="829" spans="1:48" ht="15.75" customHeight="1" x14ac:dyDescent="0.25">
      <c r="A829" s="1"/>
      <c r="B829" s="2"/>
      <c r="C829" s="3"/>
      <c r="D829" s="2"/>
      <c r="E829" s="52"/>
      <c r="F829" s="52"/>
      <c r="G829" s="52"/>
      <c r="H829" s="2"/>
      <c r="I829" s="2"/>
      <c r="J829" s="2"/>
      <c r="K829" s="2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2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69"/>
      <c r="AM829" s="69"/>
      <c r="AN829" s="69"/>
      <c r="AO829" s="69"/>
      <c r="AP829" s="69"/>
      <c r="AQ829" s="69"/>
      <c r="AR829" s="69"/>
      <c r="AS829" s="69"/>
      <c r="AT829" s="69"/>
      <c r="AU829" s="1"/>
      <c r="AV829" s="1"/>
    </row>
    <row r="830" spans="1:48" ht="15.75" customHeight="1" x14ac:dyDescent="0.25">
      <c r="A830" s="1"/>
      <c r="B830" s="2"/>
      <c r="C830" s="3"/>
      <c r="D830" s="2"/>
      <c r="E830" s="52"/>
      <c r="F830" s="52"/>
      <c r="G830" s="52"/>
      <c r="H830" s="2"/>
      <c r="I830" s="2"/>
      <c r="J830" s="2"/>
      <c r="K830" s="2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2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69"/>
      <c r="AM830" s="69"/>
      <c r="AN830" s="69"/>
      <c r="AO830" s="69"/>
      <c r="AP830" s="69"/>
      <c r="AQ830" s="69"/>
      <c r="AR830" s="69"/>
      <c r="AS830" s="69"/>
      <c r="AT830" s="69"/>
      <c r="AU830" s="1"/>
      <c r="AV830" s="1"/>
    </row>
    <row r="831" spans="1:48" ht="15.75" customHeight="1" x14ac:dyDescent="0.25">
      <c r="A831" s="1"/>
      <c r="B831" s="2"/>
      <c r="C831" s="3"/>
      <c r="D831" s="2"/>
      <c r="E831" s="52"/>
      <c r="F831" s="52"/>
      <c r="G831" s="52"/>
      <c r="H831" s="2"/>
      <c r="I831" s="2"/>
      <c r="J831" s="2"/>
      <c r="K831" s="2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2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69"/>
      <c r="AM831" s="69"/>
      <c r="AN831" s="69"/>
      <c r="AO831" s="69"/>
      <c r="AP831" s="69"/>
      <c r="AQ831" s="69"/>
      <c r="AR831" s="69"/>
      <c r="AS831" s="69"/>
      <c r="AT831" s="69"/>
      <c r="AU831" s="1"/>
      <c r="AV831" s="1"/>
    </row>
    <row r="832" spans="1:48" ht="15.75" customHeight="1" x14ac:dyDescent="0.25">
      <c r="A832" s="1"/>
      <c r="B832" s="2"/>
      <c r="C832" s="3"/>
      <c r="D832" s="2"/>
      <c r="E832" s="52"/>
      <c r="F832" s="52"/>
      <c r="G832" s="52"/>
      <c r="H832" s="2"/>
      <c r="I832" s="2"/>
      <c r="J832" s="2"/>
      <c r="K832" s="2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2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69"/>
      <c r="AM832" s="69"/>
      <c r="AN832" s="69"/>
      <c r="AO832" s="69"/>
      <c r="AP832" s="69"/>
      <c r="AQ832" s="69"/>
      <c r="AR832" s="69"/>
      <c r="AS832" s="69"/>
      <c r="AT832" s="69"/>
      <c r="AU832" s="1"/>
      <c r="AV832" s="1"/>
    </row>
    <row r="833" spans="1:48" ht="15.75" customHeight="1" x14ac:dyDescent="0.25">
      <c r="A833" s="1"/>
      <c r="B833" s="2"/>
      <c r="C833" s="3"/>
      <c r="D833" s="2"/>
      <c r="E833" s="52"/>
      <c r="F833" s="52"/>
      <c r="G833" s="52"/>
      <c r="H833" s="2"/>
      <c r="I833" s="2"/>
      <c r="J833" s="2"/>
      <c r="K833" s="2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2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69"/>
      <c r="AM833" s="69"/>
      <c r="AN833" s="69"/>
      <c r="AO833" s="69"/>
      <c r="AP833" s="69"/>
      <c r="AQ833" s="69"/>
      <c r="AR833" s="69"/>
      <c r="AS833" s="69"/>
      <c r="AT833" s="69"/>
      <c r="AU833" s="1"/>
      <c r="AV833" s="1"/>
    </row>
    <row r="834" spans="1:48" ht="15.75" customHeight="1" x14ac:dyDescent="0.25">
      <c r="A834" s="1"/>
      <c r="B834" s="2"/>
      <c r="C834" s="3"/>
      <c r="D834" s="2"/>
      <c r="E834" s="52"/>
      <c r="F834" s="52"/>
      <c r="G834" s="52"/>
      <c r="H834" s="2"/>
      <c r="I834" s="2"/>
      <c r="J834" s="2"/>
      <c r="K834" s="2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2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69"/>
      <c r="AM834" s="69"/>
      <c r="AN834" s="69"/>
      <c r="AO834" s="69"/>
      <c r="AP834" s="69"/>
      <c r="AQ834" s="69"/>
      <c r="AR834" s="69"/>
      <c r="AS834" s="69"/>
      <c r="AT834" s="69"/>
      <c r="AU834" s="1"/>
      <c r="AV834" s="1"/>
    </row>
    <row r="835" spans="1:48" ht="15.75" customHeight="1" x14ac:dyDescent="0.25">
      <c r="A835" s="1"/>
      <c r="B835" s="2"/>
      <c r="C835" s="3"/>
      <c r="D835" s="2"/>
      <c r="E835" s="52"/>
      <c r="F835" s="52"/>
      <c r="G835" s="52"/>
      <c r="H835" s="2"/>
      <c r="I835" s="2"/>
      <c r="J835" s="2"/>
      <c r="K835" s="2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2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69"/>
      <c r="AM835" s="69"/>
      <c r="AN835" s="69"/>
      <c r="AO835" s="69"/>
      <c r="AP835" s="69"/>
      <c r="AQ835" s="69"/>
      <c r="AR835" s="69"/>
      <c r="AS835" s="69"/>
      <c r="AT835" s="69"/>
      <c r="AU835" s="1"/>
      <c r="AV835" s="1"/>
    </row>
    <row r="836" spans="1:48" ht="15.75" customHeight="1" x14ac:dyDescent="0.25">
      <c r="A836" s="1"/>
      <c r="B836" s="2"/>
      <c r="C836" s="3"/>
      <c r="D836" s="2"/>
      <c r="E836" s="52"/>
      <c r="F836" s="52"/>
      <c r="G836" s="52"/>
      <c r="H836" s="2"/>
      <c r="I836" s="2"/>
      <c r="J836" s="2"/>
      <c r="K836" s="2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2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69"/>
      <c r="AM836" s="69"/>
      <c r="AN836" s="69"/>
      <c r="AO836" s="69"/>
      <c r="AP836" s="69"/>
      <c r="AQ836" s="69"/>
      <c r="AR836" s="69"/>
      <c r="AS836" s="69"/>
      <c r="AT836" s="69"/>
      <c r="AU836" s="1"/>
      <c r="AV836" s="1"/>
    </row>
    <row r="837" spans="1:48" ht="15.75" customHeight="1" x14ac:dyDescent="0.25">
      <c r="A837" s="1"/>
      <c r="B837" s="2"/>
      <c r="C837" s="3"/>
      <c r="D837" s="2"/>
      <c r="E837" s="52"/>
      <c r="F837" s="52"/>
      <c r="G837" s="52"/>
      <c r="H837" s="2"/>
      <c r="I837" s="2"/>
      <c r="J837" s="2"/>
      <c r="K837" s="2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2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69"/>
      <c r="AM837" s="69"/>
      <c r="AN837" s="69"/>
      <c r="AO837" s="69"/>
      <c r="AP837" s="69"/>
      <c r="AQ837" s="69"/>
      <c r="AR837" s="69"/>
      <c r="AS837" s="69"/>
      <c r="AT837" s="69"/>
      <c r="AU837" s="1"/>
      <c r="AV837" s="1"/>
    </row>
    <row r="838" spans="1:48" ht="15.75" customHeight="1" x14ac:dyDescent="0.25">
      <c r="A838" s="1"/>
      <c r="B838" s="2"/>
      <c r="C838" s="3"/>
      <c r="D838" s="2"/>
      <c r="E838" s="52"/>
      <c r="F838" s="52"/>
      <c r="G838" s="52"/>
      <c r="H838" s="2"/>
      <c r="I838" s="2"/>
      <c r="J838" s="2"/>
      <c r="K838" s="2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2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69"/>
      <c r="AM838" s="69"/>
      <c r="AN838" s="69"/>
      <c r="AO838" s="69"/>
      <c r="AP838" s="69"/>
      <c r="AQ838" s="69"/>
      <c r="AR838" s="69"/>
      <c r="AS838" s="69"/>
      <c r="AT838" s="69"/>
      <c r="AU838" s="1"/>
      <c r="AV838" s="1"/>
    </row>
    <row r="839" spans="1:48" ht="15.75" customHeight="1" x14ac:dyDescent="0.25">
      <c r="A839" s="1"/>
      <c r="B839" s="2"/>
      <c r="C839" s="3"/>
      <c r="D839" s="2"/>
      <c r="E839" s="52"/>
      <c r="F839" s="52"/>
      <c r="G839" s="52"/>
      <c r="H839" s="2"/>
      <c r="I839" s="2"/>
      <c r="J839" s="2"/>
      <c r="K839" s="2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2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69"/>
      <c r="AM839" s="69"/>
      <c r="AN839" s="69"/>
      <c r="AO839" s="69"/>
      <c r="AP839" s="69"/>
      <c r="AQ839" s="69"/>
      <c r="AR839" s="69"/>
      <c r="AS839" s="69"/>
      <c r="AT839" s="69"/>
      <c r="AU839" s="1"/>
      <c r="AV839" s="1"/>
    </row>
    <row r="840" spans="1:48" ht="15.75" customHeight="1" x14ac:dyDescent="0.25">
      <c r="A840" s="1"/>
      <c r="B840" s="2"/>
      <c r="C840" s="3"/>
      <c r="D840" s="2"/>
      <c r="E840" s="52"/>
      <c r="F840" s="52"/>
      <c r="G840" s="52"/>
      <c r="H840" s="2"/>
      <c r="I840" s="2"/>
      <c r="J840" s="2"/>
      <c r="K840" s="2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2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69"/>
      <c r="AM840" s="69"/>
      <c r="AN840" s="69"/>
      <c r="AO840" s="69"/>
      <c r="AP840" s="69"/>
      <c r="AQ840" s="69"/>
      <c r="AR840" s="69"/>
      <c r="AS840" s="69"/>
      <c r="AT840" s="69"/>
      <c r="AU840" s="1"/>
      <c r="AV840" s="1"/>
    </row>
    <row r="841" spans="1:48" ht="15.75" customHeight="1" x14ac:dyDescent="0.25">
      <c r="A841" s="1"/>
      <c r="B841" s="2"/>
      <c r="C841" s="3"/>
      <c r="D841" s="2"/>
      <c r="E841" s="52"/>
      <c r="F841" s="52"/>
      <c r="G841" s="52"/>
      <c r="H841" s="2"/>
      <c r="I841" s="2"/>
      <c r="J841" s="2"/>
      <c r="K841" s="2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2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69"/>
      <c r="AM841" s="69"/>
      <c r="AN841" s="69"/>
      <c r="AO841" s="69"/>
      <c r="AP841" s="69"/>
      <c r="AQ841" s="69"/>
      <c r="AR841" s="69"/>
      <c r="AS841" s="69"/>
      <c r="AT841" s="69"/>
      <c r="AU841" s="1"/>
      <c r="AV841" s="1"/>
    </row>
    <row r="842" spans="1:48" ht="15.75" customHeight="1" x14ac:dyDescent="0.25">
      <c r="A842" s="1"/>
      <c r="B842" s="2"/>
      <c r="C842" s="3"/>
      <c r="D842" s="2"/>
      <c r="E842" s="52"/>
      <c r="F842" s="52"/>
      <c r="G842" s="52"/>
      <c r="H842" s="2"/>
      <c r="I842" s="2"/>
      <c r="J842" s="2"/>
      <c r="K842" s="2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2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69"/>
      <c r="AM842" s="69"/>
      <c r="AN842" s="69"/>
      <c r="AO842" s="69"/>
      <c r="AP842" s="69"/>
      <c r="AQ842" s="69"/>
      <c r="AR842" s="69"/>
      <c r="AS842" s="69"/>
      <c r="AT842" s="69"/>
      <c r="AU842" s="1"/>
      <c r="AV842" s="1"/>
    </row>
    <row r="843" spans="1:48" ht="15.75" customHeight="1" x14ac:dyDescent="0.25">
      <c r="A843" s="1"/>
      <c r="B843" s="2"/>
      <c r="C843" s="3"/>
      <c r="D843" s="2"/>
      <c r="E843" s="52"/>
      <c r="F843" s="52"/>
      <c r="G843" s="52"/>
      <c r="H843" s="2"/>
      <c r="I843" s="2"/>
      <c r="J843" s="2"/>
      <c r="K843" s="2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2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69"/>
      <c r="AM843" s="69"/>
      <c r="AN843" s="69"/>
      <c r="AO843" s="69"/>
      <c r="AP843" s="69"/>
      <c r="AQ843" s="69"/>
      <c r="AR843" s="69"/>
      <c r="AS843" s="69"/>
      <c r="AT843" s="69"/>
      <c r="AU843" s="1"/>
      <c r="AV843" s="1"/>
    </row>
    <row r="844" spans="1:48" ht="15.75" customHeight="1" x14ac:dyDescent="0.25">
      <c r="A844" s="1"/>
      <c r="B844" s="2"/>
      <c r="C844" s="3"/>
      <c r="D844" s="2"/>
      <c r="E844" s="52"/>
      <c r="F844" s="52"/>
      <c r="G844" s="52"/>
      <c r="H844" s="2"/>
      <c r="I844" s="2"/>
      <c r="J844" s="2"/>
      <c r="K844" s="2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2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69"/>
      <c r="AM844" s="69"/>
      <c r="AN844" s="69"/>
      <c r="AO844" s="69"/>
      <c r="AP844" s="69"/>
      <c r="AQ844" s="69"/>
      <c r="AR844" s="69"/>
      <c r="AS844" s="69"/>
      <c r="AT844" s="69"/>
      <c r="AU844" s="1"/>
      <c r="AV844" s="1"/>
    </row>
    <row r="845" spans="1:48" ht="15.75" customHeight="1" x14ac:dyDescent="0.25">
      <c r="A845" s="1"/>
      <c r="B845" s="2"/>
      <c r="C845" s="3"/>
      <c r="D845" s="2"/>
      <c r="E845" s="52"/>
      <c r="F845" s="52"/>
      <c r="G845" s="52"/>
      <c r="H845" s="2"/>
      <c r="I845" s="2"/>
      <c r="J845" s="2"/>
      <c r="K845" s="2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2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69"/>
      <c r="AM845" s="69"/>
      <c r="AN845" s="69"/>
      <c r="AO845" s="69"/>
      <c r="AP845" s="69"/>
      <c r="AQ845" s="69"/>
      <c r="AR845" s="69"/>
      <c r="AS845" s="69"/>
      <c r="AT845" s="69"/>
      <c r="AU845" s="1"/>
      <c r="AV845" s="1"/>
    </row>
    <row r="846" spans="1:48" ht="15.75" customHeight="1" x14ac:dyDescent="0.25">
      <c r="A846" s="1"/>
      <c r="B846" s="2"/>
      <c r="C846" s="3"/>
      <c r="D846" s="2"/>
      <c r="E846" s="52"/>
      <c r="F846" s="52"/>
      <c r="G846" s="52"/>
      <c r="H846" s="2"/>
      <c r="I846" s="2"/>
      <c r="J846" s="2"/>
      <c r="K846" s="2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2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69"/>
      <c r="AM846" s="69"/>
      <c r="AN846" s="69"/>
      <c r="AO846" s="69"/>
      <c r="AP846" s="69"/>
      <c r="AQ846" s="69"/>
      <c r="AR846" s="69"/>
      <c r="AS846" s="69"/>
      <c r="AT846" s="69"/>
      <c r="AU846" s="1"/>
      <c r="AV846" s="1"/>
    </row>
    <row r="847" spans="1:48" ht="15.75" customHeight="1" x14ac:dyDescent="0.25">
      <c r="A847" s="1"/>
      <c r="B847" s="2"/>
      <c r="C847" s="3"/>
      <c r="D847" s="2"/>
      <c r="E847" s="52"/>
      <c r="F847" s="52"/>
      <c r="G847" s="52"/>
      <c r="H847" s="2"/>
      <c r="I847" s="2"/>
      <c r="J847" s="2"/>
      <c r="K847" s="2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2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69"/>
      <c r="AM847" s="69"/>
      <c r="AN847" s="69"/>
      <c r="AO847" s="69"/>
      <c r="AP847" s="69"/>
      <c r="AQ847" s="69"/>
      <c r="AR847" s="69"/>
      <c r="AS847" s="69"/>
      <c r="AT847" s="69"/>
      <c r="AU847" s="1"/>
      <c r="AV847" s="1"/>
    </row>
    <row r="848" spans="1:48" ht="15.75" customHeight="1" x14ac:dyDescent="0.25">
      <c r="A848" s="1"/>
      <c r="B848" s="2"/>
      <c r="C848" s="3"/>
      <c r="D848" s="2"/>
      <c r="E848" s="52"/>
      <c r="F848" s="52"/>
      <c r="G848" s="52"/>
      <c r="H848" s="2"/>
      <c r="I848" s="2"/>
      <c r="J848" s="2"/>
      <c r="K848" s="2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2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69"/>
      <c r="AM848" s="69"/>
      <c r="AN848" s="69"/>
      <c r="AO848" s="69"/>
      <c r="AP848" s="69"/>
      <c r="AQ848" s="69"/>
      <c r="AR848" s="69"/>
      <c r="AS848" s="69"/>
      <c r="AT848" s="69"/>
      <c r="AU848" s="1"/>
      <c r="AV848" s="1"/>
    </row>
    <row r="849" spans="1:48" ht="15.75" customHeight="1" x14ac:dyDescent="0.25">
      <c r="A849" s="1"/>
      <c r="B849" s="2"/>
      <c r="C849" s="3"/>
      <c r="D849" s="2"/>
      <c r="E849" s="52"/>
      <c r="F849" s="52"/>
      <c r="G849" s="52"/>
      <c r="H849" s="2"/>
      <c r="I849" s="2"/>
      <c r="J849" s="2"/>
      <c r="K849" s="2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2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69"/>
      <c r="AM849" s="69"/>
      <c r="AN849" s="69"/>
      <c r="AO849" s="69"/>
      <c r="AP849" s="69"/>
      <c r="AQ849" s="69"/>
      <c r="AR849" s="69"/>
      <c r="AS849" s="69"/>
      <c r="AT849" s="69"/>
      <c r="AU849" s="1"/>
      <c r="AV849" s="1"/>
    </row>
    <row r="850" spans="1:48" ht="15.75" customHeight="1" x14ac:dyDescent="0.25">
      <c r="A850" s="1"/>
      <c r="B850" s="2"/>
      <c r="C850" s="3"/>
      <c r="D850" s="2"/>
      <c r="E850" s="52"/>
      <c r="F850" s="52"/>
      <c r="G850" s="52"/>
      <c r="H850" s="2"/>
      <c r="I850" s="2"/>
      <c r="J850" s="2"/>
      <c r="K850" s="2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2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69"/>
      <c r="AM850" s="69"/>
      <c r="AN850" s="69"/>
      <c r="AO850" s="69"/>
      <c r="AP850" s="69"/>
      <c r="AQ850" s="69"/>
      <c r="AR850" s="69"/>
      <c r="AS850" s="69"/>
      <c r="AT850" s="69"/>
      <c r="AU850" s="1"/>
      <c r="AV850" s="1"/>
    </row>
    <row r="851" spans="1:48" ht="15.75" customHeight="1" x14ac:dyDescent="0.25">
      <c r="A851" s="1"/>
      <c r="B851" s="2"/>
      <c r="C851" s="3"/>
      <c r="D851" s="2"/>
      <c r="E851" s="52"/>
      <c r="F851" s="52"/>
      <c r="G851" s="52"/>
      <c r="H851" s="2"/>
      <c r="I851" s="2"/>
      <c r="J851" s="2"/>
      <c r="K851" s="2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2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69"/>
      <c r="AM851" s="69"/>
      <c r="AN851" s="69"/>
      <c r="AO851" s="69"/>
      <c r="AP851" s="69"/>
      <c r="AQ851" s="69"/>
      <c r="AR851" s="69"/>
      <c r="AS851" s="69"/>
      <c r="AT851" s="69"/>
      <c r="AU851" s="1"/>
      <c r="AV851" s="1"/>
    </row>
    <row r="852" spans="1:48" ht="15.75" customHeight="1" x14ac:dyDescent="0.25">
      <c r="A852" s="1"/>
      <c r="B852" s="2"/>
      <c r="C852" s="3"/>
      <c r="D852" s="2"/>
      <c r="E852" s="52"/>
      <c r="F852" s="52"/>
      <c r="G852" s="52"/>
      <c r="H852" s="2"/>
      <c r="I852" s="2"/>
      <c r="J852" s="2"/>
      <c r="K852" s="2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2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69"/>
      <c r="AM852" s="69"/>
      <c r="AN852" s="69"/>
      <c r="AO852" s="69"/>
      <c r="AP852" s="69"/>
      <c r="AQ852" s="69"/>
      <c r="AR852" s="69"/>
      <c r="AS852" s="69"/>
      <c r="AT852" s="69"/>
      <c r="AU852" s="1"/>
      <c r="AV852" s="1"/>
    </row>
    <row r="853" spans="1:48" ht="15.75" customHeight="1" x14ac:dyDescent="0.25">
      <c r="A853" s="1"/>
      <c r="B853" s="2"/>
      <c r="C853" s="3"/>
      <c r="D853" s="2"/>
      <c r="E853" s="52"/>
      <c r="F853" s="52"/>
      <c r="G853" s="52"/>
      <c r="H853" s="2"/>
      <c r="I853" s="2"/>
      <c r="J853" s="2"/>
      <c r="K853" s="2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2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69"/>
      <c r="AM853" s="69"/>
      <c r="AN853" s="69"/>
      <c r="AO853" s="69"/>
      <c r="AP853" s="69"/>
      <c r="AQ853" s="69"/>
      <c r="AR853" s="69"/>
      <c r="AS853" s="69"/>
      <c r="AT853" s="69"/>
      <c r="AU853" s="1"/>
      <c r="AV853" s="1"/>
    </row>
    <row r="854" spans="1:48" ht="15.75" customHeight="1" x14ac:dyDescent="0.25">
      <c r="A854" s="1"/>
      <c r="B854" s="2"/>
      <c r="C854" s="3"/>
      <c r="D854" s="2"/>
      <c r="E854" s="52"/>
      <c r="F854" s="52"/>
      <c r="G854" s="52"/>
      <c r="H854" s="2"/>
      <c r="I854" s="2"/>
      <c r="J854" s="2"/>
      <c r="K854" s="2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2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69"/>
      <c r="AM854" s="69"/>
      <c r="AN854" s="69"/>
      <c r="AO854" s="69"/>
      <c r="AP854" s="69"/>
      <c r="AQ854" s="69"/>
      <c r="AR854" s="69"/>
      <c r="AS854" s="69"/>
      <c r="AT854" s="69"/>
      <c r="AU854" s="1"/>
      <c r="AV854" s="1"/>
    </row>
    <row r="855" spans="1:48" ht="15.75" customHeight="1" x14ac:dyDescent="0.25">
      <c r="A855" s="1"/>
      <c r="B855" s="2"/>
      <c r="C855" s="3"/>
      <c r="D855" s="2"/>
      <c r="E855" s="52"/>
      <c r="F855" s="52"/>
      <c r="G855" s="52"/>
      <c r="H855" s="2"/>
      <c r="I855" s="2"/>
      <c r="J855" s="2"/>
      <c r="K855" s="2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2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69"/>
      <c r="AM855" s="69"/>
      <c r="AN855" s="69"/>
      <c r="AO855" s="69"/>
      <c r="AP855" s="69"/>
      <c r="AQ855" s="69"/>
      <c r="AR855" s="69"/>
      <c r="AS855" s="69"/>
      <c r="AT855" s="69"/>
      <c r="AU855" s="1"/>
      <c r="AV855" s="1"/>
    </row>
    <row r="856" spans="1:48" ht="15.75" customHeight="1" x14ac:dyDescent="0.25">
      <c r="A856" s="1"/>
      <c r="B856" s="2"/>
      <c r="C856" s="3"/>
      <c r="D856" s="2"/>
      <c r="E856" s="52"/>
      <c r="F856" s="52"/>
      <c r="G856" s="52"/>
      <c r="H856" s="2"/>
      <c r="I856" s="2"/>
      <c r="J856" s="2"/>
      <c r="K856" s="2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2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69"/>
      <c r="AM856" s="69"/>
      <c r="AN856" s="69"/>
      <c r="AO856" s="69"/>
      <c r="AP856" s="69"/>
      <c r="AQ856" s="69"/>
      <c r="AR856" s="69"/>
      <c r="AS856" s="69"/>
      <c r="AT856" s="69"/>
      <c r="AU856" s="1"/>
      <c r="AV856" s="1"/>
    </row>
    <row r="857" spans="1:48" ht="15.75" customHeight="1" x14ac:dyDescent="0.25">
      <c r="A857" s="1"/>
      <c r="B857" s="2"/>
      <c r="C857" s="3"/>
      <c r="D857" s="2"/>
      <c r="E857" s="52"/>
      <c r="F857" s="52"/>
      <c r="G857" s="52"/>
      <c r="H857" s="2"/>
      <c r="I857" s="2"/>
      <c r="J857" s="2"/>
      <c r="K857" s="2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2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69"/>
      <c r="AM857" s="69"/>
      <c r="AN857" s="69"/>
      <c r="AO857" s="69"/>
      <c r="AP857" s="69"/>
      <c r="AQ857" s="69"/>
      <c r="AR857" s="69"/>
      <c r="AS857" s="69"/>
      <c r="AT857" s="69"/>
      <c r="AU857" s="1"/>
      <c r="AV857" s="1"/>
    </row>
    <row r="858" spans="1:48" ht="15.75" customHeight="1" x14ac:dyDescent="0.25">
      <c r="A858" s="1"/>
      <c r="B858" s="2"/>
      <c r="C858" s="3"/>
      <c r="D858" s="2"/>
      <c r="E858" s="52"/>
      <c r="F858" s="52"/>
      <c r="G858" s="52"/>
      <c r="H858" s="2"/>
      <c r="I858" s="2"/>
      <c r="J858" s="2"/>
      <c r="K858" s="2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2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69"/>
      <c r="AM858" s="69"/>
      <c r="AN858" s="69"/>
      <c r="AO858" s="69"/>
      <c r="AP858" s="69"/>
      <c r="AQ858" s="69"/>
      <c r="AR858" s="69"/>
      <c r="AS858" s="69"/>
      <c r="AT858" s="69"/>
      <c r="AU858" s="1"/>
      <c r="AV858" s="1"/>
    </row>
    <row r="859" spans="1:48" ht="15.75" customHeight="1" x14ac:dyDescent="0.25">
      <c r="A859" s="1"/>
      <c r="B859" s="2"/>
      <c r="C859" s="3"/>
      <c r="D859" s="2"/>
      <c r="E859" s="52"/>
      <c r="F859" s="52"/>
      <c r="G859" s="52"/>
      <c r="H859" s="2"/>
      <c r="I859" s="2"/>
      <c r="J859" s="2"/>
      <c r="K859" s="2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2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69"/>
      <c r="AM859" s="69"/>
      <c r="AN859" s="69"/>
      <c r="AO859" s="69"/>
      <c r="AP859" s="69"/>
      <c r="AQ859" s="69"/>
      <c r="AR859" s="69"/>
      <c r="AS859" s="69"/>
      <c r="AT859" s="69"/>
      <c r="AU859" s="1"/>
      <c r="AV859" s="1"/>
    </row>
    <row r="860" spans="1:48" ht="15.75" customHeight="1" x14ac:dyDescent="0.25">
      <c r="A860" s="1"/>
      <c r="B860" s="2"/>
      <c r="C860" s="3"/>
      <c r="D860" s="2"/>
      <c r="E860" s="52"/>
      <c r="F860" s="52"/>
      <c r="G860" s="52"/>
      <c r="H860" s="2"/>
      <c r="I860" s="2"/>
      <c r="J860" s="2"/>
      <c r="K860" s="2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2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69"/>
      <c r="AM860" s="69"/>
      <c r="AN860" s="69"/>
      <c r="AO860" s="69"/>
      <c r="AP860" s="69"/>
      <c r="AQ860" s="69"/>
      <c r="AR860" s="69"/>
      <c r="AS860" s="69"/>
      <c r="AT860" s="69"/>
      <c r="AU860" s="1"/>
      <c r="AV860" s="1"/>
    </row>
    <row r="861" spans="1:48" ht="15.75" customHeight="1" x14ac:dyDescent="0.25">
      <c r="A861" s="1"/>
      <c r="B861" s="2"/>
      <c r="C861" s="3"/>
      <c r="D861" s="2"/>
      <c r="E861" s="52"/>
      <c r="F861" s="52"/>
      <c r="G861" s="52"/>
      <c r="H861" s="2"/>
      <c r="I861" s="2"/>
      <c r="J861" s="2"/>
      <c r="K861" s="2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2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69"/>
      <c r="AM861" s="69"/>
      <c r="AN861" s="69"/>
      <c r="AO861" s="69"/>
      <c r="AP861" s="69"/>
      <c r="AQ861" s="69"/>
      <c r="AR861" s="69"/>
      <c r="AS861" s="69"/>
      <c r="AT861" s="69"/>
      <c r="AU861" s="1"/>
      <c r="AV861" s="1"/>
    </row>
    <row r="862" spans="1:48" ht="15.75" customHeight="1" x14ac:dyDescent="0.25">
      <c r="A862" s="1"/>
      <c r="B862" s="2"/>
      <c r="C862" s="3"/>
      <c r="D862" s="2"/>
      <c r="E862" s="52"/>
      <c r="F862" s="52"/>
      <c r="G862" s="52"/>
      <c r="H862" s="2"/>
      <c r="I862" s="2"/>
      <c r="J862" s="2"/>
      <c r="K862" s="2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2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69"/>
      <c r="AM862" s="69"/>
      <c r="AN862" s="69"/>
      <c r="AO862" s="69"/>
      <c r="AP862" s="69"/>
      <c r="AQ862" s="69"/>
      <c r="AR862" s="69"/>
      <c r="AS862" s="69"/>
      <c r="AT862" s="69"/>
      <c r="AU862" s="1"/>
      <c r="AV862" s="1"/>
    </row>
    <row r="863" spans="1:48" ht="15.75" customHeight="1" x14ac:dyDescent="0.25">
      <c r="A863" s="1"/>
      <c r="B863" s="2"/>
      <c r="C863" s="3"/>
      <c r="D863" s="2"/>
      <c r="E863" s="52"/>
      <c r="F863" s="52"/>
      <c r="G863" s="52"/>
      <c r="H863" s="2"/>
      <c r="I863" s="2"/>
      <c r="J863" s="2"/>
      <c r="K863" s="2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2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69"/>
      <c r="AM863" s="69"/>
      <c r="AN863" s="69"/>
      <c r="AO863" s="69"/>
      <c r="AP863" s="69"/>
      <c r="AQ863" s="69"/>
      <c r="AR863" s="69"/>
      <c r="AS863" s="69"/>
      <c r="AT863" s="69"/>
      <c r="AU863" s="1"/>
      <c r="AV863" s="1"/>
    </row>
    <row r="864" spans="1:48" ht="15.75" customHeight="1" x14ac:dyDescent="0.25">
      <c r="A864" s="1"/>
      <c r="B864" s="2"/>
      <c r="C864" s="3"/>
      <c r="D864" s="2"/>
      <c r="E864" s="52"/>
      <c r="F864" s="52"/>
      <c r="G864" s="52"/>
      <c r="H864" s="2"/>
      <c r="I864" s="2"/>
      <c r="J864" s="2"/>
      <c r="K864" s="2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2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69"/>
      <c r="AM864" s="69"/>
      <c r="AN864" s="69"/>
      <c r="AO864" s="69"/>
      <c r="AP864" s="69"/>
      <c r="AQ864" s="69"/>
      <c r="AR864" s="69"/>
      <c r="AS864" s="69"/>
      <c r="AT864" s="69"/>
      <c r="AU864" s="1"/>
      <c r="AV864" s="1"/>
    </row>
    <row r="865" spans="1:48" ht="15.75" customHeight="1" x14ac:dyDescent="0.25">
      <c r="A865" s="1"/>
      <c r="B865" s="2"/>
      <c r="C865" s="3"/>
      <c r="D865" s="2"/>
      <c r="E865" s="52"/>
      <c r="F865" s="52"/>
      <c r="G865" s="52"/>
      <c r="H865" s="2"/>
      <c r="I865" s="2"/>
      <c r="J865" s="2"/>
      <c r="K865" s="2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2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69"/>
      <c r="AM865" s="69"/>
      <c r="AN865" s="69"/>
      <c r="AO865" s="69"/>
      <c r="AP865" s="69"/>
      <c r="AQ865" s="69"/>
      <c r="AR865" s="69"/>
      <c r="AS865" s="69"/>
      <c r="AT865" s="69"/>
      <c r="AU865" s="1"/>
      <c r="AV865" s="1"/>
    </row>
    <row r="866" spans="1:48" ht="15.75" customHeight="1" x14ac:dyDescent="0.25">
      <c r="A866" s="1"/>
      <c r="B866" s="2"/>
      <c r="C866" s="3"/>
      <c r="D866" s="2"/>
      <c r="E866" s="52"/>
      <c r="F866" s="52"/>
      <c r="G866" s="52"/>
      <c r="H866" s="2"/>
      <c r="I866" s="2"/>
      <c r="J866" s="2"/>
      <c r="K866" s="2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2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69"/>
      <c r="AM866" s="69"/>
      <c r="AN866" s="69"/>
      <c r="AO866" s="69"/>
      <c r="AP866" s="69"/>
      <c r="AQ866" s="69"/>
      <c r="AR866" s="69"/>
      <c r="AS866" s="69"/>
      <c r="AT866" s="69"/>
      <c r="AU866" s="1"/>
      <c r="AV866" s="1"/>
    </row>
    <row r="867" spans="1:48" ht="15.75" customHeight="1" x14ac:dyDescent="0.25">
      <c r="A867" s="1"/>
      <c r="B867" s="2"/>
      <c r="C867" s="3"/>
      <c r="D867" s="2"/>
      <c r="E867" s="52"/>
      <c r="F867" s="52"/>
      <c r="G867" s="52"/>
      <c r="H867" s="2"/>
      <c r="I867" s="2"/>
      <c r="J867" s="2"/>
      <c r="K867" s="2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2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69"/>
      <c r="AM867" s="69"/>
      <c r="AN867" s="69"/>
      <c r="AO867" s="69"/>
      <c r="AP867" s="69"/>
      <c r="AQ867" s="69"/>
      <c r="AR867" s="69"/>
      <c r="AS867" s="69"/>
      <c r="AT867" s="69"/>
      <c r="AU867" s="1"/>
      <c r="AV867" s="1"/>
    </row>
    <row r="868" spans="1:48" ht="15.75" customHeight="1" x14ac:dyDescent="0.25">
      <c r="A868" s="1"/>
      <c r="B868" s="2"/>
      <c r="C868" s="3"/>
      <c r="D868" s="2"/>
      <c r="E868" s="52"/>
      <c r="F868" s="52"/>
      <c r="G868" s="52"/>
      <c r="H868" s="2"/>
      <c r="I868" s="2"/>
      <c r="J868" s="2"/>
      <c r="K868" s="2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2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69"/>
      <c r="AM868" s="69"/>
      <c r="AN868" s="69"/>
      <c r="AO868" s="69"/>
      <c r="AP868" s="69"/>
      <c r="AQ868" s="69"/>
      <c r="AR868" s="69"/>
      <c r="AS868" s="69"/>
      <c r="AT868" s="69"/>
      <c r="AU868" s="1"/>
      <c r="AV868" s="1"/>
    </row>
    <row r="869" spans="1:48" ht="15.75" customHeight="1" x14ac:dyDescent="0.25">
      <c r="A869" s="1"/>
      <c r="B869" s="2"/>
      <c r="C869" s="3"/>
      <c r="D869" s="2"/>
      <c r="E869" s="52"/>
      <c r="F869" s="52"/>
      <c r="G869" s="52"/>
      <c r="H869" s="2"/>
      <c r="I869" s="2"/>
      <c r="J869" s="2"/>
      <c r="K869" s="2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2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69"/>
      <c r="AM869" s="69"/>
      <c r="AN869" s="69"/>
      <c r="AO869" s="69"/>
      <c r="AP869" s="69"/>
      <c r="AQ869" s="69"/>
      <c r="AR869" s="69"/>
      <c r="AS869" s="69"/>
      <c r="AT869" s="69"/>
      <c r="AU869" s="1"/>
      <c r="AV869" s="1"/>
    </row>
    <row r="870" spans="1:48" ht="15.75" customHeight="1" x14ac:dyDescent="0.25">
      <c r="A870" s="1"/>
      <c r="B870" s="2"/>
      <c r="C870" s="3"/>
      <c r="D870" s="2"/>
      <c r="E870" s="52"/>
      <c r="F870" s="52"/>
      <c r="G870" s="52"/>
      <c r="H870" s="2"/>
      <c r="I870" s="2"/>
      <c r="J870" s="2"/>
      <c r="K870" s="2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2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69"/>
      <c r="AM870" s="69"/>
      <c r="AN870" s="69"/>
      <c r="AO870" s="69"/>
      <c r="AP870" s="69"/>
      <c r="AQ870" s="69"/>
      <c r="AR870" s="69"/>
      <c r="AS870" s="69"/>
      <c r="AT870" s="69"/>
      <c r="AU870" s="1"/>
      <c r="AV870" s="1"/>
    </row>
    <row r="871" spans="1:48" ht="15.75" customHeight="1" x14ac:dyDescent="0.25">
      <c r="A871" s="1"/>
      <c r="B871" s="2"/>
      <c r="C871" s="3"/>
      <c r="D871" s="2"/>
      <c r="E871" s="52"/>
      <c r="F871" s="52"/>
      <c r="G871" s="52"/>
      <c r="H871" s="2"/>
      <c r="I871" s="2"/>
      <c r="J871" s="2"/>
      <c r="K871" s="2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2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69"/>
      <c r="AM871" s="69"/>
      <c r="AN871" s="69"/>
      <c r="AO871" s="69"/>
      <c r="AP871" s="69"/>
      <c r="AQ871" s="69"/>
      <c r="AR871" s="69"/>
      <c r="AS871" s="69"/>
      <c r="AT871" s="69"/>
      <c r="AU871" s="1"/>
      <c r="AV871" s="1"/>
    </row>
    <row r="872" spans="1:48" ht="15.75" customHeight="1" x14ac:dyDescent="0.25">
      <c r="A872" s="1"/>
      <c r="B872" s="2"/>
      <c r="C872" s="3"/>
      <c r="D872" s="2"/>
      <c r="E872" s="52"/>
      <c r="F872" s="52"/>
      <c r="G872" s="52"/>
      <c r="H872" s="2"/>
      <c r="I872" s="2"/>
      <c r="J872" s="2"/>
      <c r="K872" s="2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2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69"/>
      <c r="AM872" s="69"/>
      <c r="AN872" s="69"/>
      <c r="AO872" s="69"/>
      <c r="AP872" s="69"/>
      <c r="AQ872" s="69"/>
      <c r="AR872" s="69"/>
      <c r="AS872" s="69"/>
      <c r="AT872" s="69"/>
      <c r="AU872" s="1"/>
      <c r="AV872" s="1"/>
    </row>
    <row r="873" spans="1:48" ht="15.75" customHeight="1" x14ac:dyDescent="0.25">
      <c r="A873" s="1"/>
      <c r="B873" s="2"/>
      <c r="C873" s="3"/>
      <c r="D873" s="2"/>
      <c r="E873" s="52"/>
      <c r="F873" s="52"/>
      <c r="G873" s="52"/>
      <c r="H873" s="2"/>
      <c r="I873" s="2"/>
      <c r="J873" s="2"/>
      <c r="K873" s="2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2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69"/>
      <c r="AM873" s="69"/>
      <c r="AN873" s="69"/>
      <c r="AO873" s="69"/>
      <c r="AP873" s="69"/>
      <c r="AQ873" s="69"/>
      <c r="AR873" s="69"/>
      <c r="AS873" s="69"/>
      <c r="AT873" s="69"/>
      <c r="AU873" s="1"/>
      <c r="AV873" s="1"/>
    </row>
    <row r="874" spans="1:48" ht="15.75" customHeight="1" x14ac:dyDescent="0.25">
      <c r="A874" s="1"/>
      <c r="B874" s="2"/>
      <c r="C874" s="3"/>
      <c r="D874" s="2"/>
      <c r="E874" s="52"/>
      <c r="F874" s="52"/>
      <c r="G874" s="52"/>
      <c r="H874" s="2"/>
      <c r="I874" s="2"/>
      <c r="J874" s="2"/>
      <c r="K874" s="2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2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69"/>
      <c r="AM874" s="69"/>
      <c r="AN874" s="69"/>
      <c r="AO874" s="69"/>
      <c r="AP874" s="69"/>
      <c r="AQ874" s="69"/>
      <c r="AR874" s="69"/>
      <c r="AS874" s="69"/>
      <c r="AT874" s="69"/>
      <c r="AU874" s="1"/>
      <c r="AV874" s="1"/>
    </row>
    <row r="875" spans="1:48" ht="15.75" customHeight="1" x14ac:dyDescent="0.25">
      <c r="A875" s="1"/>
      <c r="B875" s="2"/>
      <c r="C875" s="3"/>
      <c r="D875" s="2"/>
      <c r="E875" s="52"/>
      <c r="F875" s="52"/>
      <c r="G875" s="52"/>
      <c r="H875" s="2"/>
      <c r="I875" s="2"/>
      <c r="J875" s="2"/>
      <c r="K875" s="2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2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69"/>
      <c r="AM875" s="69"/>
      <c r="AN875" s="69"/>
      <c r="AO875" s="69"/>
      <c r="AP875" s="69"/>
      <c r="AQ875" s="69"/>
      <c r="AR875" s="69"/>
      <c r="AS875" s="69"/>
      <c r="AT875" s="69"/>
      <c r="AU875" s="1"/>
      <c r="AV875" s="1"/>
    </row>
    <row r="876" spans="1:48" ht="15.75" customHeight="1" x14ac:dyDescent="0.25">
      <c r="A876" s="1"/>
      <c r="B876" s="2"/>
      <c r="C876" s="3"/>
      <c r="D876" s="2"/>
      <c r="E876" s="52"/>
      <c r="F876" s="52"/>
      <c r="G876" s="52"/>
      <c r="H876" s="2"/>
      <c r="I876" s="2"/>
      <c r="J876" s="2"/>
      <c r="K876" s="2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2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69"/>
      <c r="AM876" s="69"/>
      <c r="AN876" s="69"/>
      <c r="AO876" s="69"/>
      <c r="AP876" s="69"/>
      <c r="AQ876" s="69"/>
      <c r="AR876" s="69"/>
      <c r="AS876" s="69"/>
      <c r="AT876" s="69"/>
      <c r="AU876" s="1"/>
      <c r="AV876" s="1"/>
    </row>
    <row r="877" spans="1:48" ht="15.75" customHeight="1" x14ac:dyDescent="0.25">
      <c r="A877" s="1"/>
      <c r="B877" s="2"/>
      <c r="C877" s="3"/>
      <c r="D877" s="2"/>
      <c r="E877" s="52"/>
      <c r="F877" s="52"/>
      <c r="G877" s="52"/>
      <c r="H877" s="2"/>
      <c r="I877" s="2"/>
      <c r="J877" s="2"/>
      <c r="K877" s="2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2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69"/>
      <c r="AM877" s="69"/>
      <c r="AN877" s="69"/>
      <c r="AO877" s="69"/>
      <c r="AP877" s="69"/>
      <c r="AQ877" s="69"/>
      <c r="AR877" s="69"/>
      <c r="AS877" s="69"/>
      <c r="AT877" s="69"/>
      <c r="AU877" s="1"/>
      <c r="AV877" s="1"/>
    </row>
    <row r="878" spans="1:48" ht="15.75" customHeight="1" x14ac:dyDescent="0.25">
      <c r="A878" s="1"/>
      <c r="B878" s="2"/>
      <c r="C878" s="3"/>
      <c r="D878" s="2"/>
      <c r="E878" s="52"/>
      <c r="F878" s="52"/>
      <c r="G878" s="52"/>
      <c r="H878" s="2"/>
      <c r="I878" s="2"/>
      <c r="J878" s="2"/>
      <c r="K878" s="2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2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69"/>
      <c r="AM878" s="69"/>
      <c r="AN878" s="69"/>
      <c r="AO878" s="69"/>
      <c r="AP878" s="69"/>
      <c r="AQ878" s="69"/>
      <c r="AR878" s="69"/>
      <c r="AS878" s="69"/>
      <c r="AT878" s="69"/>
      <c r="AU878" s="1"/>
      <c r="AV878" s="1"/>
    </row>
    <row r="879" spans="1:48" ht="15.75" customHeight="1" x14ac:dyDescent="0.25">
      <c r="A879" s="1"/>
      <c r="B879" s="2"/>
      <c r="C879" s="3"/>
      <c r="D879" s="2"/>
      <c r="E879" s="52"/>
      <c r="F879" s="52"/>
      <c r="G879" s="52"/>
      <c r="H879" s="2"/>
      <c r="I879" s="2"/>
      <c r="J879" s="2"/>
      <c r="K879" s="2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2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69"/>
      <c r="AM879" s="69"/>
      <c r="AN879" s="69"/>
      <c r="AO879" s="69"/>
      <c r="AP879" s="69"/>
      <c r="AQ879" s="69"/>
      <c r="AR879" s="69"/>
      <c r="AS879" s="69"/>
      <c r="AT879" s="69"/>
      <c r="AU879" s="1"/>
      <c r="AV879" s="1"/>
    </row>
    <row r="880" spans="1:48" ht="15.75" customHeight="1" x14ac:dyDescent="0.25">
      <c r="A880" s="1"/>
      <c r="B880" s="2"/>
      <c r="C880" s="3"/>
      <c r="D880" s="2"/>
      <c r="E880" s="52"/>
      <c r="F880" s="52"/>
      <c r="G880" s="52"/>
      <c r="H880" s="2"/>
      <c r="I880" s="2"/>
      <c r="J880" s="2"/>
      <c r="K880" s="2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2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69"/>
      <c r="AM880" s="69"/>
      <c r="AN880" s="69"/>
      <c r="AO880" s="69"/>
      <c r="AP880" s="69"/>
      <c r="AQ880" s="69"/>
      <c r="AR880" s="69"/>
      <c r="AS880" s="69"/>
      <c r="AT880" s="69"/>
      <c r="AU880" s="1"/>
      <c r="AV880" s="1"/>
    </row>
    <row r="881" spans="1:48" ht="15.75" customHeight="1" x14ac:dyDescent="0.25">
      <c r="A881" s="1"/>
      <c r="B881" s="2"/>
      <c r="C881" s="3"/>
      <c r="D881" s="2"/>
      <c r="E881" s="52"/>
      <c r="F881" s="52"/>
      <c r="G881" s="52"/>
      <c r="H881" s="2"/>
      <c r="I881" s="2"/>
      <c r="J881" s="2"/>
      <c r="K881" s="2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2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69"/>
      <c r="AM881" s="69"/>
      <c r="AN881" s="69"/>
      <c r="AO881" s="69"/>
      <c r="AP881" s="69"/>
      <c r="AQ881" s="69"/>
      <c r="AR881" s="69"/>
      <c r="AS881" s="69"/>
      <c r="AT881" s="69"/>
      <c r="AU881" s="1"/>
      <c r="AV881" s="1"/>
    </row>
    <row r="882" spans="1:48" ht="15.75" customHeight="1" x14ac:dyDescent="0.25">
      <c r="A882" s="1"/>
      <c r="B882" s="2"/>
      <c r="C882" s="3"/>
      <c r="D882" s="2"/>
      <c r="E882" s="52"/>
      <c r="F882" s="52"/>
      <c r="G882" s="52"/>
      <c r="H882" s="2"/>
      <c r="I882" s="2"/>
      <c r="J882" s="2"/>
      <c r="K882" s="2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2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69"/>
      <c r="AM882" s="69"/>
      <c r="AN882" s="69"/>
      <c r="AO882" s="69"/>
      <c r="AP882" s="69"/>
      <c r="AQ882" s="69"/>
      <c r="AR882" s="69"/>
      <c r="AS882" s="69"/>
      <c r="AT882" s="69"/>
      <c r="AU882" s="1"/>
      <c r="AV882" s="1"/>
    </row>
    <row r="883" spans="1:48" ht="15.75" customHeight="1" x14ac:dyDescent="0.25">
      <c r="A883" s="1"/>
      <c r="B883" s="2"/>
      <c r="C883" s="3"/>
      <c r="D883" s="2"/>
      <c r="E883" s="52"/>
      <c r="F883" s="52"/>
      <c r="G883" s="52"/>
      <c r="H883" s="2"/>
      <c r="I883" s="2"/>
      <c r="J883" s="2"/>
      <c r="K883" s="2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2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69"/>
      <c r="AM883" s="69"/>
      <c r="AN883" s="69"/>
      <c r="AO883" s="69"/>
      <c r="AP883" s="69"/>
      <c r="AQ883" s="69"/>
      <c r="AR883" s="69"/>
      <c r="AS883" s="69"/>
      <c r="AT883" s="69"/>
      <c r="AU883" s="1"/>
      <c r="AV883" s="1"/>
    </row>
    <row r="884" spans="1:48" ht="15.75" customHeight="1" x14ac:dyDescent="0.25">
      <c r="A884" s="1"/>
      <c r="B884" s="2"/>
      <c r="C884" s="3"/>
      <c r="D884" s="2"/>
      <c r="E884" s="52"/>
      <c r="F884" s="52"/>
      <c r="G884" s="52"/>
      <c r="H884" s="2"/>
      <c r="I884" s="2"/>
      <c r="J884" s="2"/>
      <c r="K884" s="2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2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69"/>
      <c r="AM884" s="69"/>
      <c r="AN884" s="69"/>
      <c r="AO884" s="69"/>
      <c r="AP884" s="69"/>
      <c r="AQ884" s="69"/>
      <c r="AR884" s="69"/>
      <c r="AS884" s="69"/>
      <c r="AT884" s="69"/>
      <c r="AU884" s="1"/>
      <c r="AV884" s="1"/>
    </row>
    <row r="885" spans="1:48" ht="15.75" customHeight="1" x14ac:dyDescent="0.25">
      <c r="A885" s="1"/>
      <c r="B885" s="2"/>
      <c r="C885" s="3"/>
      <c r="D885" s="2"/>
      <c r="E885" s="52"/>
      <c r="F885" s="52"/>
      <c r="G885" s="52"/>
      <c r="H885" s="2"/>
      <c r="I885" s="2"/>
      <c r="J885" s="2"/>
      <c r="K885" s="2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2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69"/>
      <c r="AM885" s="69"/>
      <c r="AN885" s="69"/>
      <c r="AO885" s="69"/>
      <c r="AP885" s="69"/>
      <c r="AQ885" s="69"/>
      <c r="AR885" s="69"/>
      <c r="AS885" s="69"/>
      <c r="AT885" s="69"/>
      <c r="AU885" s="1"/>
      <c r="AV885" s="1"/>
    </row>
    <row r="886" spans="1:48" ht="15.75" customHeight="1" x14ac:dyDescent="0.25">
      <c r="A886" s="1"/>
      <c r="B886" s="2"/>
      <c r="C886" s="3"/>
      <c r="D886" s="2"/>
      <c r="E886" s="52"/>
      <c r="F886" s="52"/>
      <c r="G886" s="52"/>
      <c r="H886" s="2"/>
      <c r="I886" s="2"/>
      <c r="J886" s="2"/>
      <c r="K886" s="2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2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69"/>
      <c r="AM886" s="69"/>
      <c r="AN886" s="69"/>
      <c r="AO886" s="69"/>
      <c r="AP886" s="69"/>
      <c r="AQ886" s="69"/>
      <c r="AR886" s="69"/>
      <c r="AS886" s="69"/>
      <c r="AT886" s="69"/>
      <c r="AU886" s="1"/>
      <c r="AV886" s="1"/>
    </row>
    <row r="887" spans="1:48" ht="15.75" customHeight="1" x14ac:dyDescent="0.25">
      <c r="A887" s="1"/>
      <c r="B887" s="2"/>
      <c r="C887" s="3"/>
      <c r="D887" s="2"/>
      <c r="E887" s="52"/>
      <c r="F887" s="52"/>
      <c r="G887" s="52"/>
      <c r="H887" s="2"/>
      <c r="I887" s="2"/>
      <c r="J887" s="2"/>
      <c r="K887" s="2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2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69"/>
      <c r="AM887" s="69"/>
      <c r="AN887" s="69"/>
      <c r="AO887" s="69"/>
      <c r="AP887" s="69"/>
      <c r="AQ887" s="69"/>
      <c r="AR887" s="69"/>
      <c r="AS887" s="69"/>
      <c r="AT887" s="69"/>
      <c r="AU887" s="1"/>
      <c r="AV887" s="1"/>
    </row>
    <row r="888" spans="1:48" ht="15.75" customHeight="1" x14ac:dyDescent="0.25">
      <c r="A888" s="1"/>
      <c r="B888" s="2"/>
      <c r="C888" s="3"/>
      <c r="D888" s="2"/>
      <c r="E888" s="52"/>
      <c r="F888" s="52"/>
      <c r="G888" s="52"/>
      <c r="H888" s="2"/>
      <c r="I888" s="2"/>
      <c r="J888" s="2"/>
      <c r="K888" s="2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2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69"/>
      <c r="AM888" s="69"/>
      <c r="AN888" s="69"/>
      <c r="AO888" s="69"/>
      <c r="AP888" s="69"/>
      <c r="AQ888" s="69"/>
      <c r="AR888" s="69"/>
      <c r="AS888" s="69"/>
      <c r="AT888" s="69"/>
      <c r="AU888" s="1"/>
      <c r="AV888" s="1"/>
    </row>
    <row r="889" spans="1:48" ht="15.75" customHeight="1" x14ac:dyDescent="0.25">
      <c r="A889" s="1"/>
      <c r="B889" s="2"/>
      <c r="C889" s="3"/>
      <c r="D889" s="2"/>
      <c r="E889" s="52"/>
      <c r="F889" s="52"/>
      <c r="G889" s="52"/>
      <c r="H889" s="2"/>
      <c r="I889" s="2"/>
      <c r="J889" s="2"/>
      <c r="K889" s="2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2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69"/>
      <c r="AM889" s="69"/>
      <c r="AN889" s="69"/>
      <c r="AO889" s="69"/>
      <c r="AP889" s="69"/>
      <c r="AQ889" s="69"/>
      <c r="AR889" s="69"/>
      <c r="AS889" s="69"/>
      <c r="AT889" s="69"/>
      <c r="AU889" s="1"/>
      <c r="AV889" s="1"/>
    </row>
    <row r="890" spans="1:48" ht="15.75" customHeight="1" x14ac:dyDescent="0.25">
      <c r="A890" s="1"/>
      <c r="B890" s="2"/>
      <c r="C890" s="3"/>
      <c r="D890" s="2"/>
      <c r="E890" s="52"/>
      <c r="F890" s="52"/>
      <c r="G890" s="52"/>
      <c r="H890" s="2"/>
      <c r="I890" s="2"/>
      <c r="J890" s="2"/>
      <c r="K890" s="2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2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69"/>
      <c r="AM890" s="69"/>
      <c r="AN890" s="69"/>
      <c r="AO890" s="69"/>
      <c r="AP890" s="69"/>
      <c r="AQ890" s="69"/>
      <c r="AR890" s="69"/>
      <c r="AS890" s="69"/>
      <c r="AT890" s="69"/>
      <c r="AU890" s="1"/>
      <c r="AV890" s="1"/>
    </row>
    <row r="891" spans="1:48" ht="15.75" customHeight="1" x14ac:dyDescent="0.25">
      <c r="A891" s="1"/>
      <c r="B891" s="2"/>
      <c r="C891" s="3"/>
      <c r="D891" s="2"/>
      <c r="E891" s="52"/>
      <c r="F891" s="52"/>
      <c r="G891" s="52"/>
      <c r="H891" s="2"/>
      <c r="I891" s="2"/>
      <c r="J891" s="2"/>
      <c r="K891" s="2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2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69"/>
      <c r="AM891" s="69"/>
      <c r="AN891" s="69"/>
      <c r="AO891" s="69"/>
      <c r="AP891" s="69"/>
      <c r="AQ891" s="69"/>
      <c r="AR891" s="69"/>
      <c r="AS891" s="69"/>
      <c r="AT891" s="69"/>
      <c r="AU891" s="1"/>
      <c r="AV891" s="1"/>
    </row>
    <row r="892" spans="1:48" ht="15.75" customHeight="1" x14ac:dyDescent="0.25">
      <c r="A892" s="1"/>
      <c r="B892" s="2"/>
      <c r="C892" s="3"/>
      <c r="D892" s="2"/>
      <c r="E892" s="52"/>
      <c r="F892" s="52"/>
      <c r="G892" s="52"/>
      <c r="H892" s="2"/>
      <c r="I892" s="2"/>
      <c r="J892" s="2"/>
      <c r="K892" s="2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2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69"/>
      <c r="AM892" s="69"/>
      <c r="AN892" s="69"/>
      <c r="AO892" s="69"/>
      <c r="AP892" s="69"/>
      <c r="AQ892" s="69"/>
      <c r="AR892" s="69"/>
      <c r="AS892" s="69"/>
      <c r="AT892" s="69"/>
      <c r="AU892" s="1"/>
      <c r="AV892" s="1"/>
    </row>
    <row r="893" spans="1:48" ht="15.75" customHeight="1" x14ac:dyDescent="0.25">
      <c r="A893" s="1"/>
      <c r="B893" s="2"/>
      <c r="C893" s="3"/>
      <c r="D893" s="2"/>
      <c r="E893" s="52"/>
      <c r="F893" s="52"/>
      <c r="G893" s="52"/>
      <c r="H893" s="2"/>
      <c r="I893" s="2"/>
      <c r="J893" s="2"/>
      <c r="K893" s="2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2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69"/>
      <c r="AM893" s="69"/>
      <c r="AN893" s="69"/>
      <c r="AO893" s="69"/>
      <c r="AP893" s="69"/>
      <c r="AQ893" s="69"/>
      <c r="AR893" s="69"/>
      <c r="AS893" s="69"/>
      <c r="AT893" s="69"/>
      <c r="AU893" s="1"/>
      <c r="AV893" s="1"/>
    </row>
    <row r="894" spans="1:48" ht="15.75" customHeight="1" x14ac:dyDescent="0.25">
      <c r="A894" s="1"/>
      <c r="B894" s="2"/>
      <c r="C894" s="3"/>
      <c r="D894" s="2"/>
      <c r="E894" s="52"/>
      <c r="F894" s="52"/>
      <c r="G894" s="52"/>
      <c r="H894" s="2"/>
      <c r="I894" s="2"/>
      <c r="J894" s="2"/>
      <c r="K894" s="2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2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69"/>
      <c r="AM894" s="69"/>
      <c r="AN894" s="69"/>
      <c r="AO894" s="69"/>
      <c r="AP894" s="69"/>
      <c r="AQ894" s="69"/>
      <c r="AR894" s="69"/>
      <c r="AS894" s="69"/>
      <c r="AT894" s="69"/>
      <c r="AU894" s="1"/>
      <c r="AV894" s="1"/>
    </row>
    <row r="895" spans="1:48" ht="15.75" customHeight="1" x14ac:dyDescent="0.25">
      <c r="A895" s="1"/>
      <c r="B895" s="2"/>
      <c r="C895" s="3"/>
      <c r="D895" s="2"/>
      <c r="E895" s="52"/>
      <c r="F895" s="52"/>
      <c r="G895" s="52"/>
      <c r="H895" s="2"/>
      <c r="I895" s="2"/>
      <c r="J895" s="2"/>
      <c r="K895" s="2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2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69"/>
      <c r="AM895" s="69"/>
      <c r="AN895" s="69"/>
      <c r="AO895" s="69"/>
      <c r="AP895" s="69"/>
      <c r="AQ895" s="69"/>
      <c r="AR895" s="69"/>
      <c r="AS895" s="69"/>
      <c r="AT895" s="69"/>
      <c r="AU895" s="1"/>
      <c r="AV895" s="1"/>
    </row>
    <row r="896" spans="1:48" ht="15.75" customHeight="1" x14ac:dyDescent="0.25">
      <c r="A896" s="1"/>
      <c r="B896" s="2"/>
      <c r="C896" s="3"/>
      <c r="D896" s="2"/>
      <c r="E896" s="52"/>
      <c r="F896" s="52"/>
      <c r="G896" s="52"/>
      <c r="H896" s="2"/>
      <c r="I896" s="2"/>
      <c r="J896" s="2"/>
      <c r="K896" s="2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2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69"/>
      <c r="AM896" s="69"/>
      <c r="AN896" s="69"/>
      <c r="AO896" s="69"/>
      <c r="AP896" s="69"/>
      <c r="AQ896" s="69"/>
      <c r="AR896" s="69"/>
      <c r="AS896" s="69"/>
      <c r="AT896" s="69"/>
      <c r="AU896" s="1"/>
      <c r="AV896" s="1"/>
    </row>
    <row r="897" spans="1:48" ht="15.75" customHeight="1" x14ac:dyDescent="0.25">
      <c r="A897" s="1"/>
      <c r="B897" s="2"/>
      <c r="C897" s="3"/>
      <c r="D897" s="2"/>
      <c r="E897" s="52"/>
      <c r="F897" s="52"/>
      <c r="G897" s="52"/>
      <c r="H897" s="2"/>
      <c r="I897" s="2"/>
      <c r="J897" s="2"/>
      <c r="K897" s="2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2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69"/>
      <c r="AM897" s="69"/>
      <c r="AN897" s="69"/>
      <c r="AO897" s="69"/>
      <c r="AP897" s="69"/>
      <c r="AQ897" s="69"/>
      <c r="AR897" s="69"/>
      <c r="AS897" s="69"/>
      <c r="AT897" s="69"/>
      <c r="AU897" s="1"/>
      <c r="AV897" s="1"/>
    </row>
    <row r="898" spans="1:48" ht="15.75" customHeight="1" x14ac:dyDescent="0.25">
      <c r="A898" s="1"/>
      <c r="B898" s="2"/>
      <c r="C898" s="3"/>
      <c r="D898" s="2"/>
      <c r="E898" s="52"/>
      <c r="F898" s="52"/>
      <c r="G898" s="52"/>
      <c r="H898" s="2"/>
      <c r="I898" s="2"/>
      <c r="J898" s="2"/>
      <c r="K898" s="2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2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69"/>
      <c r="AM898" s="69"/>
      <c r="AN898" s="69"/>
      <c r="AO898" s="69"/>
      <c r="AP898" s="69"/>
      <c r="AQ898" s="69"/>
      <c r="AR898" s="69"/>
      <c r="AS898" s="69"/>
      <c r="AT898" s="69"/>
      <c r="AU898" s="1"/>
      <c r="AV898" s="1"/>
    </row>
    <row r="899" spans="1:48" ht="15.75" customHeight="1" x14ac:dyDescent="0.25">
      <c r="A899" s="1"/>
      <c r="B899" s="2"/>
      <c r="C899" s="3"/>
      <c r="D899" s="2"/>
      <c r="E899" s="52"/>
      <c r="F899" s="52"/>
      <c r="G899" s="52"/>
      <c r="H899" s="2"/>
      <c r="I899" s="2"/>
      <c r="J899" s="2"/>
      <c r="K899" s="2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2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69"/>
      <c r="AM899" s="69"/>
      <c r="AN899" s="69"/>
      <c r="AO899" s="69"/>
      <c r="AP899" s="69"/>
      <c r="AQ899" s="69"/>
      <c r="AR899" s="69"/>
      <c r="AS899" s="69"/>
      <c r="AT899" s="69"/>
      <c r="AU899" s="1"/>
      <c r="AV899" s="1"/>
    </row>
    <row r="900" spans="1:48" ht="15.75" customHeight="1" x14ac:dyDescent="0.25">
      <c r="A900" s="1"/>
      <c r="B900" s="2"/>
      <c r="C900" s="3"/>
      <c r="D900" s="2"/>
      <c r="E900" s="52"/>
      <c r="F900" s="52"/>
      <c r="G900" s="52"/>
      <c r="H900" s="2"/>
      <c r="I900" s="2"/>
      <c r="J900" s="2"/>
      <c r="K900" s="2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2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69"/>
      <c r="AM900" s="69"/>
      <c r="AN900" s="69"/>
      <c r="AO900" s="69"/>
      <c r="AP900" s="69"/>
      <c r="AQ900" s="69"/>
      <c r="AR900" s="69"/>
      <c r="AS900" s="69"/>
      <c r="AT900" s="69"/>
      <c r="AU900" s="1"/>
      <c r="AV900" s="1"/>
    </row>
    <row r="901" spans="1:48" ht="15.75" customHeight="1" x14ac:dyDescent="0.25">
      <c r="A901" s="1"/>
      <c r="B901" s="2"/>
      <c r="C901" s="3"/>
      <c r="D901" s="2"/>
      <c r="E901" s="52"/>
      <c r="F901" s="52"/>
      <c r="G901" s="52"/>
      <c r="H901" s="2"/>
      <c r="I901" s="2"/>
      <c r="J901" s="2"/>
      <c r="K901" s="2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2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69"/>
      <c r="AM901" s="69"/>
      <c r="AN901" s="69"/>
      <c r="AO901" s="69"/>
      <c r="AP901" s="69"/>
      <c r="AQ901" s="69"/>
      <c r="AR901" s="69"/>
      <c r="AS901" s="69"/>
      <c r="AT901" s="69"/>
      <c r="AU901" s="1"/>
      <c r="AV901" s="1"/>
    </row>
    <row r="902" spans="1:48" ht="15.75" customHeight="1" x14ac:dyDescent="0.25">
      <c r="A902" s="1"/>
      <c r="B902" s="2"/>
      <c r="C902" s="3"/>
      <c r="D902" s="2"/>
      <c r="E902" s="52"/>
      <c r="F902" s="52"/>
      <c r="G902" s="52"/>
      <c r="H902" s="2"/>
      <c r="I902" s="2"/>
      <c r="J902" s="2"/>
      <c r="K902" s="2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2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69"/>
      <c r="AM902" s="69"/>
      <c r="AN902" s="69"/>
      <c r="AO902" s="69"/>
      <c r="AP902" s="69"/>
      <c r="AQ902" s="69"/>
      <c r="AR902" s="69"/>
      <c r="AS902" s="69"/>
      <c r="AT902" s="69"/>
      <c r="AU902" s="1"/>
      <c r="AV902" s="1"/>
    </row>
    <row r="903" spans="1:48" ht="15.75" customHeight="1" x14ac:dyDescent="0.25">
      <c r="A903" s="1"/>
      <c r="B903" s="2"/>
      <c r="C903" s="3"/>
      <c r="D903" s="2"/>
      <c r="E903" s="52"/>
      <c r="F903" s="52"/>
      <c r="G903" s="52"/>
      <c r="H903" s="2"/>
      <c r="I903" s="2"/>
      <c r="J903" s="2"/>
      <c r="K903" s="2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2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69"/>
      <c r="AM903" s="69"/>
      <c r="AN903" s="69"/>
      <c r="AO903" s="69"/>
      <c r="AP903" s="69"/>
      <c r="AQ903" s="69"/>
      <c r="AR903" s="69"/>
      <c r="AS903" s="69"/>
      <c r="AT903" s="69"/>
      <c r="AU903" s="1"/>
      <c r="AV903" s="1"/>
    </row>
    <row r="904" spans="1:48" ht="15.75" customHeight="1" x14ac:dyDescent="0.25">
      <c r="A904" s="1"/>
      <c r="B904" s="2"/>
      <c r="C904" s="3"/>
      <c r="D904" s="2"/>
      <c r="E904" s="52"/>
      <c r="F904" s="52"/>
      <c r="G904" s="52"/>
      <c r="H904" s="2"/>
      <c r="I904" s="2"/>
      <c r="J904" s="2"/>
      <c r="K904" s="2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2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69"/>
      <c r="AM904" s="69"/>
      <c r="AN904" s="69"/>
      <c r="AO904" s="69"/>
      <c r="AP904" s="69"/>
      <c r="AQ904" s="69"/>
      <c r="AR904" s="69"/>
      <c r="AS904" s="69"/>
      <c r="AT904" s="69"/>
      <c r="AU904" s="1"/>
      <c r="AV904" s="1"/>
    </row>
    <row r="905" spans="1:48" ht="15.75" customHeight="1" x14ac:dyDescent="0.25">
      <c r="A905" s="1"/>
      <c r="B905" s="2"/>
      <c r="C905" s="3"/>
      <c r="D905" s="2"/>
      <c r="E905" s="52"/>
      <c r="F905" s="52"/>
      <c r="G905" s="52"/>
      <c r="H905" s="2"/>
      <c r="I905" s="2"/>
      <c r="J905" s="2"/>
      <c r="K905" s="2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2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69"/>
      <c r="AM905" s="69"/>
      <c r="AN905" s="69"/>
      <c r="AO905" s="69"/>
      <c r="AP905" s="69"/>
      <c r="AQ905" s="69"/>
      <c r="AR905" s="69"/>
      <c r="AS905" s="69"/>
      <c r="AT905" s="69"/>
      <c r="AU905" s="1"/>
      <c r="AV905" s="1"/>
    </row>
    <row r="906" spans="1:48" ht="15.75" customHeight="1" x14ac:dyDescent="0.25">
      <c r="A906" s="1"/>
      <c r="B906" s="2"/>
      <c r="C906" s="3"/>
      <c r="D906" s="2"/>
      <c r="E906" s="52"/>
      <c r="F906" s="52"/>
      <c r="G906" s="52"/>
      <c r="H906" s="2"/>
      <c r="I906" s="2"/>
      <c r="J906" s="2"/>
      <c r="K906" s="2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2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69"/>
      <c r="AM906" s="69"/>
      <c r="AN906" s="69"/>
      <c r="AO906" s="69"/>
      <c r="AP906" s="69"/>
      <c r="AQ906" s="69"/>
      <c r="AR906" s="69"/>
      <c r="AS906" s="69"/>
      <c r="AT906" s="69"/>
      <c r="AU906" s="1"/>
      <c r="AV906" s="1"/>
    </row>
    <row r="907" spans="1:48" ht="15.75" customHeight="1" x14ac:dyDescent="0.25">
      <c r="A907" s="1"/>
      <c r="B907" s="2"/>
      <c r="C907" s="3"/>
      <c r="D907" s="2"/>
      <c r="E907" s="52"/>
      <c r="F907" s="52"/>
      <c r="G907" s="52"/>
      <c r="H907" s="2"/>
      <c r="I907" s="2"/>
      <c r="J907" s="2"/>
      <c r="K907" s="2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2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69"/>
      <c r="AM907" s="69"/>
      <c r="AN907" s="69"/>
      <c r="AO907" s="69"/>
      <c r="AP907" s="69"/>
      <c r="AQ907" s="69"/>
      <c r="AR907" s="69"/>
      <c r="AS907" s="69"/>
      <c r="AT907" s="69"/>
      <c r="AU907" s="1"/>
      <c r="AV907" s="1"/>
    </row>
    <row r="908" spans="1:48" ht="15.75" customHeight="1" x14ac:dyDescent="0.25">
      <c r="A908" s="1"/>
      <c r="B908" s="2"/>
      <c r="C908" s="3"/>
      <c r="D908" s="2"/>
      <c r="E908" s="52"/>
      <c r="F908" s="52"/>
      <c r="G908" s="52"/>
      <c r="H908" s="2"/>
      <c r="I908" s="2"/>
      <c r="J908" s="2"/>
      <c r="K908" s="2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2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69"/>
      <c r="AM908" s="69"/>
      <c r="AN908" s="69"/>
      <c r="AO908" s="69"/>
      <c r="AP908" s="69"/>
      <c r="AQ908" s="69"/>
      <c r="AR908" s="69"/>
      <c r="AS908" s="69"/>
      <c r="AT908" s="69"/>
      <c r="AU908" s="1"/>
      <c r="AV908" s="1"/>
    </row>
    <row r="909" spans="1:48" ht="15.75" customHeight="1" x14ac:dyDescent="0.25">
      <c r="A909" s="1"/>
      <c r="B909" s="2"/>
      <c r="C909" s="3"/>
      <c r="D909" s="2"/>
      <c r="E909" s="52"/>
      <c r="F909" s="52"/>
      <c r="G909" s="52"/>
      <c r="H909" s="2"/>
      <c r="I909" s="2"/>
      <c r="J909" s="2"/>
      <c r="K909" s="2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2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69"/>
      <c r="AM909" s="69"/>
      <c r="AN909" s="69"/>
      <c r="AO909" s="69"/>
      <c r="AP909" s="69"/>
      <c r="AQ909" s="69"/>
      <c r="AR909" s="69"/>
      <c r="AS909" s="69"/>
      <c r="AT909" s="69"/>
      <c r="AU909" s="1"/>
      <c r="AV909" s="1"/>
    </row>
    <row r="910" spans="1:48" ht="15.75" customHeight="1" x14ac:dyDescent="0.25">
      <c r="A910" s="1"/>
      <c r="B910" s="2"/>
      <c r="C910" s="3"/>
      <c r="D910" s="2"/>
      <c r="E910" s="52"/>
      <c r="F910" s="52"/>
      <c r="G910" s="52"/>
      <c r="H910" s="2"/>
      <c r="I910" s="2"/>
      <c r="J910" s="2"/>
      <c r="K910" s="2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2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69"/>
      <c r="AM910" s="69"/>
      <c r="AN910" s="69"/>
      <c r="AO910" s="69"/>
      <c r="AP910" s="69"/>
      <c r="AQ910" s="69"/>
      <c r="AR910" s="69"/>
      <c r="AS910" s="69"/>
      <c r="AT910" s="69"/>
      <c r="AU910" s="1"/>
      <c r="AV910" s="1"/>
    </row>
    <row r="911" spans="1:48" ht="15.75" customHeight="1" x14ac:dyDescent="0.25">
      <c r="A911" s="1"/>
      <c r="B911" s="2"/>
      <c r="C911" s="3"/>
      <c r="D911" s="2"/>
      <c r="E911" s="52"/>
      <c r="F911" s="52"/>
      <c r="G911" s="52"/>
      <c r="H911" s="2"/>
      <c r="I911" s="2"/>
      <c r="J911" s="2"/>
      <c r="K911" s="2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2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69"/>
      <c r="AM911" s="69"/>
      <c r="AN911" s="69"/>
      <c r="AO911" s="69"/>
      <c r="AP911" s="69"/>
      <c r="AQ911" s="69"/>
      <c r="AR911" s="69"/>
      <c r="AS911" s="69"/>
      <c r="AT911" s="69"/>
      <c r="AU911" s="1"/>
      <c r="AV911" s="1"/>
    </row>
    <row r="912" spans="1:48" ht="15.75" customHeight="1" x14ac:dyDescent="0.25">
      <c r="A912" s="1"/>
      <c r="B912" s="2"/>
      <c r="C912" s="3"/>
      <c r="D912" s="2"/>
      <c r="E912" s="52"/>
      <c r="F912" s="52"/>
      <c r="G912" s="52"/>
      <c r="H912" s="2"/>
      <c r="I912" s="2"/>
      <c r="J912" s="2"/>
      <c r="K912" s="2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2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69"/>
      <c r="AM912" s="69"/>
      <c r="AN912" s="69"/>
      <c r="AO912" s="69"/>
      <c r="AP912" s="69"/>
      <c r="AQ912" s="69"/>
      <c r="AR912" s="69"/>
      <c r="AS912" s="69"/>
      <c r="AT912" s="69"/>
      <c r="AU912" s="1"/>
      <c r="AV912" s="1"/>
    </row>
    <row r="913" spans="1:48" ht="15.75" customHeight="1" x14ac:dyDescent="0.25">
      <c r="A913" s="1"/>
      <c r="B913" s="2"/>
      <c r="C913" s="3"/>
      <c r="D913" s="2"/>
      <c r="E913" s="52"/>
      <c r="F913" s="52"/>
      <c r="G913" s="52"/>
      <c r="H913" s="2"/>
      <c r="I913" s="2"/>
      <c r="J913" s="2"/>
      <c r="K913" s="2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2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69"/>
      <c r="AM913" s="69"/>
      <c r="AN913" s="69"/>
      <c r="AO913" s="69"/>
      <c r="AP913" s="69"/>
      <c r="AQ913" s="69"/>
      <c r="AR913" s="69"/>
      <c r="AS913" s="69"/>
      <c r="AT913" s="69"/>
      <c r="AU913" s="1"/>
      <c r="AV913" s="1"/>
    </row>
    <row r="914" spans="1:48" ht="15.75" customHeight="1" x14ac:dyDescent="0.25">
      <c r="A914" s="1"/>
      <c r="B914" s="2"/>
      <c r="C914" s="3"/>
      <c r="D914" s="2"/>
      <c r="E914" s="52"/>
      <c r="F914" s="52"/>
      <c r="G914" s="52"/>
      <c r="H914" s="2"/>
      <c r="I914" s="2"/>
      <c r="J914" s="2"/>
      <c r="K914" s="2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2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69"/>
      <c r="AM914" s="69"/>
      <c r="AN914" s="69"/>
      <c r="AO914" s="69"/>
      <c r="AP914" s="69"/>
      <c r="AQ914" s="69"/>
      <c r="AR914" s="69"/>
      <c r="AS914" s="69"/>
      <c r="AT914" s="69"/>
      <c r="AU914" s="1"/>
      <c r="AV914" s="1"/>
    </row>
    <row r="915" spans="1:48" ht="15.75" customHeight="1" x14ac:dyDescent="0.25">
      <c r="A915" s="1"/>
      <c r="B915" s="2"/>
      <c r="C915" s="3"/>
      <c r="D915" s="2"/>
      <c r="E915" s="52"/>
      <c r="F915" s="52"/>
      <c r="G915" s="52"/>
      <c r="H915" s="2"/>
      <c r="I915" s="2"/>
      <c r="J915" s="2"/>
      <c r="K915" s="2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2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69"/>
      <c r="AM915" s="69"/>
      <c r="AN915" s="69"/>
      <c r="AO915" s="69"/>
      <c r="AP915" s="69"/>
      <c r="AQ915" s="69"/>
      <c r="AR915" s="69"/>
      <c r="AS915" s="69"/>
      <c r="AT915" s="69"/>
      <c r="AU915" s="1"/>
      <c r="AV915" s="1"/>
    </row>
    <row r="916" spans="1:48" ht="15.75" customHeight="1" x14ac:dyDescent="0.25">
      <c r="A916" s="1"/>
      <c r="B916" s="2"/>
      <c r="C916" s="3"/>
      <c r="D916" s="2"/>
      <c r="E916" s="52"/>
      <c r="F916" s="52"/>
      <c r="G916" s="52"/>
      <c r="H916" s="2"/>
      <c r="I916" s="2"/>
      <c r="J916" s="2"/>
      <c r="K916" s="2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2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69"/>
      <c r="AM916" s="69"/>
      <c r="AN916" s="69"/>
      <c r="AO916" s="69"/>
      <c r="AP916" s="69"/>
      <c r="AQ916" s="69"/>
      <c r="AR916" s="69"/>
      <c r="AS916" s="69"/>
      <c r="AT916" s="69"/>
      <c r="AU916" s="1"/>
      <c r="AV916" s="1"/>
    </row>
    <row r="917" spans="1:48" ht="15.75" customHeight="1" x14ac:dyDescent="0.25">
      <c r="A917" s="1"/>
      <c r="B917" s="2"/>
      <c r="C917" s="3"/>
      <c r="D917" s="2"/>
      <c r="E917" s="52"/>
      <c r="F917" s="52"/>
      <c r="G917" s="52"/>
      <c r="H917" s="2"/>
      <c r="I917" s="2"/>
      <c r="J917" s="2"/>
      <c r="K917" s="2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2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69"/>
      <c r="AM917" s="69"/>
      <c r="AN917" s="69"/>
      <c r="AO917" s="69"/>
      <c r="AP917" s="69"/>
      <c r="AQ917" s="69"/>
      <c r="AR917" s="69"/>
      <c r="AS917" s="69"/>
      <c r="AT917" s="69"/>
      <c r="AU917" s="1"/>
      <c r="AV917" s="1"/>
    </row>
    <row r="918" spans="1:48" ht="15.75" customHeight="1" x14ac:dyDescent="0.25">
      <c r="A918" s="1"/>
      <c r="B918" s="2"/>
      <c r="C918" s="3"/>
      <c r="D918" s="2"/>
      <c r="E918" s="52"/>
      <c r="F918" s="52"/>
      <c r="G918" s="52"/>
      <c r="H918" s="2"/>
      <c r="I918" s="2"/>
      <c r="J918" s="2"/>
      <c r="K918" s="2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2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69"/>
      <c r="AM918" s="69"/>
      <c r="AN918" s="69"/>
      <c r="AO918" s="69"/>
      <c r="AP918" s="69"/>
      <c r="AQ918" s="69"/>
      <c r="AR918" s="69"/>
      <c r="AS918" s="69"/>
      <c r="AT918" s="69"/>
      <c r="AU918" s="1"/>
      <c r="AV918" s="1"/>
    </row>
    <row r="919" spans="1:48" ht="15.75" customHeight="1" x14ac:dyDescent="0.25">
      <c r="A919" s="1"/>
      <c r="B919" s="2"/>
      <c r="C919" s="3"/>
      <c r="D919" s="2"/>
      <c r="E919" s="52"/>
      <c r="F919" s="52"/>
      <c r="G919" s="52"/>
      <c r="H919" s="2"/>
      <c r="I919" s="2"/>
      <c r="J919" s="2"/>
      <c r="K919" s="2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2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69"/>
      <c r="AM919" s="69"/>
      <c r="AN919" s="69"/>
      <c r="AO919" s="69"/>
      <c r="AP919" s="69"/>
      <c r="AQ919" s="69"/>
      <c r="AR919" s="69"/>
      <c r="AS919" s="69"/>
      <c r="AT919" s="69"/>
      <c r="AU919" s="1"/>
      <c r="AV919" s="1"/>
    </row>
    <row r="920" spans="1:48" ht="15.75" customHeight="1" x14ac:dyDescent="0.25">
      <c r="A920" s="1"/>
      <c r="B920" s="2"/>
      <c r="C920" s="3"/>
      <c r="D920" s="2"/>
      <c r="E920" s="52"/>
      <c r="F920" s="52"/>
      <c r="G920" s="52"/>
      <c r="H920" s="2"/>
      <c r="I920" s="2"/>
      <c r="J920" s="2"/>
      <c r="K920" s="2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2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69"/>
      <c r="AM920" s="69"/>
      <c r="AN920" s="69"/>
      <c r="AO920" s="69"/>
      <c r="AP920" s="69"/>
      <c r="AQ920" s="69"/>
      <c r="AR920" s="69"/>
      <c r="AS920" s="69"/>
      <c r="AT920" s="69"/>
      <c r="AU920" s="1"/>
      <c r="AV920" s="1"/>
    </row>
    <row r="921" spans="1:48" ht="15.75" customHeight="1" x14ac:dyDescent="0.25">
      <c r="A921" s="1"/>
      <c r="B921" s="2"/>
      <c r="C921" s="3"/>
      <c r="D921" s="2"/>
      <c r="E921" s="52"/>
      <c r="F921" s="52"/>
      <c r="G921" s="52"/>
      <c r="H921" s="2"/>
      <c r="I921" s="2"/>
      <c r="J921" s="2"/>
      <c r="K921" s="2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2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69"/>
      <c r="AM921" s="69"/>
      <c r="AN921" s="69"/>
      <c r="AO921" s="69"/>
      <c r="AP921" s="69"/>
      <c r="AQ921" s="69"/>
      <c r="AR921" s="69"/>
      <c r="AS921" s="69"/>
      <c r="AT921" s="69"/>
      <c r="AU921" s="1"/>
      <c r="AV921" s="1"/>
    </row>
    <row r="922" spans="1:48" ht="15.75" customHeight="1" x14ac:dyDescent="0.25">
      <c r="A922" s="1"/>
      <c r="B922" s="2"/>
      <c r="C922" s="3"/>
      <c r="D922" s="2"/>
      <c r="E922" s="52"/>
      <c r="F922" s="52"/>
      <c r="G922" s="52"/>
      <c r="H922" s="2"/>
      <c r="I922" s="2"/>
      <c r="J922" s="2"/>
      <c r="K922" s="2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2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69"/>
      <c r="AM922" s="69"/>
      <c r="AN922" s="69"/>
      <c r="AO922" s="69"/>
      <c r="AP922" s="69"/>
      <c r="AQ922" s="69"/>
      <c r="AR922" s="69"/>
      <c r="AS922" s="69"/>
      <c r="AT922" s="69"/>
      <c r="AU922" s="1"/>
      <c r="AV922" s="1"/>
    </row>
    <row r="923" spans="1:48" ht="15.75" customHeight="1" x14ac:dyDescent="0.25">
      <c r="A923" s="1"/>
      <c r="B923" s="2"/>
      <c r="C923" s="3"/>
      <c r="D923" s="2"/>
      <c r="E923" s="52"/>
      <c r="F923" s="52"/>
      <c r="G923" s="52"/>
      <c r="H923" s="2"/>
      <c r="I923" s="2"/>
      <c r="J923" s="2"/>
      <c r="K923" s="2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2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69"/>
      <c r="AM923" s="69"/>
      <c r="AN923" s="69"/>
      <c r="AO923" s="69"/>
      <c r="AP923" s="69"/>
      <c r="AQ923" s="69"/>
      <c r="AR923" s="69"/>
      <c r="AS923" s="69"/>
      <c r="AT923" s="69"/>
      <c r="AU923" s="1"/>
      <c r="AV923" s="1"/>
    </row>
    <row r="924" spans="1:48" ht="15.75" customHeight="1" x14ac:dyDescent="0.25">
      <c r="A924" s="1"/>
      <c r="B924" s="2"/>
      <c r="C924" s="3"/>
      <c r="D924" s="2"/>
      <c r="E924" s="52"/>
      <c r="F924" s="52"/>
      <c r="G924" s="52"/>
      <c r="H924" s="2"/>
      <c r="I924" s="2"/>
      <c r="J924" s="2"/>
      <c r="K924" s="2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2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69"/>
      <c r="AM924" s="69"/>
      <c r="AN924" s="69"/>
      <c r="AO924" s="69"/>
      <c r="AP924" s="69"/>
      <c r="AQ924" s="69"/>
      <c r="AR924" s="69"/>
      <c r="AS924" s="69"/>
      <c r="AT924" s="69"/>
      <c r="AU924" s="1"/>
      <c r="AV924" s="1"/>
    </row>
    <row r="925" spans="1:48" ht="15.75" customHeight="1" x14ac:dyDescent="0.25">
      <c r="A925" s="1"/>
      <c r="B925" s="2"/>
      <c r="C925" s="3"/>
      <c r="D925" s="2"/>
      <c r="E925" s="52"/>
      <c r="F925" s="52"/>
      <c r="G925" s="52"/>
      <c r="H925" s="2"/>
      <c r="I925" s="2"/>
      <c r="J925" s="2"/>
      <c r="K925" s="2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2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69"/>
      <c r="AM925" s="69"/>
      <c r="AN925" s="69"/>
      <c r="AO925" s="69"/>
      <c r="AP925" s="69"/>
      <c r="AQ925" s="69"/>
      <c r="AR925" s="69"/>
      <c r="AS925" s="69"/>
      <c r="AT925" s="69"/>
      <c r="AU925" s="1"/>
      <c r="AV925" s="1"/>
    </row>
    <row r="926" spans="1:48" ht="15.75" customHeight="1" x14ac:dyDescent="0.25">
      <c r="A926" s="1"/>
      <c r="B926" s="2"/>
      <c r="C926" s="3"/>
      <c r="D926" s="2"/>
      <c r="E926" s="52"/>
      <c r="F926" s="52"/>
      <c r="G926" s="52"/>
      <c r="H926" s="2"/>
      <c r="I926" s="2"/>
      <c r="J926" s="2"/>
      <c r="K926" s="2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2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69"/>
      <c r="AM926" s="69"/>
      <c r="AN926" s="69"/>
      <c r="AO926" s="69"/>
      <c r="AP926" s="69"/>
      <c r="AQ926" s="69"/>
      <c r="AR926" s="69"/>
      <c r="AS926" s="69"/>
      <c r="AT926" s="69"/>
      <c r="AU926" s="1"/>
      <c r="AV926" s="1"/>
    </row>
    <row r="927" spans="1:48" ht="15.75" customHeight="1" x14ac:dyDescent="0.25">
      <c r="A927" s="1"/>
      <c r="B927" s="2"/>
      <c r="C927" s="3"/>
      <c r="D927" s="2"/>
      <c r="E927" s="52"/>
      <c r="F927" s="52"/>
      <c r="G927" s="52"/>
      <c r="H927" s="2"/>
      <c r="I927" s="2"/>
      <c r="J927" s="2"/>
      <c r="K927" s="2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2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69"/>
      <c r="AM927" s="69"/>
      <c r="AN927" s="69"/>
      <c r="AO927" s="69"/>
      <c r="AP927" s="69"/>
      <c r="AQ927" s="69"/>
      <c r="AR927" s="69"/>
      <c r="AS927" s="69"/>
      <c r="AT927" s="69"/>
      <c r="AU927" s="1"/>
      <c r="AV927" s="1"/>
    </row>
    <row r="928" spans="1:48" ht="15.75" customHeight="1" x14ac:dyDescent="0.25">
      <c r="A928" s="1"/>
      <c r="B928" s="2"/>
      <c r="C928" s="3"/>
      <c r="D928" s="2"/>
      <c r="E928" s="52"/>
      <c r="F928" s="52"/>
      <c r="G928" s="52"/>
      <c r="H928" s="2"/>
      <c r="I928" s="2"/>
      <c r="J928" s="2"/>
      <c r="K928" s="2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2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69"/>
      <c r="AM928" s="69"/>
      <c r="AN928" s="69"/>
      <c r="AO928" s="69"/>
      <c r="AP928" s="69"/>
      <c r="AQ928" s="69"/>
      <c r="AR928" s="69"/>
      <c r="AS928" s="69"/>
      <c r="AT928" s="69"/>
      <c r="AU928" s="1"/>
      <c r="AV928" s="1"/>
    </row>
    <row r="929" spans="1:48" ht="15.75" customHeight="1" x14ac:dyDescent="0.25">
      <c r="A929" s="1"/>
      <c r="B929" s="2"/>
      <c r="C929" s="3"/>
      <c r="D929" s="2"/>
      <c r="E929" s="52"/>
      <c r="F929" s="52"/>
      <c r="G929" s="52"/>
      <c r="H929" s="2"/>
      <c r="I929" s="2"/>
      <c r="J929" s="2"/>
      <c r="K929" s="2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2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69"/>
      <c r="AM929" s="69"/>
      <c r="AN929" s="69"/>
      <c r="AO929" s="69"/>
      <c r="AP929" s="69"/>
      <c r="AQ929" s="69"/>
      <c r="AR929" s="69"/>
      <c r="AS929" s="69"/>
      <c r="AT929" s="69"/>
      <c r="AU929" s="1"/>
      <c r="AV929" s="1"/>
    </row>
    <row r="930" spans="1:48" ht="15.75" customHeight="1" x14ac:dyDescent="0.25">
      <c r="A930" s="1"/>
      <c r="B930" s="2"/>
      <c r="C930" s="3"/>
      <c r="D930" s="2"/>
      <c r="E930" s="52"/>
      <c r="F930" s="52"/>
      <c r="G930" s="52"/>
      <c r="H930" s="2"/>
      <c r="I930" s="2"/>
      <c r="J930" s="2"/>
      <c r="K930" s="2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2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69"/>
      <c r="AM930" s="69"/>
      <c r="AN930" s="69"/>
      <c r="AO930" s="69"/>
      <c r="AP930" s="69"/>
      <c r="AQ930" s="69"/>
      <c r="AR930" s="69"/>
      <c r="AS930" s="69"/>
      <c r="AT930" s="69"/>
      <c r="AU930" s="1"/>
      <c r="AV930" s="1"/>
    </row>
    <row r="931" spans="1:48" ht="15.75" customHeight="1" x14ac:dyDescent="0.25">
      <c r="A931" s="1"/>
      <c r="B931" s="2"/>
      <c r="C931" s="3"/>
      <c r="D931" s="2"/>
      <c r="E931" s="52"/>
      <c r="F931" s="52"/>
      <c r="G931" s="52"/>
      <c r="H931" s="2"/>
      <c r="I931" s="2"/>
      <c r="J931" s="2"/>
      <c r="K931" s="2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2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69"/>
      <c r="AM931" s="69"/>
      <c r="AN931" s="69"/>
      <c r="AO931" s="69"/>
      <c r="AP931" s="69"/>
      <c r="AQ931" s="69"/>
      <c r="AR931" s="69"/>
      <c r="AS931" s="69"/>
      <c r="AT931" s="69"/>
      <c r="AU931" s="1"/>
      <c r="AV931" s="1"/>
    </row>
    <row r="932" spans="1:48" ht="15.75" customHeight="1" x14ac:dyDescent="0.25">
      <c r="A932" s="1"/>
      <c r="B932" s="2"/>
      <c r="C932" s="3"/>
      <c r="D932" s="2"/>
      <c r="E932" s="52"/>
      <c r="F932" s="52"/>
      <c r="G932" s="52"/>
      <c r="H932" s="2"/>
      <c r="I932" s="2"/>
      <c r="J932" s="2"/>
      <c r="K932" s="2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2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69"/>
      <c r="AM932" s="69"/>
      <c r="AN932" s="69"/>
      <c r="AO932" s="69"/>
      <c r="AP932" s="69"/>
      <c r="AQ932" s="69"/>
      <c r="AR932" s="69"/>
      <c r="AS932" s="69"/>
      <c r="AT932" s="69"/>
      <c r="AU932" s="1"/>
      <c r="AV932" s="1"/>
    </row>
    <row r="933" spans="1:48" ht="15.75" customHeight="1" x14ac:dyDescent="0.25">
      <c r="A933" s="1"/>
      <c r="B933" s="2"/>
      <c r="C933" s="3"/>
      <c r="D933" s="2"/>
      <c r="E933" s="52"/>
      <c r="F933" s="52"/>
      <c r="G933" s="52"/>
      <c r="H933" s="2"/>
      <c r="I933" s="2"/>
      <c r="J933" s="2"/>
      <c r="K933" s="2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2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69"/>
      <c r="AM933" s="69"/>
      <c r="AN933" s="69"/>
      <c r="AO933" s="69"/>
      <c r="AP933" s="69"/>
      <c r="AQ933" s="69"/>
      <c r="AR933" s="69"/>
      <c r="AS933" s="69"/>
      <c r="AT933" s="69"/>
      <c r="AU933" s="1"/>
      <c r="AV933" s="1"/>
    </row>
    <row r="934" spans="1:48" ht="15.75" customHeight="1" x14ac:dyDescent="0.25">
      <c r="A934" s="1"/>
      <c r="B934" s="2"/>
      <c r="C934" s="3"/>
      <c r="D934" s="2"/>
      <c r="E934" s="52"/>
      <c r="F934" s="52"/>
      <c r="G934" s="52"/>
      <c r="H934" s="2"/>
      <c r="I934" s="2"/>
      <c r="J934" s="2"/>
      <c r="K934" s="2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2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69"/>
      <c r="AM934" s="69"/>
      <c r="AN934" s="69"/>
      <c r="AO934" s="69"/>
      <c r="AP934" s="69"/>
      <c r="AQ934" s="69"/>
      <c r="AR934" s="69"/>
      <c r="AS934" s="69"/>
      <c r="AT934" s="69"/>
      <c r="AU934" s="1"/>
      <c r="AV934" s="1"/>
    </row>
    <row r="935" spans="1:48" ht="15.75" customHeight="1" x14ac:dyDescent="0.25">
      <c r="A935" s="1"/>
      <c r="B935" s="2"/>
      <c r="C935" s="3"/>
      <c r="D935" s="2"/>
      <c r="E935" s="52"/>
      <c r="F935" s="52"/>
      <c r="G935" s="52"/>
      <c r="H935" s="2"/>
      <c r="I935" s="2"/>
      <c r="J935" s="2"/>
      <c r="K935" s="2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2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69"/>
      <c r="AM935" s="69"/>
      <c r="AN935" s="69"/>
      <c r="AO935" s="69"/>
      <c r="AP935" s="69"/>
      <c r="AQ935" s="69"/>
      <c r="AR935" s="69"/>
      <c r="AS935" s="69"/>
      <c r="AT935" s="69"/>
      <c r="AU935" s="1"/>
      <c r="AV935" s="1"/>
    </row>
    <row r="936" spans="1:48" ht="15.75" customHeight="1" x14ac:dyDescent="0.25">
      <c r="A936" s="1"/>
      <c r="B936" s="2"/>
      <c r="C936" s="3"/>
      <c r="D936" s="2"/>
      <c r="E936" s="52"/>
      <c r="F936" s="52"/>
      <c r="G936" s="52"/>
      <c r="H936" s="2"/>
      <c r="I936" s="2"/>
      <c r="J936" s="2"/>
      <c r="K936" s="2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2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69"/>
      <c r="AM936" s="69"/>
      <c r="AN936" s="69"/>
      <c r="AO936" s="69"/>
      <c r="AP936" s="69"/>
      <c r="AQ936" s="69"/>
      <c r="AR936" s="69"/>
      <c r="AS936" s="69"/>
      <c r="AT936" s="69"/>
      <c r="AU936" s="1"/>
      <c r="AV936" s="1"/>
    </row>
    <row r="937" spans="1:48" ht="15.75" customHeight="1" x14ac:dyDescent="0.25">
      <c r="A937" s="1"/>
      <c r="B937" s="2"/>
      <c r="C937" s="3"/>
      <c r="D937" s="2"/>
      <c r="E937" s="52"/>
      <c r="F937" s="52"/>
      <c r="G937" s="52"/>
      <c r="H937" s="2"/>
      <c r="I937" s="2"/>
      <c r="J937" s="2"/>
      <c r="K937" s="2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2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69"/>
      <c r="AM937" s="69"/>
      <c r="AN937" s="69"/>
      <c r="AO937" s="69"/>
      <c r="AP937" s="69"/>
      <c r="AQ937" s="69"/>
      <c r="AR937" s="69"/>
      <c r="AS937" s="69"/>
      <c r="AT937" s="69"/>
      <c r="AU937" s="1"/>
      <c r="AV937" s="1"/>
    </row>
    <row r="938" spans="1:48" ht="15.75" customHeight="1" x14ac:dyDescent="0.25">
      <c r="A938" s="1"/>
      <c r="B938" s="2"/>
      <c r="C938" s="3"/>
      <c r="D938" s="2"/>
      <c r="E938" s="52"/>
      <c r="F938" s="52"/>
      <c r="G938" s="52"/>
      <c r="H938" s="2"/>
      <c r="I938" s="2"/>
      <c r="J938" s="2"/>
      <c r="K938" s="2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2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69"/>
      <c r="AM938" s="69"/>
      <c r="AN938" s="69"/>
      <c r="AO938" s="69"/>
      <c r="AP938" s="69"/>
      <c r="AQ938" s="69"/>
      <c r="AR938" s="69"/>
      <c r="AS938" s="69"/>
      <c r="AT938" s="69"/>
      <c r="AU938" s="1"/>
      <c r="AV938" s="1"/>
    </row>
    <row r="939" spans="1:48" ht="15.75" customHeight="1" x14ac:dyDescent="0.25">
      <c r="A939" s="1"/>
      <c r="B939" s="2"/>
      <c r="C939" s="3"/>
      <c r="D939" s="2"/>
      <c r="E939" s="52"/>
      <c r="F939" s="52"/>
      <c r="G939" s="52"/>
      <c r="H939" s="2"/>
      <c r="I939" s="2"/>
      <c r="J939" s="2"/>
      <c r="K939" s="2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2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69"/>
      <c r="AM939" s="69"/>
      <c r="AN939" s="69"/>
      <c r="AO939" s="69"/>
      <c r="AP939" s="69"/>
      <c r="AQ939" s="69"/>
      <c r="AR939" s="69"/>
      <c r="AS939" s="69"/>
      <c r="AT939" s="69"/>
      <c r="AU939" s="1"/>
      <c r="AV939" s="1"/>
    </row>
    <row r="940" spans="1:48" ht="15.75" customHeight="1" x14ac:dyDescent="0.25">
      <c r="A940" s="1"/>
      <c r="B940" s="2"/>
      <c r="C940" s="3"/>
      <c r="D940" s="2"/>
      <c r="E940" s="52"/>
      <c r="F940" s="52"/>
      <c r="G940" s="52"/>
      <c r="H940" s="2"/>
      <c r="I940" s="2"/>
      <c r="J940" s="2"/>
      <c r="K940" s="2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2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69"/>
      <c r="AM940" s="69"/>
      <c r="AN940" s="69"/>
      <c r="AO940" s="69"/>
      <c r="AP940" s="69"/>
      <c r="AQ940" s="69"/>
      <c r="AR940" s="69"/>
      <c r="AS940" s="69"/>
      <c r="AT940" s="69"/>
      <c r="AU940" s="1"/>
      <c r="AV940" s="1"/>
    </row>
    <row r="941" spans="1:48" ht="15.75" customHeight="1" x14ac:dyDescent="0.25">
      <c r="A941" s="1"/>
      <c r="B941" s="2"/>
      <c r="C941" s="3"/>
      <c r="D941" s="2"/>
      <c r="E941" s="52"/>
      <c r="F941" s="52"/>
      <c r="G941" s="52"/>
      <c r="H941" s="2"/>
      <c r="I941" s="2"/>
      <c r="J941" s="2"/>
      <c r="K941" s="2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2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69"/>
      <c r="AM941" s="69"/>
      <c r="AN941" s="69"/>
      <c r="AO941" s="69"/>
      <c r="AP941" s="69"/>
      <c r="AQ941" s="69"/>
      <c r="AR941" s="69"/>
      <c r="AS941" s="69"/>
      <c r="AT941" s="69"/>
      <c r="AU941" s="1"/>
      <c r="AV941" s="1"/>
    </row>
    <row r="942" spans="1:48" ht="15.75" customHeight="1" x14ac:dyDescent="0.25">
      <c r="A942" s="1"/>
      <c r="B942" s="2"/>
      <c r="C942" s="3"/>
      <c r="D942" s="2"/>
      <c r="E942" s="52"/>
      <c r="F942" s="52"/>
      <c r="G942" s="52"/>
      <c r="H942" s="2"/>
      <c r="I942" s="2"/>
      <c r="J942" s="2"/>
      <c r="K942" s="2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2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69"/>
      <c r="AM942" s="69"/>
      <c r="AN942" s="69"/>
      <c r="AO942" s="69"/>
      <c r="AP942" s="69"/>
      <c r="AQ942" s="69"/>
      <c r="AR942" s="69"/>
      <c r="AS942" s="69"/>
      <c r="AT942" s="69"/>
      <c r="AU942" s="1"/>
      <c r="AV942" s="1"/>
    </row>
    <row r="943" spans="1:48" ht="15.75" customHeight="1" x14ac:dyDescent="0.25">
      <c r="A943" s="1"/>
      <c r="B943" s="2"/>
      <c r="C943" s="3"/>
      <c r="D943" s="2"/>
      <c r="E943" s="52"/>
      <c r="F943" s="52"/>
      <c r="G943" s="52"/>
      <c r="H943" s="2"/>
      <c r="I943" s="2"/>
      <c r="J943" s="2"/>
      <c r="K943" s="2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2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69"/>
      <c r="AM943" s="69"/>
      <c r="AN943" s="69"/>
      <c r="AO943" s="69"/>
      <c r="AP943" s="69"/>
      <c r="AQ943" s="69"/>
      <c r="AR943" s="69"/>
      <c r="AS943" s="69"/>
      <c r="AT943" s="69"/>
      <c r="AU943" s="1"/>
      <c r="AV943" s="1"/>
    </row>
    <row r="944" spans="1:48" ht="15.75" customHeight="1" x14ac:dyDescent="0.25">
      <c r="A944" s="1"/>
      <c r="B944" s="2"/>
      <c r="C944" s="3"/>
      <c r="D944" s="2"/>
      <c r="E944" s="52"/>
      <c r="F944" s="52"/>
      <c r="G944" s="52"/>
      <c r="H944" s="2"/>
      <c r="I944" s="2"/>
      <c r="J944" s="2"/>
      <c r="K944" s="2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2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69"/>
      <c r="AM944" s="69"/>
      <c r="AN944" s="69"/>
      <c r="AO944" s="69"/>
      <c r="AP944" s="69"/>
      <c r="AQ944" s="69"/>
      <c r="AR944" s="69"/>
      <c r="AS944" s="69"/>
      <c r="AT944" s="69"/>
      <c r="AU944" s="1"/>
      <c r="AV944" s="1"/>
    </row>
    <row r="945" spans="1:48" ht="15.75" customHeight="1" x14ac:dyDescent="0.25">
      <c r="A945" s="1"/>
      <c r="B945" s="2"/>
      <c r="C945" s="3"/>
      <c r="D945" s="2"/>
      <c r="E945" s="52"/>
      <c r="F945" s="52"/>
      <c r="G945" s="52"/>
      <c r="H945" s="2"/>
      <c r="I945" s="2"/>
      <c r="J945" s="2"/>
      <c r="K945" s="2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2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69"/>
      <c r="AM945" s="69"/>
      <c r="AN945" s="69"/>
      <c r="AO945" s="69"/>
      <c r="AP945" s="69"/>
      <c r="AQ945" s="69"/>
      <c r="AR945" s="69"/>
      <c r="AS945" s="69"/>
      <c r="AT945" s="69"/>
      <c r="AU945" s="1"/>
      <c r="AV945" s="1"/>
    </row>
    <row r="946" spans="1:48" ht="15.75" customHeight="1" x14ac:dyDescent="0.25">
      <c r="A946" s="1"/>
      <c r="B946" s="2"/>
      <c r="C946" s="3"/>
      <c r="D946" s="2"/>
      <c r="E946" s="52"/>
      <c r="F946" s="52"/>
      <c r="G946" s="52"/>
      <c r="H946" s="2"/>
      <c r="I946" s="2"/>
      <c r="J946" s="2"/>
      <c r="K946" s="2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2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69"/>
      <c r="AM946" s="69"/>
      <c r="AN946" s="69"/>
      <c r="AO946" s="69"/>
      <c r="AP946" s="69"/>
      <c r="AQ946" s="69"/>
      <c r="AR946" s="69"/>
      <c r="AS946" s="69"/>
      <c r="AT946" s="69"/>
      <c r="AU946" s="1"/>
      <c r="AV946" s="1"/>
    </row>
    <row r="947" spans="1:48" ht="15.75" customHeight="1" x14ac:dyDescent="0.25">
      <c r="A947" s="1"/>
      <c r="B947" s="2"/>
      <c r="C947" s="3"/>
      <c r="D947" s="2"/>
      <c r="E947" s="52"/>
      <c r="F947" s="52"/>
      <c r="G947" s="52"/>
      <c r="H947" s="2"/>
      <c r="I947" s="2"/>
      <c r="J947" s="2"/>
      <c r="K947" s="2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2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69"/>
      <c r="AM947" s="69"/>
      <c r="AN947" s="69"/>
      <c r="AO947" s="69"/>
      <c r="AP947" s="69"/>
      <c r="AQ947" s="69"/>
      <c r="AR947" s="69"/>
      <c r="AS947" s="69"/>
      <c r="AT947" s="69"/>
      <c r="AU947" s="1"/>
      <c r="AV947" s="1"/>
    </row>
    <row r="948" spans="1:48" ht="15.75" customHeight="1" x14ac:dyDescent="0.25">
      <c r="A948" s="1"/>
      <c r="B948" s="2"/>
      <c r="C948" s="3"/>
      <c r="D948" s="2"/>
      <c r="E948" s="52"/>
      <c r="F948" s="52"/>
      <c r="G948" s="52"/>
      <c r="H948" s="2"/>
      <c r="I948" s="2"/>
      <c r="J948" s="2"/>
      <c r="K948" s="2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2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69"/>
      <c r="AM948" s="69"/>
      <c r="AN948" s="69"/>
      <c r="AO948" s="69"/>
      <c r="AP948" s="69"/>
      <c r="AQ948" s="69"/>
      <c r="AR948" s="69"/>
      <c r="AS948" s="69"/>
      <c r="AT948" s="69"/>
      <c r="AU948" s="1"/>
      <c r="AV948" s="1"/>
    </row>
    <row r="949" spans="1:48" ht="15.75" customHeight="1" x14ac:dyDescent="0.25">
      <c r="A949" s="1"/>
      <c r="B949" s="2"/>
      <c r="C949" s="3"/>
      <c r="D949" s="2"/>
      <c r="E949" s="52"/>
      <c r="F949" s="52"/>
      <c r="G949" s="52"/>
      <c r="H949" s="2"/>
      <c r="I949" s="2"/>
      <c r="J949" s="2"/>
      <c r="K949" s="2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2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69"/>
      <c r="AM949" s="69"/>
      <c r="AN949" s="69"/>
      <c r="AO949" s="69"/>
      <c r="AP949" s="69"/>
      <c r="AQ949" s="69"/>
      <c r="AR949" s="69"/>
      <c r="AS949" s="69"/>
      <c r="AT949" s="69"/>
      <c r="AU949" s="1"/>
      <c r="AV949" s="1"/>
    </row>
    <row r="950" spans="1:48" ht="15.75" customHeight="1" x14ac:dyDescent="0.25">
      <c r="A950" s="1"/>
      <c r="B950" s="2"/>
      <c r="C950" s="3"/>
      <c r="D950" s="2"/>
      <c r="E950" s="52"/>
      <c r="F950" s="52"/>
      <c r="G950" s="52"/>
      <c r="H950" s="2"/>
      <c r="I950" s="2"/>
      <c r="J950" s="2"/>
      <c r="K950" s="2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2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69"/>
      <c r="AM950" s="69"/>
      <c r="AN950" s="69"/>
      <c r="AO950" s="69"/>
      <c r="AP950" s="69"/>
      <c r="AQ950" s="69"/>
      <c r="AR950" s="69"/>
      <c r="AS950" s="69"/>
      <c r="AT950" s="69"/>
      <c r="AU950" s="1"/>
      <c r="AV950" s="1"/>
    </row>
    <row r="951" spans="1:48" ht="15.75" customHeight="1" x14ac:dyDescent="0.25">
      <c r="A951" s="1"/>
      <c r="B951" s="2"/>
      <c r="C951" s="3"/>
      <c r="D951" s="2"/>
      <c r="E951" s="52"/>
      <c r="F951" s="52"/>
      <c r="G951" s="52"/>
      <c r="H951" s="2"/>
      <c r="I951" s="2"/>
      <c r="J951" s="2"/>
      <c r="K951" s="2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2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69"/>
      <c r="AM951" s="69"/>
      <c r="AN951" s="69"/>
      <c r="AO951" s="69"/>
      <c r="AP951" s="69"/>
      <c r="AQ951" s="69"/>
      <c r="AR951" s="69"/>
      <c r="AS951" s="69"/>
      <c r="AT951" s="69"/>
      <c r="AU951" s="1"/>
      <c r="AV951" s="1"/>
    </row>
    <row r="952" spans="1:48" ht="15.75" customHeight="1" x14ac:dyDescent="0.25">
      <c r="A952" s="1"/>
      <c r="B952" s="2"/>
      <c r="C952" s="3"/>
      <c r="D952" s="2"/>
      <c r="E952" s="52"/>
      <c r="F952" s="52"/>
      <c r="G952" s="52"/>
      <c r="H952" s="2"/>
      <c r="I952" s="2"/>
      <c r="J952" s="2"/>
      <c r="K952" s="2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2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69"/>
      <c r="AM952" s="69"/>
      <c r="AN952" s="69"/>
      <c r="AO952" s="69"/>
      <c r="AP952" s="69"/>
      <c r="AQ952" s="69"/>
      <c r="AR952" s="69"/>
      <c r="AS952" s="69"/>
      <c r="AT952" s="69"/>
      <c r="AU952" s="1"/>
      <c r="AV952" s="1"/>
    </row>
    <row r="953" spans="1:48" ht="15.75" customHeight="1" x14ac:dyDescent="0.25">
      <c r="A953" s="1"/>
      <c r="B953" s="2"/>
      <c r="C953" s="3"/>
      <c r="D953" s="2"/>
      <c r="E953" s="52"/>
      <c r="F953" s="52"/>
      <c r="G953" s="52"/>
      <c r="H953" s="2"/>
      <c r="I953" s="2"/>
      <c r="J953" s="2"/>
      <c r="K953" s="2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2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69"/>
      <c r="AM953" s="69"/>
      <c r="AN953" s="69"/>
      <c r="AO953" s="69"/>
      <c r="AP953" s="69"/>
      <c r="AQ953" s="69"/>
      <c r="AR953" s="69"/>
      <c r="AS953" s="69"/>
      <c r="AT953" s="69"/>
      <c r="AU953" s="1"/>
      <c r="AV953" s="1"/>
    </row>
    <row r="954" spans="1:48" ht="15.75" customHeight="1" x14ac:dyDescent="0.25">
      <c r="A954" s="1"/>
      <c r="B954" s="2"/>
      <c r="C954" s="3"/>
      <c r="D954" s="2"/>
      <c r="E954" s="52"/>
      <c r="F954" s="52"/>
      <c r="G954" s="52"/>
      <c r="H954" s="2"/>
      <c r="I954" s="2"/>
      <c r="J954" s="2"/>
      <c r="K954" s="2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2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69"/>
      <c r="AM954" s="69"/>
      <c r="AN954" s="69"/>
      <c r="AO954" s="69"/>
      <c r="AP954" s="69"/>
      <c r="AQ954" s="69"/>
      <c r="AR954" s="69"/>
      <c r="AS954" s="69"/>
      <c r="AT954" s="69"/>
      <c r="AU954" s="1"/>
      <c r="AV954" s="1"/>
    </row>
    <row r="955" spans="1:48" ht="15.75" customHeight="1" x14ac:dyDescent="0.25">
      <c r="A955" s="1"/>
      <c r="B955" s="2"/>
      <c r="C955" s="3"/>
      <c r="D955" s="2"/>
      <c r="E955" s="52"/>
      <c r="F955" s="52"/>
      <c r="G955" s="52"/>
      <c r="H955" s="2"/>
      <c r="I955" s="2"/>
      <c r="J955" s="2"/>
      <c r="K955" s="2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2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69"/>
      <c r="AM955" s="69"/>
      <c r="AN955" s="69"/>
      <c r="AO955" s="69"/>
      <c r="AP955" s="69"/>
      <c r="AQ955" s="69"/>
      <c r="AR955" s="69"/>
      <c r="AS955" s="69"/>
      <c r="AT955" s="69"/>
      <c r="AU955" s="1"/>
      <c r="AV955" s="1"/>
    </row>
    <row r="956" spans="1:48" ht="15.75" customHeight="1" x14ac:dyDescent="0.25">
      <c r="A956" s="1"/>
      <c r="B956" s="2"/>
      <c r="C956" s="3"/>
      <c r="D956" s="2"/>
      <c r="E956" s="52"/>
      <c r="F956" s="52"/>
      <c r="G956" s="52"/>
      <c r="H956" s="2"/>
      <c r="I956" s="2"/>
      <c r="J956" s="2"/>
      <c r="K956" s="2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2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69"/>
      <c r="AM956" s="69"/>
      <c r="AN956" s="69"/>
      <c r="AO956" s="69"/>
      <c r="AP956" s="69"/>
      <c r="AQ956" s="69"/>
      <c r="AR956" s="69"/>
      <c r="AS956" s="69"/>
      <c r="AT956" s="69"/>
      <c r="AU956" s="1"/>
      <c r="AV956" s="1"/>
    </row>
    <row r="957" spans="1:48" ht="15.75" customHeight="1" x14ac:dyDescent="0.25">
      <c r="A957" s="1"/>
      <c r="B957" s="2"/>
      <c r="C957" s="3"/>
      <c r="D957" s="2"/>
      <c r="E957" s="52"/>
      <c r="F957" s="52"/>
      <c r="G957" s="52"/>
      <c r="H957" s="2"/>
      <c r="I957" s="2"/>
      <c r="J957" s="2"/>
      <c r="K957" s="2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2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69"/>
      <c r="AM957" s="69"/>
      <c r="AN957" s="69"/>
      <c r="AO957" s="69"/>
      <c r="AP957" s="69"/>
      <c r="AQ957" s="69"/>
      <c r="AR957" s="69"/>
      <c r="AS957" s="69"/>
      <c r="AT957" s="69"/>
      <c r="AU957" s="1"/>
      <c r="AV957" s="1"/>
    </row>
    <row r="958" spans="1:48" ht="15.75" customHeight="1" x14ac:dyDescent="0.25">
      <c r="A958" s="1"/>
      <c r="B958" s="2"/>
      <c r="C958" s="3"/>
      <c r="D958" s="2"/>
      <c r="E958" s="52"/>
      <c r="F958" s="52"/>
      <c r="G958" s="52"/>
      <c r="H958" s="2"/>
      <c r="I958" s="2"/>
      <c r="J958" s="2"/>
      <c r="K958" s="2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2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69"/>
      <c r="AM958" s="69"/>
      <c r="AN958" s="69"/>
      <c r="AO958" s="69"/>
      <c r="AP958" s="69"/>
      <c r="AQ958" s="69"/>
      <c r="AR958" s="69"/>
      <c r="AS958" s="69"/>
      <c r="AT958" s="69"/>
      <c r="AU958" s="1"/>
      <c r="AV958" s="1"/>
    </row>
    <row r="959" spans="1:48" ht="15.75" customHeight="1" x14ac:dyDescent="0.25">
      <c r="A959" s="1"/>
      <c r="B959" s="2"/>
      <c r="C959" s="3"/>
      <c r="D959" s="2"/>
      <c r="E959" s="52"/>
      <c r="F959" s="52"/>
      <c r="G959" s="52"/>
      <c r="H959" s="2"/>
      <c r="I959" s="2"/>
      <c r="J959" s="2"/>
      <c r="K959" s="2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2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69"/>
      <c r="AM959" s="69"/>
      <c r="AN959" s="69"/>
      <c r="AO959" s="69"/>
      <c r="AP959" s="69"/>
      <c r="AQ959" s="69"/>
      <c r="AR959" s="69"/>
      <c r="AS959" s="69"/>
      <c r="AT959" s="69"/>
      <c r="AU959" s="1"/>
      <c r="AV959" s="1"/>
    </row>
    <row r="960" spans="1:48" ht="15.75" customHeight="1" x14ac:dyDescent="0.25">
      <c r="A960" s="1"/>
      <c r="B960" s="2"/>
      <c r="C960" s="3"/>
      <c r="D960" s="2"/>
      <c r="E960" s="52"/>
      <c r="F960" s="52"/>
      <c r="G960" s="52"/>
      <c r="H960" s="2"/>
      <c r="I960" s="2"/>
      <c r="J960" s="2"/>
      <c r="K960" s="2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2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69"/>
      <c r="AM960" s="69"/>
      <c r="AN960" s="69"/>
      <c r="AO960" s="69"/>
      <c r="AP960" s="69"/>
      <c r="AQ960" s="69"/>
      <c r="AR960" s="69"/>
      <c r="AS960" s="69"/>
      <c r="AT960" s="69"/>
      <c r="AU960" s="1"/>
      <c r="AV960" s="1"/>
    </row>
    <row r="961" spans="1:48" ht="15.75" customHeight="1" x14ac:dyDescent="0.25">
      <c r="A961" s="1"/>
      <c r="B961" s="2"/>
      <c r="C961" s="3"/>
      <c r="D961" s="2"/>
      <c r="E961" s="52"/>
      <c r="F961" s="52"/>
      <c r="G961" s="52"/>
      <c r="H961" s="2"/>
      <c r="I961" s="2"/>
      <c r="J961" s="2"/>
      <c r="K961" s="2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2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69"/>
      <c r="AM961" s="69"/>
      <c r="AN961" s="69"/>
      <c r="AO961" s="69"/>
      <c r="AP961" s="69"/>
      <c r="AQ961" s="69"/>
      <c r="AR961" s="69"/>
      <c r="AS961" s="69"/>
      <c r="AT961" s="69"/>
      <c r="AU961" s="1"/>
      <c r="AV961" s="1"/>
    </row>
    <row r="962" spans="1:48" ht="15.75" customHeight="1" x14ac:dyDescent="0.25">
      <c r="A962" s="1"/>
      <c r="B962" s="2"/>
      <c r="C962" s="3"/>
      <c r="D962" s="2"/>
      <c r="E962" s="52"/>
      <c r="F962" s="52"/>
      <c r="G962" s="52"/>
      <c r="H962" s="2"/>
      <c r="I962" s="2"/>
      <c r="J962" s="2"/>
      <c r="K962" s="2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2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69"/>
      <c r="AM962" s="69"/>
      <c r="AN962" s="69"/>
      <c r="AO962" s="69"/>
      <c r="AP962" s="69"/>
      <c r="AQ962" s="69"/>
      <c r="AR962" s="69"/>
      <c r="AS962" s="69"/>
      <c r="AT962" s="69"/>
      <c r="AU962" s="1"/>
      <c r="AV962" s="1"/>
    </row>
    <row r="963" spans="1:48" ht="15.75" customHeight="1" x14ac:dyDescent="0.25">
      <c r="A963" s="1"/>
      <c r="B963" s="2"/>
      <c r="C963" s="3"/>
      <c r="D963" s="2"/>
      <c r="E963" s="52"/>
      <c r="F963" s="52"/>
      <c r="G963" s="52"/>
      <c r="H963" s="2"/>
      <c r="I963" s="2"/>
      <c r="J963" s="2"/>
      <c r="K963" s="2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2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69"/>
      <c r="AM963" s="69"/>
      <c r="AN963" s="69"/>
      <c r="AO963" s="69"/>
      <c r="AP963" s="69"/>
      <c r="AQ963" s="69"/>
      <c r="AR963" s="69"/>
      <c r="AS963" s="69"/>
      <c r="AT963" s="69"/>
      <c r="AU963" s="1"/>
      <c r="AV963" s="1"/>
    </row>
    <row r="964" spans="1:48" ht="15.75" customHeight="1" x14ac:dyDescent="0.25">
      <c r="A964" s="1"/>
      <c r="B964" s="2"/>
      <c r="C964" s="3"/>
      <c r="D964" s="2"/>
      <c r="E964" s="52"/>
      <c r="F964" s="52"/>
      <c r="G964" s="52"/>
      <c r="H964" s="2"/>
      <c r="I964" s="2"/>
      <c r="J964" s="2"/>
      <c r="K964" s="2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2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69"/>
      <c r="AM964" s="69"/>
      <c r="AN964" s="69"/>
      <c r="AO964" s="69"/>
      <c r="AP964" s="69"/>
      <c r="AQ964" s="69"/>
      <c r="AR964" s="69"/>
      <c r="AS964" s="69"/>
      <c r="AT964" s="69"/>
      <c r="AU964" s="1"/>
      <c r="AV964" s="1"/>
    </row>
    <row r="965" spans="1:48" ht="15.75" customHeight="1" x14ac:dyDescent="0.25">
      <c r="A965" s="1"/>
      <c r="B965" s="2"/>
      <c r="C965" s="3"/>
      <c r="D965" s="2"/>
      <c r="E965" s="52"/>
      <c r="F965" s="52"/>
      <c r="G965" s="52"/>
      <c r="H965" s="2"/>
      <c r="I965" s="2"/>
      <c r="J965" s="2"/>
      <c r="K965" s="2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2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69"/>
      <c r="AM965" s="69"/>
      <c r="AN965" s="69"/>
      <c r="AO965" s="69"/>
      <c r="AP965" s="69"/>
      <c r="AQ965" s="69"/>
      <c r="AR965" s="69"/>
      <c r="AS965" s="69"/>
      <c r="AT965" s="69"/>
      <c r="AU965" s="1"/>
      <c r="AV965" s="1"/>
    </row>
    <row r="966" spans="1:48" ht="15.75" customHeight="1" x14ac:dyDescent="0.25">
      <c r="A966" s="1"/>
      <c r="B966" s="2"/>
      <c r="C966" s="3"/>
      <c r="D966" s="2"/>
      <c r="E966" s="52"/>
      <c r="F966" s="52"/>
      <c r="G966" s="52"/>
      <c r="H966" s="2"/>
      <c r="I966" s="2"/>
      <c r="J966" s="2"/>
      <c r="K966" s="2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2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69"/>
      <c r="AM966" s="69"/>
      <c r="AN966" s="69"/>
      <c r="AO966" s="69"/>
      <c r="AP966" s="69"/>
      <c r="AQ966" s="69"/>
      <c r="AR966" s="69"/>
      <c r="AS966" s="69"/>
      <c r="AT966" s="69"/>
      <c r="AU966" s="1"/>
      <c r="AV966" s="1"/>
    </row>
    <row r="967" spans="1:48" ht="15.75" customHeight="1" x14ac:dyDescent="0.25">
      <c r="A967" s="1"/>
      <c r="B967" s="2"/>
      <c r="C967" s="3"/>
      <c r="D967" s="2"/>
      <c r="E967" s="52"/>
      <c r="F967" s="52"/>
      <c r="G967" s="52"/>
      <c r="H967" s="2"/>
      <c r="I967" s="2"/>
      <c r="J967" s="2"/>
      <c r="K967" s="2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2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69"/>
      <c r="AM967" s="69"/>
      <c r="AN967" s="69"/>
      <c r="AO967" s="69"/>
      <c r="AP967" s="69"/>
      <c r="AQ967" s="69"/>
      <c r="AR967" s="69"/>
      <c r="AS967" s="69"/>
      <c r="AT967" s="69"/>
      <c r="AU967" s="1"/>
      <c r="AV967" s="1"/>
    </row>
    <row r="968" spans="1:48" ht="15.75" customHeight="1" x14ac:dyDescent="0.25">
      <c r="A968" s="1"/>
      <c r="B968" s="2"/>
      <c r="C968" s="3"/>
      <c r="D968" s="2"/>
      <c r="E968" s="52"/>
      <c r="F968" s="52"/>
      <c r="G968" s="52"/>
      <c r="H968" s="2"/>
      <c r="I968" s="2"/>
      <c r="J968" s="2"/>
      <c r="K968" s="2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2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69"/>
      <c r="AM968" s="69"/>
      <c r="AN968" s="69"/>
      <c r="AO968" s="69"/>
      <c r="AP968" s="69"/>
      <c r="AQ968" s="69"/>
      <c r="AR968" s="69"/>
      <c r="AS968" s="69"/>
      <c r="AT968" s="69"/>
      <c r="AU968" s="1"/>
      <c r="AV968" s="1"/>
    </row>
    <row r="969" spans="1:48" ht="15.75" customHeight="1" x14ac:dyDescent="0.25">
      <c r="A969" s="1"/>
      <c r="B969" s="2"/>
      <c r="C969" s="3"/>
      <c r="D969" s="2"/>
      <c r="E969" s="52"/>
      <c r="F969" s="52"/>
      <c r="G969" s="52"/>
      <c r="H969" s="2"/>
      <c r="I969" s="2"/>
      <c r="J969" s="2"/>
      <c r="K969" s="2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2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69"/>
      <c r="AM969" s="69"/>
      <c r="AN969" s="69"/>
      <c r="AO969" s="69"/>
      <c r="AP969" s="69"/>
      <c r="AQ969" s="69"/>
      <c r="AR969" s="69"/>
      <c r="AS969" s="69"/>
      <c r="AT969" s="69"/>
      <c r="AU969" s="1"/>
      <c r="AV969" s="1"/>
    </row>
    <row r="970" spans="1:48" ht="15.75" customHeight="1" x14ac:dyDescent="0.25">
      <c r="A970" s="1"/>
      <c r="B970" s="2"/>
      <c r="C970" s="3"/>
      <c r="D970" s="2"/>
      <c r="E970" s="52"/>
      <c r="F970" s="52"/>
      <c r="G970" s="52"/>
      <c r="H970" s="2"/>
      <c r="I970" s="2"/>
      <c r="J970" s="2"/>
      <c r="K970" s="2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2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69"/>
      <c r="AM970" s="69"/>
      <c r="AN970" s="69"/>
      <c r="AO970" s="69"/>
      <c r="AP970" s="69"/>
      <c r="AQ970" s="69"/>
      <c r="AR970" s="69"/>
      <c r="AS970" s="69"/>
      <c r="AT970" s="69"/>
      <c r="AU970" s="1"/>
      <c r="AV970" s="1"/>
    </row>
    <row r="971" spans="1:48" ht="15.75" customHeight="1" x14ac:dyDescent="0.25">
      <c r="A971" s="1"/>
      <c r="B971" s="2"/>
      <c r="C971" s="3"/>
      <c r="D971" s="2"/>
      <c r="E971" s="52"/>
      <c r="F971" s="52"/>
      <c r="G971" s="52"/>
      <c r="H971" s="2"/>
      <c r="I971" s="2"/>
      <c r="J971" s="2"/>
      <c r="K971" s="2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2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69"/>
      <c r="AM971" s="69"/>
      <c r="AN971" s="69"/>
      <c r="AO971" s="69"/>
      <c r="AP971" s="69"/>
      <c r="AQ971" s="69"/>
      <c r="AR971" s="69"/>
      <c r="AS971" s="69"/>
      <c r="AT971" s="69"/>
      <c r="AU971" s="1"/>
      <c r="AV971" s="1"/>
    </row>
    <row r="972" spans="1:48" ht="15.75" customHeight="1" x14ac:dyDescent="0.25">
      <c r="A972" s="1"/>
      <c r="B972" s="2"/>
      <c r="C972" s="3"/>
      <c r="D972" s="2"/>
      <c r="E972" s="52"/>
      <c r="F972" s="52"/>
      <c r="G972" s="52"/>
      <c r="H972" s="2"/>
      <c r="I972" s="2"/>
      <c r="J972" s="2"/>
      <c r="K972" s="2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2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69"/>
      <c r="AM972" s="69"/>
      <c r="AN972" s="69"/>
      <c r="AO972" s="69"/>
      <c r="AP972" s="69"/>
      <c r="AQ972" s="69"/>
      <c r="AR972" s="69"/>
      <c r="AS972" s="69"/>
      <c r="AT972" s="69"/>
      <c r="AU972" s="1"/>
      <c r="AV972" s="1"/>
    </row>
    <row r="973" spans="1:48" ht="15.75" customHeight="1" x14ac:dyDescent="0.25">
      <c r="A973" s="1"/>
      <c r="B973" s="2"/>
      <c r="C973" s="3"/>
      <c r="D973" s="2"/>
      <c r="E973" s="52"/>
      <c r="F973" s="52"/>
      <c r="G973" s="52"/>
      <c r="H973" s="2"/>
      <c r="I973" s="2"/>
      <c r="J973" s="2"/>
      <c r="K973" s="2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2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69"/>
      <c r="AM973" s="69"/>
      <c r="AN973" s="69"/>
      <c r="AO973" s="69"/>
      <c r="AP973" s="69"/>
      <c r="AQ973" s="69"/>
      <c r="AR973" s="69"/>
      <c r="AS973" s="69"/>
      <c r="AT973" s="69"/>
      <c r="AU973" s="1"/>
      <c r="AV973" s="1"/>
    </row>
    <row r="974" spans="1:48" ht="15.75" customHeight="1" x14ac:dyDescent="0.25">
      <c r="A974" s="1"/>
      <c r="B974" s="2"/>
      <c r="C974" s="3"/>
      <c r="D974" s="2"/>
      <c r="E974" s="52"/>
      <c r="F974" s="52"/>
      <c r="G974" s="52"/>
      <c r="H974" s="2"/>
      <c r="I974" s="2"/>
      <c r="J974" s="2"/>
      <c r="K974" s="2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2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69"/>
      <c r="AM974" s="69"/>
      <c r="AN974" s="69"/>
      <c r="AO974" s="69"/>
      <c r="AP974" s="69"/>
      <c r="AQ974" s="69"/>
      <c r="AR974" s="69"/>
      <c r="AS974" s="69"/>
      <c r="AT974" s="69"/>
      <c r="AU974" s="1"/>
      <c r="AV974" s="1"/>
    </row>
    <row r="975" spans="1:48" ht="15.75" customHeight="1" x14ac:dyDescent="0.25">
      <c r="A975" s="1"/>
      <c r="B975" s="2"/>
      <c r="C975" s="3"/>
      <c r="D975" s="2"/>
      <c r="E975" s="52"/>
      <c r="F975" s="52"/>
      <c r="G975" s="52"/>
      <c r="H975" s="2"/>
      <c r="I975" s="2"/>
      <c r="J975" s="2"/>
      <c r="K975" s="2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2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69"/>
      <c r="AM975" s="69"/>
      <c r="AN975" s="69"/>
      <c r="AO975" s="69"/>
      <c r="AP975" s="69"/>
      <c r="AQ975" s="69"/>
      <c r="AR975" s="69"/>
      <c r="AS975" s="69"/>
      <c r="AT975" s="69"/>
      <c r="AU975" s="1"/>
      <c r="AV975" s="1"/>
    </row>
    <row r="976" spans="1:48" ht="15.75" customHeight="1" x14ac:dyDescent="0.25">
      <c r="A976" s="1"/>
      <c r="B976" s="2"/>
      <c r="C976" s="3"/>
      <c r="D976" s="2"/>
      <c r="E976" s="52"/>
      <c r="F976" s="52"/>
      <c r="G976" s="52"/>
      <c r="H976" s="2"/>
      <c r="I976" s="2"/>
      <c r="J976" s="2"/>
      <c r="K976" s="2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2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69"/>
      <c r="AM976" s="69"/>
      <c r="AN976" s="69"/>
      <c r="AO976" s="69"/>
      <c r="AP976" s="69"/>
      <c r="AQ976" s="69"/>
      <c r="AR976" s="69"/>
      <c r="AS976" s="69"/>
      <c r="AT976" s="69"/>
      <c r="AU976" s="1"/>
      <c r="AV976" s="1"/>
    </row>
    <row r="977" spans="1:48" ht="15.75" customHeight="1" x14ac:dyDescent="0.25">
      <c r="A977" s="1"/>
      <c r="B977" s="2"/>
      <c r="C977" s="3"/>
      <c r="D977" s="2"/>
      <c r="E977" s="52"/>
      <c r="F977" s="52"/>
      <c r="G977" s="52"/>
      <c r="H977" s="2"/>
      <c r="I977" s="2"/>
      <c r="J977" s="2"/>
      <c r="K977" s="2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2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69"/>
      <c r="AM977" s="69"/>
      <c r="AN977" s="69"/>
      <c r="AO977" s="69"/>
      <c r="AP977" s="69"/>
      <c r="AQ977" s="69"/>
      <c r="AR977" s="69"/>
      <c r="AS977" s="69"/>
      <c r="AT977" s="69"/>
      <c r="AU977" s="1"/>
      <c r="AV977" s="1"/>
    </row>
    <row r="978" spans="1:48" ht="15.75" customHeight="1" x14ac:dyDescent="0.25">
      <c r="A978" s="1"/>
      <c r="B978" s="2"/>
      <c r="C978" s="3"/>
      <c r="D978" s="2"/>
      <c r="E978" s="52"/>
      <c r="F978" s="52"/>
      <c r="G978" s="52"/>
      <c r="H978" s="2"/>
      <c r="I978" s="2"/>
      <c r="J978" s="2"/>
      <c r="K978" s="2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2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69"/>
      <c r="AM978" s="69"/>
      <c r="AN978" s="69"/>
      <c r="AO978" s="69"/>
      <c r="AP978" s="69"/>
      <c r="AQ978" s="69"/>
      <c r="AR978" s="69"/>
      <c r="AS978" s="69"/>
      <c r="AT978" s="69"/>
      <c r="AU978" s="1"/>
      <c r="AV978" s="1"/>
    </row>
    <row r="979" spans="1:48" ht="15.75" customHeight="1" x14ac:dyDescent="0.25">
      <c r="A979" s="1"/>
      <c r="B979" s="2"/>
      <c r="C979" s="3"/>
      <c r="D979" s="2"/>
      <c r="E979" s="52"/>
      <c r="F979" s="52"/>
      <c r="G979" s="52"/>
      <c r="H979" s="2"/>
      <c r="I979" s="2"/>
      <c r="J979" s="2"/>
      <c r="K979" s="2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2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69"/>
      <c r="AM979" s="69"/>
      <c r="AN979" s="69"/>
      <c r="AO979" s="69"/>
      <c r="AP979" s="69"/>
      <c r="AQ979" s="69"/>
      <c r="AR979" s="69"/>
      <c r="AS979" s="69"/>
      <c r="AT979" s="69"/>
      <c r="AU979" s="1"/>
      <c r="AV979" s="1"/>
    </row>
    <row r="980" spans="1:48" ht="15.75" customHeight="1" x14ac:dyDescent="0.25">
      <c r="A980" s="1"/>
      <c r="B980" s="2"/>
      <c r="C980" s="3"/>
      <c r="D980" s="2"/>
      <c r="E980" s="52"/>
      <c r="F980" s="52"/>
      <c r="G980" s="52"/>
      <c r="H980" s="2"/>
      <c r="I980" s="2"/>
      <c r="J980" s="2"/>
      <c r="K980" s="2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2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69"/>
      <c r="AM980" s="69"/>
      <c r="AN980" s="69"/>
      <c r="AO980" s="69"/>
      <c r="AP980" s="69"/>
      <c r="AQ980" s="69"/>
      <c r="AR980" s="69"/>
      <c r="AS980" s="69"/>
      <c r="AT980" s="69"/>
      <c r="AU980" s="1"/>
      <c r="AV980" s="1"/>
    </row>
    <row r="981" spans="1:48" ht="15.75" customHeight="1" x14ac:dyDescent="0.25">
      <c r="A981" s="1"/>
      <c r="B981" s="2"/>
      <c r="C981" s="3"/>
      <c r="D981" s="2"/>
      <c r="E981" s="52"/>
      <c r="F981" s="52"/>
      <c r="G981" s="52"/>
      <c r="H981" s="2"/>
      <c r="I981" s="2"/>
      <c r="J981" s="2"/>
      <c r="K981" s="2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2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69"/>
      <c r="AM981" s="69"/>
      <c r="AN981" s="69"/>
      <c r="AO981" s="69"/>
      <c r="AP981" s="69"/>
      <c r="AQ981" s="69"/>
      <c r="AR981" s="69"/>
      <c r="AS981" s="69"/>
      <c r="AT981" s="69"/>
      <c r="AU981" s="1"/>
      <c r="AV981" s="1"/>
    </row>
    <row r="982" spans="1:48" ht="15.75" customHeight="1" x14ac:dyDescent="0.25">
      <c r="A982" s="1"/>
      <c r="B982" s="2"/>
      <c r="C982" s="3"/>
      <c r="D982" s="2"/>
      <c r="E982" s="52"/>
      <c r="F982" s="52"/>
      <c r="G982" s="52"/>
      <c r="H982" s="2"/>
      <c r="I982" s="2"/>
      <c r="J982" s="2"/>
      <c r="K982" s="2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2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69"/>
      <c r="AM982" s="69"/>
      <c r="AN982" s="69"/>
      <c r="AO982" s="69"/>
      <c r="AP982" s="69"/>
      <c r="AQ982" s="69"/>
      <c r="AR982" s="69"/>
      <c r="AS982" s="69"/>
      <c r="AT982" s="69"/>
      <c r="AU982" s="1"/>
      <c r="AV982" s="1"/>
    </row>
    <row r="983" spans="1:48" ht="15.75" customHeight="1" x14ac:dyDescent="0.25">
      <c r="A983" s="1"/>
      <c r="B983" s="2"/>
      <c r="C983" s="3"/>
      <c r="D983" s="2"/>
      <c r="E983" s="52"/>
      <c r="F983" s="52"/>
      <c r="G983" s="52"/>
      <c r="H983" s="2"/>
      <c r="I983" s="2"/>
      <c r="J983" s="2"/>
      <c r="K983" s="2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2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69"/>
      <c r="AM983" s="69"/>
      <c r="AN983" s="69"/>
      <c r="AO983" s="69"/>
      <c r="AP983" s="69"/>
      <c r="AQ983" s="69"/>
      <c r="AR983" s="69"/>
      <c r="AS983" s="69"/>
      <c r="AT983" s="69"/>
      <c r="AU983" s="1"/>
      <c r="AV983" s="1"/>
    </row>
    <row r="984" spans="1:48" ht="15.75" customHeight="1" x14ac:dyDescent="0.25">
      <c r="A984" s="1"/>
      <c r="B984" s="2"/>
      <c r="C984" s="3"/>
      <c r="D984" s="2"/>
      <c r="E984" s="52"/>
      <c r="F984" s="52"/>
      <c r="G984" s="52"/>
      <c r="H984" s="2"/>
      <c r="I984" s="2"/>
      <c r="J984" s="2"/>
      <c r="K984" s="2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2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69"/>
      <c r="AM984" s="69"/>
      <c r="AN984" s="69"/>
      <c r="AO984" s="69"/>
      <c r="AP984" s="69"/>
      <c r="AQ984" s="69"/>
      <c r="AR984" s="69"/>
      <c r="AS984" s="69"/>
      <c r="AT984" s="69"/>
      <c r="AU984" s="1"/>
      <c r="AV984" s="1"/>
    </row>
    <row r="985" spans="1:48" ht="15.75" customHeight="1" x14ac:dyDescent="0.25">
      <c r="A985" s="1"/>
      <c r="B985" s="2"/>
      <c r="C985" s="3"/>
      <c r="D985" s="2"/>
      <c r="E985" s="52"/>
      <c r="F985" s="52"/>
      <c r="G985" s="52"/>
      <c r="H985" s="2"/>
      <c r="I985" s="2"/>
      <c r="J985" s="2"/>
      <c r="K985" s="2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2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69"/>
      <c r="AM985" s="69"/>
      <c r="AN985" s="69"/>
      <c r="AO985" s="69"/>
      <c r="AP985" s="69"/>
      <c r="AQ985" s="69"/>
      <c r="AR985" s="69"/>
      <c r="AS985" s="69"/>
      <c r="AT985" s="69"/>
      <c r="AU985" s="1"/>
      <c r="AV985" s="1"/>
    </row>
    <row r="986" spans="1:48" ht="15.75" customHeight="1" x14ac:dyDescent="0.25">
      <c r="A986" s="1"/>
      <c r="B986" s="2"/>
      <c r="C986" s="3"/>
      <c r="D986" s="2"/>
      <c r="E986" s="52"/>
      <c r="F986" s="52"/>
      <c r="G986" s="52"/>
      <c r="H986" s="2"/>
      <c r="I986" s="2"/>
      <c r="J986" s="2"/>
      <c r="K986" s="2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2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69"/>
      <c r="AM986" s="69"/>
      <c r="AN986" s="69"/>
      <c r="AO986" s="69"/>
      <c r="AP986" s="69"/>
      <c r="AQ986" s="69"/>
      <c r="AR986" s="69"/>
      <c r="AS986" s="69"/>
      <c r="AT986" s="69"/>
      <c r="AU986" s="1"/>
      <c r="AV986" s="1"/>
    </row>
    <row r="987" spans="1:48" ht="15.75" customHeight="1" x14ac:dyDescent="0.25">
      <c r="A987" s="1"/>
      <c r="B987" s="2"/>
      <c r="C987" s="3"/>
      <c r="D987" s="2"/>
      <c r="E987" s="52"/>
      <c r="F987" s="52"/>
      <c r="G987" s="52"/>
      <c r="H987" s="2"/>
      <c r="I987" s="2"/>
      <c r="J987" s="2"/>
      <c r="K987" s="2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2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69"/>
      <c r="AM987" s="69"/>
      <c r="AN987" s="69"/>
      <c r="AO987" s="69"/>
      <c r="AP987" s="69"/>
      <c r="AQ987" s="69"/>
      <c r="AR987" s="69"/>
      <c r="AS987" s="69"/>
      <c r="AT987" s="69"/>
      <c r="AU987" s="1"/>
      <c r="AV987" s="1"/>
    </row>
    <row r="988" spans="1:48" ht="15.75" customHeight="1" x14ac:dyDescent="0.25">
      <c r="A988" s="1"/>
      <c r="B988" s="2"/>
      <c r="C988" s="3"/>
      <c r="D988" s="2"/>
      <c r="E988" s="52"/>
      <c r="F988" s="52"/>
      <c r="G988" s="52"/>
      <c r="H988" s="2"/>
      <c r="I988" s="2"/>
      <c r="J988" s="2"/>
      <c r="K988" s="2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2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69"/>
      <c r="AM988" s="69"/>
      <c r="AN988" s="69"/>
      <c r="AO988" s="69"/>
      <c r="AP988" s="69"/>
      <c r="AQ988" s="69"/>
      <c r="AR988" s="69"/>
      <c r="AS988" s="69"/>
      <c r="AT988" s="69"/>
      <c r="AU988" s="1"/>
      <c r="AV988" s="1"/>
    </row>
    <row r="989" spans="1:48" ht="15.75" customHeight="1" x14ac:dyDescent="0.25">
      <c r="A989" s="1"/>
      <c r="B989" s="2"/>
      <c r="C989" s="3"/>
      <c r="D989" s="2"/>
      <c r="E989" s="52"/>
      <c r="F989" s="52"/>
      <c r="G989" s="52"/>
      <c r="H989" s="2"/>
      <c r="I989" s="2"/>
      <c r="J989" s="2"/>
      <c r="K989" s="2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2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69"/>
      <c r="AM989" s="69"/>
      <c r="AN989" s="69"/>
      <c r="AO989" s="69"/>
      <c r="AP989" s="69"/>
      <c r="AQ989" s="69"/>
      <c r="AR989" s="69"/>
      <c r="AS989" s="69"/>
      <c r="AT989" s="69"/>
      <c r="AU989" s="1"/>
      <c r="AV989" s="1"/>
    </row>
    <row r="990" spans="1:48" ht="15.75" customHeight="1" x14ac:dyDescent="0.25">
      <c r="A990" s="1"/>
      <c r="B990" s="2"/>
      <c r="C990" s="3"/>
      <c r="D990" s="2"/>
      <c r="E990" s="52"/>
      <c r="F990" s="52"/>
      <c r="G990" s="52"/>
      <c r="H990" s="2"/>
      <c r="I990" s="2"/>
      <c r="J990" s="2"/>
      <c r="K990" s="2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2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69"/>
      <c r="AM990" s="69"/>
      <c r="AN990" s="69"/>
      <c r="AO990" s="69"/>
      <c r="AP990" s="69"/>
      <c r="AQ990" s="69"/>
      <c r="AR990" s="69"/>
      <c r="AS990" s="69"/>
      <c r="AT990" s="69"/>
      <c r="AU990" s="1"/>
      <c r="AV990" s="1"/>
    </row>
    <row r="991" spans="1:48" ht="15.75" customHeight="1" x14ac:dyDescent="0.25">
      <c r="A991" s="1"/>
      <c r="B991" s="2"/>
      <c r="C991" s="3"/>
      <c r="D991" s="2"/>
      <c r="E991" s="52"/>
      <c r="F991" s="52"/>
      <c r="G991" s="52"/>
      <c r="H991" s="2"/>
      <c r="I991" s="2"/>
      <c r="J991" s="2"/>
      <c r="K991" s="2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2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69"/>
      <c r="AM991" s="69"/>
      <c r="AN991" s="69"/>
      <c r="AO991" s="69"/>
      <c r="AP991" s="69"/>
      <c r="AQ991" s="69"/>
      <c r="AR991" s="69"/>
      <c r="AS991" s="69"/>
      <c r="AT991" s="69"/>
      <c r="AU991" s="1"/>
      <c r="AV991" s="1"/>
    </row>
    <row r="992" spans="1:48" ht="15.75" customHeight="1" x14ac:dyDescent="0.25">
      <c r="A992" s="1"/>
      <c r="B992" s="2"/>
      <c r="C992" s="3"/>
      <c r="D992" s="2"/>
      <c r="E992" s="52"/>
      <c r="F992" s="52"/>
      <c r="G992" s="52"/>
      <c r="H992" s="2"/>
      <c r="I992" s="2"/>
      <c r="J992" s="2"/>
      <c r="K992" s="2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2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69"/>
      <c r="AM992" s="69"/>
      <c r="AN992" s="69"/>
      <c r="AO992" s="69"/>
      <c r="AP992" s="69"/>
      <c r="AQ992" s="69"/>
      <c r="AR992" s="69"/>
      <c r="AS992" s="69"/>
      <c r="AT992" s="69"/>
      <c r="AU992" s="1"/>
      <c r="AV992" s="1"/>
    </row>
    <row r="993" spans="1:48" ht="15.75" customHeight="1" x14ac:dyDescent="0.25">
      <c r="A993" s="1"/>
      <c r="B993" s="2"/>
      <c r="C993" s="3"/>
      <c r="D993" s="2"/>
      <c r="E993" s="52"/>
      <c r="F993" s="52"/>
      <c r="G993" s="52"/>
      <c r="H993" s="2"/>
      <c r="I993" s="2"/>
      <c r="J993" s="2"/>
      <c r="K993" s="2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2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69"/>
      <c r="AM993" s="69"/>
      <c r="AN993" s="69"/>
      <c r="AO993" s="69"/>
      <c r="AP993" s="69"/>
      <c r="AQ993" s="69"/>
      <c r="AR993" s="69"/>
      <c r="AS993" s="69"/>
      <c r="AT993" s="69"/>
      <c r="AU993" s="1"/>
      <c r="AV993" s="1"/>
    </row>
    <row r="994" spans="1:48" ht="15.75" customHeight="1" x14ac:dyDescent="0.25">
      <c r="A994" s="1"/>
      <c r="B994" s="2"/>
      <c r="C994" s="3"/>
      <c r="D994" s="2"/>
      <c r="E994" s="52"/>
      <c r="F994" s="52"/>
      <c r="G994" s="52"/>
      <c r="H994" s="2"/>
      <c r="I994" s="2"/>
      <c r="J994" s="2"/>
      <c r="K994" s="2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2"/>
      <c r="AB994" s="1"/>
      <c r="AC994" s="1"/>
      <c r="AD994" s="1"/>
      <c r="AE994" s="1"/>
      <c r="AF994" s="1"/>
      <c r="AG994" s="1"/>
      <c r="AH994" s="1"/>
      <c r="AI994" s="1"/>
      <c r="AJ994" s="1"/>
      <c r="AK994" s="1"/>
      <c r="AL994" s="69"/>
      <c r="AM994" s="69"/>
      <c r="AN994" s="69"/>
      <c r="AO994" s="69"/>
      <c r="AP994" s="69"/>
      <c r="AQ994" s="69"/>
      <c r="AR994" s="69"/>
      <c r="AS994" s="69"/>
      <c r="AT994" s="69"/>
      <c r="AU994" s="1"/>
      <c r="AV994" s="1"/>
    </row>
    <row r="995" spans="1:48" ht="15.75" customHeight="1" x14ac:dyDescent="0.25">
      <c r="A995" s="1"/>
      <c r="B995" s="2"/>
      <c r="C995" s="3"/>
      <c r="D995" s="2"/>
      <c r="E995" s="52"/>
      <c r="F995" s="52"/>
      <c r="G995" s="52"/>
      <c r="H995" s="2"/>
      <c r="I995" s="2"/>
      <c r="J995" s="2"/>
      <c r="K995" s="2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2"/>
      <c r="AB995" s="1"/>
      <c r="AC995" s="1"/>
      <c r="AD995" s="1"/>
      <c r="AE995" s="1"/>
      <c r="AF995" s="1"/>
      <c r="AG995" s="1"/>
      <c r="AH995" s="1"/>
      <c r="AI995" s="1"/>
      <c r="AJ995" s="1"/>
      <c r="AK995" s="1"/>
      <c r="AL995" s="69"/>
      <c r="AM995" s="69"/>
      <c r="AN995" s="69"/>
      <c r="AO995" s="69"/>
      <c r="AP995" s="69"/>
      <c r="AQ995" s="69"/>
      <c r="AR995" s="69"/>
      <c r="AS995" s="69"/>
      <c r="AT995" s="69"/>
      <c r="AU995" s="1"/>
      <c r="AV995" s="1"/>
    </row>
    <row r="996" spans="1:48" ht="15.75" customHeight="1" x14ac:dyDescent="0.25">
      <c r="A996" s="1"/>
      <c r="B996" s="2"/>
      <c r="C996" s="3"/>
      <c r="D996" s="2"/>
      <c r="E996" s="52"/>
      <c r="F996" s="52"/>
      <c r="G996" s="52"/>
      <c r="H996" s="2"/>
      <c r="I996" s="2"/>
      <c r="J996" s="2"/>
      <c r="K996" s="2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2"/>
      <c r="AB996" s="1"/>
      <c r="AC996" s="1"/>
      <c r="AD996" s="1"/>
      <c r="AE996" s="1"/>
      <c r="AF996" s="1"/>
      <c r="AG996" s="1"/>
      <c r="AH996" s="1"/>
      <c r="AI996" s="1"/>
      <c r="AJ996" s="1"/>
      <c r="AK996" s="1"/>
      <c r="AL996" s="69"/>
      <c r="AM996" s="69"/>
      <c r="AN996" s="69"/>
      <c r="AO996" s="69"/>
      <c r="AP996" s="69"/>
      <c r="AQ996" s="69"/>
      <c r="AR996" s="69"/>
      <c r="AS996" s="69"/>
      <c r="AT996" s="69"/>
      <c r="AU996" s="1"/>
      <c r="AV996" s="1"/>
    </row>
    <row r="997" spans="1:48" ht="15.75" customHeight="1" x14ac:dyDescent="0.25">
      <c r="A997" s="1"/>
      <c r="B997" s="2"/>
      <c r="C997" s="3"/>
      <c r="D997" s="2"/>
      <c r="E997" s="52"/>
      <c r="F997" s="52"/>
      <c r="G997" s="52"/>
      <c r="H997" s="2"/>
      <c r="I997" s="2"/>
      <c r="J997" s="2"/>
      <c r="K997" s="2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2"/>
      <c r="AB997" s="1"/>
      <c r="AC997" s="1"/>
      <c r="AD997" s="1"/>
      <c r="AE997" s="1"/>
      <c r="AF997" s="1"/>
      <c r="AG997" s="1"/>
      <c r="AH997" s="1"/>
      <c r="AI997" s="1"/>
      <c r="AJ997" s="1"/>
      <c r="AK997" s="1"/>
      <c r="AL997" s="69"/>
      <c r="AM997" s="69"/>
      <c r="AN997" s="69"/>
      <c r="AO997" s="69"/>
      <c r="AP997" s="69"/>
      <c r="AQ997" s="69"/>
      <c r="AR997" s="69"/>
      <c r="AS997" s="69"/>
      <c r="AT997" s="69"/>
      <c r="AU997" s="1"/>
      <c r="AV997" s="1"/>
    </row>
    <row r="998" spans="1:48" ht="15.75" customHeight="1" x14ac:dyDescent="0.25">
      <c r="A998" s="1"/>
      <c r="B998" s="2"/>
      <c r="C998" s="3"/>
      <c r="D998" s="2"/>
      <c r="E998" s="52"/>
      <c r="F998" s="52"/>
      <c r="G998" s="52"/>
      <c r="H998" s="2"/>
      <c r="I998" s="2"/>
      <c r="J998" s="2"/>
      <c r="K998" s="2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2"/>
      <c r="AB998" s="1"/>
      <c r="AC998" s="1"/>
      <c r="AD998" s="1"/>
      <c r="AE998" s="1"/>
      <c r="AF998" s="1"/>
      <c r="AG998" s="1"/>
      <c r="AH998" s="1"/>
      <c r="AI998" s="1"/>
      <c r="AJ998" s="1"/>
      <c r="AK998" s="1"/>
      <c r="AL998" s="69"/>
      <c r="AM998" s="69"/>
      <c r="AN998" s="69"/>
      <c r="AO998" s="69"/>
      <c r="AP998" s="69"/>
      <c r="AQ998" s="69"/>
      <c r="AR998" s="69"/>
      <c r="AS998" s="69"/>
      <c r="AT998" s="69"/>
      <c r="AU998" s="1"/>
      <c r="AV998" s="1"/>
    </row>
    <row r="999" spans="1:48" ht="15.75" customHeight="1" x14ac:dyDescent="0.25">
      <c r="A999" s="1"/>
      <c r="B999" s="2"/>
      <c r="C999" s="3"/>
      <c r="D999" s="2"/>
      <c r="E999" s="52"/>
      <c r="F999" s="52"/>
      <c r="G999" s="52"/>
      <c r="H999" s="2"/>
      <c r="I999" s="2"/>
      <c r="J999" s="2"/>
      <c r="K999" s="2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2"/>
      <c r="AB999" s="1"/>
      <c r="AC999" s="1"/>
      <c r="AD999" s="1"/>
      <c r="AE999" s="1"/>
      <c r="AF999" s="1"/>
      <c r="AG999" s="1"/>
      <c r="AH999" s="1"/>
      <c r="AI999" s="1"/>
      <c r="AJ999" s="1"/>
      <c r="AK999" s="1"/>
      <c r="AL999" s="69"/>
      <c r="AM999" s="69"/>
      <c r="AN999" s="69"/>
      <c r="AO999" s="69"/>
      <c r="AP999" s="69"/>
      <c r="AQ999" s="69"/>
      <c r="AR999" s="69"/>
      <c r="AS999" s="69"/>
      <c r="AT999" s="69"/>
      <c r="AU999" s="1"/>
      <c r="AV999" s="1"/>
    </row>
    <row r="1000" spans="1:48" ht="15.75" customHeight="1" x14ac:dyDescent="0.25">
      <c r="A1000" s="1"/>
      <c r="B1000" s="2"/>
      <c r="C1000" s="3"/>
      <c r="D1000" s="2"/>
      <c r="E1000" s="52"/>
      <c r="F1000" s="52"/>
      <c r="G1000" s="52"/>
      <c r="H1000" s="2"/>
      <c r="I1000" s="2"/>
      <c r="J1000" s="2"/>
      <c r="K1000" s="2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2"/>
      <c r="AB1000" s="1"/>
      <c r="AC1000" s="1"/>
      <c r="AD1000" s="1"/>
      <c r="AE1000" s="1"/>
      <c r="AF1000" s="1"/>
      <c r="AG1000" s="1"/>
      <c r="AH1000" s="1"/>
      <c r="AI1000" s="1"/>
      <c r="AJ1000" s="1"/>
      <c r="AK1000" s="1"/>
      <c r="AL1000" s="69"/>
      <c r="AM1000" s="69"/>
      <c r="AN1000" s="69"/>
      <c r="AO1000" s="69"/>
      <c r="AP1000" s="69"/>
      <c r="AQ1000" s="69"/>
      <c r="AR1000" s="69"/>
      <c r="AS1000" s="69"/>
      <c r="AT1000" s="69"/>
      <c r="AU1000" s="1"/>
      <c r="AV1000" s="1"/>
    </row>
  </sheetData>
  <autoFilter ref="A16:AV220" xr:uid="{00000000-0009-0000-0000-000001000000}"/>
  <mergeCells count="13">
    <mergeCell ref="AR1:AT1"/>
    <mergeCell ref="AL2:AP2"/>
    <mergeCell ref="L1:P1"/>
    <mergeCell ref="Q1:U1"/>
    <mergeCell ref="V1:Z1"/>
    <mergeCell ref="AA1:AE1"/>
    <mergeCell ref="AF1:AJ1"/>
    <mergeCell ref="AL1:AP1"/>
    <mergeCell ref="L2:P2"/>
    <mergeCell ref="Q2:U2"/>
    <mergeCell ref="V2:Z2"/>
    <mergeCell ref="AA2:AE2"/>
    <mergeCell ref="AF2:AJ2"/>
  </mergeCells>
  <conditionalFormatting sqref="L17:AT1000">
    <cfRule type="cellIs" dxfId="2" priority="1" operator="equal">
      <formula>3</formula>
    </cfRule>
  </conditionalFormatting>
  <conditionalFormatting sqref="L17:AT1000">
    <cfRule type="cellIs" dxfId="1" priority="2" operator="equal">
      <formula>1</formula>
    </cfRule>
  </conditionalFormatting>
  <conditionalFormatting sqref="A17:A1000">
    <cfRule type="cellIs" dxfId="0" priority="3" operator="equal">
      <formula>"Sim"</formula>
    </cfRule>
  </conditionalFormatting>
  <pageMargins left="0.511811024" right="0.511811024" top="0.78740157499999996" bottom="0.78740157499999996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ortemp"/>
  <dimension ref="A1:Z1000"/>
  <sheetViews>
    <sheetView workbookViewId="0"/>
  </sheetViews>
  <sheetFormatPr defaultColWidth="12.625" defaultRowHeight="15" customHeight="1" x14ac:dyDescent="0.2"/>
  <cols>
    <col min="1" max="1" width="17.25" customWidth="1"/>
    <col min="2" max="2" width="11.75" customWidth="1"/>
    <col min="3" max="3" width="24.75" customWidth="1"/>
    <col min="4" max="4" width="15.125" customWidth="1"/>
    <col min="5" max="5" width="33.625" customWidth="1"/>
    <col min="6" max="6" width="13.5" customWidth="1"/>
    <col min="7" max="7" width="14" customWidth="1"/>
    <col min="8" max="8" width="17.5" customWidth="1"/>
    <col min="9" max="9" width="46.875" customWidth="1"/>
    <col min="10" max="10" width="13" customWidth="1"/>
    <col min="11" max="11" width="12.375" customWidth="1"/>
    <col min="12" max="12" width="7" customWidth="1"/>
    <col min="13" max="13" width="11.75" customWidth="1"/>
    <col min="14" max="14" width="16" customWidth="1"/>
    <col min="15" max="15" width="14" customWidth="1"/>
    <col min="16" max="16" width="7.875" customWidth="1"/>
    <col min="17" max="17" width="10.875" customWidth="1"/>
    <col min="18" max="18" width="9.75" customWidth="1"/>
    <col min="19" max="19" width="13.625" customWidth="1"/>
    <col min="20" max="20" width="11.25" customWidth="1"/>
    <col min="21" max="21" width="10.75" customWidth="1"/>
    <col min="22" max="22" width="8.75" customWidth="1"/>
    <col min="23" max="23" width="20.5" customWidth="1"/>
    <col min="24" max="24" width="29.375" customWidth="1"/>
    <col min="25" max="25" width="23.75" customWidth="1"/>
    <col min="26" max="26" width="30" customWidth="1"/>
  </cols>
  <sheetData>
    <row r="1" spans="1:26" x14ac:dyDescent="0.25">
      <c r="A1" s="70" t="s">
        <v>71</v>
      </c>
      <c r="B1" s="70" t="s">
        <v>72</v>
      </c>
      <c r="C1" s="70" t="s">
        <v>73</v>
      </c>
      <c r="D1" s="70" t="s">
        <v>74</v>
      </c>
      <c r="E1" s="70" t="s">
        <v>75</v>
      </c>
      <c r="F1" s="70" t="s">
        <v>76</v>
      </c>
      <c r="G1" s="70" t="s">
        <v>77</v>
      </c>
      <c r="H1" s="70" t="s">
        <v>78</v>
      </c>
      <c r="I1" s="70" t="s">
        <v>79</v>
      </c>
      <c r="J1" s="70" t="s">
        <v>80</v>
      </c>
      <c r="K1" s="70" t="s">
        <v>81</v>
      </c>
      <c r="L1" s="70" t="s">
        <v>82</v>
      </c>
      <c r="M1" s="70" t="s">
        <v>83</v>
      </c>
      <c r="N1" s="70" t="s">
        <v>84</v>
      </c>
      <c r="O1" s="70" t="s">
        <v>85</v>
      </c>
      <c r="P1" s="70" t="s">
        <v>86</v>
      </c>
      <c r="Q1" s="70" t="s">
        <v>87</v>
      </c>
      <c r="R1" s="70" t="s">
        <v>88</v>
      </c>
      <c r="S1" s="70" t="s">
        <v>89</v>
      </c>
      <c r="T1" s="70" t="s">
        <v>90</v>
      </c>
      <c r="U1" s="70" t="s">
        <v>91</v>
      </c>
      <c r="V1" s="70" t="s">
        <v>92</v>
      </c>
      <c r="W1" s="70" t="s">
        <v>93</v>
      </c>
      <c r="X1" s="70" t="s">
        <v>94</v>
      </c>
      <c r="Y1" s="70" t="s">
        <v>95</v>
      </c>
      <c r="Z1" s="70" t="s">
        <v>96</v>
      </c>
    </row>
    <row r="2" spans="1:26" x14ac:dyDescent="0.25">
      <c r="A2" s="70"/>
      <c r="B2" s="70"/>
      <c r="C2" s="70"/>
      <c r="D2" s="70"/>
      <c r="E2" s="70"/>
      <c r="F2" s="70"/>
      <c r="G2" s="70"/>
      <c r="H2" s="70"/>
      <c r="I2" s="70"/>
      <c r="J2" s="70"/>
      <c r="K2" s="70"/>
      <c r="L2" s="70"/>
      <c r="M2" s="70"/>
      <c r="N2" s="71"/>
      <c r="O2" s="70"/>
      <c r="P2" s="70"/>
      <c r="Q2" s="70"/>
      <c r="R2" s="70"/>
      <c r="S2" s="70"/>
      <c r="T2" s="70"/>
      <c r="U2" s="70"/>
      <c r="V2" s="70"/>
      <c r="W2" s="70"/>
      <c r="X2" s="70"/>
      <c r="Y2" s="70"/>
      <c r="Z2" s="70"/>
    </row>
    <row r="3" spans="1:26" x14ac:dyDescent="0.25">
      <c r="A3" s="70"/>
      <c r="B3" s="70"/>
      <c r="C3" s="70"/>
      <c r="D3" s="70"/>
      <c r="E3" s="70"/>
      <c r="F3" s="70"/>
      <c r="G3" s="70"/>
      <c r="H3" s="70"/>
      <c r="I3" s="70"/>
      <c r="J3" s="70"/>
      <c r="K3" s="70"/>
      <c r="L3" s="70"/>
      <c r="M3" s="70"/>
      <c r="N3" s="71"/>
      <c r="O3" s="70"/>
      <c r="P3" s="70"/>
      <c r="Q3" s="70"/>
      <c r="R3" s="70"/>
      <c r="S3" s="70"/>
      <c r="T3" s="70"/>
      <c r="U3" s="70"/>
      <c r="V3" s="70"/>
      <c r="W3" s="70"/>
      <c r="X3" s="70"/>
      <c r="Y3" s="70"/>
      <c r="Z3" s="70"/>
    </row>
    <row r="4" spans="1:26" x14ac:dyDescent="0.25">
      <c r="A4" s="70"/>
      <c r="B4" s="70"/>
      <c r="C4" s="70"/>
      <c r="D4" s="70"/>
      <c r="E4" s="70"/>
      <c r="F4" s="70"/>
      <c r="G4" s="70"/>
      <c r="H4" s="70"/>
      <c r="I4" s="70"/>
      <c r="J4" s="70"/>
      <c r="K4" s="70"/>
      <c r="L4" s="70"/>
      <c r="M4" s="70"/>
      <c r="N4" s="71"/>
      <c r="O4" s="70"/>
      <c r="P4" s="70"/>
      <c r="Q4" s="70"/>
      <c r="R4" s="70"/>
      <c r="S4" s="70"/>
      <c r="T4" s="70"/>
      <c r="U4" s="70"/>
      <c r="V4" s="70"/>
      <c r="W4" s="70"/>
      <c r="X4" s="70"/>
      <c r="Y4" s="70"/>
      <c r="Z4" s="70"/>
    </row>
    <row r="5" spans="1:26" x14ac:dyDescent="0.25">
      <c r="A5" s="70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1"/>
      <c r="O5" s="70"/>
      <c r="P5" s="70"/>
      <c r="Q5" s="70"/>
      <c r="R5" s="70"/>
      <c r="S5" s="70"/>
      <c r="T5" s="70"/>
      <c r="U5" s="70"/>
      <c r="V5" s="70"/>
      <c r="W5" s="70"/>
      <c r="X5" s="70"/>
      <c r="Y5" s="70"/>
      <c r="Z5" s="70"/>
    </row>
    <row r="6" spans="1:26" x14ac:dyDescent="0.25">
      <c r="A6" s="70"/>
      <c r="B6" s="70"/>
      <c r="C6" s="70"/>
      <c r="D6" s="70"/>
      <c r="E6" s="70"/>
      <c r="F6" s="70"/>
      <c r="G6" s="70"/>
      <c r="H6" s="70"/>
      <c r="I6" s="70"/>
      <c r="J6" s="70"/>
      <c r="K6" s="70"/>
      <c r="L6" s="70"/>
      <c r="M6" s="70"/>
      <c r="N6" s="71"/>
      <c r="O6" s="70"/>
      <c r="P6" s="70"/>
      <c r="Q6" s="70"/>
      <c r="R6" s="70"/>
      <c r="S6" s="70"/>
      <c r="T6" s="70"/>
      <c r="U6" s="70"/>
      <c r="V6" s="70"/>
      <c r="W6" s="70"/>
      <c r="X6" s="70"/>
      <c r="Y6" s="70"/>
      <c r="Z6" s="70"/>
    </row>
    <row r="7" spans="1:26" x14ac:dyDescent="0.25">
      <c r="A7" s="70"/>
      <c r="B7" s="70"/>
      <c r="C7" s="70"/>
      <c r="D7" s="70"/>
      <c r="E7" s="70"/>
      <c r="F7" s="70"/>
      <c r="G7" s="70"/>
      <c r="H7" s="70"/>
      <c r="I7" s="70"/>
      <c r="J7" s="70"/>
      <c r="K7" s="70"/>
      <c r="L7" s="70"/>
      <c r="M7" s="70"/>
      <c r="N7" s="71"/>
      <c r="O7" s="70"/>
      <c r="P7" s="70"/>
      <c r="Q7" s="70"/>
      <c r="R7" s="70"/>
      <c r="S7" s="70"/>
      <c r="T7" s="70"/>
      <c r="U7" s="70"/>
      <c r="V7" s="70"/>
      <c r="W7" s="70"/>
      <c r="X7" s="70"/>
      <c r="Y7" s="70"/>
      <c r="Z7" s="70"/>
    </row>
    <row r="8" spans="1:26" x14ac:dyDescent="0.25">
      <c r="A8" s="70"/>
      <c r="B8" s="70"/>
      <c r="C8" s="70"/>
      <c r="D8" s="70"/>
      <c r="E8" s="70"/>
      <c r="F8" s="70"/>
      <c r="G8" s="70"/>
      <c r="H8" s="70"/>
      <c r="I8" s="70"/>
      <c r="J8" s="70"/>
      <c r="K8" s="70"/>
      <c r="L8" s="70"/>
      <c r="M8" s="70"/>
      <c r="N8" s="71"/>
      <c r="O8" s="70"/>
      <c r="P8" s="70"/>
      <c r="Q8" s="70"/>
      <c r="R8" s="70"/>
      <c r="S8" s="70"/>
      <c r="T8" s="70"/>
      <c r="U8" s="70"/>
      <c r="V8" s="70"/>
      <c r="W8" s="70"/>
      <c r="X8" s="70"/>
      <c r="Y8" s="70"/>
      <c r="Z8" s="70"/>
    </row>
    <row r="9" spans="1:26" x14ac:dyDescent="0.25">
      <c r="A9" s="70"/>
      <c r="B9" s="70"/>
      <c r="C9" s="70"/>
      <c r="D9" s="70"/>
      <c r="E9" s="70"/>
      <c r="F9" s="70"/>
      <c r="G9" s="70"/>
      <c r="H9" s="70"/>
      <c r="I9" s="70"/>
      <c r="J9" s="70"/>
      <c r="K9" s="70"/>
      <c r="L9" s="70"/>
      <c r="M9" s="70"/>
      <c r="N9" s="71"/>
      <c r="O9" s="70"/>
      <c r="P9" s="70"/>
      <c r="Q9" s="70"/>
      <c r="R9" s="70"/>
      <c r="S9" s="70"/>
      <c r="T9" s="70"/>
      <c r="U9" s="70"/>
      <c r="V9" s="70"/>
      <c r="W9" s="70"/>
      <c r="X9" s="70"/>
      <c r="Y9" s="70"/>
      <c r="Z9" s="70"/>
    </row>
    <row r="10" spans="1:26" x14ac:dyDescent="0.25">
      <c r="A10" s="70"/>
      <c r="B10" s="70"/>
      <c r="C10" s="70"/>
      <c r="D10" s="70"/>
      <c r="E10" s="70"/>
      <c r="F10" s="70"/>
      <c r="G10" s="70"/>
      <c r="H10" s="70"/>
      <c r="I10" s="70"/>
      <c r="J10" s="70"/>
      <c r="K10" s="70"/>
      <c r="L10" s="70"/>
      <c r="M10" s="70"/>
      <c r="N10" s="71"/>
      <c r="O10" s="70"/>
      <c r="P10" s="70"/>
      <c r="Q10" s="70"/>
      <c r="R10" s="70"/>
      <c r="S10" s="70"/>
      <c r="T10" s="70"/>
      <c r="U10" s="70"/>
      <c r="V10" s="70"/>
      <c r="W10" s="70"/>
      <c r="X10" s="70"/>
      <c r="Y10" s="70"/>
      <c r="Z10" s="70"/>
    </row>
    <row r="11" spans="1:26" x14ac:dyDescent="0.25">
      <c r="A11" s="70"/>
      <c r="B11" s="70"/>
      <c r="C11" s="70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1"/>
      <c r="O11" s="70"/>
      <c r="P11" s="70"/>
      <c r="Q11" s="70"/>
      <c r="R11" s="70"/>
      <c r="S11" s="70"/>
      <c r="T11" s="70"/>
      <c r="U11" s="70"/>
      <c r="V11" s="70"/>
      <c r="W11" s="70"/>
      <c r="X11" s="70"/>
      <c r="Y11" s="70"/>
      <c r="Z11" s="70"/>
    </row>
    <row r="12" spans="1:26" x14ac:dyDescent="0.25">
      <c r="A12" s="70"/>
      <c r="B12" s="70"/>
      <c r="C12" s="70"/>
      <c r="D12" s="70"/>
      <c r="E12" s="70"/>
      <c r="F12" s="70"/>
      <c r="G12" s="70"/>
      <c r="H12" s="70"/>
      <c r="I12" s="70"/>
      <c r="J12" s="70"/>
      <c r="K12" s="70"/>
      <c r="L12" s="70"/>
      <c r="M12" s="70"/>
      <c r="N12" s="71"/>
      <c r="O12" s="70"/>
      <c r="P12" s="70"/>
      <c r="Q12" s="70"/>
      <c r="R12" s="70"/>
      <c r="S12" s="70"/>
      <c r="T12" s="70"/>
      <c r="U12" s="70"/>
      <c r="V12" s="70"/>
      <c r="W12" s="70"/>
      <c r="X12" s="70"/>
      <c r="Y12" s="70"/>
      <c r="Z12" s="70"/>
    </row>
    <row r="13" spans="1:26" x14ac:dyDescent="0.25">
      <c r="A13" s="70"/>
      <c r="B13" s="70"/>
      <c r="C13" s="70"/>
      <c r="D13" s="70"/>
      <c r="E13" s="70"/>
      <c r="F13" s="70"/>
      <c r="G13" s="70"/>
      <c r="H13" s="70"/>
      <c r="I13" s="70"/>
      <c r="J13" s="70"/>
      <c r="K13" s="70"/>
      <c r="L13" s="70"/>
      <c r="M13" s="70"/>
      <c r="N13" s="71"/>
      <c r="O13" s="70"/>
      <c r="P13" s="70"/>
      <c r="Q13" s="70"/>
      <c r="R13" s="70"/>
      <c r="S13" s="70"/>
      <c r="T13" s="70"/>
      <c r="U13" s="70"/>
      <c r="V13" s="70"/>
      <c r="W13" s="70"/>
      <c r="X13" s="70"/>
      <c r="Y13" s="70"/>
      <c r="Z13" s="70"/>
    </row>
    <row r="14" spans="1:26" x14ac:dyDescent="0.25">
      <c r="A14" s="70"/>
      <c r="B14" s="70"/>
      <c r="C14" s="70"/>
      <c r="D14" s="70"/>
      <c r="E14" s="70"/>
      <c r="F14" s="70"/>
      <c r="G14" s="70"/>
      <c r="H14" s="70"/>
      <c r="I14" s="70"/>
      <c r="J14" s="70"/>
      <c r="K14" s="70"/>
      <c r="L14" s="70"/>
      <c r="M14" s="70"/>
      <c r="N14" s="71"/>
      <c r="O14" s="70"/>
      <c r="P14" s="70"/>
      <c r="Q14" s="70"/>
      <c r="R14" s="70"/>
      <c r="S14" s="70"/>
      <c r="T14" s="70"/>
      <c r="U14" s="70"/>
      <c r="V14" s="70"/>
      <c r="W14" s="70"/>
      <c r="X14" s="70"/>
      <c r="Y14" s="70"/>
      <c r="Z14" s="70"/>
    </row>
    <row r="15" spans="1:26" x14ac:dyDescent="0.25">
      <c r="A15" s="70"/>
      <c r="B15" s="70"/>
      <c r="C15" s="70"/>
      <c r="D15" s="70"/>
      <c r="E15" s="70"/>
      <c r="F15" s="70"/>
      <c r="G15" s="70"/>
      <c r="H15" s="70"/>
      <c r="I15" s="70"/>
      <c r="J15" s="70"/>
      <c r="K15" s="70"/>
      <c r="L15" s="70"/>
      <c r="M15" s="70"/>
      <c r="N15" s="71"/>
      <c r="O15" s="70"/>
      <c r="P15" s="70"/>
      <c r="Q15" s="70"/>
      <c r="R15" s="70"/>
      <c r="S15" s="70"/>
      <c r="T15" s="70"/>
      <c r="U15" s="70"/>
      <c r="V15" s="70"/>
      <c r="W15" s="70"/>
      <c r="X15" s="70"/>
      <c r="Y15" s="70"/>
      <c r="Z15" s="70"/>
    </row>
    <row r="16" spans="1:26" x14ac:dyDescent="0.25">
      <c r="A16" s="70"/>
      <c r="B16" s="70"/>
      <c r="C16" s="70"/>
      <c r="D16" s="70"/>
      <c r="E16" s="70"/>
      <c r="F16" s="70"/>
      <c r="G16" s="70"/>
      <c r="H16" s="70"/>
      <c r="I16" s="70"/>
      <c r="J16" s="70"/>
      <c r="K16" s="70"/>
      <c r="L16" s="70"/>
      <c r="M16" s="70"/>
      <c r="N16" s="71"/>
      <c r="O16" s="70"/>
      <c r="P16" s="70"/>
      <c r="Q16" s="70"/>
      <c r="R16" s="70"/>
      <c r="S16" s="70"/>
      <c r="T16" s="70"/>
      <c r="U16" s="70"/>
      <c r="V16" s="70"/>
      <c r="W16" s="70"/>
      <c r="X16" s="70"/>
      <c r="Y16" s="70"/>
      <c r="Z16" s="70"/>
    </row>
    <row r="17" spans="1:26" x14ac:dyDescent="0.25">
      <c r="A17" s="70"/>
      <c r="B17" s="70"/>
      <c r="C17" s="70"/>
      <c r="D17" s="70"/>
      <c r="E17" s="70"/>
      <c r="F17" s="70"/>
      <c r="G17" s="70"/>
      <c r="H17" s="70"/>
      <c r="I17" s="70"/>
      <c r="J17" s="70"/>
      <c r="K17" s="70"/>
      <c r="L17" s="70"/>
      <c r="M17" s="70"/>
      <c r="N17" s="71"/>
      <c r="O17" s="70"/>
      <c r="P17" s="70"/>
      <c r="Q17" s="70"/>
      <c r="R17" s="70"/>
      <c r="S17" s="70"/>
      <c r="T17" s="70"/>
      <c r="U17" s="70"/>
      <c r="V17" s="70"/>
      <c r="W17" s="70"/>
      <c r="X17" s="70"/>
      <c r="Y17" s="70"/>
      <c r="Z17" s="70"/>
    </row>
    <row r="18" spans="1:26" x14ac:dyDescent="0.25">
      <c r="A18" s="70"/>
      <c r="B18" s="70"/>
      <c r="C18" s="70"/>
      <c r="D18" s="70"/>
      <c r="E18" s="70"/>
      <c r="F18" s="70"/>
      <c r="G18" s="70"/>
      <c r="H18" s="70"/>
      <c r="I18" s="70"/>
      <c r="J18" s="70"/>
      <c r="K18" s="70"/>
      <c r="L18" s="70"/>
      <c r="M18" s="70"/>
      <c r="N18" s="71"/>
      <c r="O18" s="70"/>
      <c r="P18" s="70"/>
      <c r="Q18" s="70"/>
      <c r="R18" s="70"/>
      <c r="S18" s="70"/>
      <c r="T18" s="70"/>
      <c r="U18" s="70"/>
      <c r="V18" s="70"/>
      <c r="W18" s="70"/>
      <c r="X18" s="70"/>
      <c r="Y18" s="70"/>
      <c r="Z18" s="70"/>
    </row>
    <row r="19" spans="1:26" x14ac:dyDescent="0.25">
      <c r="A19" s="70"/>
      <c r="B19" s="70"/>
      <c r="C19" s="70"/>
      <c r="D19" s="70"/>
      <c r="E19" s="70"/>
      <c r="F19" s="70"/>
      <c r="G19" s="70"/>
      <c r="H19" s="70"/>
      <c r="I19" s="70"/>
      <c r="J19" s="70"/>
      <c r="K19" s="70"/>
      <c r="L19" s="70"/>
      <c r="M19" s="70"/>
      <c r="N19" s="71"/>
      <c r="O19" s="70"/>
      <c r="P19" s="70"/>
      <c r="Q19" s="70"/>
      <c r="R19" s="70"/>
      <c r="S19" s="70"/>
      <c r="T19" s="70"/>
      <c r="U19" s="70"/>
      <c r="V19" s="70"/>
      <c r="W19" s="70"/>
      <c r="X19" s="70"/>
      <c r="Y19" s="70"/>
      <c r="Z19" s="70"/>
    </row>
    <row r="20" spans="1:26" x14ac:dyDescent="0.25">
      <c r="A20" s="70"/>
      <c r="B20" s="70"/>
      <c r="C20" s="70"/>
      <c r="D20" s="70"/>
      <c r="E20" s="70"/>
      <c r="F20" s="70"/>
      <c r="G20" s="70"/>
      <c r="H20" s="70"/>
      <c r="I20" s="70"/>
      <c r="J20" s="70"/>
      <c r="K20" s="70"/>
      <c r="L20" s="70"/>
      <c r="M20" s="70"/>
      <c r="N20" s="71"/>
      <c r="O20" s="70"/>
      <c r="P20" s="70"/>
      <c r="Q20" s="70"/>
      <c r="R20" s="70"/>
      <c r="S20" s="70"/>
      <c r="T20" s="70"/>
      <c r="U20" s="70"/>
      <c r="V20" s="70"/>
      <c r="W20" s="70"/>
      <c r="X20" s="70"/>
      <c r="Y20" s="70"/>
      <c r="Z20" s="70"/>
    </row>
    <row r="21" spans="1:26" ht="15.75" customHeight="1" x14ac:dyDescent="0.25">
      <c r="A21" s="70"/>
      <c r="B21" s="70"/>
      <c r="C21" s="70"/>
      <c r="D21" s="70"/>
      <c r="E21" s="70"/>
      <c r="F21" s="70"/>
      <c r="G21" s="70"/>
      <c r="H21" s="70"/>
      <c r="I21" s="70"/>
      <c r="J21" s="70"/>
      <c r="K21" s="70"/>
      <c r="L21" s="70"/>
      <c r="M21" s="70"/>
      <c r="N21" s="71"/>
      <c r="O21" s="70"/>
      <c r="P21" s="70"/>
      <c r="Q21" s="70"/>
      <c r="R21" s="70"/>
      <c r="S21" s="70"/>
      <c r="T21" s="70"/>
      <c r="U21" s="70"/>
      <c r="V21" s="70"/>
      <c r="W21" s="70"/>
      <c r="X21" s="70"/>
      <c r="Y21" s="70"/>
      <c r="Z21" s="70"/>
    </row>
    <row r="22" spans="1:26" ht="15.75" customHeight="1" x14ac:dyDescent="0.25">
      <c r="A22" s="70"/>
      <c r="B22" s="70"/>
      <c r="C22" s="70"/>
      <c r="D22" s="70"/>
      <c r="E22" s="70"/>
      <c r="F22" s="70"/>
      <c r="G22" s="70"/>
      <c r="H22" s="70"/>
      <c r="I22" s="70"/>
      <c r="J22" s="70"/>
      <c r="K22" s="70"/>
      <c r="L22" s="70"/>
      <c r="M22" s="70"/>
      <c r="N22" s="71"/>
      <c r="O22" s="70"/>
      <c r="P22" s="70"/>
      <c r="Q22" s="70"/>
      <c r="R22" s="70"/>
      <c r="S22" s="70"/>
      <c r="T22" s="70"/>
      <c r="U22" s="70"/>
      <c r="V22" s="70"/>
      <c r="W22" s="70"/>
      <c r="X22" s="70"/>
      <c r="Y22" s="70"/>
      <c r="Z22" s="70"/>
    </row>
    <row r="23" spans="1:26" ht="15.75" customHeight="1" x14ac:dyDescent="0.25">
      <c r="A23" s="70"/>
      <c r="B23" s="70"/>
      <c r="C23" s="70"/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71"/>
      <c r="O23" s="70"/>
      <c r="P23" s="70"/>
      <c r="Q23" s="70"/>
      <c r="R23" s="70"/>
      <c r="S23" s="70"/>
      <c r="T23" s="70"/>
      <c r="U23" s="70"/>
      <c r="V23" s="70"/>
      <c r="W23" s="70"/>
      <c r="X23" s="70"/>
      <c r="Y23" s="70"/>
      <c r="Z23" s="70"/>
    </row>
    <row r="24" spans="1:26" ht="15.75" customHeight="1" x14ac:dyDescent="0.25">
      <c r="A24" s="70"/>
      <c r="B24" s="70"/>
      <c r="C24" s="70"/>
      <c r="D24" s="70"/>
      <c r="E24" s="70"/>
      <c r="F24" s="70"/>
      <c r="G24" s="70"/>
      <c r="H24" s="70"/>
      <c r="I24" s="70"/>
      <c r="J24" s="70"/>
      <c r="K24" s="70"/>
      <c r="L24" s="70"/>
      <c r="M24" s="70"/>
      <c r="N24" s="71"/>
      <c r="O24" s="70"/>
      <c r="P24" s="70"/>
      <c r="Q24" s="70"/>
      <c r="R24" s="70"/>
      <c r="S24" s="70"/>
      <c r="T24" s="70"/>
      <c r="U24" s="70"/>
      <c r="V24" s="70"/>
      <c r="W24" s="70"/>
      <c r="X24" s="70"/>
      <c r="Y24" s="70"/>
      <c r="Z24" s="70"/>
    </row>
    <row r="25" spans="1:26" ht="15.75" customHeight="1" x14ac:dyDescent="0.25">
      <c r="A25" s="70"/>
      <c r="B25" s="70"/>
      <c r="C25" s="70"/>
      <c r="D25" s="70"/>
      <c r="E25" s="70"/>
      <c r="F25" s="70"/>
      <c r="G25" s="70"/>
      <c r="H25" s="70"/>
      <c r="I25" s="70"/>
      <c r="J25" s="70"/>
      <c r="K25" s="70"/>
      <c r="L25" s="70"/>
      <c r="M25" s="70"/>
      <c r="N25" s="71"/>
      <c r="O25" s="70"/>
      <c r="P25" s="70"/>
      <c r="Q25" s="70"/>
      <c r="R25" s="70"/>
      <c r="S25" s="70"/>
      <c r="T25" s="70"/>
      <c r="U25" s="70"/>
      <c r="V25" s="70"/>
      <c r="W25" s="70"/>
      <c r="X25" s="70"/>
      <c r="Y25" s="70"/>
      <c r="Z25" s="70"/>
    </row>
    <row r="26" spans="1:26" ht="15.75" customHeight="1" x14ac:dyDescent="0.25">
      <c r="A26" s="70"/>
      <c r="B26" s="70"/>
      <c r="C26" s="70"/>
      <c r="D26" s="70"/>
      <c r="E26" s="70"/>
      <c r="F26" s="70"/>
      <c r="G26" s="70"/>
      <c r="H26" s="70"/>
      <c r="I26" s="70"/>
      <c r="J26" s="70"/>
      <c r="K26" s="70"/>
      <c r="L26" s="70"/>
      <c r="M26" s="70"/>
      <c r="N26" s="71"/>
      <c r="O26" s="70"/>
      <c r="P26" s="70"/>
      <c r="Q26" s="70"/>
      <c r="R26" s="70"/>
      <c r="S26" s="70"/>
      <c r="T26" s="70"/>
      <c r="U26" s="70"/>
      <c r="V26" s="70"/>
      <c r="W26" s="70"/>
      <c r="X26" s="70"/>
      <c r="Y26" s="70"/>
      <c r="Z26" s="70"/>
    </row>
    <row r="27" spans="1:26" ht="15.75" customHeight="1" x14ac:dyDescent="0.25">
      <c r="A27" s="70"/>
      <c r="B27" s="70"/>
      <c r="C27" s="70"/>
      <c r="D27" s="70"/>
      <c r="E27" s="70"/>
      <c r="F27" s="70"/>
      <c r="G27" s="70"/>
      <c r="H27" s="70"/>
      <c r="I27" s="70"/>
      <c r="J27" s="70"/>
      <c r="K27" s="70"/>
      <c r="L27" s="70"/>
      <c r="M27" s="70"/>
      <c r="N27" s="71"/>
      <c r="O27" s="70"/>
      <c r="P27" s="70"/>
      <c r="Q27" s="70"/>
      <c r="R27" s="70"/>
      <c r="S27" s="70"/>
      <c r="T27" s="70"/>
      <c r="U27" s="70"/>
      <c r="V27" s="70"/>
      <c r="W27" s="70"/>
      <c r="X27" s="70"/>
      <c r="Y27" s="70"/>
      <c r="Z27" s="70"/>
    </row>
    <row r="28" spans="1:26" ht="15.75" customHeight="1" x14ac:dyDescent="0.25">
      <c r="A28" s="70"/>
      <c r="B28" s="70"/>
      <c r="C28" s="70"/>
      <c r="D28" s="70"/>
      <c r="E28" s="70"/>
      <c r="F28" s="70"/>
      <c r="G28" s="70"/>
      <c r="H28" s="70"/>
      <c r="I28" s="70"/>
      <c r="J28" s="70"/>
      <c r="K28" s="70"/>
      <c r="L28" s="70"/>
      <c r="M28" s="70"/>
      <c r="N28" s="71"/>
      <c r="O28" s="70"/>
      <c r="P28" s="70"/>
      <c r="Q28" s="70"/>
      <c r="R28" s="70"/>
      <c r="S28" s="70"/>
      <c r="T28" s="70"/>
      <c r="U28" s="70"/>
      <c r="V28" s="70"/>
      <c r="W28" s="70"/>
      <c r="X28" s="70"/>
      <c r="Y28" s="70"/>
      <c r="Z28" s="70"/>
    </row>
    <row r="29" spans="1:26" ht="15.75" customHeight="1" x14ac:dyDescent="0.25">
      <c r="A29" s="70"/>
      <c r="B29" s="70"/>
      <c r="C29" s="70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71"/>
      <c r="O29" s="70"/>
      <c r="P29" s="70"/>
      <c r="Q29" s="70"/>
      <c r="R29" s="70"/>
      <c r="S29" s="70"/>
      <c r="T29" s="70"/>
      <c r="U29" s="70"/>
      <c r="V29" s="70"/>
      <c r="W29" s="70"/>
      <c r="X29" s="70"/>
      <c r="Y29" s="70"/>
      <c r="Z29" s="70"/>
    </row>
    <row r="30" spans="1:26" ht="15.75" customHeight="1" x14ac:dyDescent="0.25">
      <c r="A30" s="70"/>
      <c r="B30" s="70"/>
      <c r="C30" s="70"/>
      <c r="D30" s="70"/>
      <c r="E30" s="70"/>
      <c r="F30" s="70"/>
      <c r="G30" s="70"/>
      <c r="H30" s="70"/>
      <c r="I30" s="70"/>
      <c r="J30" s="70"/>
      <c r="K30" s="70"/>
      <c r="L30" s="70"/>
      <c r="M30" s="70"/>
      <c r="N30" s="71"/>
      <c r="O30" s="70"/>
      <c r="P30" s="70"/>
      <c r="Q30" s="70"/>
      <c r="R30" s="70"/>
      <c r="S30" s="70"/>
      <c r="T30" s="70"/>
      <c r="U30" s="70"/>
      <c r="V30" s="70"/>
      <c r="W30" s="70"/>
      <c r="X30" s="70"/>
      <c r="Y30" s="70"/>
      <c r="Z30" s="70"/>
    </row>
    <row r="31" spans="1:26" ht="15.75" customHeight="1" x14ac:dyDescent="0.25">
      <c r="A31" s="70"/>
      <c r="B31" s="70"/>
      <c r="C31" s="70"/>
      <c r="D31" s="70"/>
      <c r="E31" s="70"/>
      <c r="F31" s="70"/>
      <c r="G31" s="70"/>
      <c r="H31" s="70"/>
      <c r="I31" s="70"/>
      <c r="J31" s="70"/>
      <c r="K31" s="70"/>
      <c r="L31" s="70"/>
      <c r="M31" s="70"/>
      <c r="N31" s="71"/>
      <c r="O31" s="70"/>
      <c r="P31" s="70"/>
      <c r="Q31" s="70"/>
      <c r="R31" s="70"/>
      <c r="S31" s="70"/>
      <c r="T31" s="70"/>
      <c r="U31" s="70"/>
      <c r="V31" s="70"/>
      <c r="W31" s="70"/>
      <c r="X31" s="70"/>
      <c r="Y31" s="70"/>
      <c r="Z31" s="70"/>
    </row>
    <row r="32" spans="1:26" ht="15.75" customHeight="1" x14ac:dyDescent="0.25">
      <c r="A32" s="70"/>
      <c r="B32" s="70"/>
      <c r="C32" s="70"/>
      <c r="D32" s="70"/>
      <c r="E32" s="70"/>
      <c r="F32" s="70"/>
      <c r="G32" s="70"/>
      <c r="H32" s="70"/>
      <c r="I32" s="70"/>
      <c r="J32" s="70"/>
      <c r="K32" s="70"/>
      <c r="L32" s="70"/>
      <c r="M32" s="70"/>
      <c r="N32" s="71"/>
      <c r="O32" s="70"/>
      <c r="P32" s="70"/>
      <c r="Q32" s="70"/>
      <c r="R32" s="70"/>
      <c r="S32" s="70"/>
      <c r="T32" s="70"/>
      <c r="U32" s="70"/>
      <c r="V32" s="70"/>
      <c r="W32" s="70"/>
      <c r="X32" s="70"/>
      <c r="Y32" s="70"/>
      <c r="Z32" s="70"/>
    </row>
    <row r="33" spans="1:26" ht="15.75" customHeight="1" x14ac:dyDescent="0.25">
      <c r="A33" s="70"/>
      <c r="B33" s="70"/>
      <c r="C33" s="70"/>
      <c r="D33" s="70"/>
      <c r="E33" s="70"/>
      <c r="F33" s="70"/>
      <c r="G33" s="70"/>
      <c r="H33" s="70"/>
      <c r="I33" s="70"/>
      <c r="J33" s="70"/>
      <c r="K33" s="70"/>
      <c r="L33" s="70"/>
      <c r="M33" s="70"/>
      <c r="N33" s="71"/>
      <c r="O33" s="70"/>
      <c r="P33" s="70"/>
      <c r="Q33" s="70"/>
      <c r="R33" s="70"/>
      <c r="S33" s="70"/>
      <c r="T33" s="70"/>
      <c r="U33" s="70"/>
      <c r="V33" s="70"/>
      <c r="W33" s="70"/>
      <c r="X33" s="70"/>
      <c r="Y33" s="70"/>
      <c r="Z33" s="70"/>
    </row>
    <row r="34" spans="1:26" ht="15.75" customHeight="1" x14ac:dyDescent="0.25">
      <c r="A34" s="70"/>
      <c r="B34" s="70"/>
      <c r="C34" s="70"/>
      <c r="D34" s="70"/>
      <c r="E34" s="70"/>
      <c r="F34" s="70"/>
      <c r="G34" s="70"/>
      <c r="H34" s="70"/>
      <c r="I34" s="70"/>
      <c r="J34" s="70"/>
      <c r="K34" s="70"/>
      <c r="L34" s="70"/>
      <c r="M34" s="70"/>
      <c r="N34" s="71"/>
      <c r="O34" s="70"/>
      <c r="P34" s="70"/>
      <c r="Q34" s="70"/>
      <c r="R34" s="70"/>
      <c r="S34" s="70"/>
      <c r="T34" s="70"/>
      <c r="U34" s="70"/>
      <c r="V34" s="70"/>
      <c r="W34" s="70"/>
      <c r="X34" s="70"/>
      <c r="Y34" s="70"/>
      <c r="Z34" s="70"/>
    </row>
    <row r="35" spans="1:26" ht="15.75" customHeight="1" x14ac:dyDescent="0.25">
      <c r="A35" s="70"/>
      <c r="B35" s="70"/>
      <c r="C35" s="70"/>
      <c r="D35" s="70"/>
      <c r="E35" s="70"/>
      <c r="F35" s="70"/>
      <c r="G35" s="70"/>
      <c r="H35" s="70"/>
      <c r="I35" s="70"/>
      <c r="J35" s="70"/>
      <c r="K35" s="70"/>
      <c r="L35" s="70"/>
      <c r="M35" s="70"/>
      <c r="N35" s="71"/>
      <c r="O35" s="70"/>
      <c r="P35" s="70"/>
      <c r="Q35" s="70"/>
      <c r="R35" s="70"/>
      <c r="S35" s="70"/>
      <c r="T35" s="70"/>
      <c r="U35" s="70"/>
      <c r="V35" s="70"/>
      <c r="W35" s="70"/>
      <c r="X35" s="70"/>
      <c r="Y35" s="70"/>
      <c r="Z35" s="70"/>
    </row>
    <row r="36" spans="1:26" ht="15.75" customHeight="1" x14ac:dyDescent="0.25">
      <c r="A36" s="70"/>
      <c r="B36" s="70"/>
      <c r="C36" s="70"/>
      <c r="D36" s="70"/>
      <c r="E36" s="70"/>
      <c r="F36" s="70"/>
      <c r="G36" s="70"/>
      <c r="H36" s="70"/>
      <c r="I36" s="70"/>
      <c r="J36" s="70"/>
      <c r="K36" s="70"/>
      <c r="L36" s="70"/>
      <c r="M36" s="70"/>
      <c r="N36" s="71"/>
      <c r="O36" s="70"/>
      <c r="P36" s="70"/>
      <c r="Q36" s="70"/>
      <c r="R36" s="70"/>
      <c r="S36" s="70"/>
      <c r="T36" s="70"/>
      <c r="U36" s="70"/>
      <c r="V36" s="70"/>
      <c r="W36" s="70"/>
      <c r="X36" s="70"/>
      <c r="Y36" s="70"/>
      <c r="Z36" s="70"/>
    </row>
    <row r="37" spans="1:26" ht="15.75" customHeight="1" x14ac:dyDescent="0.25">
      <c r="A37" s="70"/>
      <c r="B37" s="70"/>
      <c r="C37" s="70"/>
      <c r="D37" s="70"/>
      <c r="E37" s="70"/>
      <c r="F37" s="70"/>
      <c r="G37" s="70"/>
      <c r="H37" s="70"/>
      <c r="I37" s="70"/>
      <c r="J37" s="70"/>
      <c r="K37" s="70"/>
      <c r="L37" s="70"/>
      <c r="M37" s="70"/>
      <c r="N37" s="71"/>
      <c r="O37" s="70"/>
      <c r="P37" s="70"/>
      <c r="Q37" s="70"/>
      <c r="R37" s="70"/>
      <c r="S37" s="70"/>
      <c r="T37" s="70"/>
      <c r="U37" s="70"/>
      <c r="V37" s="70"/>
      <c r="W37" s="70"/>
      <c r="X37" s="70"/>
      <c r="Y37" s="70"/>
      <c r="Z37" s="70"/>
    </row>
    <row r="38" spans="1:26" ht="15.75" customHeight="1" x14ac:dyDescent="0.25">
      <c r="A38" s="70"/>
      <c r="B38" s="70"/>
      <c r="C38" s="70"/>
      <c r="D38" s="70"/>
      <c r="E38" s="70"/>
      <c r="F38" s="70"/>
      <c r="G38" s="70"/>
      <c r="H38" s="70"/>
      <c r="I38" s="70"/>
      <c r="J38" s="70"/>
      <c r="K38" s="70"/>
      <c r="L38" s="70"/>
      <c r="M38" s="70"/>
      <c r="N38" s="71"/>
      <c r="O38" s="70"/>
      <c r="P38" s="70"/>
      <c r="Q38" s="70"/>
      <c r="R38" s="70"/>
      <c r="S38" s="70"/>
      <c r="T38" s="70"/>
      <c r="U38" s="70"/>
      <c r="V38" s="70"/>
      <c r="W38" s="70"/>
      <c r="X38" s="70"/>
      <c r="Y38" s="70"/>
      <c r="Z38" s="70"/>
    </row>
    <row r="39" spans="1:26" ht="15.75" customHeight="1" x14ac:dyDescent="0.25">
      <c r="A39" s="70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1"/>
      <c r="O39" s="70"/>
      <c r="P39" s="70"/>
      <c r="Q39" s="70"/>
      <c r="R39" s="70"/>
      <c r="S39" s="70"/>
      <c r="T39" s="70"/>
      <c r="U39" s="70"/>
      <c r="V39" s="70"/>
      <c r="W39" s="70"/>
      <c r="X39" s="70"/>
      <c r="Y39" s="70"/>
      <c r="Z39" s="70"/>
    </row>
    <row r="40" spans="1:26" ht="15.75" customHeight="1" x14ac:dyDescent="0.25">
      <c r="A40" s="70"/>
      <c r="B40" s="70"/>
      <c r="C40" s="70"/>
      <c r="D40" s="70"/>
      <c r="E40" s="70"/>
      <c r="F40" s="70"/>
      <c r="G40" s="70"/>
      <c r="H40" s="70"/>
      <c r="I40" s="70"/>
      <c r="J40" s="70"/>
      <c r="K40" s="70"/>
      <c r="L40" s="70"/>
      <c r="M40" s="70"/>
      <c r="N40" s="71"/>
      <c r="O40" s="70"/>
      <c r="P40" s="70"/>
      <c r="Q40" s="70"/>
      <c r="R40" s="70"/>
      <c r="S40" s="70"/>
      <c r="T40" s="70"/>
      <c r="U40" s="70"/>
      <c r="V40" s="70"/>
      <c r="W40" s="70"/>
      <c r="X40" s="70"/>
      <c r="Y40" s="70"/>
      <c r="Z40" s="70"/>
    </row>
    <row r="41" spans="1:26" ht="15.75" customHeight="1" x14ac:dyDescent="0.25">
      <c r="A41" s="70"/>
      <c r="B41" s="70"/>
      <c r="C41" s="70"/>
      <c r="D41" s="70"/>
      <c r="E41" s="70"/>
      <c r="F41" s="70"/>
      <c r="G41" s="70"/>
      <c r="H41" s="70"/>
      <c r="I41" s="70"/>
      <c r="J41" s="70"/>
      <c r="K41" s="70"/>
      <c r="L41" s="70"/>
      <c r="M41" s="70"/>
      <c r="N41" s="71"/>
      <c r="O41" s="70"/>
      <c r="P41" s="70"/>
      <c r="Q41" s="70"/>
      <c r="R41" s="70"/>
      <c r="S41" s="70"/>
      <c r="T41" s="70"/>
      <c r="U41" s="70"/>
      <c r="V41" s="70"/>
      <c r="W41" s="70"/>
      <c r="X41" s="70"/>
      <c r="Y41" s="70"/>
      <c r="Z41" s="70"/>
    </row>
    <row r="42" spans="1:26" ht="15.75" customHeight="1" x14ac:dyDescent="0.25">
      <c r="A42" s="70"/>
      <c r="B42" s="70"/>
      <c r="C42" s="70"/>
      <c r="D42" s="70"/>
      <c r="E42" s="70"/>
      <c r="F42" s="70"/>
      <c r="G42" s="70"/>
      <c r="H42" s="70"/>
      <c r="I42" s="70"/>
      <c r="J42" s="70"/>
      <c r="K42" s="70"/>
      <c r="L42" s="70"/>
      <c r="M42" s="70"/>
      <c r="N42" s="71"/>
      <c r="O42" s="70"/>
      <c r="P42" s="70"/>
      <c r="Q42" s="70"/>
      <c r="R42" s="70"/>
      <c r="S42" s="70"/>
      <c r="T42" s="70"/>
      <c r="U42" s="70"/>
      <c r="V42" s="70"/>
      <c r="W42" s="70"/>
      <c r="X42" s="70"/>
      <c r="Y42" s="70"/>
      <c r="Z42" s="70"/>
    </row>
    <row r="43" spans="1:26" ht="15.75" customHeight="1" x14ac:dyDescent="0.25">
      <c r="A43" s="70"/>
      <c r="B43" s="70"/>
      <c r="C43" s="70"/>
      <c r="D43" s="70"/>
      <c r="E43" s="70"/>
      <c r="F43" s="70"/>
      <c r="G43" s="70"/>
      <c r="H43" s="70"/>
      <c r="I43" s="70"/>
      <c r="J43" s="70"/>
      <c r="K43" s="70"/>
      <c r="L43" s="70"/>
      <c r="M43" s="70"/>
      <c r="N43" s="71"/>
      <c r="O43" s="70"/>
      <c r="P43" s="70"/>
      <c r="Q43" s="70"/>
      <c r="R43" s="70"/>
      <c r="S43" s="70"/>
      <c r="T43" s="70"/>
      <c r="U43" s="70"/>
      <c r="V43" s="70"/>
      <c r="W43" s="70"/>
      <c r="X43" s="70"/>
      <c r="Y43" s="70"/>
      <c r="Z43" s="70"/>
    </row>
    <row r="44" spans="1:26" ht="15.75" customHeight="1" x14ac:dyDescent="0.25">
      <c r="A44" s="70"/>
      <c r="B44" s="70"/>
      <c r="C44" s="70"/>
      <c r="D44" s="70"/>
      <c r="E44" s="70"/>
      <c r="F44" s="70"/>
      <c r="G44" s="70"/>
      <c r="H44" s="70"/>
      <c r="I44" s="70"/>
      <c r="J44" s="70"/>
      <c r="K44" s="70"/>
      <c r="L44" s="70"/>
      <c r="M44" s="70"/>
      <c r="N44" s="71"/>
      <c r="O44" s="70"/>
      <c r="P44" s="70"/>
      <c r="Q44" s="70"/>
      <c r="R44" s="70"/>
      <c r="S44" s="70"/>
      <c r="T44" s="70"/>
      <c r="U44" s="70"/>
      <c r="V44" s="70"/>
      <c r="W44" s="70"/>
      <c r="X44" s="70"/>
      <c r="Y44" s="70"/>
      <c r="Z44" s="70"/>
    </row>
    <row r="45" spans="1:26" ht="15.75" customHeight="1" x14ac:dyDescent="0.25">
      <c r="A45" s="70"/>
      <c r="B45" s="70"/>
      <c r="C45" s="70"/>
      <c r="D45" s="70"/>
      <c r="E45" s="70"/>
      <c r="F45" s="70"/>
      <c r="G45" s="70"/>
      <c r="H45" s="70"/>
      <c r="I45" s="70"/>
      <c r="J45" s="70"/>
      <c r="K45" s="70"/>
      <c r="L45" s="70"/>
      <c r="M45" s="70"/>
      <c r="N45" s="71"/>
      <c r="O45" s="70"/>
      <c r="P45" s="70"/>
      <c r="Q45" s="70"/>
      <c r="R45" s="70"/>
      <c r="S45" s="70"/>
      <c r="T45" s="70"/>
      <c r="U45" s="70"/>
      <c r="V45" s="70"/>
      <c r="W45" s="70"/>
      <c r="X45" s="70"/>
      <c r="Y45" s="70"/>
      <c r="Z45" s="70"/>
    </row>
    <row r="46" spans="1:26" ht="15.75" customHeight="1" x14ac:dyDescent="0.25">
      <c r="A46" s="70"/>
      <c r="B46" s="70"/>
      <c r="C46" s="70"/>
      <c r="D46" s="70"/>
      <c r="E46" s="70"/>
      <c r="F46" s="70"/>
      <c r="G46" s="70"/>
      <c r="H46" s="70"/>
      <c r="I46" s="70"/>
      <c r="J46" s="70"/>
      <c r="K46" s="70"/>
      <c r="L46" s="70"/>
      <c r="M46" s="70"/>
      <c r="N46" s="71"/>
      <c r="O46" s="70"/>
      <c r="P46" s="70"/>
      <c r="Q46" s="70"/>
      <c r="R46" s="70"/>
      <c r="S46" s="70"/>
      <c r="T46" s="70"/>
      <c r="U46" s="70"/>
      <c r="V46" s="70"/>
      <c r="W46" s="70"/>
      <c r="X46" s="70"/>
      <c r="Y46" s="70"/>
      <c r="Z46" s="70"/>
    </row>
    <row r="47" spans="1:26" ht="15.75" customHeight="1" x14ac:dyDescent="0.25">
      <c r="A47" s="70"/>
      <c r="B47" s="70"/>
      <c r="C47" s="70"/>
      <c r="D47" s="70"/>
      <c r="E47" s="70"/>
      <c r="F47" s="70"/>
      <c r="G47" s="70"/>
      <c r="H47" s="70"/>
      <c r="I47" s="70"/>
      <c r="J47" s="70"/>
      <c r="K47" s="70"/>
      <c r="L47" s="70"/>
      <c r="M47" s="70"/>
      <c r="N47" s="71"/>
      <c r="O47" s="70"/>
      <c r="P47" s="70"/>
      <c r="Q47" s="70"/>
      <c r="R47" s="70"/>
      <c r="S47" s="70"/>
      <c r="T47" s="70"/>
      <c r="U47" s="70"/>
      <c r="V47" s="70"/>
      <c r="W47" s="70"/>
      <c r="X47" s="70"/>
      <c r="Y47" s="70"/>
      <c r="Z47" s="70"/>
    </row>
    <row r="48" spans="1:26" ht="15.75" customHeight="1" x14ac:dyDescent="0.25">
      <c r="A48" s="70"/>
      <c r="B48" s="70"/>
      <c r="C48" s="70"/>
      <c r="D48" s="70"/>
      <c r="E48" s="70"/>
      <c r="F48" s="70"/>
      <c r="G48" s="70"/>
      <c r="H48" s="70"/>
      <c r="I48" s="70"/>
      <c r="J48" s="70"/>
      <c r="K48" s="70"/>
      <c r="L48" s="70"/>
      <c r="M48" s="70"/>
      <c r="N48" s="71"/>
      <c r="O48" s="70"/>
      <c r="P48" s="70"/>
      <c r="Q48" s="70"/>
      <c r="R48" s="70"/>
      <c r="S48" s="70"/>
      <c r="T48" s="70"/>
      <c r="U48" s="70"/>
      <c r="V48" s="70"/>
      <c r="W48" s="70"/>
      <c r="X48" s="70"/>
      <c r="Y48" s="70"/>
      <c r="Z48" s="70"/>
    </row>
    <row r="49" spans="1:26" ht="15.75" customHeight="1" x14ac:dyDescent="0.25">
      <c r="A49" s="70"/>
      <c r="B49" s="70"/>
      <c r="C49" s="70"/>
      <c r="D49" s="70"/>
      <c r="E49" s="70"/>
      <c r="F49" s="70"/>
      <c r="G49" s="70"/>
      <c r="H49" s="70"/>
      <c r="I49" s="70"/>
      <c r="J49" s="70"/>
      <c r="K49" s="70"/>
      <c r="L49" s="70"/>
      <c r="M49" s="70"/>
      <c r="N49" s="71"/>
      <c r="O49" s="70"/>
      <c r="P49" s="70"/>
      <c r="Q49" s="70"/>
      <c r="R49" s="70"/>
      <c r="S49" s="70"/>
      <c r="T49" s="70"/>
      <c r="U49" s="70"/>
      <c r="V49" s="70"/>
      <c r="W49" s="70"/>
      <c r="X49" s="70"/>
      <c r="Y49" s="70"/>
      <c r="Z49" s="70"/>
    </row>
    <row r="50" spans="1:26" ht="15.75" customHeight="1" x14ac:dyDescent="0.25">
      <c r="A50" s="70"/>
      <c r="B50" s="70"/>
      <c r="C50" s="70"/>
      <c r="D50" s="70"/>
      <c r="E50" s="70"/>
      <c r="F50" s="70"/>
      <c r="G50" s="70"/>
      <c r="H50" s="70"/>
      <c r="I50" s="70"/>
      <c r="J50" s="70"/>
      <c r="K50" s="70"/>
      <c r="L50" s="70"/>
      <c r="M50" s="70"/>
      <c r="N50" s="71"/>
      <c r="O50" s="70"/>
      <c r="P50" s="70"/>
      <c r="Q50" s="70"/>
      <c r="R50" s="70"/>
      <c r="S50" s="70"/>
      <c r="T50" s="70"/>
      <c r="U50" s="70"/>
      <c r="V50" s="70"/>
      <c r="W50" s="70"/>
      <c r="X50" s="70"/>
      <c r="Y50" s="70"/>
      <c r="Z50" s="70"/>
    </row>
    <row r="51" spans="1:26" ht="15.75" customHeight="1" x14ac:dyDescent="0.25">
      <c r="A51" s="70"/>
      <c r="B51" s="70"/>
      <c r="C51" s="70"/>
      <c r="D51" s="70"/>
      <c r="E51" s="70"/>
      <c r="F51" s="70"/>
      <c r="G51" s="70"/>
      <c r="H51" s="70"/>
      <c r="I51" s="70"/>
      <c r="J51" s="70"/>
      <c r="K51" s="70"/>
      <c r="L51" s="70"/>
      <c r="M51" s="70"/>
      <c r="N51" s="71"/>
      <c r="O51" s="70"/>
      <c r="P51" s="70"/>
      <c r="Q51" s="70"/>
      <c r="R51" s="70"/>
      <c r="S51" s="70"/>
      <c r="T51" s="70"/>
      <c r="U51" s="70"/>
      <c r="V51" s="70"/>
      <c r="W51" s="70"/>
      <c r="X51" s="70"/>
      <c r="Y51" s="70"/>
      <c r="Z51" s="70"/>
    </row>
    <row r="52" spans="1:26" ht="15.75" customHeight="1" x14ac:dyDescent="0.25">
      <c r="A52" s="70"/>
      <c r="B52" s="70"/>
      <c r="C52" s="70"/>
      <c r="D52" s="70"/>
      <c r="E52" s="70"/>
      <c r="F52" s="70"/>
      <c r="G52" s="70"/>
      <c r="H52" s="70"/>
      <c r="I52" s="70"/>
      <c r="J52" s="70"/>
      <c r="K52" s="70"/>
      <c r="L52" s="70"/>
      <c r="M52" s="70"/>
      <c r="N52" s="71"/>
      <c r="O52" s="70"/>
      <c r="P52" s="70"/>
      <c r="Q52" s="70"/>
      <c r="R52" s="70"/>
      <c r="S52" s="70"/>
      <c r="T52" s="70"/>
      <c r="U52" s="70"/>
      <c r="V52" s="70"/>
      <c r="W52" s="70"/>
      <c r="X52" s="70"/>
      <c r="Y52" s="70"/>
      <c r="Z52" s="70"/>
    </row>
    <row r="53" spans="1:26" ht="15.75" customHeight="1" x14ac:dyDescent="0.25">
      <c r="A53" s="70"/>
      <c r="B53" s="70"/>
      <c r="C53" s="70"/>
      <c r="D53" s="70"/>
      <c r="E53" s="70"/>
      <c r="F53" s="70"/>
      <c r="G53" s="70"/>
      <c r="H53" s="70"/>
      <c r="I53" s="70"/>
      <c r="J53" s="70"/>
      <c r="K53" s="70"/>
      <c r="L53" s="70"/>
      <c r="M53" s="70"/>
      <c r="N53" s="71"/>
      <c r="O53" s="70"/>
      <c r="P53" s="70"/>
      <c r="Q53" s="70"/>
      <c r="R53" s="70"/>
      <c r="S53" s="70"/>
      <c r="T53" s="70"/>
      <c r="U53" s="70"/>
      <c r="V53" s="70"/>
      <c r="W53" s="70"/>
      <c r="X53" s="70"/>
      <c r="Y53" s="70"/>
      <c r="Z53" s="70"/>
    </row>
    <row r="54" spans="1:26" ht="15.75" customHeight="1" x14ac:dyDescent="0.25">
      <c r="A54" s="70"/>
      <c r="B54" s="70"/>
      <c r="C54" s="70"/>
      <c r="D54" s="70"/>
      <c r="E54" s="70"/>
      <c r="F54" s="70"/>
      <c r="G54" s="70"/>
      <c r="H54" s="70"/>
      <c r="I54" s="70"/>
      <c r="J54" s="70"/>
      <c r="K54" s="70"/>
      <c r="L54" s="70"/>
      <c r="M54" s="70"/>
      <c r="N54" s="71"/>
      <c r="O54" s="70"/>
      <c r="P54" s="70"/>
      <c r="Q54" s="70"/>
      <c r="R54" s="70"/>
      <c r="S54" s="70"/>
      <c r="T54" s="70"/>
      <c r="U54" s="70"/>
      <c r="V54" s="70"/>
      <c r="W54" s="70"/>
      <c r="X54" s="70"/>
      <c r="Y54" s="70"/>
      <c r="Z54" s="70"/>
    </row>
    <row r="55" spans="1:26" ht="15.75" customHeight="1" x14ac:dyDescent="0.25">
      <c r="A55" s="70"/>
      <c r="B55" s="70"/>
      <c r="C55" s="70"/>
      <c r="D55" s="70"/>
      <c r="E55" s="70"/>
      <c r="F55" s="70"/>
      <c r="G55" s="70"/>
      <c r="H55" s="70"/>
      <c r="I55" s="70"/>
      <c r="J55" s="70"/>
      <c r="K55" s="70"/>
      <c r="L55" s="70"/>
      <c r="M55" s="70"/>
      <c r="N55" s="71"/>
      <c r="O55" s="70"/>
      <c r="P55" s="70"/>
      <c r="Q55" s="70"/>
      <c r="R55" s="70"/>
      <c r="S55" s="70"/>
      <c r="T55" s="70"/>
      <c r="U55" s="70"/>
      <c r="V55" s="70"/>
      <c r="W55" s="70"/>
      <c r="X55" s="70"/>
      <c r="Y55" s="70"/>
      <c r="Z55" s="70"/>
    </row>
    <row r="56" spans="1:26" ht="15.75" customHeight="1" x14ac:dyDescent="0.25">
      <c r="A56" s="70"/>
      <c r="B56" s="70"/>
      <c r="C56" s="70"/>
      <c r="D56" s="70"/>
      <c r="E56" s="70"/>
      <c r="F56" s="70"/>
      <c r="G56" s="70"/>
      <c r="H56" s="70"/>
      <c r="I56" s="70"/>
      <c r="J56" s="70"/>
      <c r="K56" s="70"/>
      <c r="L56" s="70"/>
      <c r="M56" s="70"/>
      <c r="N56" s="71"/>
      <c r="O56" s="70"/>
      <c r="P56" s="70"/>
      <c r="Q56" s="70"/>
      <c r="R56" s="70"/>
      <c r="S56" s="70"/>
      <c r="T56" s="70"/>
      <c r="U56" s="70"/>
      <c r="V56" s="70"/>
      <c r="W56" s="70"/>
      <c r="X56" s="70"/>
      <c r="Y56" s="70"/>
      <c r="Z56" s="70"/>
    </row>
    <row r="57" spans="1:26" ht="15.75" customHeight="1" x14ac:dyDescent="0.25">
      <c r="A57" s="70"/>
      <c r="B57" s="70"/>
      <c r="C57" s="70"/>
      <c r="D57" s="70"/>
      <c r="E57" s="70"/>
      <c r="F57" s="70"/>
      <c r="G57" s="70"/>
      <c r="H57" s="70"/>
      <c r="I57" s="70"/>
      <c r="J57" s="70"/>
      <c r="K57" s="70"/>
      <c r="L57" s="70"/>
      <c r="M57" s="70"/>
      <c r="N57" s="71"/>
      <c r="O57" s="70"/>
      <c r="P57" s="70"/>
      <c r="Q57" s="70"/>
      <c r="R57" s="70"/>
      <c r="S57" s="70"/>
      <c r="T57" s="70"/>
      <c r="U57" s="70"/>
      <c r="V57" s="70"/>
      <c r="W57" s="70"/>
      <c r="X57" s="70"/>
      <c r="Y57" s="70"/>
      <c r="Z57" s="70"/>
    </row>
    <row r="58" spans="1:26" ht="15.75" customHeight="1" x14ac:dyDescent="0.25">
      <c r="A58" s="70"/>
      <c r="B58" s="70"/>
      <c r="C58" s="70"/>
      <c r="D58" s="70"/>
      <c r="E58" s="70"/>
      <c r="F58" s="70"/>
      <c r="G58" s="70"/>
      <c r="H58" s="70"/>
      <c r="I58" s="70"/>
      <c r="J58" s="70"/>
      <c r="K58" s="70"/>
      <c r="L58" s="70"/>
      <c r="M58" s="70"/>
      <c r="N58" s="71"/>
      <c r="O58" s="70"/>
      <c r="P58" s="70"/>
      <c r="Q58" s="70"/>
      <c r="R58" s="70"/>
      <c r="S58" s="70"/>
      <c r="T58" s="70"/>
      <c r="U58" s="70"/>
      <c r="V58" s="70"/>
      <c r="W58" s="70"/>
      <c r="X58" s="70"/>
      <c r="Y58" s="70"/>
      <c r="Z58" s="70"/>
    </row>
    <row r="59" spans="1:26" ht="15.75" customHeight="1" x14ac:dyDescent="0.25">
      <c r="A59" s="70"/>
      <c r="B59" s="70"/>
      <c r="C59" s="70"/>
      <c r="D59" s="70"/>
      <c r="E59" s="70"/>
      <c r="F59" s="70"/>
      <c r="G59" s="70"/>
      <c r="H59" s="70"/>
      <c r="I59" s="70"/>
      <c r="J59" s="70"/>
      <c r="K59" s="70"/>
      <c r="L59" s="70"/>
      <c r="M59" s="70"/>
      <c r="N59" s="71"/>
      <c r="O59" s="70"/>
      <c r="P59" s="70"/>
      <c r="Q59" s="70"/>
      <c r="R59" s="70"/>
      <c r="S59" s="70"/>
      <c r="T59" s="70"/>
      <c r="U59" s="70"/>
      <c r="V59" s="70"/>
      <c r="W59" s="70"/>
      <c r="X59" s="70"/>
      <c r="Y59" s="70"/>
      <c r="Z59" s="70"/>
    </row>
    <row r="60" spans="1:26" ht="15.75" customHeight="1" x14ac:dyDescent="0.25">
      <c r="A60" s="70"/>
      <c r="B60" s="70"/>
      <c r="C60" s="70"/>
      <c r="D60" s="70"/>
      <c r="E60" s="70"/>
      <c r="F60" s="70"/>
      <c r="G60" s="70"/>
      <c r="H60" s="70"/>
      <c r="I60" s="70"/>
      <c r="J60" s="70"/>
      <c r="K60" s="70"/>
      <c r="L60" s="70"/>
      <c r="M60" s="70"/>
      <c r="N60" s="71"/>
      <c r="O60" s="70"/>
      <c r="P60" s="70"/>
      <c r="Q60" s="70"/>
      <c r="R60" s="70"/>
      <c r="S60" s="70"/>
      <c r="T60" s="70"/>
      <c r="U60" s="70"/>
      <c r="V60" s="70"/>
      <c r="W60" s="70"/>
      <c r="X60" s="70"/>
      <c r="Y60" s="70"/>
      <c r="Z60" s="70"/>
    </row>
    <row r="61" spans="1:26" ht="15.75" customHeight="1" x14ac:dyDescent="0.25">
      <c r="A61" s="70"/>
      <c r="B61" s="70"/>
      <c r="C61" s="70"/>
      <c r="D61" s="70"/>
      <c r="E61" s="70"/>
      <c r="F61" s="70"/>
      <c r="G61" s="70"/>
      <c r="H61" s="70"/>
      <c r="I61" s="70"/>
      <c r="J61" s="70"/>
      <c r="K61" s="70"/>
      <c r="L61" s="70"/>
      <c r="M61" s="70"/>
      <c r="N61" s="71"/>
      <c r="O61" s="70"/>
      <c r="P61" s="70"/>
      <c r="Q61" s="70"/>
      <c r="R61" s="70"/>
      <c r="S61" s="70"/>
      <c r="T61" s="70"/>
      <c r="U61" s="70"/>
      <c r="V61" s="70"/>
      <c r="W61" s="70"/>
      <c r="X61" s="70"/>
      <c r="Y61" s="70"/>
      <c r="Z61" s="70"/>
    </row>
    <row r="62" spans="1:26" ht="15.75" customHeight="1" x14ac:dyDescent="0.25">
      <c r="A62" s="70"/>
      <c r="B62" s="70"/>
      <c r="C62" s="70"/>
      <c r="D62" s="70"/>
      <c r="E62" s="70"/>
      <c r="F62" s="70"/>
      <c r="G62" s="70"/>
      <c r="H62" s="70"/>
      <c r="I62" s="70"/>
      <c r="J62" s="70"/>
      <c r="K62" s="70"/>
      <c r="L62" s="70"/>
      <c r="M62" s="70"/>
      <c r="N62" s="71"/>
      <c r="O62" s="70"/>
      <c r="P62" s="70"/>
      <c r="Q62" s="70"/>
      <c r="R62" s="70"/>
      <c r="S62" s="70"/>
      <c r="T62" s="70"/>
      <c r="U62" s="70"/>
      <c r="V62" s="70"/>
      <c r="W62" s="70"/>
      <c r="X62" s="70"/>
      <c r="Y62" s="70"/>
      <c r="Z62" s="70"/>
    </row>
    <row r="63" spans="1:26" ht="15.75" customHeight="1" x14ac:dyDescent="0.25">
      <c r="A63" s="70"/>
      <c r="B63" s="70"/>
      <c r="C63" s="70"/>
      <c r="D63" s="70"/>
      <c r="E63" s="70"/>
      <c r="F63" s="70"/>
      <c r="G63" s="70"/>
      <c r="H63" s="70"/>
      <c r="I63" s="70"/>
      <c r="J63" s="70"/>
      <c r="K63" s="70"/>
      <c r="L63" s="70"/>
      <c r="M63" s="70"/>
      <c r="N63" s="71"/>
      <c r="O63" s="70"/>
      <c r="P63" s="70"/>
      <c r="Q63" s="70"/>
      <c r="R63" s="70"/>
      <c r="S63" s="70"/>
      <c r="T63" s="70"/>
      <c r="U63" s="70"/>
      <c r="V63" s="70"/>
      <c r="W63" s="70"/>
      <c r="X63" s="70"/>
      <c r="Y63" s="70"/>
      <c r="Z63" s="70"/>
    </row>
    <row r="64" spans="1:26" ht="15.75" customHeight="1" x14ac:dyDescent="0.25">
      <c r="A64" s="70"/>
      <c r="B64" s="70"/>
      <c r="C64" s="70"/>
      <c r="D64" s="70"/>
      <c r="E64" s="70"/>
      <c r="F64" s="70"/>
      <c r="G64" s="70"/>
      <c r="H64" s="70"/>
      <c r="I64" s="70"/>
      <c r="J64" s="70"/>
      <c r="K64" s="70"/>
      <c r="L64" s="70"/>
      <c r="M64" s="70"/>
      <c r="N64" s="71"/>
      <c r="O64" s="70"/>
      <c r="P64" s="70"/>
      <c r="Q64" s="70"/>
      <c r="R64" s="70"/>
      <c r="S64" s="70"/>
      <c r="T64" s="70"/>
      <c r="U64" s="70"/>
      <c r="V64" s="70"/>
      <c r="W64" s="70"/>
      <c r="X64" s="70"/>
      <c r="Y64" s="70"/>
      <c r="Z64" s="70"/>
    </row>
    <row r="65" spans="1:26" ht="15.75" customHeight="1" x14ac:dyDescent="0.25">
      <c r="A65" s="70"/>
      <c r="B65" s="70"/>
      <c r="C65" s="70"/>
      <c r="D65" s="70"/>
      <c r="E65" s="70"/>
      <c r="F65" s="70"/>
      <c r="G65" s="70"/>
      <c r="H65" s="70"/>
      <c r="I65" s="70"/>
      <c r="J65" s="70"/>
      <c r="K65" s="70"/>
      <c r="L65" s="70"/>
      <c r="M65" s="70"/>
      <c r="N65" s="71"/>
      <c r="O65" s="70"/>
      <c r="P65" s="70"/>
      <c r="Q65" s="70"/>
      <c r="R65" s="70"/>
      <c r="S65" s="70"/>
      <c r="T65" s="70"/>
      <c r="U65" s="70"/>
      <c r="V65" s="70"/>
      <c r="W65" s="70"/>
      <c r="X65" s="70"/>
      <c r="Y65" s="70"/>
      <c r="Z65" s="70"/>
    </row>
    <row r="66" spans="1:26" ht="15.75" customHeight="1" x14ac:dyDescent="0.25">
      <c r="A66" s="70"/>
      <c r="B66" s="70"/>
      <c r="C66" s="70"/>
      <c r="D66" s="70"/>
      <c r="E66" s="70"/>
      <c r="F66" s="70"/>
      <c r="G66" s="70"/>
      <c r="H66" s="70"/>
      <c r="I66" s="70"/>
      <c r="J66" s="70"/>
      <c r="K66" s="70"/>
      <c r="L66" s="70"/>
      <c r="M66" s="70"/>
      <c r="N66" s="71"/>
      <c r="O66" s="70"/>
      <c r="P66" s="70"/>
      <c r="Q66" s="70"/>
      <c r="R66" s="70"/>
      <c r="S66" s="70"/>
      <c r="T66" s="70"/>
      <c r="U66" s="70"/>
      <c r="V66" s="70"/>
      <c r="W66" s="70"/>
      <c r="X66" s="70"/>
      <c r="Y66" s="70"/>
      <c r="Z66" s="70"/>
    </row>
    <row r="67" spans="1:26" ht="15.75" customHeight="1" x14ac:dyDescent="0.25">
      <c r="A67" s="70"/>
      <c r="B67" s="70"/>
      <c r="C67" s="70"/>
      <c r="D67" s="70"/>
      <c r="E67" s="70"/>
      <c r="F67" s="70"/>
      <c r="G67" s="70"/>
      <c r="H67" s="70"/>
      <c r="I67" s="70"/>
      <c r="J67" s="70"/>
      <c r="K67" s="70"/>
      <c r="L67" s="70"/>
      <c r="M67" s="70"/>
      <c r="N67" s="71"/>
      <c r="O67" s="70"/>
      <c r="P67" s="70"/>
      <c r="Q67" s="70"/>
      <c r="R67" s="70"/>
      <c r="S67" s="70"/>
      <c r="T67" s="70"/>
      <c r="U67" s="70"/>
      <c r="V67" s="70"/>
      <c r="W67" s="70"/>
      <c r="X67" s="70"/>
      <c r="Y67" s="70"/>
      <c r="Z67" s="70"/>
    </row>
    <row r="68" spans="1:26" ht="15.75" customHeight="1" x14ac:dyDescent="0.25">
      <c r="A68" s="70"/>
      <c r="B68" s="70"/>
      <c r="C68" s="70"/>
      <c r="D68" s="70"/>
      <c r="E68" s="70"/>
      <c r="F68" s="70"/>
      <c r="G68" s="70"/>
      <c r="H68" s="70"/>
      <c r="I68" s="70"/>
      <c r="J68" s="70"/>
      <c r="K68" s="70"/>
      <c r="L68" s="70"/>
      <c r="M68" s="70"/>
      <c r="N68" s="71"/>
      <c r="O68" s="70"/>
      <c r="P68" s="70"/>
      <c r="Q68" s="70"/>
      <c r="R68" s="70"/>
      <c r="S68" s="70"/>
      <c r="T68" s="70"/>
      <c r="U68" s="70"/>
      <c r="V68" s="70"/>
      <c r="W68" s="70"/>
      <c r="X68" s="70"/>
      <c r="Y68" s="70"/>
      <c r="Z68" s="70"/>
    </row>
    <row r="69" spans="1:26" ht="15.75" customHeight="1" x14ac:dyDescent="0.25">
      <c r="A69" s="70"/>
      <c r="B69" s="70"/>
      <c r="C69" s="70"/>
      <c r="D69" s="70"/>
      <c r="E69" s="70"/>
      <c r="F69" s="70"/>
      <c r="G69" s="70"/>
      <c r="H69" s="70"/>
      <c r="I69" s="70"/>
      <c r="J69" s="70"/>
      <c r="K69" s="70"/>
      <c r="L69" s="70"/>
      <c r="M69" s="70"/>
      <c r="N69" s="71"/>
      <c r="O69" s="70"/>
      <c r="P69" s="70"/>
      <c r="Q69" s="70"/>
      <c r="R69" s="70"/>
      <c r="S69" s="70"/>
      <c r="T69" s="70"/>
      <c r="U69" s="70"/>
      <c r="V69" s="70"/>
      <c r="W69" s="70"/>
      <c r="X69" s="70"/>
      <c r="Y69" s="70"/>
      <c r="Z69" s="70"/>
    </row>
    <row r="70" spans="1:26" ht="15.75" customHeight="1" x14ac:dyDescent="0.25">
      <c r="A70" s="70"/>
      <c r="B70" s="70"/>
      <c r="C70" s="70"/>
      <c r="D70" s="70"/>
      <c r="E70" s="70"/>
      <c r="F70" s="70"/>
      <c r="G70" s="70"/>
      <c r="H70" s="70"/>
      <c r="I70" s="70"/>
      <c r="J70" s="70"/>
      <c r="K70" s="70"/>
      <c r="L70" s="70"/>
      <c r="M70" s="70"/>
      <c r="N70" s="71"/>
      <c r="O70" s="70"/>
      <c r="P70" s="70"/>
      <c r="Q70" s="70"/>
      <c r="R70" s="70"/>
      <c r="S70" s="70"/>
      <c r="T70" s="70"/>
      <c r="U70" s="70"/>
      <c r="V70" s="70"/>
      <c r="W70" s="70"/>
      <c r="X70" s="70"/>
      <c r="Y70" s="70"/>
      <c r="Z70" s="70"/>
    </row>
    <row r="71" spans="1:26" ht="15.75" customHeight="1" x14ac:dyDescent="0.25">
      <c r="A71" s="70"/>
      <c r="B71" s="70"/>
      <c r="C71" s="70"/>
      <c r="D71" s="70"/>
      <c r="E71" s="70"/>
      <c r="F71" s="70"/>
      <c r="G71" s="70"/>
      <c r="H71" s="70"/>
      <c r="I71" s="70"/>
      <c r="J71" s="70"/>
      <c r="K71" s="70"/>
      <c r="L71" s="70"/>
      <c r="M71" s="70"/>
      <c r="N71" s="71"/>
      <c r="O71" s="70"/>
      <c r="P71" s="70"/>
      <c r="Q71" s="70"/>
      <c r="R71" s="70"/>
      <c r="S71" s="70"/>
      <c r="T71" s="70"/>
      <c r="U71" s="70"/>
      <c r="V71" s="70"/>
      <c r="W71" s="70"/>
      <c r="X71" s="70"/>
      <c r="Y71" s="70"/>
      <c r="Z71" s="70"/>
    </row>
    <row r="72" spans="1:26" ht="15.75" customHeight="1" x14ac:dyDescent="0.25">
      <c r="A72" s="70"/>
      <c r="B72" s="70"/>
      <c r="C72" s="70"/>
      <c r="D72" s="70"/>
      <c r="E72" s="70"/>
      <c r="F72" s="70"/>
      <c r="G72" s="70"/>
      <c r="H72" s="70"/>
      <c r="I72" s="70"/>
      <c r="J72" s="70"/>
      <c r="K72" s="70"/>
      <c r="L72" s="70"/>
      <c r="M72" s="70"/>
      <c r="N72" s="71"/>
      <c r="O72" s="70"/>
      <c r="P72" s="70"/>
      <c r="Q72" s="70"/>
      <c r="R72" s="70"/>
      <c r="S72" s="70"/>
      <c r="T72" s="70"/>
      <c r="U72" s="70"/>
      <c r="V72" s="70"/>
      <c r="W72" s="70"/>
      <c r="X72" s="70"/>
      <c r="Y72" s="70"/>
      <c r="Z72" s="70"/>
    </row>
    <row r="73" spans="1:26" ht="15.75" customHeight="1" x14ac:dyDescent="0.25">
      <c r="A73" s="70"/>
      <c r="B73" s="70"/>
      <c r="C73" s="70"/>
      <c r="D73" s="70"/>
      <c r="E73" s="70"/>
      <c r="F73" s="70"/>
      <c r="G73" s="70"/>
      <c r="H73" s="70"/>
      <c r="I73" s="70"/>
      <c r="J73" s="70"/>
      <c r="K73" s="70"/>
      <c r="L73" s="70"/>
      <c r="M73" s="70"/>
      <c r="N73" s="71"/>
      <c r="O73" s="70"/>
      <c r="P73" s="70"/>
      <c r="Q73" s="70"/>
      <c r="R73" s="70"/>
      <c r="S73" s="70"/>
      <c r="T73" s="70"/>
      <c r="U73" s="70"/>
      <c r="V73" s="70"/>
      <c r="W73" s="70"/>
      <c r="X73" s="70"/>
      <c r="Y73" s="70"/>
      <c r="Z73" s="70"/>
    </row>
    <row r="74" spans="1:26" ht="15.75" customHeight="1" x14ac:dyDescent="0.25">
      <c r="A74" s="70"/>
      <c r="B74" s="70"/>
      <c r="C74" s="70"/>
      <c r="D74" s="70"/>
      <c r="E74" s="70"/>
      <c r="F74" s="70"/>
      <c r="G74" s="70"/>
      <c r="H74" s="70"/>
      <c r="I74" s="70"/>
      <c r="J74" s="70"/>
      <c r="K74" s="70"/>
      <c r="L74" s="70"/>
      <c r="M74" s="70"/>
      <c r="N74" s="71"/>
      <c r="O74" s="70"/>
      <c r="P74" s="70"/>
      <c r="Q74" s="70"/>
      <c r="R74" s="70"/>
      <c r="S74" s="70"/>
      <c r="T74" s="70"/>
      <c r="U74" s="70"/>
      <c r="V74" s="70"/>
      <c r="W74" s="70"/>
      <c r="X74" s="70"/>
      <c r="Y74" s="70"/>
      <c r="Z74" s="70"/>
    </row>
    <row r="75" spans="1:26" ht="15.75" customHeight="1" x14ac:dyDescent="0.25">
      <c r="A75" s="70"/>
      <c r="B75" s="70"/>
      <c r="C75" s="70"/>
      <c r="D75" s="70"/>
      <c r="E75" s="70"/>
      <c r="F75" s="70"/>
      <c r="G75" s="70"/>
      <c r="H75" s="70"/>
      <c r="I75" s="70"/>
      <c r="J75" s="70"/>
      <c r="K75" s="70"/>
      <c r="L75" s="70"/>
      <c r="M75" s="70"/>
      <c r="N75" s="71"/>
      <c r="O75" s="70"/>
      <c r="P75" s="70"/>
      <c r="Q75" s="70"/>
      <c r="R75" s="70"/>
      <c r="S75" s="70"/>
      <c r="T75" s="70"/>
      <c r="U75" s="70"/>
      <c r="V75" s="70"/>
      <c r="W75" s="70"/>
      <c r="X75" s="70"/>
      <c r="Y75" s="70"/>
      <c r="Z75" s="70"/>
    </row>
    <row r="76" spans="1:26" ht="15.75" customHeight="1" x14ac:dyDescent="0.25">
      <c r="A76" s="70"/>
      <c r="B76" s="70"/>
      <c r="C76" s="70"/>
      <c r="D76" s="70"/>
      <c r="E76" s="70"/>
      <c r="F76" s="70"/>
      <c r="G76" s="70"/>
      <c r="H76" s="70"/>
      <c r="I76" s="70"/>
      <c r="J76" s="70"/>
      <c r="K76" s="70"/>
      <c r="L76" s="70"/>
      <c r="M76" s="70"/>
      <c r="N76" s="71"/>
      <c r="O76" s="70"/>
      <c r="P76" s="70"/>
      <c r="Q76" s="70"/>
      <c r="R76" s="70"/>
      <c r="S76" s="70"/>
      <c r="T76" s="70"/>
      <c r="U76" s="70"/>
      <c r="V76" s="70"/>
      <c r="W76" s="70"/>
      <c r="X76" s="70"/>
      <c r="Y76" s="70"/>
      <c r="Z76" s="70"/>
    </row>
    <row r="77" spans="1:26" ht="15.75" customHeight="1" x14ac:dyDescent="0.25">
      <c r="A77" s="70"/>
      <c r="B77" s="70"/>
      <c r="C77" s="70"/>
      <c r="D77" s="70"/>
      <c r="E77" s="70"/>
      <c r="F77" s="70"/>
      <c r="G77" s="70"/>
      <c r="H77" s="70"/>
      <c r="I77" s="70"/>
      <c r="J77" s="70"/>
      <c r="K77" s="70"/>
      <c r="L77" s="70"/>
      <c r="M77" s="70"/>
      <c r="N77" s="71"/>
      <c r="O77" s="70"/>
      <c r="P77" s="70"/>
      <c r="Q77" s="70"/>
      <c r="R77" s="70"/>
      <c r="S77" s="70"/>
      <c r="T77" s="70"/>
      <c r="U77" s="70"/>
      <c r="V77" s="70"/>
      <c r="W77" s="70"/>
      <c r="X77" s="70"/>
      <c r="Y77" s="70"/>
      <c r="Z77" s="70"/>
    </row>
    <row r="78" spans="1:26" ht="15.75" customHeight="1" x14ac:dyDescent="0.25">
      <c r="A78" s="70"/>
      <c r="B78" s="70"/>
      <c r="C78" s="70"/>
      <c r="D78" s="70"/>
      <c r="E78" s="70"/>
      <c r="F78" s="70"/>
      <c r="G78" s="70"/>
      <c r="H78" s="70"/>
      <c r="I78" s="70"/>
      <c r="J78" s="70"/>
      <c r="K78" s="70"/>
      <c r="L78" s="70"/>
      <c r="M78" s="70"/>
      <c r="N78" s="71"/>
      <c r="O78" s="70"/>
      <c r="P78" s="70"/>
      <c r="Q78" s="70"/>
      <c r="R78" s="70"/>
      <c r="S78" s="70"/>
      <c r="T78" s="70"/>
      <c r="U78" s="70"/>
      <c r="V78" s="70"/>
      <c r="W78" s="70"/>
      <c r="X78" s="70"/>
      <c r="Y78" s="70"/>
      <c r="Z78" s="70"/>
    </row>
    <row r="79" spans="1:26" ht="15.75" customHeight="1" x14ac:dyDescent="0.25">
      <c r="A79" s="70"/>
      <c r="B79" s="70"/>
      <c r="C79" s="70"/>
      <c r="D79" s="70"/>
      <c r="E79" s="70"/>
      <c r="F79" s="70"/>
      <c r="G79" s="70"/>
      <c r="H79" s="70"/>
      <c r="I79" s="70"/>
      <c r="J79" s="70"/>
      <c r="K79" s="70"/>
      <c r="L79" s="70"/>
      <c r="M79" s="70"/>
      <c r="N79" s="71"/>
      <c r="O79" s="70"/>
      <c r="P79" s="70"/>
      <c r="Q79" s="70"/>
      <c r="R79" s="70"/>
      <c r="S79" s="70"/>
      <c r="T79" s="70"/>
      <c r="U79" s="70"/>
      <c r="V79" s="70"/>
      <c r="W79" s="70"/>
      <c r="X79" s="70"/>
      <c r="Y79" s="70"/>
      <c r="Z79" s="70"/>
    </row>
    <row r="80" spans="1:26" ht="15.75" customHeight="1" x14ac:dyDescent="0.25">
      <c r="A80" s="70"/>
      <c r="B80" s="70"/>
      <c r="C80" s="70"/>
      <c r="D80" s="70"/>
      <c r="E80" s="70"/>
      <c r="F80" s="70"/>
      <c r="G80" s="70"/>
      <c r="H80" s="70"/>
      <c r="I80" s="70"/>
      <c r="J80" s="70"/>
      <c r="K80" s="70"/>
      <c r="L80" s="70"/>
      <c r="M80" s="70"/>
      <c r="N80" s="71"/>
      <c r="O80" s="70"/>
      <c r="P80" s="70"/>
      <c r="Q80" s="70"/>
      <c r="R80" s="70"/>
      <c r="S80" s="70"/>
      <c r="T80" s="70"/>
      <c r="U80" s="70"/>
      <c r="V80" s="70"/>
      <c r="W80" s="70"/>
      <c r="X80" s="70"/>
      <c r="Y80" s="70"/>
      <c r="Z80" s="70"/>
    </row>
    <row r="81" spans="1:26" ht="15.75" customHeight="1" x14ac:dyDescent="0.25">
      <c r="A81" s="70"/>
      <c r="B81" s="70"/>
      <c r="C81" s="70"/>
      <c r="D81" s="70"/>
      <c r="E81" s="70"/>
      <c r="F81" s="70"/>
      <c r="G81" s="70"/>
      <c r="H81" s="70"/>
      <c r="I81" s="70"/>
      <c r="J81" s="70"/>
      <c r="K81" s="70"/>
      <c r="L81" s="70"/>
      <c r="M81" s="70"/>
      <c r="N81" s="71"/>
      <c r="O81" s="70"/>
      <c r="P81" s="70"/>
      <c r="Q81" s="70"/>
      <c r="R81" s="70"/>
      <c r="S81" s="70"/>
      <c r="T81" s="70"/>
      <c r="U81" s="70"/>
      <c r="V81" s="70"/>
      <c r="W81" s="70"/>
      <c r="X81" s="70"/>
      <c r="Y81" s="70"/>
      <c r="Z81" s="70"/>
    </row>
    <row r="82" spans="1:26" ht="15.75" customHeight="1" x14ac:dyDescent="0.25">
      <c r="A82" s="70"/>
      <c r="B82" s="70"/>
      <c r="C82" s="70"/>
      <c r="D82" s="70"/>
      <c r="E82" s="70"/>
      <c r="F82" s="70"/>
      <c r="G82" s="70"/>
      <c r="H82" s="70"/>
      <c r="I82" s="70"/>
      <c r="J82" s="70"/>
      <c r="K82" s="70"/>
      <c r="L82" s="70"/>
      <c r="M82" s="70"/>
      <c r="N82" s="71"/>
      <c r="O82" s="70"/>
      <c r="P82" s="70"/>
      <c r="Q82" s="70"/>
      <c r="R82" s="70"/>
      <c r="S82" s="70"/>
      <c r="T82" s="70"/>
      <c r="U82" s="70"/>
      <c r="V82" s="70"/>
      <c r="W82" s="70"/>
      <c r="X82" s="70"/>
      <c r="Y82" s="70"/>
      <c r="Z82" s="70"/>
    </row>
    <row r="83" spans="1:26" ht="15.75" customHeight="1" x14ac:dyDescent="0.25">
      <c r="A83" s="70"/>
      <c r="B83" s="70"/>
      <c r="C83" s="70"/>
      <c r="D83" s="70"/>
      <c r="E83" s="70"/>
      <c r="F83" s="70"/>
      <c r="G83" s="70"/>
      <c r="H83" s="70"/>
      <c r="I83" s="70"/>
      <c r="J83" s="70"/>
      <c r="K83" s="70"/>
      <c r="L83" s="70"/>
      <c r="M83" s="70"/>
      <c r="N83" s="71"/>
      <c r="O83" s="70"/>
      <c r="P83" s="70"/>
      <c r="Q83" s="70"/>
      <c r="R83" s="70"/>
      <c r="S83" s="70"/>
      <c r="T83" s="70"/>
      <c r="U83" s="70"/>
      <c r="V83" s="70"/>
      <c r="W83" s="70"/>
      <c r="X83" s="70"/>
      <c r="Y83" s="70"/>
      <c r="Z83" s="70"/>
    </row>
    <row r="84" spans="1:26" ht="15.75" customHeight="1" x14ac:dyDescent="0.25">
      <c r="A84" s="70"/>
      <c r="B84" s="70"/>
      <c r="C84" s="70"/>
      <c r="D84" s="70"/>
      <c r="E84" s="70"/>
      <c r="F84" s="70"/>
      <c r="G84" s="70"/>
      <c r="H84" s="70"/>
      <c r="I84" s="70"/>
      <c r="J84" s="70"/>
      <c r="K84" s="70"/>
      <c r="L84" s="70"/>
      <c r="M84" s="70"/>
      <c r="N84" s="71"/>
      <c r="O84" s="70"/>
      <c r="P84" s="70"/>
      <c r="Q84" s="70"/>
      <c r="R84" s="70"/>
      <c r="S84" s="70"/>
      <c r="T84" s="70"/>
      <c r="U84" s="70"/>
      <c r="V84" s="70"/>
      <c r="W84" s="70"/>
      <c r="X84" s="70"/>
      <c r="Y84" s="70"/>
      <c r="Z84" s="70"/>
    </row>
    <row r="85" spans="1:26" ht="15.75" customHeight="1" x14ac:dyDescent="0.25">
      <c r="A85" s="70"/>
      <c r="B85" s="70"/>
      <c r="C85" s="70"/>
      <c r="D85" s="70"/>
      <c r="E85" s="70"/>
      <c r="F85" s="70"/>
      <c r="G85" s="70"/>
      <c r="H85" s="70"/>
      <c r="I85" s="70"/>
      <c r="J85" s="70"/>
      <c r="K85" s="70"/>
      <c r="L85" s="70"/>
      <c r="M85" s="70"/>
      <c r="N85" s="71"/>
      <c r="O85" s="70"/>
      <c r="P85" s="70"/>
      <c r="Q85" s="70"/>
      <c r="R85" s="70"/>
      <c r="S85" s="70"/>
      <c r="T85" s="70"/>
      <c r="U85" s="70"/>
      <c r="V85" s="70"/>
      <c r="W85" s="70"/>
      <c r="X85" s="70"/>
      <c r="Y85" s="70"/>
      <c r="Z85" s="70"/>
    </row>
    <row r="86" spans="1:26" ht="15.75" customHeight="1" x14ac:dyDescent="0.25">
      <c r="A86" s="70"/>
      <c r="B86" s="70"/>
      <c r="C86" s="70"/>
      <c r="D86" s="70"/>
      <c r="E86" s="70"/>
      <c r="F86" s="70"/>
      <c r="G86" s="70"/>
      <c r="H86" s="70"/>
      <c r="I86" s="70"/>
      <c r="J86" s="70"/>
      <c r="K86" s="70"/>
      <c r="L86" s="70"/>
      <c r="M86" s="70"/>
      <c r="N86" s="71"/>
      <c r="O86" s="70"/>
      <c r="P86" s="70"/>
      <c r="Q86" s="70"/>
      <c r="R86" s="70"/>
      <c r="S86" s="70"/>
      <c r="T86" s="70"/>
      <c r="U86" s="70"/>
      <c r="V86" s="70"/>
      <c r="W86" s="70"/>
      <c r="X86" s="70"/>
      <c r="Y86" s="70"/>
      <c r="Z86" s="70"/>
    </row>
    <row r="87" spans="1:26" ht="15.75" customHeight="1" x14ac:dyDescent="0.25">
      <c r="A87" s="70"/>
      <c r="B87" s="70"/>
      <c r="C87" s="70"/>
      <c r="D87" s="70"/>
      <c r="E87" s="70"/>
      <c r="F87" s="70"/>
      <c r="G87" s="70"/>
      <c r="H87" s="70"/>
      <c r="I87" s="70"/>
      <c r="J87" s="70"/>
      <c r="K87" s="70"/>
      <c r="L87" s="70"/>
      <c r="M87" s="70"/>
      <c r="N87" s="71"/>
      <c r="O87" s="70"/>
      <c r="P87" s="70"/>
      <c r="Q87" s="70"/>
      <c r="R87" s="70"/>
      <c r="S87" s="70"/>
      <c r="T87" s="70"/>
      <c r="U87" s="70"/>
      <c r="V87" s="70"/>
      <c r="W87" s="70"/>
      <c r="X87" s="70"/>
      <c r="Y87" s="70"/>
      <c r="Z87" s="70"/>
    </row>
    <row r="88" spans="1:26" ht="15.75" customHeight="1" x14ac:dyDescent="0.25">
      <c r="A88" s="70"/>
      <c r="B88" s="70"/>
      <c r="C88" s="70"/>
      <c r="D88" s="70"/>
      <c r="E88" s="70"/>
      <c r="F88" s="70"/>
      <c r="G88" s="70"/>
      <c r="H88" s="70"/>
      <c r="I88" s="70"/>
      <c r="J88" s="70"/>
      <c r="K88" s="70"/>
      <c r="L88" s="70"/>
      <c r="M88" s="70"/>
      <c r="N88" s="71"/>
      <c r="O88" s="70"/>
      <c r="P88" s="70"/>
      <c r="Q88" s="70"/>
      <c r="R88" s="70"/>
      <c r="S88" s="70"/>
      <c r="T88" s="70"/>
      <c r="U88" s="70"/>
      <c r="V88" s="70"/>
      <c r="W88" s="70"/>
      <c r="X88" s="70"/>
      <c r="Y88" s="70"/>
      <c r="Z88" s="70"/>
    </row>
    <row r="89" spans="1:26" ht="15.75" customHeight="1" x14ac:dyDescent="0.25">
      <c r="A89" s="70"/>
      <c r="B89" s="70"/>
      <c r="C89" s="70"/>
      <c r="D89" s="70"/>
      <c r="E89" s="70"/>
      <c r="F89" s="70"/>
      <c r="G89" s="70"/>
      <c r="H89" s="70"/>
      <c r="I89" s="70"/>
      <c r="J89" s="70"/>
      <c r="K89" s="70"/>
      <c r="L89" s="70"/>
      <c r="M89" s="70"/>
      <c r="N89" s="71"/>
      <c r="O89" s="70"/>
      <c r="P89" s="70"/>
      <c r="Q89" s="70"/>
      <c r="R89" s="70"/>
      <c r="S89" s="70"/>
      <c r="T89" s="70"/>
      <c r="U89" s="70"/>
      <c r="V89" s="70"/>
      <c r="W89" s="70"/>
      <c r="X89" s="70"/>
      <c r="Y89" s="70"/>
      <c r="Z89" s="70"/>
    </row>
    <row r="90" spans="1:26" ht="15.75" customHeight="1" x14ac:dyDescent="0.25">
      <c r="A90" s="70"/>
      <c r="B90" s="70"/>
      <c r="C90" s="70"/>
      <c r="D90" s="70"/>
      <c r="E90" s="70"/>
      <c r="F90" s="70"/>
      <c r="G90" s="70"/>
      <c r="H90" s="70"/>
      <c r="I90" s="70"/>
      <c r="J90" s="70"/>
      <c r="K90" s="70"/>
      <c r="L90" s="70"/>
      <c r="M90" s="70"/>
      <c r="N90" s="71"/>
      <c r="O90" s="70"/>
      <c r="P90" s="70"/>
      <c r="Q90" s="70"/>
      <c r="R90" s="70"/>
      <c r="S90" s="70"/>
      <c r="T90" s="70"/>
      <c r="U90" s="70"/>
      <c r="V90" s="70"/>
      <c r="W90" s="70"/>
      <c r="X90" s="70"/>
      <c r="Y90" s="70"/>
      <c r="Z90" s="70"/>
    </row>
    <row r="91" spans="1:26" ht="15.75" customHeight="1" x14ac:dyDescent="0.25">
      <c r="A91" s="70"/>
      <c r="B91" s="70"/>
      <c r="C91" s="70"/>
      <c r="D91" s="70"/>
      <c r="E91" s="70"/>
      <c r="F91" s="70"/>
      <c r="G91" s="70"/>
      <c r="H91" s="70"/>
      <c r="I91" s="70"/>
      <c r="J91" s="70"/>
      <c r="K91" s="70"/>
      <c r="L91" s="70"/>
      <c r="M91" s="70"/>
      <c r="N91" s="71"/>
      <c r="O91" s="70"/>
      <c r="P91" s="70"/>
      <c r="Q91" s="70"/>
      <c r="R91" s="70"/>
      <c r="S91" s="70"/>
      <c r="T91" s="70"/>
      <c r="U91" s="70"/>
      <c r="V91" s="70"/>
      <c r="W91" s="70"/>
      <c r="X91" s="70"/>
      <c r="Y91" s="70"/>
      <c r="Z91" s="70"/>
    </row>
    <row r="92" spans="1:26" ht="15.75" customHeight="1" x14ac:dyDescent="0.25">
      <c r="A92" s="70"/>
      <c r="B92" s="70"/>
      <c r="C92" s="70"/>
      <c r="D92" s="70"/>
      <c r="E92" s="70"/>
      <c r="F92" s="70"/>
      <c r="G92" s="70"/>
      <c r="H92" s="70"/>
      <c r="I92" s="70"/>
      <c r="J92" s="70"/>
      <c r="K92" s="70"/>
      <c r="L92" s="70"/>
      <c r="M92" s="70"/>
      <c r="N92" s="71"/>
      <c r="O92" s="70"/>
      <c r="P92" s="70"/>
      <c r="Q92" s="70"/>
      <c r="R92" s="70"/>
      <c r="S92" s="70"/>
      <c r="T92" s="70"/>
      <c r="U92" s="70"/>
      <c r="V92" s="70"/>
      <c r="W92" s="70"/>
      <c r="X92" s="70"/>
      <c r="Y92" s="70"/>
      <c r="Z92" s="70"/>
    </row>
    <row r="93" spans="1:26" ht="15.75" customHeight="1" x14ac:dyDescent="0.25">
      <c r="A93" s="70"/>
      <c r="B93" s="70"/>
      <c r="C93" s="70"/>
      <c r="D93" s="70"/>
      <c r="E93" s="70"/>
      <c r="F93" s="70"/>
      <c r="G93" s="70"/>
      <c r="H93" s="70"/>
      <c r="I93" s="70"/>
      <c r="J93" s="70"/>
      <c r="K93" s="70"/>
      <c r="L93" s="70"/>
      <c r="M93" s="70"/>
      <c r="N93" s="71"/>
      <c r="O93" s="70"/>
      <c r="P93" s="70"/>
      <c r="Q93" s="70"/>
      <c r="R93" s="70"/>
      <c r="S93" s="70"/>
      <c r="T93" s="70"/>
      <c r="U93" s="70"/>
      <c r="V93" s="70"/>
      <c r="W93" s="70"/>
      <c r="X93" s="70"/>
      <c r="Y93" s="70"/>
      <c r="Z93" s="70"/>
    </row>
    <row r="94" spans="1:26" ht="15.75" customHeight="1" x14ac:dyDescent="0.25">
      <c r="A94" s="70"/>
      <c r="B94" s="70"/>
      <c r="C94" s="70"/>
      <c r="D94" s="70"/>
      <c r="E94" s="70"/>
      <c r="F94" s="70"/>
      <c r="G94" s="70"/>
      <c r="H94" s="70"/>
      <c r="I94" s="70"/>
      <c r="J94" s="70"/>
      <c r="K94" s="70"/>
      <c r="L94" s="70"/>
      <c r="M94" s="70"/>
      <c r="N94" s="71"/>
      <c r="O94" s="70"/>
      <c r="P94" s="70"/>
      <c r="Q94" s="70"/>
      <c r="R94" s="70"/>
      <c r="S94" s="70"/>
      <c r="T94" s="70"/>
      <c r="U94" s="70"/>
      <c r="V94" s="70"/>
      <c r="W94" s="70"/>
      <c r="X94" s="70"/>
      <c r="Y94" s="70"/>
      <c r="Z94" s="70"/>
    </row>
    <row r="95" spans="1:26" ht="15.75" customHeight="1" x14ac:dyDescent="0.25">
      <c r="A95" s="70"/>
      <c r="B95" s="70"/>
      <c r="C95" s="70"/>
      <c r="D95" s="70"/>
      <c r="E95" s="70"/>
      <c r="F95" s="70"/>
      <c r="G95" s="70"/>
      <c r="H95" s="70"/>
      <c r="I95" s="70"/>
      <c r="J95" s="70"/>
      <c r="K95" s="70"/>
      <c r="L95" s="70"/>
      <c r="M95" s="70"/>
      <c r="N95" s="71"/>
      <c r="O95" s="70"/>
      <c r="P95" s="70"/>
      <c r="Q95" s="70"/>
      <c r="R95" s="70"/>
      <c r="S95" s="70"/>
      <c r="T95" s="70"/>
      <c r="U95" s="70"/>
      <c r="V95" s="70"/>
      <c r="W95" s="70"/>
      <c r="X95" s="70"/>
      <c r="Y95" s="70"/>
      <c r="Z95" s="70"/>
    </row>
    <row r="96" spans="1:26" ht="15.75" customHeight="1" x14ac:dyDescent="0.25">
      <c r="A96" s="70"/>
      <c r="B96" s="70"/>
      <c r="C96" s="70"/>
      <c r="D96" s="70"/>
      <c r="E96" s="70"/>
      <c r="F96" s="70"/>
      <c r="G96" s="70"/>
      <c r="H96" s="70"/>
      <c r="I96" s="70"/>
      <c r="J96" s="70"/>
      <c r="K96" s="70"/>
      <c r="L96" s="70"/>
      <c r="M96" s="70"/>
      <c r="N96" s="71"/>
      <c r="O96" s="70"/>
      <c r="P96" s="70"/>
      <c r="Q96" s="70"/>
      <c r="R96" s="70"/>
      <c r="S96" s="70"/>
      <c r="T96" s="70"/>
      <c r="U96" s="70"/>
      <c r="V96" s="70"/>
      <c r="W96" s="70"/>
      <c r="X96" s="70"/>
      <c r="Y96" s="70"/>
      <c r="Z96" s="70"/>
    </row>
    <row r="97" spans="1:26" ht="15.75" customHeight="1" x14ac:dyDescent="0.25">
      <c r="A97" s="70"/>
      <c r="B97" s="70"/>
      <c r="C97" s="70"/>
      <c r="D97" s="70"/>
      <c r="E97" s="70"/>
      <c r="F97" s="70"/>
      <c r="G97" s="70"/>
      <c r="H97" s="70"/>
      <c r="I97" s="70"/>
      <c r="J97" s="70"/>
      <c r="K97" s="70"/>
      <c r="L97" s="70"/>
      <c r="M97" s="70"/>
      <c r="N97" s="71"/>
      <c r="O97" s="70"/>
      <c r="P97" s="70"/>
      <c r="Q97" s="70"/>
      <c r="R97" s="70"/>
      <c r="S97" s="70"/>
      <c r="T97" s="70"/>
      <c r="U97" s="70"/>
      <c r="V97" s="70"/>
      <c r="W97" s="70"/>
      <c r="X97" s="70"/>
      <c r="Y97" s="70"/>
      <c r="Z97" s="70"/>
    </row>
    <row r="98" spans="1:26" ht="15.75" customHeight="1" x14ac:dyDescent="0.25">
      <c r="A98" s="70"/>
      <c r="B98" s="70"/>
      <c r="C98" s="70"/>
      <c r="D98" s="70"/>
      <c r="E98" s="70"/>
      <c r="F98" s="70"/>
      <c r="G98" s="70"/>
      <c r="H98" s="70"/>
      <c r="I98" s="70"/>
      <c r="J98" s="70"/>
      <c r="K98" s="70"/>
      <c r="L98" s="70"/>
      <c r="M98" s="70"/>
      <c r="N98" s="71"/>
      <c r="O98" s="70"/>
      <c r="P98" s="70"/>
      <c r="Q98" s="70"/>
      <c r="R98" s="70"/>
      <c r="S98" s="70"/>
      <c r="T98" s="70"/>
      <c r="U98" s="70"/>
      <c r="V98" s="70"/>
      <c r="W98" s="70"/>
      <c r="X98" s="70"/>
      <c r="Y98" s="70"/>
      <c r="Z98" s="70"/>
    </row>
    <row r="99" spans="1:26" ht="15.75" customHeight="1" x14ac:dyDescent="0.25">
      <c r="A99" s="70"/>
      <c r="B99" s="70"/>
      <c r="C99" s="70"/>
      <c r="D99" s="70"/>
      <c r="E99" s="70"/>
      <c r="F99" s="70"/>
      <c r="G99" s="70"/>
      <c r="H99" s="70"/>
      <c r="I99" s="70"/>
      <c r="J99" s="70"/>
      <c r="K99" s="70"/>
      <c r="L99" s="70"/>
      <c r="M99" s="70"/>
      <c r="N99" s="71"/>
      <c r="O99" s="70"/>
      <c r="P99" s="70"/>
      <c r="Q99" s="70"/>
      <c r="R99" s="70"/>
      <c r="S99" s="70"/>
      <c r="T99" s="70"/>
      <c r="U99" s="70"/>
      <c r="V99" s="70"/>
      <c r="W99" s="70"/>
      <c r="X99" s="70"/>
      <c r="Y99" s="70"/>
      <c r="Z99" s="70"/>
    </row>
    <row r="100" spans="1:26" ht="15.75" customHeight="1" x14ac:dyDescent="0.25">
      <c r="A100" s="70"/>
      <c r="B100" s="70"/>
      <c r="C100" s="70"/>
      <c r="D100" s="70"/>
      <c r="E100" s="70"/>
      <c r="F100" s="70"/>
      <c r="G100" s="70"/>
      <c r="H100" s="70"/>
      <c r="I100" s="70"/>
      <c r="J100" s="70"/>
      <c r="K100" s="70"/>
      <c r="L100" s="70"/>
      <c r="M100" s="70"/>
      <c r="N100" s="71"/>
      <c r="O100" s="70"/>
      <c r="P100" s="70"/>
      <c r="Q100" s="70"/>
      <c r="R100" s="70"/>
      <c r="S100" s="70"/>
      <c r="T100" s="70"/>
      <c r="U100" s="70"/>
      <c r="V100" s="70"/>
      <c r="W100" s="70"/>
      <c r="X100" s="70"/>
      <c r="Y100" s="70"/>
      <c r="Z100" s="70"/>
    </row>
    <row r="101" spans="1:26" ht="15.75" customHeight="1" x14ac:dyDescent="0.25">
      <c r="A101" s="70"/>
      <c r="B101" s="70"/>
      <c r="C101" s="70"/>
      <c r="D101" s="70"/>
      <c r="E101" s="70"/>
      <c r="F101" s="70"/>
      <c r="G101" s="70"/>
      <c r="H101" s="70"/>
      <c r="I101" s="70"/>
      <c r="J101" s="70"/>
      <c r="K101" s="70"/>
      <c r="L101" s="70"/>
      <c r="M101" s="70"/>
      <c r="N101" s="71"/>
      <c r="O101" s="70"/>
      <c r="P101" s="70"/>
      <c r="Q101" s="70"/>
      <c r="R101" s="70"/>
      <c r="S101" s="70"/>
      <c r="T101" s="70"/>
      <c r="U101" s="70"/>
      <c r="V101" s="70"/>
      <c r="W101" s="70"/>
      <c r="X101" s="70"/>
      <c r="Y101" s="70"/>
      <c r="Z101" s="70"/>
    </row>
    <row r="102" spans="1:26" ht="15.75" customHeight="1" x14ac:dyDescent="0.25">
      <c r="A102" s="70"/>
      <c r="B102" s="70"/>
      <c r="C102" s="70"/>
      <c r="D102" s="70"/>
      <c r="E102" s="70"/>
      <c r="F102" s="70"/>
      <c r="G102" s="70"/>
      <c r="H102" s="70"/>
      <c r="I102" s="70"/>
      <c r="J102" s="70"/>
      <c r="K102" s="70"/>
      <c r="L102" s="70"/>
      <c r="M102" s="70"/>
      <c r="N102" s="71"/>
      <c r="O102" s="70"/>
      <c r="P102" s="70"/>
      <c r="Q102" s="70"/>
      <c r="R102" s="70"/>
      <c r="S102" s="70"/>
      <c r="T102" s="70"/>
      <c r="U102" s="70"/>
      <c r="V102" s="70"/>
      <c r="W102" s="70"/>
      <c r="X102" s="70"/>
      <c r="Y102" s="70"/>
      <c r="Z102" s="70"/>
    </row>
    <row r="103" spans="1:26" ht="15.75" customHeight="1" x14ac:dyDescent="0.25">
      <c r="A103" s="70"/>
      <c r="B103" s="70"/>
      <c r="C103" s="70"/>
      <c r="D103" s="70"/>
      <c r="E103" s="70"/>
      <c r="F103" s="70"/>
      <c r="G103" s="70"/>
      <c r="H103" s="70"/>
      <c r="I103" s="70"/>
      <c r="J103" s="70"/>
      <c r="K103" s="70"/>
      <c r="L103" s="70"/>
      <c r="M103" s="70"/>
      <c r="N103" s="71"/>
      <c r="O103" s="70"/>
      <c r="P103" s="70"/>
      <c r="Q103" s="70"/>
      <c r="R103" s="70"/>
      <c r="S103" s="70"/>
      <c r="T103" s="70"/>
      <c r="U103" s="70"/>
      <c r="V103" s="70"/>
      <c r="W103" s="70"/>
      <c r="X103" s="70"/>
      <c r="Y103" s="70"/>
      <c r="Z103" s="70"/>
    </row>
    <row r="104" spans="1:26" ht="15.75" customHeight="1" x14ac:dyDescent="0.25">
      <c r="A104" s="70"/>
      <c r="B104" s="70"/>
      <c r="C104" s="70"/>
      <c r="D104" s="70"/>
      <c r="E104" s="70"/>
      <c r="F104" s="70"/>
      <c r="G104" s="70"/>
      <c r="H104" s="70"/>
      <c r="I104" s="70"/>
      <c r="J104" s="70"/>
      <c r="K104" s="70"/>
      <c r="L104" s="70"/>
      <c r="M104" s="70"/>
      <c r="N104" s="71"/>
      <c r="O104" s="70"/>
      <c r="P104" s="70"/>
      <c r="Q104" s="70"/>
      <c r="R104" s="70"/>
      <c r="S104" s="70"/>
      <c r="T104" s="70"/>
      <c r="U104" s="70"/>
      <c r="V104" s="70"/>
      <c r="W104" s="70"/>
      <c r="X104" s="70"/>
      <c r="Y104" s="70"/>
      <c r="Z104" s="70"/>
    </row>
    <row r="105" spans="1:26" ht="15.75" customHeight="1" x14ac:dyDescent="0.25">
      <c r="A105" s="70"/>
      <c r="B105" s="70"/>
      <c r="C105" s="70"/>
      <c r="D105" s="70"/>
      <c r="E105" s="70"/>
      <c r="F105" s="70"/>
      <c r="G105" s="70"/>
      <c r="H105" s="70"/>
      <c r="I105" s="70"/>
      <c r="J105" s="70"/>
      <c r="K105" s="70"/>
      <c r="L105" s="70"/>
      <c r="M105" s="70"/>
      <c r="N105" s="71"/>
      <c r="O105" s="70"/>
      <c r="P105" s="70"/>
      <c r="Q105" s="70"/>
      <c r="R105" s="70"/>
      <c r="S105" s="70"/>
      <c r="T105" s="70"/>
      <c r="U105" s="70"/>
      <c r="V105" s="70"/>
      <c r="W105" s="70"/>
      <c r="X105" s="70"/>
      <c r="Y105" s="70"/>
      <c r="Z105" s="70"/>
    </row>
    <row r="106" spans="1:26" ht="15.75" customHeight="1" x14ac:dyDescent="0.25">
      <c r="A106" s="70"/>
      <c r="B106" s="70"/>
      <c r="C106" s="70"/>
      <c r="D106" s="70"/>
      <c r="E106" s="70"/>
      <c r="F106" s="70"/>
      <c r="G106" s="70"/>
      <c r="H106" s="70"/>
      <c r="I106" s="70"/>
      <c r="J106" s="70"/>
      <c r="K106" s="70"/>
      <c r="L106" s="70"/>
      <c r="M106" s="70"/>
      <c r="N106" s="71"/>
      <c r="O106" s="70"/>
      <c r="P106" s="70"/>
      <c r="Q106" s="70"/>
      <c r="R106" s="70"/>
      <c r="S106" s="70"/>
      <c r="T106" s="70"/>
      <c r="U106" s="70"/>
      <c r="V106" s="70"/>
      <c r="W106" s="70"/>
      <c r="X106" s="70"/>
      <c r="Y106" s="70"/>
      <c r="Z106" s="70"/>
    </row>
    <row r="107" spans="1:26" ht="15.75" customHeight="1" x14ac:dyDescent="0.25">
      <c r="A107" s="70"/>
      <c r="B107" s="70"/>
      <c r="C107" s="70"/>
      <c r="D107" s="70"/>
      <c r="E107" s="70"/>
      <c r="F107" s="70"/>
      <c r="G107" s="70"/>
      <c r="H107" s="70"/>
      <c r="I107" s="70"/>
      <c r="J107" s="70"/>
      <c r="K107" s="70"/>
      <c r="L107" s="70"/>
      <c r="M107" s="70"/>
      <c r="N107" s="71"/>
      <c r="O107" s="70"/>
      <c r="P107" s="70"/>
      <c r="Q107" s="70"/>
      <c r="R107" s="70"/>
      <c r="S107" s="70"/>
      <c r="T107" s="70"/>
      <c r="U107" s="70"/>
      <c r="V107" s="70"/>
      <c r="W107" s="70"/>
      <c r="X107" s="70"/>
      <c r="Y107" s="70"/>
      <c r="Z107" s="70"/>
    </row>
    <row r="108" spans="1:26" ht="15.75" customHeight="1" x14ac:dyDescent="0.25">
      <c r="A108" s="70"/>
      <c r="B108" s="70"/>
      <c r="C108" s="70"/>
      <c r="D108" s="70"/>
      <c r="E108" s="70"/>
      <c r="F108" s="70"/>
      <c r="G108" s="70"/>
      <c r="H108" s="70"/>
      <c r="I108" s="70"/>
      <c r="J108" s="70"/>
      <c r="K108" s="70"/>
      <c r="L108" s="70"/>
      <c r="M108" s="70"/>
      <c r="N108" s="71"/>
      <c r="O108" s="70"/>
      <c r="P108" s="70"/>
      <c r="Q108" s="70"/>
      <c r="R108" s="70"/>
      <c r="S108" s="70"/>
      <c r="T108" s="70"/>
      <c r="U108" s="70"/>
      <c r="V108" s="70"/>
      <c r="W108" s="70"/>
      <c r="X108" s="70"/>
      <c r="Y108" s="70"/>
      <c r="Z108" s="70"/>
    </row>
    <row r="109" spans="1:26" ht="15.75" customHeight="1" x14ac:dyDescent="0.25">
      <c r="A109" s="70"/>
      <c r="B109" s="70"/>
      <c r="C109" s="70"/>
      <c r="D109" s="70"/>
      <c r="E109" s="70"/>
      <c r="F109" s="70"/>
      <c r="G109" s="70"/>
      <c r="H109" s="70"/>
      <c r="I109" s="70"/>
      <c r="J109" s="70"/>
      <c r="K109" s="70"/>
      <c r="L109" s="70"/>
      <c r="M109" s="70"/>
      <c r="N109" s="71"/>
      <c r="O109" s="70"/>
      <c r="P109" s="70"/>
      <c r="Q109" s="70"/>
      <c r="R109" s="70"/>
      <c r="S109" s="70"/>
      <c r="T109" s="70"/>
      <c r="U109" s="70"/>
      <c r="V109" s="70"/>
      <c r="W109" s="70"/>
      <c r="X109" s="70"/>
      <c r="Y109" s="70"/>
      <c r="Z109" s="70"/>
    </row>
    <row r="110" spans="1:26" ht="15.75" customHeight="1" x14ac:dyDescent="0.25">
      <c r="A110" s="70"/>
      <c r="B110" s="70"/>
      <c r="C110" s="70"/>
      <c r="D110" s="70"/>
      <c r="E110" s="70"/>
      <c r="F110" s="70"/>
      <c r="G110" s="70"/>
      <c r="H110" s="70"/>
      <c r="I110" s="70"/>
      <c r="J110" s="70"/>
      <c r="K110" s="70"/>
      <c r="L110" s="70"/>
      <c r="M110" s="70"/>
      <c r="N110" s="71"/>
      <c r="O110" s="70"/>
      <c r="P110" s="70"/>
      <c r="Q110" s="70"/>
      <c r="R110" s="70"/>
      <c r="S110" s="70"/>
      <c r="T110" s="70"/>
      <c r="U110" s="70"/>
      <c r="V110" s="70"/>
      <c r="W110" s="70"/>
      <c r="X110" s="70"/>
      <c r="Y110" s="70"/>
      <c r="Z110" s="70"/>
    </row>
    <row r="111" spans="1:26" ht="15.75" customHeight="1" x14ac:dyDescent="0.25">
      <c r="A111" s="70"/>
      <c r="B111" s="70"/>
      <c r="C111" s="70"/>
      <c r="D111" s="70"/>
      <c r="E111" s="70"/>
      <c r="F111" s="70"/>
      <c r="G111" s="70"/>
      <c r="H111" s="70"/>
      <c r="I111" s="70"/>
      <c r="J111" s="70"/>
      <c r="K111" s="70"/>
      <c r="L111" s="70"/>
      <c r="M111" s="70"/>
      <c r="N111" s="71"/>
      <c r="O111" s="70"/>
      <c r="P111" s="70"/>
      <c r="Q111" s="70"/>
      <c r="R111" s="70"/>
      <c r="S111" s="70"/>
      <c r="T111" s="70"/>
      <c r="U111" s="70"/>
      <c r="V111" s="70"/>
      <c r="W111" s="70"/>
      <c r="X111" s="70"/>
      <c r="Y111" s="70"/>
      <c r="Z111" s="70"/>
    </row>
    <row r="112" spans="1:26" ht="15.75" customHeight="1" x14ac:dyDescent="0.25">
      <c r="A112" s="70"/>
      <c r="B112" s="70"/>
      <c r="C112" s="70"/>
      <c r="D112" s="70"/>
      <c r="E112" s="70"/>
      <c r="F112" s="70"/>
      <c r="G112" s="70"/>
      <c r="H112" s="70"/>
      <c r="I112" s="70"/>
      <c r="J112" s="70"/>
      <c r="K112" s="70"/>
      <c r="L112" s="70"/>
      <c r="M112" s="70"/>
      <c r="N112" s="71"/>
      <c r="O112" s="70"/>
      <c r="P112" s="70"/>
      <c r="Q112" s="70"/>
      <c r="R112" s="70"/>
      <c r="S112" s="70"/>
      <c r="T112" s="70"/>
      <c r="U112" s="70"/>
      <c r="V112" s="70"/>
      <c r="W112" s="70"/>
      <c r="X112" s="70"/>
      <c r="Y112" s="70"/>
      <c r="Z112" s="70"/>
    </row>
    <row r="113" spans="1:26" ht="15.75" customHeight="1" x14ac:dyDescent="0.25">
      <c r="A113" s="70"/>
      <c r="B113" s="70"/>
      <c r="C113" s="70"/>
      <c r="D113" s="70"/>
      <c r="E113" s="70"/>
      <c r="F113" s="70"/>
      <c r="G113" s="70"/>
      <c r="H113" s="70"/>
      <c r="I113" s="70"/>
      <c r="J113" s="70"/>
      <c r="K113" s="70"/>
      <c r="L113" s="70"/>
      <c r="M113" s="70"/>
      <c r="N113" s="71"/>
      <c r="O113" s="70"/>
      <c r="P113" s="70"/>
      <c r="Q113" s="70"/>
      <c r="R113" s="70"/>
      <c r="S113" s="70"/>
      <c r="T113" s="70"/>
      <c r="U113" s="70"/>
      <c r="V113" s="70"/>
      <c r="W113" s="70"/>
      <c r="X113" s="70"/>
      <c r="Y113" s="70"/>
      <c r="Z113" s="70"/>
    </row>
    <row r="114" spans="1:26" ht="15.75" customHeight="1" x14ac:dyDescent="0.25">
      <c r="A114" s="70"/>
      <c r="B114" s="70"/>
      <c r="C114" s="70"/>
      <c r="D114" s="70"/>
      <c r="E114" s="70"/>
      <c r="F114" s="70"/>
      <c r="G114" s="70"/>
      <c r="H114" s="70"/>
      <c r="I114" s="70"/>
      <c r="J114" s="70"/>
      <c r="K114" s="70"/>
      <c r="L114" s="70"/>
      <c r="M114" s="70"/>
      <c r="N114" s="71"/>
      <c r="O114" s="70"/>
      <c r="P114" s="70"/>
      <c r="Q114" s="70"/>
      <c r="R114" s="70"/>
      <c r="S114" s="70"/>
      <c r="T114" s="70"/>
      <c r="U114" s="70"/>
      <c r="V114" s="70"/>
      <c r="W114" s="70"/>
      <c r="X114" s="70"/>
      <c r="Y114" s="70"/>
      <c r="Z114" s="70"/>
    </row>
    <row r="115" spans="1:26" ht="15.75" customHeight="1" x14ac:dyDescent="0.25">
      <c r="A115" s="70"/>
      <c r="B115" s="70"/>
      <c r="C115" s="70"/>
      <c r="D115" s="70"/>
      <c r="E115" s="70"/>
      <c r="F115" s="70"/>
      <c r="G115" s="70"/>
      <c r="H115" s="70"/>
      <c r="I115" s="70"/>
      <c r="J115" s="70"/>
      <c r="K115" s="70"/>
      <c r="L115" s="70"/>
      <c r="M115" s="70"/>
      <c r="N115" s="71"/>
      <c r="O115" s="70"/>
      <c r="P115" s="70"/>
      <c r="Q115" s="70"/>
      <c r="R115" s="70"/>
      <c r="S115" s="70"/>
      <c r="T115" s="70"/>
      <c r="U115" s="70"/>
      <c r="V115" s="70"/>
      <c r="W115" s="70"/>
      <c r="X115" s="70"/>
      <c r="Y115" s="70"/>
      <c r="Z115" s="70"/>
    </row>
    <row r="116" spans="1:26" ht="15.75" customHeight="1" x14ac:dyDescent="0.25">
      <c r="A116" s="70"/>
      <c r="B116" s="70"/>
      <c r="C116" s="70"/>
      <c r="D116" s="70"/>
      <c r="E116" s="70"/>
      <c r="F116" s="70"/>
      <c r="G116" s="70"/>
      <c r="H116" s="70"/>
      <c r="I116" s="70"/>
      <c r="J116" s="70"/>
      <c r="K116" s="70"/>
      <c r="L116" s="70"/>
      <c r="M116" s="70"/>
      <c r="N116" s="71"/>
      <c r="O116" s="70"/>
      <c r="P116" s="70"/>
      <c r="Q116" s="70"/>
      <c r="R116" s="70"/>
      <c r="S116" s="70"/>
      <c r="T116" s="70"/>
      <c r="U116" s="70"/>
      <c r="V116" s="70"/>
      <c r="W116" s="70"/>
      <c r="X116" s="70"/>
      <c r="Y116" s="70"/>
      <c r="Z116" s="70"/>
    </row>
    <row r="117" spans="1:26" ht="15.75" customHeight="1" x14ac:dyDescent="0.25">
      <c r="A117" s="70"/>
      <c r="B117" s="70"/>
      <c r="C117" s="70"/>
      <c r="D117" s="70"/>
      <c r="E117" s="70"/>
      <c r="F117" s="70"/>
      <c r="G117" s="70"/>
      <c r="H117" s="70"/>
      <c r="I117" s="70"/>
      <c r="J117" s="70"/>
      <c r="K117" s="70"/>
      <c r="L117" s="70"/>
      <c r="M117" s="70"/>
      <c r="N117" s="71"/>
      <c r="O117" s="70"/>
      <c r="P117" s="70"/>
      <c r="Q117" s="70"/>
      <c r="R117" s="70"/>
      <c r="S117" s="70"/>
      <c r="T117" s="70"/>
      <c r="U117" s="70"/>
      <c r="V117" s="70"/>
      <c r="W117" s="70"/>
      <c r="X117" s="70"/>
      <c r="Y117" s="70"/>
      <c r="Z117" s="70"/>
    </row>
    <row r="118" spans="1:26" ht="15.75" customHeight="1" x14ac:dyDescent="0.25">
      <c r="A118" s="70"/>
      <c r="B118" s="70"/>
      <c r="C118" s="70"/>
      <c r="D118" s="70"/>
      <c r="E118" s="70"/>
      <c r="F118" s="70"/>
      <c r="G118" s="70"/>
      <c r="H118" s="70"/>
      <c r="I118" s="70"/>
      <c r="J118" s="70"/>
      <c r="K118" s="70"/>
      <c r="L118" s="70"/>
      <c r="M118" s="70"/>
      <c r="N118" s="71"/>
      <c r="O118" s="70"/>
      <c r="P118" s="70"/>
      <c r="Q118" s="70"/>
      <c r="R118" s="70"/>
      <c r="S118" s="70"/>
      <c r="T118" s="70"/>
      <c r="U118" s="70"/>
      <c r="V118" s="70"/>
      <c r="W118" s="70"/>
      <c r="X118" s="70"/>
      <c r="Y118" s="70"/>
      <c r="Z118" s="70"/>
    </row>
    <row r="119" spans="1:26" ht="15.75" customHeight="1" x14ac:dyDescent="0.25">
      <c r="A119" s="70"/>
      <c r="B119" s="70"/>
      <c r="C119" s="70"/>
      <c r="D119" s="70"/>
      <c r="E119" s="70"/>
      <c r="F119" s="70"/>
      <c r="G119" s="70"/>
      <c r="H119" s="70"/>
      <c r="I119" s="70"/>
      <c r="J119" s="70"/>
      <c r="K119" s="70"/>
      <c r="L119" s="70"/>
      <c r="M119" s="70"/>
      <c r="N119" s="71"/>
      <c r="O119" s="70"/>
      <c r="P119" s="70"/>
      <c r="Q119" s="70"/>
      <c r="R119" s="70"/>
      <c r="S119" s="70"/>
      <c r="T119" s="70"/>
      <c r="U119" s="70"/>
      <c r="V119" s="70"/>
      <c r="W119" s="70"/>
      <c r="X119" s="70"/>
      <c r="Y119" s="70"/>
      <c r="Z119" s="70"/>
    </row>
    <row r="120" spans="1:26" ht="15.75" customHeight="1" x14ac:dyDescent="0.25">
      <c r="A120" s="70"/>
      <c r="B120" s="70"/>
      <c r="C120" s="70"/>
      <c r="D120" s="70"/>
      <c r="E120" s="70"/>
      <c r="F120" s="70"/>
      <c r="G120" s="70"/>
      <c r="H120" s="70"/>
      <c r="I120" s="70"/>
      <c r="J120" s="70"/>
      <c r="K120" s="70"/>
      <c r="L120" s="70"/>
      <c r="M120" s="70"/>
      <c r="N120" s="71"/>
      <c r="O120" s="70"/>
      <c r="P120" s="70"/>
      <c r="Q120" s="70"/>
      <c r="R120" s="70"/>
      <c r="S120" s="70"/>
      <c r="T120" s="70"/>
      <c r="U120" s="70"/>
      <c r="V120" s="70"/>
      <c r="W120" s="70"/>
      <c r="X120" s="70"/>
      <c r="Y120" s="70"/>
      <c r="Z120" s="70"/>
    </row>
    <row r="121" spans="1:26" ht="15.75" customHeight="1" x14ac:dyDescent="0.25">
      <c r="A121" s="70"/>
      <c r="B121" s="70"/>
      <c r="C121" s="70"/>
      <c r="D121" s="70"/>
      <c r="E121" s="70"/>
      <c r="F121" s="70"/>
      <c r="G121" s="70"/>
      <c r="H121" s="70"/>
      <c r="I121" s="70"/>
      <c r="J121" s="70"/>
      <c r="K121" s="70"/>
      <c r="L121" s="70"/>
      <c r="M121" s="70"/>
      <c r="N121" s="71"/>
      <c r="O121" s="70"/>
      <c r="P121" s="70"/>
      <c r="Q121" s="70"/>
      <c r="R121" s="70"/>
      <c r="S121" s="70"/>
      <c r="T121" s="70"/>
      <c r="U121" s="70"/>
      <c r="V121" s="70"/>
      <c r="W121" s="70"/>
      <c r="X121" s="70"/>
      <c r="Y121" s="70"/>
      <c r="Z121" s="70"/>
    </row>
    <row r="122" spans="1:26" ht="15.75" customHeight="1" x14ac:dyDescent="0.25">
      <c r="A122" s="70"/>
      <c r="B122" s="70"/>
      <c r="C122" s="70"/>
      <c r="D122" s="70"/>
      <c r="E122" s="70"/>
      <c r="F122" s="70"/>
      <c r="G122" s="70"/>
      <c r="H122" s="70"/>
      <c r="I122" s="70"/>
      <c r="J122" s="70"/>
      <c r="K122" s="70"/>
      <c r="L122" s="70"/>
      <c r="M122" s="70"/>
      <c r="N122" s="71"/>
      <c r="O122" s="70"/>
      <c r="P122" s="70"/>
      <c r="Q122" s="70"/>
      <c r="R122" s="70"/>
      <c r="S122" s="70"/>
      <c r="T122" s="70"/>
      <c r="U122" s="70"/>
      <c r="V122" s="70"/>
      <c r="W122" s="70"/>
      <c r="X122" s="70"/>
      <c r="Y122" s="70"/>
      <c r="Z122" s="70"/>
    </row>
    <row r="123" spans="1:26" ht="15.75" customHeight="1" x14ac:dyDescent="0.25">
      <c r="A123" s="70"/>
      <c r="B123" s="70"/>
      <c r="C123" s="70"/>
      <c r="D123" s="70"/>
      <c r="E123" s="70"/>
      <c r="F123" s="70"/>
      <c r="G123" s="70"/>
      <c r="H123" s="70"/>
      <c r="I123" s="70"/>
      <c r="J123" s="70"/>
      <c r="K123" s="70"/>
      <c r="L123" s="70"/>
      <c r="M123" s="70"/>
      <c r="N123" s="71"/>
      <c r="O123" s="70"/>
      <c r="P123" s="70"/>
      <c r="Q123" s="70"/>
      <c r="R123" s="70"/>
      <c r="S123" s="70"/>
      <c r="T123" s="70"/>
      <c r="U123" s="70"/>
      <c r="V123" s="70"/>
      <c r="W123" s="70"/>
      <c r="X123" s="70"/>
      <c r="Y123" s="70"/>
      <c r="Z123" s="70"/>
    </row>
    <row r="124" spans="1:26" ht="15.75" customHeight="1" x14ac:dyDescent="0.25">
      <c r="A124" s="70"/>
      <c r="B124" s="70"/>
      <c r="C124" s="70"/>
      <c r="D124" s="70"/>
      <c r="E124" s="70"/>
      <c r="F124" s="70"/>
      <c r="G124" s="70"/>
      <c r="H124" s="70"/>
      <c r="I124" s="70"/>
      <c r="J124" s="70"/>
      <c r="K124" s="70"/>
      <c r="L124" s="70"/>
      <c r="M124" s="70"/>
      <c r="N124" s="71"/>
      <c r="O124" s="70"/>
      <c r="P124" s="70"/>
      <c r="Q124" s="70"/>
      <c r="R124" s="70"/>
      <c r="S124" s="70"/>
      <c r="T124" s="70"/>
      <c r="U124" s="70"/>
      <c r="V124" s="70"/>
      <c r="W124" s="70"/>
      <c r="X124" s="70"/>
      <c r="Y124" s="70"/>
      <c r="Z124" s="70"/>
    </row>
    <row r="125" spans="1:26" ht="15.75" customHeight="1" x14ac:dyDescent="0.25">
      <c r="A125" s="70"/>
      <c r="B125" s="70"/>
      <c r="C125" s="70"/>
      <c r="D125" s="70"/>
      <c r="E125" s="70"/>
      <c r="F125" s="70"/>
      <c r="G125" s="70"/>
      <c r="H125" s="70"/>
      <c r="I125" s="70"/>
      <c r="J125" s="70"/>
      <c r="K125" s="70"/>
      <c r="L125" s="70"/>
      <c r="M125" s="70"/>
      <c r="N125" s="71"/>
      <c r="O125" s="70"/>
      <c r="P125" s="70"/>
      <c r="Q125" s="70"/>
      <c r="R125" s="70"/>
      <c r="S125" s="70"/>
      <c r="T125" s="70"/>
      <c r="U125" s="70"/>
      <c r="V125" s="70"/>
      <c r="W125" s="70"/>
      <c r="X125" s="70"/>
      <c r="Y125" s="70"/>
      <c r="Z125" s="70"/>
    </row>
    <row r="126" spans="1:26" ht="15.75" customHeight="1" x14ac:dyDescent="0.25">
      <c r="A126" s="70"/>
      <c r="B126" s="70"/>
      <c r="C126" s="70"/>
      <c r="D126" s="70"/>
      <c r="E126" s="70"/>
      <c r="F126" s="70"/>
      <c r="G126" s="70"/>
      <c r="H126" s="70"/>
      <c r="I126" s="70"/>
      <c r="J126" s="70"/>
      <c r="K126" s="70"/>
      <c r="L126" s="70"/>
      <c r="M126" s="70"/>
      <c r="N126" s="71"/>
      <c r="O126" s="70"/>
      <c r="P126" s="70"/>
      <c r="Q126" s="70"/>
      <c r="R126" s="70"/>
      <c r="S126" s="70"/>
      <c r="T126" s="70"/>
      <c r="U126" s="70"/>
      <c r="V126" s="70"/>
      <c r="W126" s="70"/>
      <c r="X126" s="70"/>
      <c r="Y126" s="70"/>
      <c r="Z126" s="70"/>
    </row>
    <row r="127" spans="1:26" ht="15.75" customHeight="1" x14ac:dyDescent="0.25">
      <c r="A127" s="70"/>
      <c r="B127" s="70"/>
      <c r="C127" s="70"/>
      <c r="D127" s="70"/>
      <c r="E127" s="70"/>
      <c r="F127" s="70"/>
      <c r="G127" s="70"/>
      <c r="H127" s="70"/>
      <c r="I127" s="70"/>
      <c r="J127" s="70"/>
      <c r="K127" s="70"/>
      <c r="L127" s="70"/>
      <c r="M127" s="70"/>
      <c r="N127" s="71"/>
      <c r="O127" s="70"/>
      <c r="P127" s="70"/>
      <c r="Q127" s="70"/>
      <c r="R127" s="70"/>
      <c r="S127" s="70"/>
      <c r="T127" s="70"/>
      <c r="U127" s="70"/>
      <c r="V127" s="70"/>
      <c r="W127" s="70"/>
      <c r="X127" s="70"/>
      <c r="Y127" s="70"/>
      <c r="Z127" s="70"/>
    </row>
    <row r="128" spans="1:26" ht="15.75" customHeight="1" x14ac:dyDescent="0.25">
      <c r="A128" s="70"/>
      <c r="B128" s="70"/>
      <c r="C128" s="70"/>
      <c r="D128" s="70"/>
      <c r="E128" s="70"/>
      <c r="F128" s="70"/>
      <c r="G128" s="70"/>
      <c r="H128" s="70"/>
      <c r="I128" s="70"/>
      <c r="J128" s="70"/>
      <c r="K128" s="70"/>
      <c r="L128" s="70"/>
      <c r="M128" s="70"/>
      <c r="N128" s="71"/>
      <c r="O128" s="70"/>
      <c r="P128" s="70"/>
      <c r="Q128" s="70"/>
      <c r="R128" s="70"/>
      <c r="S128" s="70"/>
      <c r="T128" s="70"/>
      <c r="U128" s="70"/>
      <c r="V128" s="70"/>
      <c r="W128" s="70"/>
      <c r="X128" s="70"/>
      <c r="Y128" s="70"/>
      <c r="Z128" s="70"/>
    </row>
    <row r="129" spans="1:26" ht="15.75" customHeight="1" x14ac:dyDescent="0.25">
      <c r="A129" s="70"/>
      <c r="B129" s="70"/>
      <c r="C129" s="70"/>
      <c r="D129" s="70"/>
      <c r="E129" s="70"/>
      <c r="F129" s="70"/>
      <c r="G129" s="70"/>
      <c r="H129" s="70"/>
      <c r="I129" s="70"/>
      <c r="J129" s="70"/>
      <c r="K129" s="70"/>
      <c r="L129" s="70"/>
      <c r="M129" s="70"/>
      <c r="N129" s="71"/>
      <c r="O129" s="70"/>
      <c r="P129" s="70"/>
      <c r="Q129" s="70"/>
      <c r="R129" s="70"/>
      <c r="S129" s="70"/>
      <c r="T129" s="70"/>
      <c r="U129" s="70"/>
      <c r="V129" s="70"/>
      <c r="W129" s="70"/>
      <c r="X129" s="70"/>
      <c r="Y129" s="70"/>
      <c r="Z129" s="70"/>
    </row>
    <row r="130" spans="1:26" ht="15.75" customHeight="1" x14ac:dyDescent="0.25">
      <c r="A130" s="70"/>
      <c r="B130" s="70"/>
      <c r="C130" s="70"/>
      <c r="D130" s="70"/>
      <c r="E130" s="70"/>
      <c r="F130" s="70"/>
      <c r="G130" s="70"/>
      <c r="H130" s="70"/>
      <c r="I130" s="70"/>
      <c r="J130" s="70"/>
      <c r="K130" s="70"/>
      <c r="L130" s="70"/>
      <c r="M130" s="70"/>
      <c r="N130" s="71"/>
      <c r="O130" s="70"/>
      <c r="P130" s="70"/>
      <c r="Q130" s="70"/>
      <c r="R130" s="70"/>
      <c r="S130" s="70"/>
      <c r="T130" s="70"/>
      <c r="U130" s="70"/>
      <c r="V130" s="70"/>
      <c r="W130" s="70"/>
      <c r="X130" s="70"/>
      <c r="Y130" s="70"/>
      <c r="Z130" s="70"/>
    </row>
    <row r="131" spans="1:26" ht="15.75" customHeight="1" x14ac:dyDescent="0.25">
      <c r="A131" s="70"/>
      <c r="B131" s="70"/>
      <c r="C131" s="70"/>
      <c r="D131" s="70"/>
      <c r="E131" s="70"/>
      <c r="F131" s="70"/>
      <c r="G131" s="70"/>
      <c r="H131" s="70"/>
      <c r="I131" s="70"/>
      <c r="J131" s="70"/>
      <c r="K131" s="70"/>
      <c r="L131" s="70"/>
      <c r="M131" s="70"/>
      <c r="N131" s="71"/>
      <c r="O131" s="70"/>
      <c r="P131" s="70"/>
      <c r="Q131" s="70"/>
      <c r="R131" s="70"/>
      <c r="S131" s="70"/>
      <c r="T131" s="70"/>
      <c r="U131" s="70"/>
      <c r="V131" s="70"/>
      <c r="W131" s="70"/>
      <c r="X131" s="70"/>
      <c r="Y131" s="70"/>
      <c r="Z131" s="70"/>
    </row>
    <row r="132" spans="1:26" ht="15.75" customHeight="1" x14ac:dyDescent="0.25">
      <c r="A132" s="70"/>
      <c r="B132" s="70"/>
      <c r="C132" s="70"/>
      <c r="D132" s="70"/>
      <c r="E132" s="70"/>
      <c r="F132" s="70"/>
      <c r="G132" s="70"/>
      <c r="H132" s="70"/>
      <c r="I132" s="70"/>
      <c r="J132" s="70"/>
      <c r="K132" s="70"/>
      <c r="L132" s="70"/>
      <c r="M132" s="70"/>
      <c r="N132" s="71"/>
      <c r="O132" s="70"/>
      <c r="P132" s="70"/>
      <c r="Q132" s="70"/>
      <c r="R132" s="70"/>
      <c r="S132" s="70"/>
      <c r="T132" s="70"/>
      <c r="U132" s="70"/>
      <c r="V132" s="70"/>
      <c r="W132" s="70"/>
      <c r="X132" s="70"/>
      <c r="Y132" s="70"/>
      <c r="Z132" s="70"/>
    </row>
    <row r="133" spans="1:26" ht="15.75" customHeight="1" x14ac:dyDescent="0.25">
      <c r="A133" s="70"/>
      <c r="B133" s="70"/>
      <c r="C133" s="70"/>
      <c r="D133" s="70"/>
      <c r="E133" s="70"/>
      <c r="F133" s="70"/>
      <c r="G133" s="70"/>
      <c r="H133" s="70"/>
      <c r="I133" s="70"/>
      <c r="J133" s="70"/>
      <c r="K133" s="70"/>
      <c r="L133" s="70"/>
      <c r="M133" s="70"/>
      <c r="N133" s="71"/>
      <c r="O133" s="70"/>
      <c r="P133" s="70"/>
      <c r="Q133" s="70"/>
      <c r="R133" s="70"/>
      <c r="S133" s="70"/>
      <c r="T133" s="70"/>
      <c r="U133" s="70"/>
      <c r="V133" s="70"/>
      <c r="W133" s="70"/>
      <c r="X133" s="70"/>
      <c r="Y133" s="70"/>
      <c r="Z133" s="70"/>
    </row>
    <row r="134" spans="1:26" ht="15.75" customHeight="1" x14ac:dyDescent="0.25">
      <c r="A134" s="70"/>
      <c r="B134" s="70"/>
      <c r="C134" s="70"/>
      <c r="D134" s="70"/>
      <c r="E134" s="70"/>
      <c r="F134" s="70"/>
      <c r="G134" s="70"/>
      <c r="H134" s="70"/>
      <c r="I134" s="70"/>
      <c r="J134" s="70"/>
      <c r="K134" s="70"/>
      <c r="L134" s="70"/>
      <c r="M134" s="70"/>
      <c r="N134" s="71"/>
      <c r="O134" s="70"/>
      <c r="P134" s="70"/>
      <c r="Q134" s="70"/>
      <c r="R134" s="70"/>
      <c r="S134" s="70"/>
      <c r="T134" s="70"/>
      <c r="U134" s="70"/>
      <c r="V134" s="70"/>
      <c r="W134" s="70"/>
      <c r="X134" s="70"/>
      <c r="Y134" s="70"/>
      <c r="Z134" s="70"/>
    </row>
    <row r="135" spans="1:26" ht="15.75" customHeight="1" x14ac:dyDescent="0.25">
      <c r="A135" s="70"/>
      <c r="B135" s="70"/>
      <c r="C135" s="70"/>
      <c r="D135" s="70"/>
      <c r="E135" s="70"/>
      <c r="F135" s="70"/>
      <c r="G135" s="70"/>
      <c r="H135" s="70"/>
      <c r="I135" s="70"/>
      <c r="J135" s="70"/>
      <c r="K135" s="70"/>
      <c r="L135" s="70"/>
      <c r="M135" s="70"/>
      <c r="N135" s="71"/>
      <c r="O135" s="70"/>
      <c r="P135" s="70"/>
      <c r="Q135" s="70"/>
      <c r="R135" s="70"/>
      <c r="S135" s="70"/>
      <c r="T135" s="70"/>
      <c r="U135" s="70"/>
      <c r="V135" s="70"/>
      <c r="W135" s="70"/>
      <c r="X135" s="70"/>
      <c r="Y135" s="70"/>
      <c r="Z135" s="70"/>
    </row>
    <row r="136" spans="1:26" ht="15.75" customHeight="1" x14ac:dyDescent="0.25">
      <c r="A136" s="70"/>
      <c r="B136" s="70"/>
      <c r="C136" s="70"/>
      <c r="D136" s="70"/>
      <c r="E136" s="70"/>
      <c r="F136" s="70"/>
      <c r="G136" s="70"/>
      <c r="H136" s="70"/>
      <c r="I136" s="70"/>
      <c r="J136" s="70"/>
      <c r="K136" s="70"/>
      <c r="L136" s="70"/>
      <c r="M136" s="70"/>
      <c r="N136" s="71"/>
      <c r="O136" s="70"/>
      <c r="P136" s="70"/>
      <c r="Q136" s="70"/>
      <c r="R136" s="70"/>
      <c r="S136" s="70"/>
      <c r="T136" s="70"/>
      <c r="U136" s="70"/>
      <c r="V136" s="70"/>
      <c r="W136" s="70"/>
      <c r="X136" s="70"/>
      <c r="Y136" s="70"/>
      <c r="Z136" s="70"/>
    </row>
    <row r="137" spans="1:26" ht="15.75" customHeight="1" x14ac:dyDescent="0.25">
      <c r="A137" s="70"/>
      <c r="B137" s="70"/>
      <c r="C137" s="70"/>
      <c r="D137" s="70"/>
      <c r="E137" s="70"/>
      <c r="F137" s="70"/>
      <c r="G137" s="70"/>
      <c r="H137" s="70"/>
      <c r="I137" s="70"/>
      <c r="J137" s="70"/>
      <c r="K137" s="70"/>
      <c r="L137" s="70"/>
      <c r="M137" s="70"/>
      <c r="N137" s="71"/>
      <c r="O137" s="70"/>
      <c r="P137" s="70"/>
      <c r="Q137" s="70"/>
      <c r="R137" s="70"/>
      <c r="S137" s="70"/>
      <c r="T137" s="70"/>
      <c r="U137" s="70"/>
      <c r="V137" s="70"/>
      <c r="W137" s="70"/>
      <c r="X137" s="70"/>
      <c r="Y137" s="70"/>
      <c r="Z137" s="70"/>
    </row>
    <row r="138" spans="1:26" ht="15.75" customHeight="1" x14ac:dyDescent="0.25">
      <c r="A138" s="70"/>
      <c r="B138" s="70"/>
      <c r="C138" s="70"/>
      <c r="D138" s="70"/>
      <c r="E138" s="70"/>
      <c r="F138" s="70"/>
      <c r="G138" s="70"/>
      <c r="H138" s="70"/>
      <c r="I138" s="70"/>
      <c r="J138" s="70"/>
      <c r="K138" s="70"/>
      <c r="L138" s="70"/>
      <c r="M138" s="70"/>
      <c r="N138" s="71"/>
      <c r="O138" s="70"/>
      <c r="P138" s="70"/>
      <c r="Q138" s="70"/>
      <c r="R138" s="70"/>
      <c r="S138" s="70"/>
      <c r="T138" s="70"/>
      <c r="U138" s="70"/>
      <c r="V138" s="70"/>
      <c r="W138" s="70"/>
      <c r="X138" s="70"/>
      <c r="Y138" s="70"/>
      <c r="Z138" s="70"/>
    </row>
    <row r="139" spans="1:26" ht="15.75" customHeight="1" x14ac:dyDescent="0.25">
      <c r="A139" s="70"/>
      <c r="B139" s="70"/>
      <c r="C139" s="70"/>
      <c r="D139" s="70"/>
      <c r="E139" s="70"/>
      <c r="F139" s="70"/>
      <c r="G139" s="70"/>
      <c r="H139" s="70"/>
      <c r="I139" s="70"/>
      <c r="J139" s="70"/>
      <c r="K139" s="70"/>
      <c r="L139" s="70"/>
      <c r="M139" s="70"/>
      <c r="N139" s="71"/>
      <c r="O139" s="70"/>
      <c r="P139" s="70"/>
      <c r="Q139" s="70"/>
      <c r="R139" s="70"/>
      <c r="S139" s="70"/>
      <c r="T139" s="70"/>
      <c r="U139" s="70"/>
      <c r="V139" s="70"/>
      <c r="W139" s="70"/>
      <c r="X139" s="70"/>
      <c r="Y139" s="70"/>
      <c r="Z139" s="70"/>
    </row>
    <row r="140" spans="1:26" ht="15.75" customHeight="1" x14ac:dyDescent="0.25">
      <c r="A140" s="70"/>
      <c r="B140" s="70"/>
      <c r="C140" s="70"/>
      <c r="D140" s="70"/>
      <c r="E140" s="70"/>
      <c r="F140" s="70"/>
      <c r="G140" s="70"/>
      <c r="H140" s="70"/>
      <c r="I140" s="70"/>
      <c r="J140" s="70"/>
      <c r="K140" s="70"/>
      <c r="L140" s="70"/>
      <c r="M140" s="70"/>
      <c r="N140" s="71"/>
      <c r="O140" s="70"/>
      <c r="P140" s="70"/>
      <c r="Q140" s="70"/>
      <c r="R140" s="70"/>
      <c r="S140" s="70"/>
      <c r="T140" s="70"/>
      <c r="U140" s="70"/>
      <c r="V140" s="70"/>
      <c r="W140" s="70"/>
      <c r="X140" s="70"/>
      <c r="Y140" s="70"/>
      <c r="Z140" s="70"/>
    </row>
    <row r="141" spans="1:26" ht="15.75" customHeight="1" x14ac:dyDescent="0.25">
      <c r="A141" s="70"/>
      <c r="B141" s="70"/>
      <c r="C141" s="70"/>
      <c r="D141" s="70"/>
      <c r="E141" s="70"/>
      <c r="F141" s="70"/>
      <c r="G141" s="70"/>
      <c r="H141" s="70"/>
      <c r="I141" s="70"/>
      <c r="J141" s="70"/>
      <c r="K141" s="70"/>
      <c r="L141" s="70"/>
      <c r="M141" s="70"/>
      <c r="N141" s="71"/>
      <c r="O141" s="70"/>
      <c r="P141" s="70"/>
      <c r="Q141" s="70"/>
      <c r="R141" s="70"/>
      <c r="S141" s="70"/>
      <c r="T141" s="70"/>
      <c r="U141" s="70"/>
      <c r="V141" s="70"/>
      <c r="W141" s="70"/>
      <c r="X141" s="70"/>
      <c r="Y141" s="70"/>
      <c r="Z141" s="70"/>
    </row>
    <row r="142" spans="1:26" ht="15.75" customHeight="1" x14ac:dyDescent="0.25">
      <c r="A142" s="70"/>
      <c r="B142" s="70"/>
      <c r="C142" s="70"/>
      <c r="D142" s="70"/>
      <c r="E142" s="70"/>
      <c r="F142" s="70"/>
      <c r="G142" s="70"/>
      <c r="H142" s="70"/>
      <c r="I142" s="70"/>
      <c r="J142" s="70"/>
      <c r="K142" s="70"/>
      <c r="L142" s="70"/>
      <c r="M142" s="70"/>
      <c r="N142" s="71"/>
      <c r="O142" s="70"/>
      <c r="P142" s="70"/>
      <c r="Q142" s="70"/>
      <c r="R142" s="70"/>
      <c r="S142" s="70"/>
      <c r="T142" s="70"/>
      <c r="U142" s="70"/>
      <c r="V142" s="70"/>
      <c r="W142" s="70"/>
      <c r="X142" s="70"/>
      <c r="Y142" s="70"/>
      <c r="Z142" s="70"/>
    </row>
    <row r="143" spans="1:26" ht="15.75" customHeight="1" x14ac:dyDescent="0.25">
      <c r="A143" s="70"/>
      <c r="B143" s="70"/>
      <c r="C143" s="70"/>
      <c r="D143" s="70"/>
      <c r="E143" s="70"/>
      <c r="F143" s="70"/>
      <c r="G143" s="70"/>
      <c r="H143" s="70"/>
      <c r="I143" s="70"/>
      <c r="J143" s="70"/>
      <c r="K143" s="70"/>
      <c r="L143" s="70"/>
      <c r="M143" s="70"/>
      <c r="N143" s="71"/>
      <c r="O143" s="70"/>
      <c r="P143" s="70"/>
      <c r="Q143" s="70"/>
      <c r="R143" s="70"/>
      <c r="S143" s="70"/>
      <c r="T143" s="70"/>
      <c r="U143" s="70"/>
      <c r="V143" s="70"/>
      <c r="W143" s="70"/>
      <c r="X143" s="70"/>
      <c r="Y143" s="70"/>
      <c r="Z143" s="70"/>
    </row>
    <row r="144" spans="1:26" ht="15.75" customHeight="1" x14ac:dyDescent="0.25">
      <c r="A144" s="70"/>
      <c r="B144" s="70"/>
      <c r="C144" s="70"/>
      <c r="D144" s="70"/>
      <c r="E144" s="70"/>
      <c r="F144" s="70"/>
      <c r="G144" s="70"/>
      <c r="H144" s="70"/>
      <c r="I144" s="70"/>
      <c r="J144" s="70"/>
      <c r="K144" s="70"/>
      <c r="L144" s="70"/>
      <c r="M144" s="70"/>
      <c r="N144" s="71"/>
      <c r="O144" s="70"/>
      <c r="P144" s="70"/>
      <c r="Q144" s="70"/>
      <c r="R144" s="70"/>
      <c r="S144" s="70"/>
      <c r="T144" s="70"/>
      <c r="U144" s="70"/>
      <c r="V144" s="70"/>
      <c r="W144" s="70"/>
      <c r="X144" s="70"/>
      <c r="Y144" s="70"/>
      <c r="Z144" s="70"/>
    </row>
    <row r="145" spans="1:26" ht="15.75" customHeight="1" x14ac:dyDescent="0.25">
      <c r="A145" s="70"/>
      <c r="B145" s="70"/>
      <c r="C145" s="70"/>
      <c r="D145" s="70"/>
      <c r="E145" s="70"/>
      <c r="F145" s="70"/>
      <c r="G145" s="70"/>
      <c r="H145" s="70"/>
      <c r="I145" s="70"/>
      <c r="J145" s="70"/>
      <c r="K145" s="70"/>
      <c r="L145" s="70"/>
      <c r="M145" s="70"/>
      <c r="N145" s="71"/>
      <c r="O145" s="70"/>
      <c r="P145" s="70"/>
      <c r="Q145" s="70"/>
      <c r="R145" s="70"/>
      <c r="S145" s="70"/>
      <c r="T145" s="70"/>
      <c r="U145" s="70"/>
      <c r="V145" s="70"/>
      <c r="W145" s="70"/>
      <c r="X145" s="70"/>
      <c r="Y145" s="70"/>
      <c r="Z145" s="70"/>
    </row>
    <row r="146" spans="1:26" ht="15.75" customHeight="1" x14ac:dyDescent="0.25">
      <c r="A146" s="70"/>
      <c r="B146" s="70"/>
      <c r="C146" s="70"/>
      <c r="D146" s="70"/>
      <c r="E146" s="70"/>
      <c r="F146" s="70"/>
      <c r="G146" s="70"/>
      <c r="H146" s="70"/>
      <c r="I146" s="70"/>
      <c r="J146" s="70"/>
      <c r="K146" s="70"/>
      <c r="L146" s="70"/>
      <c r="M146" s="70"/>
      <c r="N146" s="71"/>
      <c r="O146" s="70"/>
      <c r="P146" s="70"/>
      <c r="Q146" s="70"/>
      <c r="R146" s="70"/>
      <c r="S146" s="70"/>
      <c r="T146" s="70"/>
      <c r="U146" s="70"/>
      <c r="V146" s="70"/>
      <c r="W146" s="70"/>
      <c r="X146" s="70"/>
      <c r="Y146" s="70"/>
      <c r="Z146" s="70"/>
    </row>
    <row r="147" spans="1:26" ht="15.75" customHeight="1" x14ac:dyDescent="0.25">
      <c r="A147" s="70"/>
      <c r="B147" s="70"/>
      <c r="C147" s="70"/>
      <c r="D147" s="70"/>
      <c r="E147" s="70"/>
      <c r="F147" s="70"/>
      <c r="G147" s="70"/>
      <c r="H147" s="70"/>
      <c r="I147" s="70"/>
      <c r="J147" s="70"/>
      <c r="K147" s="70"/>
      <c r="L147" s="70"/>
      <c r="M147" s="70"/>
      <c r="N147" s="71"/>
      <c r="O147" s="70"/>
      <c r="P147" s="70"/>
      <c r="Q147" s="70"/>
      <c r="R147" s="70"/>
      <c r="S147" s="70"/>
      <c r="T147" s="70"/>
      <c r="U147" s="70"/>
      <c r="V147" s="70"/>
      <c r="W147" s="70"/>
      <c r="X147" s="70"/>
      <c r="Y147" s="70"/>
      <c r="Z147" s="70"/>
    </row>
    <row r="148" spans="1:26" ht="15.75" customHeight="1" x14ac:dyDescent="0.25">
      <c r="A148" s="70"/>
      <c r="B148" s="70"/>
      <c r="C148" s="70"/>
      <c r="D148" s="70"/>
      <c r="E148" s="70"/>
      <c r="F148" s="70"/>
      <c r="G148" s="70"/>
      <c r="H148" s="70"/>
      <c r="I148" s="70"/>
      <c r="J148" s="70"/>
      <c r="K148" s="70"/>
      <c r="L148" s="70"/>
      <c r="M148" s="70"/>
      <c r="N148" s="71"/>
      <c r="O148" s="70"/>
      <c r="P148" s="70"/>
      <c r="Q148" s="70"/>
      <c r="R148" s="70"/>
      <c r="S148" s="70"/>
      <c r="T148" s="70"/>
      <c r="U148" s="70"/>
      <c r="V148" s="70"/>
      <c r="W148" s="70"/>
      <c r="X148" s="70"/>
      <c r="Y148" s="70"/>
      <c r="Z148" s="70"/>
    </row>
    <row r="149" spans="1:26" ht="15.75" customHeight="1" x14ac:dyDescent="0.25">
      <c r="A149" s="70"/>
      <c r="B149" s="70"/>
      <c r="C149" s="70"/>
      <c r="D149" s="70"/>
      <c r="E149" s="70"/>
      <c r="F149" s="70"/>
      <c r="G149" s="70"/>
      <c r="H149" s="70"/>
      <c r="I149" s="70"/>
      <c r="J149" s="70"/>
      <c r="K149" s="70"/>
      <c r="L149" s="70"/>
      <c r="M149" s="70"/>
      <c r="N149" s="71"/>
      <c r="O149" s="70"/>
      <c r="P149" s="70"/>
      <c r="Q149" s="70"/>
      <c r="R149" s="70"/>
      <c r="S149" s="70"/>
      <c r="T149" s="70"/>
      <c r="U149" s="70"/>
      <c r="V149" s="70"/>
      <c r="W149" s="70"/>
      <c r="X149" s="70"/>
      <c r="Y149" s="70"/>
      <c r="Z149" s="70"/>
    </row>
    <row r="150" spans="1:26" ht="15.75" customHeight="1" x14ac:dyDescent="0.25">
      <c r="A150" s="70"/>
      <c r="B150" s="70"/>
      <c r="C150" s="70"/>
      <c r="D150" s="70"/>
      <c r="E150" s="70"/>
      <c r="F150" s="70"/>
      <c r="G150" s="70"/>
      <c r="H150" s="70"/>
      <c r="I150" s="70"/>
      <c r="J150" s="70"/>
      <c r="K150" s="70"/>
      <c r="L150" s="70"/>
      <c r="M150" s="70"/>
      <c r="N150" s="71"/>
      <c r="O150" s="70"/>
      <c r="P150" s="70"/>
      <c r="Q150" s="70"/>
      <c r="R150" s="70"/>
      <c r="S150" s="70"/>
      <c r="T150" s="70"/>
      <c r="U150" s="70"/>
      <c r="V150" s="70"/>
      <c r="W150" s="70"/>
      <c r="X150" s="70"/>
      <c r="Y150" s="70"/>
      <c r="Z150" s="70"/>
    </row>
    <row r="151" spans="1:26" ht="15.75" customHeight="1" x14ac:dyDescent="0.25">
      <c r="A151" s="70"/>
      <c r="B151" s="70"/>
      <c r="C151" s="70"/>
      <c r="D151" s="70"/>
      <c r="E151" s="70"/>
      <c r="F151" s="70"/>
      <c r="G151" s="70"/>
      <c r="H151" s="70"/>
      <c r="I151" s="70"/>
      <c r="J151" s="70"/>
      <c r="K151" s="70"/>
      <c r="L151" s="70"/>
      <c r="M151" s="70"/>
      <c r="N151" s="71"/>
      <c r="O151" s="70"/>
      <c r="P151" s="70"/>
      <c r="Q151" s="70"/>
      <c r="R151" s="70"/>
      <c r="S151" s="70"/>
      <c r="T151" s="70"/>
      <c r="U151" s="70"/>
      <c r="V151" s="70"/>
      <c r="W151" s="70"/>
      <c r="X151" s="70"/>
      <c r="Y151" s="70"/>
      <c r="Z151" s="70"/>
    </row>
    <row r="152" spans="1:26" ht="15.75" customHeight="1" x14ac:dyDescent="0.25">
      <c r="A152" s="70"/>
      <c r="B152" s="70"/>
      <c r="C152" s="70"/>
      <c r="D152" s="70"/>
      <c r="E152" s="70"/>
      <c r="F152" s="70"/>
      <c r="G152" s="70"/>
      <c r="H152" s="70"/>
      <c r="I152" s="70"/>
      <c r="J152" s="70"/>
      <c r="K152" s="70"/>
      <c r="L152" s="70"/>
      <c r="M152" s="70"/>
      <c r="N152" s="71"/>
      <c r="O152" s="70"/>
      <c r="P152" s="70"/>
      <c r="Q152" s="70"/>
      <c r="R152" s="70"/>
      <c r="S152" s="70"/>
      <c r="T152" s="70"/>
      <c r="U152" s="70"/>
      <c r="V152" s="70"/>
      <c r="W152" s="70"/>
      <c r="X152" s="70"/>
      <c r="Y152" s="70"/>
      <c r="Z152" s="70"/>
    </row>
    <row r="153" spans="1:26" ht="15.75" customHeight="1" x14ac:dyDescent="0.25">
      <c r="A153" s="70"/>
      <c r="B153" s="70"/>
      <c r="C153" s="70"/>
      <c r="D153" s="70"/>
      <c r="E153" s="70"/>
      <c r="F153" s="70"/>
      <c r="G153" s="70"/>
      <c r="H153" s="70"/>
      <c r="I153" s="70"/>
      <c r="J153" s="70"/>
      <c r="K153" s="70"/>
      <c r="L153" s="70"/>
      <c r="M153" s="70"/>
      <c r="N153" s="71"/>
      <c r="O153" s="70"/>
      <c r="P153" s="70"/>
      <c r="Q153" s="70"/>
      <c r="R153" s="70"/>
      <c r="S153" s="70"/>
      <c r="T153" s="70"/>
      <c r="U153" s="70"/>
      <c r="V153" s="70"/>
      <c r="W153" s="70"/>
      <c r="X153" s="70"/>
      <c r="Y153" s="70"/>
      <c r="Z153" s="70"/>
    </row>
    <row r="154" spans="1:26" ht="15.75" customHeight="1" x14ac:dyDescent="0.25">
      <c r="A154" s="70"/>
      <c r="B154" s="70"/>
      <c r="C154" s="70"/>
      <c r="D154" s="70"/>
      <c r="E154" s="70"/>
      <c r="F154" s="70"/>
      <c r="G154" s="70"/>
      <c r="H154" s="70"/>
      <c r="I154" s="70"/>
      <c r="J154" s="70"/>
      <c r="K154" s="70"/>
      <c r="L154" s="70"/>
      <c r="M154" s="70"/>
      <c r="N154" s="71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</row>
    <row r="155" spans="1:26" ht="15.75" customHeight="1" x14ac:dyDescent="0.25">
      <c r="A155" s="70"/>
      <c r="B155" s="70"/>
      <c r="C155" s="70"/>
      <c r="D155" s="70"/>
      <c r="E155" s="70"/>
      <c r="F155" s="70"/>
      <c r="G155" s="70"/>
      <c r="H155" s="70"/>
      <c r="I155" s="70"/>
      <c r="J155" s="70"/>
      <c r="K155" s="70"/>
      <c r="L155" s="70"/>
      <c r="M155" s="70"/>
      <c r="N155" s="71"/>
      <c r="O155" s="70"/>
      <c r="P155" s="70"/>
      <c r="Q155" s="70"/>
      <c r="R155" s="70"/>
      <c r="S155" s="70"/>
      <c r="T155" s="70"/>
      <c r="U155" s="70"/>
      <c r="V155" s="70"/>
      <c r="W155" s="70"/>
      <c r="X155" s="70"/>
      <c r="Y155" s="70"/>
      <c r="Z155" s="70"/>
    </row>
    <row r="156" spans="1:26" ht="15.75" customHeight="1" x14ac:dyDescent="0.25">
      <c r="A156" s="70"/>
      <c r="B156" s="70"/>
      <c r="C156" s="70"/>
      <c r="D156" s="70"/>
      <c r="E156" s="70"/>
      <c r="F156" s="70"/>
      <c r="G156" s="70"/>
      <c r="H156" s="70"/>
      <c r="I156" s="70"/>
      <c r="J156" s="70"/>
      <c r="K156" s="70"/>
      <c r="L156" s="70"/>
      <c r="M156" s="70"/>
      <c r="N156" s="71"/>
      <c r="O156" s="70"/>
      <c r="P156" s="70"/>
      <c r="Q156" s="70"/>
      <c r="R156" s="70"/>
      <c r="S156" s="70"/>
      <c r="T156" s="70"/>
      <c r="U156" s="70"/>
      <c r="V156" s="70"/>
      <c r="W156" s="70"/>
      <c r="X156" s="70"/>
      <c r="Y156" s="70"/>
      <c r="Z156" s="70"/>
    </row>
    <row r="157" spans="1:26" ht="15.75" customHeight="1" x14ac:dyDescent="0.25">
      <c r="A157" s="70"/>
      <c r="B157" s="70"/>
      <c r="C157" s="70"/>
      <c r="D157" s="70"/>
      <c r="E157" s="70"/>
      <c r="F157" s="70"/>
      <c r="G157" s="70"/>
      <c r="H157" s="70"/>
      <c r="I157" s="70"/>
      <c r="J157" s="70"/>
      <c r="K157" s="70"/>
      <c r="L157" s="70"/>
      <c r="M157" s="70"/>
      <c r="N157" s="71"/>
      <c r="O157" s="70"/>
      <c r="P157" s="70"/>
      <c r="Q157" s="70"/>
      <c r="R157" s="70"/>
      <c r="S157" s="70"/>
      <c r="T157" s="70"/>
      <c r="U157" s="70"/>
      <c r="V157" s="70"/>
      <c r="W157" s="70"/>
      <c r="X157" s="70"/>
      <c r="Y157" s="70"/>
      <c r="Z157" s="70"/>
    </row>
    <row r="158" spans="1:26" ht="15.75" customHeight="1" x14ac:dyDescent="0.25">
      <c r="A158" s="70"/>
      <c r="B158" s="70"/>
      <c r="C158" s="70"/>
      <c r="D158" s="70"/>
      <c r="E158" s="70"/>
      <c r="F158" s="70"/>
      <c r="G158" s="70"/>
      <c r="H158" s="70"/>
      <c r="I158" s="70"/>
      <c r="J158" s="70"/>
      <c r="K158" s="70"/>
      <c r="L158" s="70"/>
      <c r="M158" s="70"/>
      <c r="N158" s="71"/>
      <c r="O158" s="70"/>
      <c r="P158" s="70"/>
      <c r="Q158" s="70"/>
      <c r="R158" s="70"/>
      <c r="S158" s="70"/>
      <c r="T158" s="70"/>
      <c r="U158" s="70"/>
      <c r="V158" s="70"/>
      <c r="W158" s="70"/>
      <c r="X158" s="70"/>
      <c r="Y158" s="70"/>
      <c r="Z158" s="70"/>
    </row>
    <row r="159" spans="1:26" ht="15.75" customHeight="1" x14ac:dyDescent="0.25">
      <c r="A159" s="70"/>
      <c r="B159" s="70"/>
      <c r="C159" s="70"/>
      <c r="D159" s="70"/>
      <c r="E159" s="70"/>
      <c r="F159" s="70"/>
      <c r="G159" s="70"/>
      <c r="H159" s="70"/>
      <c r="I159" s="70"/>
      <c r="J159" s="70"/>
      <c r="K159" s="70"/>
      <c r="L159" s="70"/>
      <c r="M159" s="70"/>
      <c r="N159" s="71"/>
      <c r="O159" s="70"/>
      <c r="P159" s="70"/>
      <c r="Q159" s="70"/>
      <c r="R159" s="70"/>
      <c r="S159" s="70"/>
      <c r="T159" s="70"/>
      <c r="U159" s="70"/>
      <c r="V159" s="70"/>
      <c r="W159" s="70"/>
      <c r="X159" s="70"/>
      <c r="Y159" s="70"/>
      <c r="Z159" s="70"/>
    </row>
    <row r="160" spans="1:26" ht="15.75" customHeight="1" x14ac:dyDescent="0.25">
      <c r="A160" s="70"/>
      <c r="B160" s="70"/>
      <c r="C160" s="70"/>
      <c r="D160" s="70"/>
      <c r="E160" s="70"/>
      <c r="F160" s="70"/>
      <c r="G160" s="70"/>
      <c r="H160" s="70"/>
      <c r="I160" s="70"/>
      <c r="J160" s="70"/>
      <c r="K160" s="70"/>
      <c r="L160" s="70"/>
      <c r="M160" s="70"/>
      <c r="N160" s="71"/>
      <c r="O160" s="70"/>
      <c r="P160" s="70"/>
      <c r="Q160" s="70"/>
      <c r="R160" s="70"/>
      <c r="S160" s="70"/>
      <c r="T160" s="70"/>
      <c r="U160" s="70"/>
      <c r="V160" s="70"/>
      <c r="W160" s="70"/>
      <c r="X160" s="70"/>
      <c r="Y160" s="70"/>
      <c r="Z160" s="70"/>
    </row>
    <row r="161" spans="1:26" ht="15.75" customHeight="1" x14ac:dyDescent="0.25">
      <c r="A161" s="70"/>
      <c r="B161" s="70"/>
      <c r="C161" s="70"/>
      <c r="D161" s="70"/>
      <c r="E161" s="70"/>
      <c r="F161" s="70"/>
      <c r="G161" s="70"/>
      <c r="H161" s="70"/>
      <c r="I161" s="70"/>
      <c r="J161" s="70"/>
      <c r="K161" s="70"/>
      <c r="L161" s="70"/>
      <c r="M161" s="70"/>
      <c r="N161" s="71"/>
      <c r="O161" s="70"/>
      <c r="P161" s="70"/>
      <c r="Q161" s="70"/>
      <c r="R161" s="70"/>
      <c r="S161" s="70"/>
      <c r="T161" s="70"/>
      <c r="U161" s="70"/>
      <c r="V161" s="70"/>
      <c r="W161" s="70"/>
      <c r="X161" s="70"/>
      <c r="Y161" s="70"/>
      <c r="Z161" s="70"/>
    </row>
    <row r="162" spans="1:26" ht="15.75" customHeight="1" x14ac:dyDescent="0.25">
      <c r="A162" s="70"/>
      <c r="B162" s="70"/>
      <c r="C162" s="70"/>
      <c r="D162" s="70"/>
      <c r="E162" s="70"/>
      <c r="F162" s="70"/>
      <c r="G162" s="70"/>
      <c r="H162" s="70"/>
      <c r="I162" s="70"/>
      <c r="J162" s="70"/>
      <c r="K162" s="70"/>
      <c r="L162" s="70"/>
      <c r="M162" s="70"/>
      <c r="N162" s="71"/>
      <c r="O162" s="70"/>
      <c r="P162" s="70"/>
      <c r="Q162" s="70"/>
      <c r="R162" s="70"/>
      <c r="S162" s="70"/>
      <c r="T162" s="70"/>
      <c r="U162" s="70"/>
      <c r="V162" s="70"/>
      <c r="W162" s="70"/>
      <c r="X162" s="70"/>
      <c r="Y162" s="70"/>
      <c r="Z162" s="70"/>
    </row>
    <row r="163" spans="1:26" ht="15.75" customHeight="1" x14ac:dyDescent="0.25">
      <c r="A163" s="70"/>
      <c r="B163" s="70"/>
      <c r="C163" s="70"/>
      <c r="D163" s="70"/>
      <c r="E163" s="70"/>
      <c r="F163" s="70"/>
      <c r="G163" s="70"/>
      <c r="H163" s="70"/>
      <c r="I163" s="70"/>
      <c r="J163" s="70"/>
      <c r="K163" s="70"/>
      <c r="L163" s="70"/>
      <c r="M163" s="70"/>
      <c r="N163" s="71"/>
      <c r="O163" s="70"/>
      <c r="P163" s="70"/>
      <c r="Q163" s="70"/>
      <c r="R163" s="70"/>
      <c r="S163" s="70"/>
      <c r="T163" s="70"/>
      <c r="U163" s="70"/>
      <c r="V163" s="70"/>
      <c r="W163" s="70"/>
      <c r="X163" s="70"/>
      <c r="Y163" s="70"/>
      <c r="Z163" s="70"/>
    </row>
    <row r="164" spans="1:26" ht="15.75" customHeight="1" x14ac:dyDescent="0.25">
      <c r="A164" s="70"/>
      <c r="B164" s="70"/>
      <c r="C164" s="70"/>
      <c r="D164" s="70"/>
      <c r="E164" s="70"/>
      <c r="F164" s="70"/>
      <c r="G164" s="70"/>
      <c r="H164" s="70"/>
      <c r="I164" s="70"/>
      <c r="J164" s="70"/>
      <c r="K164" s="70"/>
      <c r="L164" s="70"/>
      <c r="M164" s="70"/>
      <c r="N164" s="71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</row>
    <row r="165" spans="1:26" ht="15.75" customHeight="1" x14ac:dyDescent="0.25">
      <c r="A165" s="70"/>
      <c r="B165" s="70"/>
      <c r="C165" s="70"/>
      <c r="D165" s="70"/>
      <c r="E165" s="70"/>
      <c r="F165" s="70"/>
      <c r="G165" s="70"/>
      <c r="H165" s="70"/>
      <c r="I165" s="70"/>
      <c r="J165" s="70"/>
      <c r="K165" s="70"/>
      <c r="L165" s="70"/>
      <c r="M165" s="70"/>
      <c r="N165" s="71"/>
      <c r="O165" s="70"/>
      <c r="P165" s="70"/>
      <c r="Q165" s="70"/>
      <c r="R165" s="70"/>
      <c r="S165" s="70"/>
      <c r="T165" s="70"/>
      <c r="U165" s="70"/>
      <c r="V165" s="70"/>
      <c r="W165" s="70"/>
      <c r="X165" s="70"/>
      <c r="Y165" s="70"/>
      <c r="Z165" s="70"/>
    </row>
    <row r="166" spans="1:26" ht="15.75" customHeight="1" x14ac:dyDescent="0.25">
      <c r="A166" s="70"/>
      <c r="B166" s="70"/>
      <c r="C166" s="70"/>
      <c r="D166" s="70"/>
      <c r="E166" s="70"/>
      <c r="F166" s="70"/>
      <c r="G166" s="70"/>
      <c r="H166" s="70"/>
      <c r="I166" s="70"/>
      <c r="J166" s="70"/>
      <c r="K166" s="70"/>
      <c r="L166" s="70"/>
      <c r="M166" s="70"/>
      <c r="N166" s="71"/>
      <c r="O166" s="70"/>
      <c r="P166" s="70"/>
      <c r="Q166" s="70"/>
      <c r="R166" s="70"/>
      <c r="S166" s="70"/>
      <c r="T166" s="70"/>
      <c r="U166" s="70"/>
      <c r="V166" s="70"/>
      <c r="W166" s="70"/>
      <c r="X166" s="70"/>
      <c r="Y166" s="70"/>
      <c r="Z166" s="70"/>
    </row>
    <row r="167" spans="1:26" ht="15.75" customHeight="1" x14ac:dyDescent="0.25">
      <c r="A167" s="70"/>
      <c r="B167" s="70"/>
      <c r="C167" s="70"/>
      <c r="D167" s="70"/>
      <c r="E167" s="70"/>
      <c r="F167" s="70"/>
      <c r="G167" s="70"/>
      <c r="H167" s="70"/>
      <c r="I167" s="70"/>
      <c r="J167" s="70"/>
      <c r="K167" s="70"/>
      <c r="L167" s="70"/>
      <c r="M167" s="70"/>
      <c r="N167" s="71"/>
      <c r="O167" s="70"/>
      <c r="P167" s="70"/>
      <c r="Q167" s="70"/>
      <c r="R167" s="70"/>
      <c r="S167" s="70"/>
      <c r="T167" s="70"/>
      <c r="U167" s="70"/>
      <c r="V167" s="70"/>
      <c r="W167" s="70"/>
      <c r="X167" s="70"/>
      <c r="Y167" s="70"/>
      <c r="Z167" s="70"/>
    </row>
    <row r="168" spans="1:26" ht="15.75" customHeight="1" x14ac:dyDescent="0.25">
      <c r="A168" s="70"/>
      <c r="B168" s="70"/>
      <c r="C168" s="70"/>
      <c r="D168" s="70"/>
      <c r="E168" s="70"/>
      <c r="F168" s="70"/>
      <c r="G168" s="70"/>
      <c r="H168" s="70"/>
      <c r="I168" s="70"/>
      <c r="J168" s="70"/>
      <c r="K168" s="70"/>
      <c r="L168" s="70"/>
      <c r="M168" s="70"/>
      <c r="N168" s="71"/>
      <c r="O168" s="70"/>
      <c r="P168" s="70"/>
      <c r="Q168" s="70"/>
      <c r="R168" s="70"/>
      <c r="S168" s="70"/>
      <c r="T168" s="70"/>
      <c r="U168" s="70"/>
      <c r="V168" s="70"/>
      <c r="W168" s="70"/>
      <c r="X168" s="70"/>
      <c r="Y168" s="70"/>
      <c r="Z168" s="70"/>
    </row>
    <row r="169" spans="1:26" ht="15.75" customHeight="1" x14ac:dyDescent="0.25">
      <c r="A169" s="70"/>
      <c r="B169" s="70"/>
      <c r="C169" s="70"/>
      <c r="D169" s="70"/>
      <c r="E169" s="70"/>
      <c r="F169" s="70"/>
      <c r="G169" s="70"/>
      <c r="H169" s="70"/>
      <c r="I169" s="70"/>
      <c r="J169" s="70"/>
      <c r="K169" s="70"/>
      <c r="L169" s="70"/>
      <c r="M169" s="70"/>
      <c r="N169" s="71"/>
      <c r="O169" s="70"/>
      <c r="P169" s="70"/>
      <c r="Q169" s="70"/>
      <c r="R169" s="70"/>
      <c r="S169" s="70"/>
      <c r="T169" s="70"/>
      <c r="U169" s="70"/>
      <c r="V169" s="70"/>
      <c r="W169" s="70"/>
      <c r="X169" s="70"/>
      <c r="Y169" s="70"/>
      <c r="Z169" s="70"/>
    </row>
    <row r="170" spans="1:26" ht="15.75" customHeight="1" x14ac:dyDescent="0.25">
      <c r="A170" s="70"/>
      <c r="B170" s="70"/>
      <c r="C170" s="70"/>
      <c r="D170" s="70"/>
      <c r="E170" s="70"/>
      <c r="F170" s="70"/>
      <c r="G170" s="70"/>
      <c r="H170" s="70"/>
      <c r="I170" s="70"/>
      <c r="J170" s="70"/>
      <c r="K170" s="70"/>
      <c r="L170" s="70"/>
      <c r="M170" s="70"/>
      <c r="N170" s="71"/>
      <c r="O170" s="70"/>
      <c r="P170" s="70"/>
      <c r="Q170" s="70"/>
      <c r="R170" s="70"/>
      <c r="S170" s="70"/>
      <c r="T170" s="70"/>
      <c r="U170" s="70"/>
      <c r="V170" s="70"/>
      <c r="W170" s="70"/>
      <c r="X170" s="70"/>
      <c r="Y170" s="70"/>
      <c r="Z170" s="70"/>
    </row>
    <row r="171" spans="1:26" ht="15.75" customHeight="1" x14ac:dyDescent="0.25">
      <c r="A171" s="70"/>
      <c r="B171" s="70"/>
      <c r="C171" s="70"/>
      <c r="D171" s="70"/>
      <c r="E171" s="70"/>
      <c r="F171" s="70"/>
      <c r="G171" s="70"/>
      <c r="H171" s="70"/>
      <c r="I171" s="70"/>
      <c r="J171" s="70"/>
      <c r="K171" s="70"/>
      <c r="L171" s="70"/>
      <c r="M171" s="70"/>
      <c r="N171" s="71"/>
      <c r="O171" s="70"/>
      <c r="P171" s="70"/>
      <c r="Q171" s="70"/>
      <c r="R171" s="70"/>
      <c r="S171" s="70"/>
      <c r="T171" s="70"/>
      <c r="U171" s="70"/>
      <c r="V171" s="70"/>
      <c r="W171" s="70"/>
      <c r="X171" s="70"/>
      <c r="Y171" s="70"/>
      <c r="Z171" s="70"/>
    </row>
    <row r="172" spans="1:26" ht="15.75" customHeight="1" x14ac:dyDescent="0.25">
      <c r="A172" s="70"/>
      <c r="B172" s="70"/>
      <c r="C172" s="70"/>
      <c r="D172" s="70"/>
      <c r="E172" s="70"/>
      <c r="F172" s="70"/>
      <c r="G172" s="70"/>
      <c r="H172" s="70"/>
      <c r="I172" s="70"/>
      <c r="J172" s="70"/>
      <c r="K172" s="70"/>
      <c r="L172" s="70"/>
      <c r="M172" s="70"/>
      <c r="N172" s="71"/>
      <c r="O172" s="70"/>
      <c r="P172" s="70"/>
      <c r="Q172" s="70"/>
      <c r="R172" s="70"/>
      <c r="S172" s="70"/>
      <c r="T172" s="70"/>
      <c r="U172" s="70"/>
      <c r="V172" s="70"/>
      <c r="W172" s="70"/>
      <c r="X172" s="70"/>
      <c r="Y172" s="70"/>
      <c r="Z172" s="70"/>
    </row>
    <row r="173" spans="1:26" ht="15.75" customHeight="1" x14ac:dyDescent="0.25">
      <c r="A173" s="70"/>
      <c r="B173" s="70"/>
      <c r="C173" s="70"/>
      <c r="D173" s="70"/>
      <c r="E173" s="70"/>
      <c r="F173" s="70"/>
      <c r="G173" s="70"/>
      <c r="H173" s="70"/>
      <c r="I173" s="70"/>
      <c r="J173" s="70"/>
      <c r="K173" s="70"/>
      <c r="L173" s="70"/>
      <c r="M173" s="70"/>
      <c r="N173" s="71"/>
      <c r="O173" s="70"/>
      <c r="P173" s="70"/>
      <c r="Q173" s="70"/>
      <c r="R173" s="70"/>
      <c r="S173" s="70"/>
      <c r="T173" s="70"/>
      <c r="U173" s="70"/>
      <c r="V173" s="70"/>
      <c r="W173" s="70"/>
      <c r="X173" s="70"/>
      <c r="Y173" s="70"/>
      <c r="Z173" s="70"/>
    </row>
    <row r="174" spans="1:26" ht="15.75" customHeight="1" x14ac:dyDescent="0.25">
      <c r="A174" s="70"/>
      <c r="B174" s="70"/>
      <c r="C174" s="70"/>
      <c r="D174" s="70"/>
      <c r="E174" s="70"/>
      <c r="F174" s="70"/>
      <c r="G174" s="70"/>
      <c r="H174" s="70"/>
      <c r="I174" s="70"/>
      <c r="J174" s="70"/>
      <c r="K174" s="70"/>
      <c r="L174" s="70"/>
      <c r="M174" s="70"/>
      <c r="N174" s="71"/>
      <c r="O174" s="70"/>
      <c r="P174" s="70"/>
      <c r="Q174" s="70"/>
      <c r="R174" s="70"/>
      <c r="S174" s="70"/>
      <c r="T174" s="70"/>
      <c r="U174" s="70"/>
      <c r="V174" s="70"/>
      <c r="W174" s="70"/>
      <c r="X174" s="70"/>
      <c r="Y174" s="70"/>
      <c r="Z174" s="70"/>
    </row>
    <row r="175" spans="1:26" ht="15.75" customHeight="1" x14ac:dyDescent="0.25">
      <c r="A175" s="70"/>
      <c r="B175" s="70"/>
      <c r="C175" s="70"/>
      <c r="D175" s="70"/>
      <c r="E175" s="70"/>
      <c r="F175" s="70"/>
      <c r="G175" s="70"/>
      <c r="H175" s="70"/>
      <c r="I175" s="70"/>
      <c r="J175" s="70"/>
      <c r="K175" s="70"/>
      <c r="L175" s="70"/>
      <c r="M175" s="70"/>
      <c r="N175" s="71"/>
      <c r="O175" s="70"/>
      <c r="P175" s="70"/>
      <c r="Q175" s="70"/>
      <c r="R175" s="70"/>
      <c r="S175" s="70"/>
      <c r="T175" s="70"/>
      <c r="U175" s="70"/>
      <c r="V175" s="70"/>
      <c r="W175" s="70"/>
      <c r="X175" s="70"/>
      <c r="Y175" s="70"/>
      <c r="Z175" s="70"/>
    </row>
    <row r="176" spans="1:26" ht="15.75" customHeight="1" x14ac:dyDescent="0.25">
      <c r="A176" s="70"/>
      <c r="B176" s="70"/>
      <c r="C176" s="70"/>
      <c r="D176" s="70"/>
      <c r="E176" s="70"/>
      <c r="F176" s="70"/>
      <c r="G176" s="70"/>
      <c r="H176" s="70"/>
      <c r="I176" s="70"/>
      <c r="J176" s="70"/>
      <c r="K176" s="70"/>
      <c r="L176" s="70"/>
      <c r="M176" s="70"/>
      <c r="N176" s="71"/>
      <c r="O176" s="70"/>
      <c r="P176" s="70"/>
      <c r="Q176" s="70"/>
      <c r="R176" s="70"/>
      <c r="S176" s="70"/>
      <c r="T176" s="70"/>
      <c r="U176" s="70"/>
      <c r="V176" s="70"/>
      <c r="W176" s="70"/>
      <c r="X176" s="70"/>
      <c r="Y176" s="70"/>
      <c r="Z176" s="70"/>
    </row>
    <row r="177" spans="1:26" ht="15.75" customHeight="1" x14ac:dyDescent="0.25">
      <c r="A177" s="70"/>
      <c r="B177" s="70"/>
      <c r="C177" s="70"/>
      <c r="D177" s="70"/>
      <c r="E177" s="70"/>
      <c r="F177" s="70"/>
      <c r="G177" s="70"/>
      <c r="H177" s="70"/>
      <c r="I177" s="70"/>
      <c r="J177" s="70"/>
      <c r="K177" s="70"/>
      <c r="L177" s="70"/>
      <c r="M177" s="70"/>
      <c r="N177" s="71"/>
      <c r="O177" s="70"/>
      <c r="P177" s="70"/>
      <c r="Q177" s="70"/>
      <c r="R177" s="70"/>
      <c r="S177" s="70"/>
      <c r="T177" s="70"/>
      <c r="U177" s="70"/>
      <c r="V177" s="70"/>
      <c r="W177" s="70"/>
      <c r="X177" s="70"/>
      <c r="Y177" s="70"/>
      <c r="Z177" s="70"/>
    </row>
    <row r="178" spans="1:26" ht="15.75" customHeight="1" x14ac:dyDescent="0.25">
      <c r="A178" s="70"/>
      <c r="B178" s="70"/>
      <c r="C178" s="70"/>
      <c r="D178" s="70"/>
      <c r="E178" s="70"/>
      <c r="F178" s="70"/>
      <c r="G178" s="70"/>
      <c r="H178" s="70"/>
      <c r="I178" s="70"/>
      <c r="J178" s="70"/>
      <c r="K178" s="70"/>
      <c r="L178" s="70"/>
      <c r="M178" s="70"/>
      <c r="N178" s="71"/>
      <c r="O178" s="70"/>
      <c r="P178" s="70"/>
      <c r="Q178" s="70"/>
      <c r="R178" s="70"/>
      <c r="S178" s="70"/>
      <c r="T178" s="70"/>
      <c r="U178" s="70"/>
      <c r="V178" s="70"/>
      <c r="W178" s="70"/>
      <c r="X178" s="70"/>
      <c r="Y178" s="70"/>
      <c r="Z178" s="70"/>
    </row>
    <row r="179" spans="1:26" ht="15.75" customHeight="1" x14ac:dyDescent="0.25">
      <c r="A179" s="70"/>
      <c r="B179" s="70"/>
      <c r="C179" s="70"/>
      <c r="D179" s="70"/>
      <c r="E179" s="70"/>
      <c r="F179" s="70"/>
      <c r="G179" s="70"/>
      <c r="H179" s="70"/>
      <c r="I179" s="70"/>
      <c r="J179" s="70"/>
      <c r="K179" s="70"/>
      <c r="L179" s="70"/>
      <c r="M179" s="70"/>
      <c r="N179" s="71"/>
      <c r="O179" s="70"/>
      <c r="P179" s="70"/>
      <c r="Q179" s="70"/>
      <c r="R179" s="70"/>
      <c r="S179" s="70"/>
      <c r="T179" s="70"/>
      <c r="U179" s="70"/>
      <c r="V179" s="70"/>
      <c r="W179" s="70"/>
      <c r="X179" s="70"/>
      <c r="Y179" s="70"/>
      <c r="Z179" s="70"/>
    </row>
    <row r="180" spans="1:26" ht="15.75" customHeight="1" x14ac:dyDescent="0.25">
      <c r="A180" s="70"/>
      <c r="B180" s="70"/>
      <c r="C180" s="70"/>
      <c r="D180" s="70"/>
      <c r="E180" s="70"/>
      <c r="F180" s="70"/>
      <c r="G180" s="70"/>
      <c r="H180" s="70"/>
      <c r="I180" s="70"/>
      <c r="J180" s="70"/>
      <c r="K180" s="70"/>
      <c r="L180" s="70"/>
      <c r="M180" s="70"/>
      <c r="N180" s="71"/>
      <c r="O180" s="70"/>
      <c r="P180" s="70"/>
      <c r="Q180" s="70"/>
      <c r="R180" s="70"/>
      <c r="S180" s="70"/>
      <c r="T180" s="70"/>
      <c r="U180" s="70"/>
      <c r="V180" s="70"/>
      <c r="W180" s="70"/>
      <c r="X180" s="70"/>
      <c r="Y180" s="70"/>
      <c r="Z180" s="70"/>
    </row>
    <row r="181" spans="1:26" ht="15.75" customHeight="1" x14ac:dyDescent="0.25">
      <c r="A181" s="70"/>
      <c r="B181" s="70"/>
      <c r="C181" s="70"/>
      <c r="D181" s="70"/>
      <c r="E181" s="70"/>
      <c r="F181" s="70"/>
      <c r="G181" s="70"/>
      <c r="H181" s="70"/>
      <c r="I181" s="70"/>
      <c r="J181" s="70"/>
      <c r="K181" s="70"/>
      <c r="L181" s="70"/>
      <c r="M181" s="70"/>
      <c r="N181" s="71"/>
      <c r="O181" s="70"/>
      <c r="P181" s="70"/>
      <c r="Q181" s="70"/>
      <c r="R181" s="70"/>
      <c r="S181" s="70"/>
      <c r="T181" s="70"/>
      <c r="U181" s="70"/>
      <c r="V181" s="70"/>
      <c r="W181" s="70"/>
      <c r="X181" s="70"/>
      <c r="Y181" s="70"/>
      <c r="Z181" s="70"/>
    </row>
    <row r="182" spans="1:26" ht="15.75" customHeight="1" x14ac:dyDescent="0.25">
      <c r="A182" s="70"/>
      <c r="B182" s="70"/>
      <c r="C182" s="70"/>
      <c r="D182" s="70"/>
      <c r="E182" s="70"/>
      <c r="F182" s="70"/>
      <c r="G182" s="70"/>
      <c r="H182" s="70"/>
      <c r="I182" s="70"/>
      <c r="J182" s="70"/>
      <c r="K182" s="70"/>
      <c r="L182" s="70"/>
      <c r="M182" s="70"/>
      <c r="N182" s="71"/>
      <c r="O182" s="70"/>
      <c r="P182" s="70"/>
      <c r="Q182" s="70"/>
      <c r="R182" s="70"/>
      <c r="S182" s="70"/>
      <c r="T182" s="70"/>
      <c r="U182" s="70"/>
      <c r="V182" s="70"/>
      <c r="W182" s="70"/>
      <c r="X182" s="70"/>
      <c r="Y182" s="70"/>
      <c r="Z182" s="70"/>
    </row>
    <row r="183" spans="1:26" ht="15.75" customHeight="1" x14ac:dyDescent="0.25">
      <c r="A183" s="70"/>
      <c r="B183" s="70"/>
      <c r="C183" s="70"/>
      <c r="D183" s="70"/>
      <c r="E183" s="70"/>
      <c r="F183" s="70"/>
      <c r="G183" s="70"/>
      <c r="H183" s="70"/>
      <c r="I183" s="70"/>
      <c r="J183" s="70"/>
      <c r="K183" s="70"/>
      <c r="L183" s="70"/>
      <c r="M183" s="70"/>
      <c r="N183" s="71"/>
      <c r="O183" s="70"/>
      <c r="P183" s="70"/>
      <c r="Q183" s="70"/>
      <c r="R183" s="70"/>
      <c r="S183" s="70"/>
      <c r="T183" s="70"/>
      <c r="U183" s="70"/>
      <c r="V183" s="70"/>
      <c r="W183" s="70"/>
      <c r="X183" s="70"/>
      <c r="Y183" s="70"/>
      <c r="Z183" s="70"/>
    </row>
    <row r="184" spans="1:26" ht="15.75" customHeight="1" x14ac:dyDescent="0.25">
      <c r="A184" s="70"/>
      <c r="B184" s="70"/>
      <c r="C184" s="70"/>
      <c r="D184" s="70"/>
      <c r="E184" s="70"/>
      <c r="F184" s="70"/>
      <c r="G184" s="70"/>
      <c r="H184" s="70"/>
      <c r="I184" s="70"/>
      <c r="J184" s="70"/>
      <c r="K184" s="70"/>
      <c r="L184" s="70"/>
      <c r="M184" s="70"/>
      <c r="N184" s="71"/>
      <c r="O184" s="70"/>
      <c r="P184" s="70"/>
      <c r="Q184" s="70"/>
      <c r="R184" s="70"/>
      <c r="S184" s="70"/>
      <c r="T184" s="70"/>
      <c r="U184" s="70"/>
      <c r="V184" s="70"/>
      <c r="W184" s="70"/>
      <c r="X184" s="70"/>
      <c r="Y184" s="70"/>
      <c r="Z184" s="70"/>
    </row>
    <row r="185" spans="1:26" ht="15.75" customHeight="1" x14ac:dyDescent="0.25">
      <c r="A185" s="70"/>
      <c r="B185" s="70"/>
      <c r="C185" s="70"/>
      <c r="D185" s="70"/>
      <c r="E185" s="70"/>
      <c r="F185" s="70"/>
      <c r="G185" s="70"/>
      <c r="H185" s="70"/>
      <c r="I185" s="70"/>
      <c r="J185" s="70"/>
      <c r="K185" s="70"/>
      <c r="L185" s="70"/>
      <c r="M185" s="70"/>
      <c r="N185" s="71"/>
      <c r="O185" s="70"/>
      <c r="P185" s="70"/>
      <c r="Q185" s="70"/>
      <c r="R185" s="70"/>
      <c r="S185" s="70"/>
      <c r="T185" s="70"/>
      <c r="U185" s="70"/>
      <c r="V185" s="70"/>
      <c r="W185" s="70"/>
      <c r="X185" s="70"/>
      <c r="Y185" s="70"/>
      <c r="Z185" s="70"/>
    </row>
    <row r="186" spans="1:26" ht="15.75" customHeight="1" x14ac:dyDescent="0.25">
      <c r="A186" s="70"/>
      <c r="B186" s="70"/>
      <c r="C186" s="70"/>
      <c r="D186" s="70"/>
      <c r="E186" s="70"/>
      <c r="F186" s="70"/>
      <c r="G186" s="70"/>
      <c r="H186" s="70"/>
      <c r="I186" s="70"/>
      <c r="J186" s="70"/>
      <c r="K186" s="70"/>
      <c r="L186" s="70"/>
      <c r="M186" s="70"/>
      <c r="N186" s="71"/>
      <c r="O186" s="70"/>
      <c r="P186" s="70"/>
      <c r="Q186" s="70"/>
      <c r="R186" s="70"/>
      <c r="S186" s="70"/>
      <c r="T186" s="70"/>
      <c r="U186" s="70"/>
      <c r="V186" s="70"/>
      <c r="W186" s="70"/>
      <c r="X186" s="70"/>
      <c r="Y186" s="70"/>
      <c r="Z186" s="70"/>
    </row>
    <row r="187" spans="1:26" ht="15.75" customHeight="1" x14ac:dyDescent="0.25">
      <c r="A187" s="70"/>
      <c r="B187" s="70"/>
      <c r="C187" s="70"/>
      <c r="D187" s="70"/>
      <c r="E187" s="70"/>
      <c r="F187" s="70"/>
      <c r="G187" s="70"/>
      <c r="H187" s="70"/>
      <c r="I187" s="70"/>
      <c r="J187" s="70"/>
      <c r="K187" s="70"/>
      <c r="L187" s="70"/>
      <c r="M187" s="70"/>
      <c r="N187" s="71"/>
      <c r="O187" s="70"/>
      <c r="P187" s="70"/>
      <c r="Q187" s="70"/>
      <c r="R187" s="70"/>
      <c r="S187" s="70"/>
      <c r="T187" s="70"/>
      <c r="U187" s="70"/>
      <c r="V187" s="70"/>
      <c r="W187" s="70"/>
      <c r="X187" s="70"/>
      <c r="Y187" s="70"/>
      <c r="Z187" s="70"/>
    </row>
    <row r="188" spans="1:26" ht="15.75" customHeight="1" x14ac:dyDescent="0.25">
      <c r="A188" s="70"/>
      <c r="B188" s="70"/>
      <c r="C188" s="70"/>
      <c r="D188" s="70"/>
      <c r="E188" s="70"/>
      <c r="F188" s="70"/>
      <c r="G188" s="70"/>
      <c r="H188" s="70"/>
      <c r="I188" s="70"/>
      <c r="J188" s="70"/>
      <c r="K188" s="70"/>
      <c r="L188" s="70"/>
      <c r="M188" s="70"/>
      <c r="N188" s="71"/>
      <c r="O188" s="70"/>
      <c r="P188" s="70"/>
      <c r="Q188" s="70"/>
      <c r="R188" s="70"/>
      <c r="S188" s="70"/>
      <c r="T188" s="70"/>
      <c r="U188" s="70"/>
      <c r="V188" s="70"/>
      <c r="W188" s="70"/>
      <c r="X188" s="70"/>
      <c r="Y188" s="70"/>
      <c r="Z188" s="70"/>
    </row>
    <row r="189" spans="1:26" ht="15.75" customHeight="1" x14ac:dyDescent="0.25">
      <c r="A189" s="70"/>
      <c r="B189" s="70"/>
      <c r="C189" s="70"/>
      <c r="D189" s="70"/>
      <c r="E189" s="70"/>
      <c r="F189" s="70"/>
      <c r="G189" s="70"/>
      <c r="H189" s="70"/>
      <c r="I189" s="70"/>
      <c r="J189" s="70"/>
      <c r="K189" s="70"/>
      <c r="L189" s="70"/>
      <c r="M189" s="70"/>
      <c r="N189" s="71"/>
      <c r="O189" s="70"/>
      <c r="P189" s="70"/>
      <c r="Q189" s="70"/>
      <c r="R189" s="70"/>
      <c r="S189" s="70"/>
      <c r="T189" s="70"/>
      <c r="U189" s="70"/>
      <c r="V189" s="70"/>
      <c r="W189" s="70"/>
      <c r="X189" s="70"/>
      <c r="Y189" s="70"/>
      <c r="Z189" s="70"/>
    </row>
    <row r="190" spans="1:26" ht="15.75" customHeight="1" x14ac:dyDescent="0.25">
      <c r="A190" s="70"/>
      <c r="B190" s="70"/>
      <c r="C190" s="70"/>
      <c r="D190" s="70"/>
      <c r="E190" s="70"/>
      <c r="F190" s="70"/>
      <c r="G190" s="70"/>
      <c r="H190" s="70"/>
      <c r="I190" s="70"/>
      <c r="J190" s="70"/>
      <c r="K190" s="70"/>
      <c r="L190" s="70"/>
      <c r="M190" s="70"/>
      <c r="N190" s="71"/>
      <c r="O190" s="70"/>
      <c r="P190" s="70"/>
      <c r="Q190" s="70"/>
      <c r="R190" s="70"/>
      <c r="S190" s="70"/>
      <c r="T190" s="70"/>
      <c r="U190" s="70"/>
      <c r="V190" s="70"/>
      <c r="W190" s="70"/>
      <c r="X190" s="70"/>
      <c r="Y190" s="70"/>
      <c r="Z190" s="70"/>
    </row>
    <row r="191" spans="1:26" ht="15.75" customHeight="1" x14ac:dyDescent="0.25">
      <c r="A191" s="70"/>
      <c r="B191" s="70"/>
      <c r="C191" s="70"/>
      <c r="D191" s="70"/>
      <c r="E191" s="70"/>
      <c r="F191" s="70"/>
      <c r="G191" s="70"/>
      <c r="H191" s="70"/>
      <c r="I191" s="70"/>
      <c r="J191" s="70"/>
      <c r="K191" s="70"/>
      <c r="L191" s="70"/>
      <c r="M191" s="70"/>
      <c r="N191" s="71"/>
      <c r="O191" s="70"/>
      <c r="P191" s="70"/>
      <c r="Q191" s="70"/>
      <c r="R191" s="70"/>
      <c r="S191" s="70"/>
      <c r="T191" s="70"/>
      <c r="U191" s="70"/>
      <c r="V191" s="70"/>
      <c r="W191" s="70"/>
      <c r="X191" s="70"/>
      <c r="Y191" s="70"/>
      <c r="Z191" s="70"/>
    </row>
    <row r="192" spans="1:26" ht="15.75" customHeight="1" x14ac:dyDescent="0.25">
      <c r="A192" s="70"/>
      <c r="B192" s="70"/>
      <c r="C192" s="70"/>
      <c r="D192" s="70"/>
      <c r="E192" s="70"/>
      <c r="F192" s="70"/>
      <c r="G192" s="70"/>
      <c r="H192" s="70"/>
      <c r="I192" s="70"/>
      <c r="J192" s="70"/>
      <c r="K192" s="70"/>
      <c r="L192" s="70"/>
      <c r="M192" s="70"/>
      <c r="N192" s="71"/>
      <c r="O192" s="70"/>
      <c r="P192" s="70"/>
      <c r="Q192" s="70"/>
      <c r="R192" s="70"/>
      <c r="S192" s="70"/>
      <c r="T192" s="70"/>
      <c r="U192" s="70"/>
      <c r="V192" s="70"/>
      <c r="W192" s="70"/>
      <c r="X192" s="70"/>
      <c r="Y192" s="70"/>
      <c r="Z192" s="70"/>
    </row>
    <row r="193" spans="1:26" ht="15.75" customHeight="1" x14ac:dyDescent="0.25">
      <c r="A193" s="70"/>
      <c r="B193" s="70"/>
      <c r="C193" s="70"/>
      <c r="D193" s="70"/>
      <c r="E193" s="70"/>
      <c r="F193" s="70"/>
      <c r="G193" s="70"/>
      <c r="H193" s="70"/>
      <c r="I193" s="70"/>
      <c r="J193" s="70"/>
      <c r="K193" s="70"/>
      <c r="L193" s="70"/>
      <c r="M193" s="70"/>
      <c r="N193" s="71"/>
      <c r="O193" s="70"/>
      <c r="P193" s="70"/>
      <c r="Q193" s="70"/>
      <c r="R193" s="70"/>
      <c r="S193" s="70"/>
      <c r="T193" s="70"/>
      <c r="U193" s="70"/>
      <c r="V193" s="70"/>
      <c r="W193" s="70"/>
      <c r="X193" s="70"/>
      <c r="Y193" s="70"/>
      <c r="Z193" s="70"/>
    </row>
    <row r="194" spans="1:26" ht="15.75" customHeight="1" x14ac:dyDescent="0.25">
      <c r="A194" s="70"/>
      <c r="B194" s="70"/>
      <c r="C194" s="70"/>
      <c r="D194" s="70"/>
      <c r="E194" s="70"/>
      <c r="F194" s="70"/>
      <c r="G194" s="70"/>
      <c r="H194" s="70"/>
      <c r="I194" s="70"/>
      <c r="J194" s="70"/>
      <c r="K194" s="70"/>
      <c r="L194" s="70"/>
      <c r="M194" s="70"/>
      <c r="N194" s="71"/>
      <c r="O194" s="70"/>
      <c r="P194" s="70"/>
      <c r="Q194" s="70"/>
      <c r="R194" s="70"/>
      <c r="S194" s="70"/>
      <c r="T194" s="70"/>
      <c r="U194" s="70"/>
      <c r="V194" s="70"/>
      <c r="W194" s="70"/>
      <c r="X194" s="70"/>
      <c r="Y194" s="70"/>
      <c r="Z194" s="70"/>
    </row>
    <row r="195" spans="1:26" ht="15.75" customHeight="1" x14ac:dyDescent="0.25">
      <c r="A195" s="70"/>
      <c r="B195" s="70"/>
      <c r="C195" s="70"/>
      <c r="D195" s="70"/>
      <c r="E195" s="70"/>
      <c r="F195" s="70"/>
      <c r="G195" s="70"/>
      <c r="H195" s="70"/>
      <c r="I195" s="70"/>
      <c r="J195" s="70"/>
      <c r="K195" s="70"/>
      <c r="L195" s="70"/>
      <c r="M195" s="70"/>
      <c r="N195" s="71"/>
      <c r="O195" s="70"/>
      <c r="P195" s="70"/>
      <c r="Q195" s="70"/>
      <c r="R195" s="70"/>
      <c r="S195" s="70"/>
      <c r="T195" s="70"/>
      <c r="U195" s="70"/>
      <c r="V195" s="70"/>
      <c r="W195" s="70"/>
      <c r="X195" s="70"/>
      <c r="Y195" s="70"/>
      <c r="Z195" s="70"/>
    </row>
    <row r="196" spans="1:26" ht="15.75" customHeight="1" x14ac:dyDescent="0.25">
      <c r="A196" s="70"/>
      <c r="B196" s="70"/>
      <c r="C196" s="70"/>
      <c r="D196" s="70"/>
      <c r="E196" s="70"/>
      <c r="F196" s="70"/>
      <c r="G196" s="70"/>
      <c r="H196" s="70"/>
      <c r="I196" s="70"/>
      <c r="J196" s="70"/>
      <c r="K196" s="70"/>
      <c r="L196" s="70"/>
      <c r="M196" s="70"/>
      <c r="N196" s="71"/>
      <c r="O196" s="70"/>
      <c r="P196" s="70"/>
      <c r="Q196" s="70"/>
      <c r="R196" s="70"/>
      <c r="S196" s="70"/>
      <c r="T196" s="70"/>
      <c r="U196" s="70"/>
      <c r="V196" s="70"/>
      <c r="W196" s="70"/>
      <c r="X196" s="70"/>
      <c r="Y196" s="70"/>
      <c r="Z196" s="70"/>
    </row>
    <row r="197" spans="1:26" ht="15.75" customHeight="1" x14ac:dyDescent="0.25">
      <c r="A197" s="70"/>
      <c r="B197" s="70"/>
      <c r="C197" s="70"/>
      <c r="D197" s="70"/>
      <c r="E197" s="70"/>
      <c r="F197" s="70"/>
      <c r="G197" s="70"/>
      <c r="H197" s="70"/>
      <c r="I197" s="70"/>
      <c r="J197" s="70"/>
      <c r="K197" s="70"/>
      <c r="L197" s="70"/>
      <c r="M197" s="70"/>
      <c r="N197" s="71"/>
      <c r="O197" s="70"/>
      <c r="P197" s="70"/>
      <c r="Q197" s="70"/>
      <c r="R197" s="70"/>
      <c r="S197" s="70"/>
      <c r="T197" s="70"/>
      <c r="U197" s="70"/>
      <c r="V197" s="70"/>
      <c r="W197" s="70"/>
      <c r="X197" s="70"/>
      <c r="Y197" s="70"/>
      <c r="Z197" s="70"/>
    </row>
    <row r="198" spans="1:26" ht="15.75" customHeight="1" x14ac:dyDescent="0.25">
      <c r="A198" s="70"/>
      <c r="B198" s="70"/>
      <c r="C198" s="70"/>
      <c r="D198" s="70"/>
      <c r="E198" s="70"/>
      <c r="F198" s="70"/>
      <c r="G198" s="70"/>
      <c r="H198" s="70"/>
      <c r="I198" s="70"/>
      <c r="J198" s="70"/>
      <c r="K198" s="70"/>
      <c r="L198" s="70"/>
      <c r="M198" s="70"/>
      <c r="N198" s="71"/>
      <c r="O198" s="70"/>
      <c r="P198" s="70"/>
      <c r="Q198" s="70"/>
      <c r="R198" s="70"/>
      <c r="S198" s="70"/>
      <c r="T198" s="70"/>
      <c r="U198" s="70"/>
      <c r="V198" s="70"/>
      <c r="W198" s="70"/>
      <c r="X198" s="70"/>
      <c r="Y198" s="70"/>
      <c r="Z198" s="70"/>
    </row>
    <row r="199" spans="1:26" ht="15.75" customHeight="1" x14ac:dyDescent="0.25">
      <c r="A199" s="70"/>
      <c r="B199" s="70"/>
      <c r="C199" s="70"/>
      <c r="D199" s="70"/>
      <c r="E199" s="70"/>
      <c r="F199" s="70"/>
      <c r="G199" s="70"/>
      <c r="H199" s="70"/>
      <c r="I199" s="70"/>
      <c r="J199" s="70"/>
      <c r="K199" s="70"/>
      <c r="L199" s="70"/>
      <c r="M199" s="70"/>
      <c r="N199" s="71"/>
      <c r="O199" s="70"/>
      <c r="P199" s="70"/>
      <c r="Q199" s="70"/>
      <c r="R199" s="70"/>
      <c r="S199" s="70"/>
      <c r="T199" s="70"/>
      <c r="U199" s="70"/>
      <c r="V199" s="70"/>
      <c r="W199" s="70"/>
      <c r="X199" s="70"/>
      <c r="Y199" s="70"/>
      <c r="Z199" s="70"/>
    </row>
    <row r="200" spans="1:26" ht="15.75" customHeight="1" x14ac:dyDescent="0.25">
      <c r="A200" s="70"/>
      <c r="B200" s="70"/>
      <c r="C200" s="70"/>
      <c r="D200" s="70"/>
      <c r="E200" s="70"/>
      <c r="F200" s="70"/>
      <c r="G200" s="70"/>
      <c r="H200" s="70"/>
      <c r="I200" s="70"/>
      <c r="J200" s="70"/>
      <c r="K200" s="70"/>
      <c r="L200" s="70"/>
      <c r="M200" s="70"/>
      <c r="N200" s="71"/>
      <c r="O200" s="70"/>
      <c r="P200" s="70"/>
      <c r="Q200" s="70"/>
      <c r="R200" s="70"/>
      <c r="S200" s="70"/>
      <c r="T200" s="70"/>
      <c r="U200" s="70"/>
      <c r="V200" s="70"/>
      <c r="W200" s="70"/>
      <c r="X200" s="70"/>
      <c r="Y200" s="70"/>
      <c r="Z200" s="70"/>
    </row>
    <row r="201" spans="1:26" ht="15.75" customHeight="1" x14ac:dyDescent="0.25">
      <c r="A201" s="70"/>
      <c r="B201" s="70"/>
      <c r="C201" s="70"/>
      <c r="D201" s="70"/>
      <c r="E201" s="70"/>
      <c r="F201" s="70"/>
      <c r="G201" s="70"/>
      <c r="H201" s="70"/>
      <c r="I201" s="70"/>
      <c r="J201" s="70"/>
      <c r="K201" s="70"/>
      <c r="L201" s="70"/>
      <c r="M201" s="70"/>
      <c r="N201" s="71"/>
      <c r="O201" s="70"/>
      <c r="P201" s="70"/>
      <c r="Q201" s="70"/>
      <c r="R201" s="70"/>
      <c r="S201" s="70"/>
      <c r="T201" s="70"/>
      <c r="U201" s="70"/>
      <c r="V201" s="70"/>
      <c r="W201" s="70"/>
      <c r="X201" s="70"/>
      <c r="Y201" s="70"/>
      <c r="Z201" s="70"/>
    </row>
    <row r="202" spans="1:26" ht="15.75" customHeight="1" x14ac:dyDescent="0.25">
      <c r="A202" s="70"/>
      <c r="B202" s="70"/>
      <c r="C202" s="70"/>
      <c r="D202" s="70"/>
      <c r="E202" s="70"/>
      <c r="F202" s="70"/>
      <c r="G202" s="70"/>
      <c r="H202" s="70"/>
      <c r="I202" s="70"/>
      <c r="J202" s="70"/>
      <c r="K202" s="70"/>
      <c r="L202" s="70"/>
      <c r="M202" s="70"/>
      <c r="N202" s="71"/>
      <c r="O202" s="70"/>
      <c r="P202" s="70"/>
      <c r="Q202" s="70"/>
      <c r="R202" s="70"/>
      <c r="S202" s="70"/>
      <c r="T202" s="70"/>
      <c r="U202" s="70"/>
      <c r="V202" s="70"/>
      <c r="W202" s="70"/>
      <c r="X202" s="70"/>
      <c r="Y202" s="70"/>
      <c r="Z202" s="70"/>
    </row>
    <row r="203" spans="1:26" ht="15.75" customHeight="1" x14ac:dyDescent="0.25">
      <c r="A203" s="70"/>
      <c r="B203" s="70"/>
      <c r="C203" s="70"/>
      <c r="D203" s="70"/>
      <c r="E203" s="70"/>
      <c r="F203" s="70"/>
      <c r="G203" s="70"/>
      <c r="H203" s="70"/>
      <c r="I203" s="70"/>
      <c r="J203" s="70"/>
      <c r="K203" s="70"/>
      <c r="L203" s="70"/>
      <c r="M203" s="70"/>
      <c r="N203" s="71"/>
      <c r="O203" s="70"/>
      <c r="P203" s="70"/>
      <c r="Q203" s="70"/>
      <c r="R203" s="70"/>
      <c r="S203" s="70"/>
      <c r="T203" s="70"/>
      <c r="U203" s="70"/>
      <c r="V203" s="70"/>
      <c r="W203" s="70"/>
      <c r="X203" s="70"/>
      <c r="Y203" s="70"/>
      <c r="Z203" s="70"/>
    </row>
    <row r="204" spans="1:26" ht="15.75" customHeight="1" x14ac:dyDescent="0.25">
      <c r="A204" s="70"/>
      <c r="B204" s="70"/>
      <c r="C204" s="70"/>
      <c r="D204" s="70"/>
      <c r="E204" s="70"/>
      <c r="F204" s="70"/>
      <c r="G204" s="70"/>
      <c r="H204" s="70"/>
      <c r="I204" s="70"/>
      <c r="J204" s="70"/>
      <c r="K204" s="70"/>
      <c r="L204" s="70"/>
      <c r="M204" s="70"/>
      <c r="N204" s="71"/>
      <c r="O204" s="70"/>
      <c r="P204" s="70"/>
      <c r="Q204" s="70"/>
      <c r="R204" s="70"/>
      <c r="S204" s="70"/>
      <c r="T204" s="70"/>
      <c r="U204" s="70"/>
      <c r="V204" s="70"/>
      <c r="W204" s="70"/>
      <c r="X204" s="70"/>
      <c r="Y204" s="70"/>
      <c r="Z204" s="70"/>
    </row>
    <row r="205" spans="1:26" ht="15.75" customHeight="1" x14ac:dyDescent="0.25">
      <c r="A205" s="70"/>
      <c r="B205" s="70"/>
      <c r="C205" s="70"/>
      <c r="D205" s="70"/>
      <c r="E205" s="70"/>
      <c r="F205" s="70"/>
      <c r="G205" s="70"/>
      <c r="H205" s="70"/>
      <c r="I205" s="70"/>
      <c r="J205" s="70"/>
      <c r="K205" s="70"/>
      <c r="L205" s="70"/>
      <c r="M205" s="70"/>
      <c r="N205" s="71"/>
      <c r="O205" s="70"/>
      <c r="P205" s="70"/>
      <c r="Q205" s="70"/>
      <c r="R205" s="70"/>
      <c r="S205" s="70"/>
      <c r="T205" s="70"/>
      <c r="U205" s="70"/>
      <c r="V205" s="70"/>
      <c r="W205" s="70"/>
      <c r="X205" s="70"/>
      <c r="Y205" s="70"/>
      <c r="Z205" s="70"/>
    </row>
    <row r="206" spans="1:26" ht="15.75" customHeight="1" x14ac:dyDescent="0.25">
      <c r="A206" s="70"/>
      <c r="B206" s="70"/>
      <c r="C206" s="70"/>
      <c r="D206" s="70"/>
      <c r="E206" s="70"/>
      <c r="F206" s="70"/>
      <c r="G206" s="70"/>
      <c r="H206" s="70"/>
      <c r="I206" s="70"/>
      <c r="J206" s="70"/>
      <c r="K206" s="70"/>
      <c r="L206" s="70"/>
      <c r="M206" s="70"/>
      <c r="N206" s="71"/>
      <c r="O206" s="70"/>
      <c r="P206" s="70"/>
      <c r="Q206" s="70"/>
      <c r="R206" s="70"/>
      <c r="S206" s="70"/>
      <c r="T206" s="70"/>
      <c r="U206" s="70"/>
      <c r="V206" s="70"/>
      <c r="W206" s="70"/>
      <c r="X206" s="70"/>
      <c r="Y206" s="70"/>
      <c r="Z206" s="70"/>
    </row>
    <row r="207" spans="1:26" ht="15.75" customHeight="1" x14ac:dyDescent="0.25">
      <c r="A207" s="70"/>
      <c r="B207" s="70"/>
      <c r="C207" s="70"/>
      <c r="D207" s="70"/>
      <c r="E207" s="70"/>
      <c r="F207" s="70"/>
      <c r="G207" s="70"/>
      <c r="H207" s="70"/>
      <c r="I207" s="70"/>
      <c r="J207" s="70"/>
      <c r="K207" s="70"/>
      <c r="L207" s="70"/>
      <c r="M207" s="70"/>
      <c r="N207" s="71"/>
      <c r="O207" s="70"/>
      <c r="P207" s="70"/>
      <c r="Q207" s="70"/>
      <c r="R207" s="70"/>
      <c r="S207" s="70"/>
      <c r="T207" s="70"/>
      <c r="U207" s="70"/>
      <c r="V207" s="70"/>
      <c r="W207" s="70"/>
      <c r="X207" s="70"/>
      <c r="Y207" s="70"/>
      <c r="Z207" s="70"/>
    </row>
    <row r="208" spans="1:26" ht="15.75" customHeight="1" x14ac:dyDescent="0.25">
      <c r="A208" s="70"/>
      <c r="B208" s="70"/>
      <c r="C208" s="70"/>
      <c r="D208" s="70"/>
      <c r="E208" s="70"/>
      <c r="F208" s="70"/>
      <c r="G208" s="70"/>
      <c r="H208" s="70"/>
      <c r="I208" s="70"/>
      <c r="J208" s="70"/>
      <c r="K208" s="70"/>
      <c r="L208" s="70"/>
      <c r="M208" s="70"/>
      <c r="N208" s="71"/>
      <c r="O208" s="70"/>
      <c r="P208" s="70"/>
      <c r="Q208" s="70"/>
      <c r="R208" s="70"/>
      <c r="S208" s="70"/>
      <c r="T208" s="70"/>
      <c r="U208" s="70"/>
      <c r="V208" s="70"/>
      <c r="W208" s="70"/>
      <c r="X208" s="70"/>
      <c r="Y208" s="70"/>
      <c r="Z208" s="70"/>
    </row>
    <row r="209" spans="1:26" ht="15.75" customHeight="1" x14ac:dyDescent="0.25">
      <c r="A209" s="70"/>
      <c r="B209" s="70"/>
      <c r="C209" s="70"/>
      <c r="D209" s="70"/>
      <c r="E209" s="70"/>
      <c r="F209" s="70"/>
      <c r="G209" s="70"/>
      <c r="H209" s="70"/>
      <c r="I209" s="70"/>
      <c r="J209" s="70"/>
      <c r="K209" s="70"/>
      <c r="L209" s="70"/>
      <c r="M209" s="70"/>
      <c r="N209" s="71"/>
      <c r="O209" s="70"/>
      <c r="P209" s="70"/>
      <c r="Q209" s="70"/>
      <c r="R209" s="70"/>
      <c r="S209" s="70"/>
      <c r="T209" s="70"/>
      <c r="U209" s="70"/>
      <c r="V209" s="70"/>
      <c r="W209" s="70"/>
      <c r="X209" s="70"/>
      <c r="Y209" s="70"/>
      <c r="Z209" s="70"/>
    </row>
    <row r="210" spans="1:26" ht="15.75" customHeight="1" x14ac:dyDescent="0.25">
      <c r="A210" s="70"/>
      <c r="B210" s="70"/>
      <c r="C210" s="70"/>
      <c r="D210" s="70"/>
      <c r="E210" s="70"/>
      <c r="F210" s="70"/>
      <c r="G210" s="70"/>
      <c r="H210" s="70"/>
      <c r="I210" s="70"/>
      <c r="J210" s="70"/>
      <c r="K210" s="70"/>
      <c r="L210" s="70"/>
      <c r="M210" s="70"/>
      <c r="N210" s="71"/>
      <c r="O210" s="70"/>
      <c r="P210" s="70"/>
      <c r="Q210" s="70"/>
      <c r="R210" s="70"/>
      <c r="S210" s="70"/>
      <c r="T210" s="70"/>
      <c r="U210" s="70"/>
      <c r="V210" s="70"/>
      <c r="W210" s="70"/>
      <c r="X210" s="70"/>
      <c r="Y210" s="70"/>
      <c r="Z210" s="70"/>
    </row>
    <row r="211" spans="1:26" ht="15.75" customHeight="1" x14ac:dyDescent="0.25">
      <c r="A211" s="70"/>
      <c r="B211" s="70"/>
      <c r="C211" s="70"/>
      <c r="D211" s="70"/>
      <c r="E211" s="70"/>
      <c r="F211" s="70"/>
      <c r="G211" s="70"/>
      <c r="H211" s="70"/>
      <c r="I211" s="70"/>
      <c r="J211" s="70"/>
      <c r="K211" s="70"/>
      <c r="L211" s="70"/>
      <c r="M211" s="70"/>
      <c r="N211" s="71"/>
      <c r="O211" s="70"/>
      <c r="P211" s="70"/>
      <c r="Q211" s="70"/>
      <c r="R211" s="70"/>
      <c r="S211" s="70"/>
      <c r="T211" s="70"/>
      <c r="U211" s="70"/>
      <c r="V211" s="70"/>
      <c r="W211" s="70"/>
      <c r="X211" s="70"/>
      <c r="Y211" s="70"/>
      <c r="Z211" s="70"/>
    </row>
    <row r="212" spans="1:26" ht="15.75" customHeight="1" x14ac:dyDescent="0.25">
      <c r="A212" s="70"/>
      <c r="B212" s="70"/>
      <c r="C212" s="70"/>
      <c r="D212" s="70"/>
      <c r="E212" s="70"/>
      <c r="F212" s="70"/>
      <c r="G212" s="70"/>
      <c r="H212" s="70"/>
      <c r="I212" s="70"/>
      <c r="J212" s="70"/>
      <c r="K212" s="70"/>
      <c r="L212" s="70"/>
      <c r="M212" s="70"/>
      <c r="N212" s="71"/>
      <c r="O212" s="70"/>
      <c r="P212" s="70"/>
      <c r="Q212" s="70"/>
      <c r="R212" s="70"/>
      <c r="S212" s="70"/>
      <c r="T212" s="70"/>
      <c r="U212" s="70"/>
      <c r="V212" s="70"/>
      <c r="W212" s="70"/>
      <c r="X212" s="70"/>
      <c r="Y212" s="70"/>
      <c r="Z212" s="70"/>
    </row>
    <row r="213" spans="1:26" ht="15.75" customHeight="1" x14ac:dyDescent="0.25">
      <c r="A213" s="70"/>
      <c r="B213" s="70"/>
      <c r="C213" s="70"/>
      <c r="D213" s="70"/>
      <c r="E213" s="70"/>
      <c r="F213" s="70"/>
      <c r="G213" s="70"/>
      <c r="H213" s="70"/>
      <c r="I213" s="70"/>
      <c r="J213" s="70"/>
      <c r="K213" s="70"/>
      <c r="L213" s="70"/>
      <c r="M213" s="70"/>
      <c r="N213" s="71"/>
      <c r="O213" s="70"/>
      <c r="P213" s="70"/>
      <c r="Q213" s="70"/>
      <c r="R213" s="70"/>
      <c r="S213" s="70"/>
      <c r="T213" s="70"/>
      <c r="U213" s="70"/>
      <c r="V213" s="70"/>
      <c r="W213" s="70"/>
      <c r="X213" s="70"/>
      <c r="Y213" s="70"/>
      <c r="Z213" s="70"/>
    </row>
    <row r="214" spans="1:26" ht="15.75" customHeight="1" x14ac:dyDescent="0.25">
      <c r="A214" s="70"/>
      <c r="B214" s="70"/>
      <c r="C214" s="70"/>
      <c r="D214" s="70"/>
      <c r="E214" s="70"/>
      <c r="F214" s="70"/>
      <c r="G214" s="70"/>
      <c r="H214" s="70"/>
      <c r="I214" s="70"/>
      <c r="J214" s="70"/>
      <c r="K214" s="70"/>
      <c r="L214" s="70"/>
      <c r="M214" s="70"/>
      <c r="N214" s="71"/>
      <c r="O214" s="70"/>
      <c r="P214" s="70"/>
      <c r="Q214" s="70"/>
      <c r="R214" s="70"/>
      <c r="S214" s="70"/>
      <c r="T214" s="70"/>
      <c r="U214" s="70"/>
      <c r="V214" s="70"/>
      <c r="W214" s="70"/>
      <c r="X214" s="70"/>
      <c r="Y214" s="70"/>
      <c r="Z214" s="70"/>
    </row>
    <row r="215" spans="1:26" ht="15.75" customHeight="1" x14ac:dyDescent="0.25">
      <c r="A215" s="70"/>
      <c r="B215" s="70"/>
      <c r="C215" s="70"/>
      <c r="D215" s="70"/>
      <c r="E215" s="70"/>
      <c r="F215" s="70"/>
      <c r="G215" s="70"/>
      <c r="H215" s="70"/>
      <c r="I215" s="70"/>
      <c r="J215" s="70"/>
      <c r="K215" s="70"/>
      <c r="L215" s="70"/>
      <c r="M215" s="70"/>
      <c r="N215" s="71"/>
      <c r="O215" s="70"/>
      <c r="P215" s="70"/>
      <c r="Q215" s="70"/>
      <c r="R215" s="70"/>
      <c r="S215" s="70"/>
      <c r="T215" s="70"/>
      <c r="U215" s="70"/>
      <c r="V215" s="70"/>
      <c r="W215" s="70"/>
      <c r="X215" s="70"/>
      <c r="Y215" s="70"/>
      <c r="Z215" s="70"/>
    </row>
    <row r="216" spans="1:26" ht="15.75" customHeight="1" x14ac:dyDescent="0.25">
      <c r="A216" s="70"/>
      <c r="B216" s="70"/>
      <c r="C216" s="70"/>
      <c r="D216" s="70"/>
      <c r="E216" s="70"/>
      <c r="F216" s="70"/>
      <c r="G216" s="70"/>
      <c r="H216" s="70"/>
      <c r="I216" s="70"/>
      <c r="J216" s="70"/>
      <c r="K216" s="70"/>
      <c r="L216" s="70"/>
      <c r="M216" s="70"/>
      <c r="N216" s="71"/>
      <c r="O216" s="70"/>
      <c r="P216" s="70"/>
      <c r="Q216" s="70"/>
      <c r="R216" s="70"/>
      <c r="S216" s="70"/>
      <c r="T216" s="70"/>
      <c r="U216" s="70"/>
      <c r="V216" s="70"/>
      <c r="W216" s="70"/>
      <c r="X216" s="70"/>
      <c r="Y216" s="70"/>
      <c r="Z216" s="70"/>
    </row>
    <row r="217" spans="1:26" ht="15.75" customHeight="1" x14ac:dyDescent="0.25">
      <c r="A217" s="70"/>
      <c r="B217" s="70"/>
      <c r="C217" s="70"/>
      <c r="D217" s="70"/>
      <c r="E217" s="70"/>
      <c r="F217" s="70"/>
      <c r="G217" s="70"/>
      <c r="H217" s="70"/>
      <c r="I217" s="70"/>
      <c r="J217" s="70"/>
      <c r="K217" s="70"/>
      <c r="L217" s="70"/>
      <c r="M217" s="70"/>
      <c r="N217" s="71"/>
      <c r="O217" s="70"/>
      <c r="P217" s="70"/>
      <c r="Q217" s="70"/>
      <c r="R217" s="70"/>
      <c r="S217" s="70"/>
      <c r="T217" s="70"/>
      <c r="U217" s="70"/>
      <c r="V217" s="70"/>
      <c r="W217" s="70"/>
      <c r="X217" s="70"/>
      <c r="Y217" s="70"/>
      <c r="Z217" s="70"/>
    </row>
    <row r="218" spans="1:26" ht="15.75" customHeight="1" x14ac:dyDescent="0.25">
      <c r="A218" s="70"/>
      <c r="B218" s="70"/>
      <c r="C218" s="70"/>
      <c r="D218" s="70"/>
      <c r="E218" s="70"/>
      <c r="F218" s="70"/>
      <c r="G218" s="70"/>
      <c r="H218" s="70"/>
      <c r="I218" s="70"/>
      <c r="J218" s="70"/>
      <c r="K218" s="70"/>
      <c r="L218" s="70"/>
      <c r="M218" s="70"/>
      <c r="N218" s="71"/>
      <c r="O218" s="70"/>
      <c r="P218" s="70"/>
      <c r="Q218" s="70"/>
      <c r="R218" s="70"/>
      <c r="S218" s="70"/>
      <c r="T218" s="70"/>
      <c r="U218" s="70"/>
      <c r="V218" s="70"/>
      <c r="W218" s="70"/>
      <c r="X218" s="70"/>
      <c r="Y218" s="70"/>
      <c r="Z218" s="70"/>
    </row>
    <row r="219" spans="1:26" ht="15.75" customHeight="1" x14ac:dyDescent="0.25">
      <c r="A219" s="70"/>
      <c r="B219" s="70"/>
      <c r="C219" s="70"/>
      <c r="D219" s="70"/>
      <c r="E219" s="70"/>
      <c r="F219" s="70"/>
      <c r="G219" s="70"/>
      <c r="H219" s="70"/>
      <c r="I219" s="70"/>
      <c r="J219" s="70"/>
      <c r="K219" s="70"/>
      <c r="L219" s="70"/>
      <c r="M219" s="70"/>
      <c r="N219" s="71"/>
      <c r="O219" s="70"/>
      <c r="P219" s="70"/>
      <c r="Q219" s="70"/>
      <c r="R219" s="70"/>
      <c r="S219" s="70"/>
      <c r="T219" s="70"/>
      <c r="U219" s="70"/>
      <c r="V219" s="70"/>
      <c r="W219" s="70"/>
      <c r="X219" s="70"/>
      <c r="Y219" s="70"/>
      <c r="Z219" s="70"/>
    </row>
    <row r="220" spans="1:26" ht="15.75" customHeight="1" x14ac:dyDescent="0.25">
      <c r="A220" s="70"/>
      <c r="B220" s="70"/>
      <c r="C220" s="70"/>
      <c r="D220" s="70"/>
      <c r="E220" s="70"/>
      <c r="F220" s="70"/>
      <c r="G220" s="70"/>
      <c r="H220" s="70"/>
      <c r="I220" s="70"/>
      <c r="J220" s="70"/>
      <c r="K220" s="70"/>
      <c r="L220" s="70"/>
      <c r="M220" s="70"/>
      <c r="N220" s="71"/>
      <c r="O220" s="70"/>
      <c r="P220" s="70"/>
      <c r="Q220" s="70"/>
      <c r="R220" s="70"/>
      <c r="S220" s="70"/>
      <c r="T220" s="70"/>
      <c r="U220" s="70"/>
      <c r="V220" s="70"/>
      <c r="W220" s="70"/>
      <c r="X220" s="70"/>
      <c r="Y220" s="70"/>
      <c r="Z220" s="70"/>
    </row>
    <row r="221" spans="1:26" ht="15.75" customHeight="1" x14ac:dyDescent="0.2"/>
    <row r="222" spans="1:26" ht="15.75" customHeight="1" x14ac:dyDescent="0.2"/>
    <row r="223" spans="1:26" ht="15.75" customHeight="1" x14ac:dyDescent="0.2"/>
    <row r="224" spans="1:26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511811024" right="0.511811024" top="0.78740157499999996" bottom="0.78740157499999996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din_sortemp"/>
  <dimension ref="A3:AF1000"/>
  <sheetViews>
    <sheetView workbookViewId="0"/>
  </sheetViews>
  <sheetFormatPr defaultColWidth="12.625" defaultRowHeight="15" customHeight="1" x14ac:dyDescent="0.2"/>
  <cols>
    <col min="1" max="1" width="17.5" customWidth="1"/>
    <col min="2" max="2" width="56.375" customWidth="1"/>
    <col min="3" max="3" width="11.875" customWidth="1"/>
    <col min="4" max="4" width="31.75" customWidth="1"/>
    <col min="5" max="5" width="14.125" customWidth="1"/>
    <col min="6" max="6" width="39.875" customWidth="1"/>
    <col min="7" max="31" width="21.5" customWidth="1"/>
    <col min="32" max="32" width="15.75" customWidth="1"/>
    <col min="33" max="37" width="7.625" customWidth="1"/>
  </cols>
  <sheetData>
    <row r="3" spans="1:32" ht="14.25" x14ac:dyDescent="0.2">
      <c r="A3" s="79" t="s">
        <v>97</v>
      </c>
      <c r="B3" s="86"/>
      <c r="C3" s="86"/>
      <c r="D3" s="86"/>
      <c r="E3" s="86"/>
      <c r="F3" s="86"/>
      <c r="G3" s="79" t="s">
        <v>89</v>
      </c>
      <c r="H3" s="87" t="s">
        <v>86</v>
      </c>
      <c r="I3" s="88" t="s">
        <v>90</v>
      </c>
    </row>
    <row r="4" spans="1:32" ht="14.25" x14ac:dyDescent="0.2">
      <c r="A4" s="81"/>
      <c r="B4" s="89"/>
      <c r="C4" s="89"/>
      <c r="D4" s="89"/>
      <c r="E4" s="89"/>
      <c r="F4" s="89"/>
      <c r="G4" s="78" t="s">
        <v>118</v>
      </c>
      <c r="H4" s="78" t="s">
        <v>119</v>
      </c>
      <c r="I4" s="90"/>
    </row>
    <row r="5" spans="1:32" ht="14.25" x14ac:dyDescent="0.2">
      <c r="A5" s="81"/>
      <c r="B5" s="89"/>
      <c r="C5" s="89"/>
      <c r="D5" s="89"/>
      <c r="E5" s="89"/>
      <c r="F5" s="89"/>
      <c r="G5" s="78" t="s">
        <v>118</v>
      </c>
      <c r="H5" s="81"/>
      <c r="I5" s="90"/>
    </row>
    <row r="6" spans="1:32" ht="14.25" x14ac:dyDescent="0.2">
      <c r="A6" s="79" t="s">
        <v>78</v>
      </c>
      <c r="B6" s="79" t="s">
        <v>79</v>
      </c>
      <c r="C6" s="79" t="s">
        <v>83</v>
      </c>
      <c r="D6" s="79" t="s">
        <v>93</v>
      </c>
      <c r="E6" s="79" t="s">
        <v>92</v>
      </c>
      <c r="F6" s="79" t="s">
        <v>94</v>
      </c>
      <c r="G6" s="78" t="s">
        <v>118</v>
      </c>
      <c r="H6" s="81"/>
      <c r="I6" s="90"/>
    </row>
    <row r="7" spans="1:32" x14ac:dyDescent="0.25">
      <c r="A7" s="78" t="s">
        <v>118</v>
      </c>
      <c r="B7" s="78" t="s">
        <v>118</v>
      </c>
      <c r="C7" s="78" t="s">
        <v>118</v>
      </c>
      <c r="D7" s="78" t="s">
        <v>118</v>
      </c>
      <c r="E7" s="78" t="s">
        <v>118</v>
      </c>
      <c r="F7" s="78" t="s">
        <v>118</v>
      </c>
      <c r="G7" s="91"/>
      <c r="H7" s="91"/>
      <c r="I7" s="82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  <c r="AA7" s="72"/>
      <c r="AB7" s="72"/>
      <c r="AC7" s="72"/>
      <c r="AD7" s="72"/>
      <c r="AE7" s="72"/>
      <c r="AF7" s="72"/>
    </row>
    <row r="8" spans="1:32" x14ac:dyDescent="0.25">
      <c r="A8" s="83" t="s">
        <v>119</v>
      </c>
      <c r="B8" s="92"/>
      <c r="C8" s="92"/>
      <c r="D8" s="92"/>
      <c r="E8" s="92"/>
      <c r="F8" s="92"/>
      <c r="G8" s="84"/>
      <c r="H8" s="84"/>
      <c r="I8" s="93"/>
      <c r="J8" s="72"/>
      <c r="K8" s="72"/>
      <c r="L8" s="72"/>
      <c r="M8" s="72"/>
      <c r="N8" s="72"/>
      <c r="O8" s="72"/>
      <c r="P8" s="72"/>
      <c r="Q8" s="72"/>
      <c r="R8" s="72"/>
      <c r="S8" s="72"/>
      <c r="T8" s="72"/>
      <c r="U8" s="72"/>
      <c r="V8" s="72"/>
      <c r="W8" s="72"/>
      <c r="X8" s="72"/>
      <c r="Y8" s="72"/>
      <c r="Z8" s="72"/>
      <c r="AA8" s="72"/>
      <c r="AB8" s="72"/>
      <c r="AC8" s="72"/>
      <c r="AD8" s="72"/>
      <c r="AE8" s="72"/>
      <c r="AF8" s="72"/>
    </row>
    <row r="9" spans="1:32" x14ac:dyDescent="0.25">
      <c r="G9" s="72"/>
      <c r="H9" s="72"/>
      <c r="I9" s="72"/>
      <c r="J9" s="72"/>
      <c r="K9" s="72"/>
      <c r="L9" s="72"/>
      <c r="M9" s="72"/>
      <c r="N9" s="72"/>
      <c r="O9" s="72"/>
      <c r="P9" s="72"/>
      <c r="Q9" s="72"/>
      <c r="R9" s="72"/>
      <c r="S9" s="72"/>
      <c r="T9" s="72"/>
      <c r="U9" s="72"/>
      <c r="V9" s="72"/>
      <c r="W9" s="72"/>
      <c r="X9" s="72"/>
      <c r="Y9" s="72"/>
      <c r="Z9" s="72"/>
      <c r="AA9" s="72"/>
      <c r="AB9" s="72"/>
      <c r="AC9" s="72"/>
      <c r="AD9" s="72"/>
      <c r="AE9" s="72"/>
      <c r="AF9" s="72"/>
    </row>
    <row r="10" spans="1:32" x14ac:dyDescent="0.25"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  <c r="Y10" s="72"/>
      <c r="Z10" s="72"/>
      <c r="AA10" s="72"/>
      <c r="AB10" s="72"/>
      <c r="AC10" s="72"/>
      <c r="AD10" s="72"/>
      <c r="AE10" s="72"/>
      <c r="AF10" s="72"/>
    </row>
    <row r="11" spans="1:32" x14ac:dyDescent="0.25">
      <c r="G11" s="72"/>
      <c r="H11" s="72"/>
      <c r="I11" s="72"/>
      <c r="J11" s="72"/>
      <c r="K11" s="72"/>
      <c r="L11" s="72"/>
      <c r="M11" s="72"/>
      <c r="N11" s="72"/>
      <c r="O11" s="72"/>
      <c r="P11" s="72"/>
      <c r="Q11" s="72"/>
      <c r="R11" s="72"/>
      <c r="S11" s="72"/>
      <c r="T11" s="72"/>
      <c r="U11" s="72"/>
      <c r="V11" s="72"/>
      <c r="W11" s="72"/>
      <c r="X11" s="72"/>
      <c r="Y11" s="72"/>
      <c r="Z11" s="72"/>
      <c r="AA11" s="72"/>
      <c r="AB11" s="72"/>
      <c r="AC11" s="72"/>
      <c r="AD11" s="72"/>
      <c r="AE11" s="72"/>
      <c r="AF11" s="72"/>
    </row>
    <row r="12" spans="1:32" x14ac:dyDescent="0.25">
      <c r="G12" s="72"/>
      <c r="H12" s="72"/>
      <c r="I12" s="72"/>
      <c r="J12" s="72"/>
      <c r="K12" s="72"/>
      <c r="L12" s="72"/>
      <c r="M12" s="72"/>
      <c r="N12" s="72"/>
      <c r="O12" s="72"/>
      <c r="P12" s="72"/>
      <c r="Q12" s="72"/>
      <c r="R12" s="72"/>
      <c r="S12" s="72"/>
      <c r="T12" s="72"/>
      <c r="U12" s="72"/>
      <c r="V12" s="72"/>
      <c r="W12" s="72"/>
      <c r="X12" s="72"/>
      <c r="Y12" s="72"/>
      <c r="Z12" s="72"/>
      <c r="AA12" s="72"/>
      <c r="AB12" s="72"/>
      <c r="AC12" s="72"/>
      <c r="AD12" s="72"/>
      <c r="AE12" s="72"/>
      <c r="AF12" s="72"/>
    </row>
    <row r="13" spans="1:32" x14ac:dyDescent="0.25">
      <c r="G13" s="72"/>
      <c r="H13" s="72"/>
      <c r="I13" s="72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  <c r="AA13" s="72"/>
      <c r="AB13" s="72"/>
      <c r="AC13" s="72"/>
      <c r="AD13" s="72"/>
      <c r="AE13" s="72"/>
      <c r="AF13" s="72"/>
    </row>
    <row r="14" spans="1:32" x14ac:dyDescent="0.25">
      <c r="G14" s="72"/>
      <c r="H14" s="72"/>
      <c r="I14" s="72"/>
      <c r="J14" s="72"/>
      <c r="K14" s="72"/>
      <c r="L14" s="72"/>
      <c r="M14" s="72"/>
      <c r="N14" s="72"/>
      <c r="O14" s="72"/>
      <c r="P14" s="72"/>
      <c r="Q14" s="72"/>
      <c r="R14" s="72"/>
      <c r="S14" s="72"/>
      <c r="T14" s="72"/>
      <c r="U14" s="72"/>
      <c r="V14" s="72"/>
      <c r="W14" s="72"/>
      <c r="X14" s="72"/>
      <c r="Y14" s="72"/>
      <c r="Z14" s="72"/>
      <c r="AA14" s="72"/>
      <c r="AB14" s="72"/>
      <c r="AC14" s="72"/>
      <c r="AD14" s="72"/>
      <c r="AE14" s="72"/>
      <c r="AF14" s="72"/>
    </row>
    <row r="15" spans="1:32" x14ac:dyDescent="0.25">
      <c r="G15" s="72"/>
      <c r="H15" s="72"/>
      <c r="I15" s="72"/>
      <c r="J15" s="72"/>
      <c r="K15" s="72"/>
      <c r="L15" s="72"/>
      <c r="M15" s="72"/>
      <c r="N15" s="72"/>
      <c r="O15" s="72"/>
      <c r="P15" s="72"/>
      <c r="Q15" s="72"/>
      <c r="R15" s="72"/>
      <c r="S15" s="72"/>
      <c r="T15" s="72"/>
      <c r="U15" s="72"/>
      <c r="V15" s="72"/>
      <c r="W15" s="72"/>
      <c r="X15" s="72"/>
      <c r="Y15" s="72"/>
      <c r="Z15" s="72"/>
      <c r="AA15" s="72"/>
      <c r="AB15" s="72"/>
      <c r="AC15" s="72"/>
      <c r="AD15" s="72"/>
      <c r="AE15" s="72"/>
      <c r="AF15" s="72"/>
    </row>
    <row r="16" spans="1:32" x14ac:dyDescent="0.25">
      <c r="G16" s="72"/>
      <c r="H16" s="72"/>
      <c r="I16" s="72"/>
      <c r="J16" s="72"/>
      <c r="K16" s="72"/>
      <c r="L16" s="72"/>
      <c r="M16" s="72"/>
      <c r="N16" s="72"/>
      <c r="O16" s="72"/>
      <c r="P16" s="72"/>
      <c r="Q16" s="72"/>
      <c r="R16" s="72"/>
      <c r="S16" s="72"/>
      <c r="T16" s="72"/>
      <c r="U16" s="72"/>
      <c r="V16" s="72"/>
      <c r="W16" s="72"/>
      <c r="X16" s="72"/>
      <c r="Y16" s="72"/>
      <c r="Z16" s="72"/>
      <c r="AA16" s="72"/>
      <c r="AB16" s="72"/>
      <c r="AC16" s="72"/>
      <c r="AD16" s="72"/>
      <c r="AE16" s="72"/>
      <c r="AF16" s="72"/>
    </row>
    <row r="17" spans="7:32" x14ac:dyDescent="0.25">
      <c r="G17" s="72"/>
      <c r="H17" s="72"/>
      <c r="I17" s="72"/>
      <c r="J17" s="72"/>
      <c r="K17" s="72"/>
      <c r="L17" s="72"/>
      <c r="M17" s="72"/>
      <c r="N17" s="72"/>
      <c r="O17" s="72"/>
      <c r="P17" s="72"/>
      <c r="Q17" s="72"/>
      <c r="R17" s="72"/>
      <c r="S17" s="72"/>
      <c r="T17" s="72"/>
      <c r="U17" s="72"/>
      <c r="V17" s="72"/>
      <c r="W17" s="72"/>
      <c r="X17" s="72"/>
      <c r="Y17" s="72"/>
      <c r="Z17" s="72"/>
      <c r="AA17" s="72"/>
      <c r="AB17" s="72"/>
      <c r="AC17" s="72"/>
      <c r="AD17" s="72"/>
      <c r="AE17" s="72"/>
      <c r="AF17" s="72"/>
    </row>
    <row r="18" spans="7:32" x14ac:dyDescent="0.25">
      <c r="G18" s="72"/>
      <c r="H18" s="72"/>
      <c r="I18" s="72"/>
      <c r="J18" s="72"/>
      <c r="K18" s="72"/>
      <c r="L18" s="72"/>
      <c r="M18" s="72"/>
      <c r="N18" s="72"/>
      <c r="O18" s="72"/>
      <c r="P18" s="72"/>
      <c r="Q18" s="72"/>
      <c r="R18" s="72"/>
      <c r="S18" s="72"/>
      <c r="T18" s="72"/>
      <c r="U18" s="72"/>
      <c r="V18" s="72"/>
      <c r="W18" s="72"/>
      <c r="X18" s="72"/>
      <c r="Y18" s="72"/>
      <c r="Z18" s="72"/>
      <c r="AA18" s="72"/>
      <c r="AB18" s="72"/>
      <c r="AC18" s="72"/>
      <c r="AD18" s="72"/>
      <c r="AE18" s="72"/>
      <c r="AF18" s="72"/>
    </row>
    <row r="19" spans="7:32" x14ac:dyDescent="0.25">
      <c r="G19" s="72"/>
      <c r="H19" s="72"/>
      <c r="I19" s="72"/>
      <c r="J19" s="72"/>
      <c r="K19" s="72"/>
      <c r="L19" s="72"/>
      <c r="M19" s="72"/>
      <c r="N19" s="72"/>
      <c r="O19" s="72"/>
      <c r="P19" s="72"/>
      <c r="Q19" s="72"/>
      <c r="R19" s="72"/>
      <c r="S19" s="72"/>
      <c r="T19" s="72"/>
      <c r="U19" s="72"/>
      <c r="V19" s="72"/>
      <c r="W19" s="72"/>
      <c r="X19" s="72"/>
      <c r="Y19" s="72"/>
      <c r="Z19" s="72"/>
      <c r="AA19" s="72"/>
      <c r="AB19" s="72"/>
      <c r="AC19" s="72"/>
      <c r="AD19" s="72"/>
      <c r="AE19" s="72"/>
      <c r="AF19" s="72"/>
    </row>
    <row r="20" spans="7:32" x14ac:dyDescent="0.25">
      <c r="G20" s="72"/>
      <c r="H20" s="72"/>
      <c r="I20" s="72"/>
      <c r="J20" s="72"/>
      <c r="K20" s="72"/>
      <c r="L20" s="72"/>
      <c r="M20" s="72"/>
      <c r="N20" s="72"/>
      <c r="O20" s="72"/>
      <c r="P20" s="72"/>
      <c r="Q20" s="72"/>
      <c r="R20" s="72"/>
      <c r="S20" s="72"/>
      <c r="T20" s="72"/>
      <c r="U20" s="72"/>
      <c r="V20" s="72"/>
      <c r="W20" s="72"/>
      <c r="X20" s="72"/>
      <c r="Y20" s="72"/>
      <c r="Z20" s="72"/>
      <c r="AA20" s="72"/>
      <c r="AB20" s="72"/>
      <c r="AC20" s="72"/>
      <c r="AD20" s="72"/>
      <c r="AE20" s="72"/>
      <c r="AF20" s="72"/>
    </row>
    <row r="21" spans="7:32" ht="15.75" customHeight="1" x14ac:dyDescent="0.25">
      <c r="G21" s="72"/>
      <c r="H21" s="72"/>
      <c r="I21" s="72"/>
      <c r="J21" s="72"/>
      <c r="K21" s="72"/>
      <c r="L21" s="72"/>
      <c r="M21" s="72"/>
      <c r="N21" s="72"/>
      <c r="O21" s="72"/>
      <c r="P21" s="72"/>
      <c r="Q21" s="72"/>
      <c r="R21" s="72"/>
      <c r="S21" s="72"/>
      <c r="T21" s="72"/>
      <c r="U21" s="72"/>
      <c r="V21" s="72"/>
      <c r="W21" s="72"/>
      <c r="X21" s="72"/>
      <c r="Y21" s="72"/>
      <c r="Z21" s="72"/>
      <c r="AA21" s="72"/>
      <c r="AB21" s="72"/>
      <c r="AC21" s="72"/>
      <c r="AD21" s="72"/>
      <c r="AE21" s="72"/>
      <c r="AF21" s="72"/>
    </row>
    <row r="22" spans="7:32" ht="15.75" customHeight="1" x14ac:dyDescent="0.25">
      <c r="G22" s="72"/>
      <c r="H22" s="72"/>
      <c r="I22" s="72"/>
      <c r="J22" s="72"/>
      <c r="K22" s="72"/>
      <c r="L22" s="72"/>
      <c r="M22" s="72"/>
      <c r="N22" s="72"/>
      <c r="O22" s="72"/>
      <c r="P22" s="72"/>
      <c r="Q22" s="72"/>
      <c r="R22" s="72"/>
      <c r="S22" s="72"/>
      <c r="T22" s="72"/>
      <c r="U22" s="72"/>
      <c r="V22" s="72"/>
      <c r="W22" s="72"/>
      <c r="X22" s="72"/>
      <c r="Y22" s="72"/>
      <c r="Z22" s="72"/>
      <c r="AA22" s="72"/>
      <c r="AB22" s="72"/>
      <c r="AC22" s="72"/>
      <c r="AD22" s="72"/>
      <c r="AE22" s="72"/>
      <c r="AF22" s="72"/>
    </row>
    <row r="23" spans="7:32" ht="15.75" customHeight="1" x14ac:dyDescent="0.25">
      <c r="G23" s="72"/>
      <c r="H23" s="72"/>
      <c r="I23" s="72"/>
      <c r="J23" s="72"/>
      <c r="K23" s="72"/>
      <c r="L23" s="72"/>
      <c r="M23" s="72"/>
      <c r="N23" s="72"/>
      <c r="O23" s="72"/>
      <c r="P23" s="72"/>
      <c r="Q23" s="72"/>
      <c r="R23" s="72"/>
      <c r="S23" s="72"/>
      <c r="T23" s="72"/>
      <c r="U23" s="72"/>
      <c r="V23" s="72"/>
      <c r="W23" s="72"/>
      <c r="X23" s="72"/>
      <c r="Y23" s="72"/>
      <c r="Z23" s="72"/>
      <c r="AA23" s="72"/>
      <c r="AB23" s="72"/>
      <c r="AC23" s="72"/>
      <c r="AD23" s="72"/>
      <c r="AE23" s="72"/>
      <c r="AF23" s="72"/>
    </row>
    <row r="24" spans="7:32" ht="15.75" customHeight="1" x14ac:dyDescent="0.25">
      <c r="G24" s="72"/>
      <c r="H24" s="72"/>
      <c r="I24" s="72"/>
      <c r="J24" s="72"/>
      <c r="K24" s="72"/>
      <c r="L24" s="72"/>
      <c r="M24" s="72"/>
      <c r="N24" s="72"/>
      <c r="O24" s="72"/>
      <c r="P24" s="72"/>
      <c r="Q24" s="72"/>
      <c r="R24" s="72"/>
      <c r="S24" s="72"/>
      <c r="T24" s="72"/>
      <c r="U24" s="72"/>
      <c r="V24" s="72"/>
      <c r="W24" s="72"/>
      <c r="X24" s="72"/>
      <c r="Y24" s="72"/>
      <c r="Z24" s="72"/>
      <c r="AA24" s="72"/>
      <c r="AB24" s="72"/>
      <c r="AC24" s="72"/>
      <c r="AD24" s="72"/>
      <c r="AE24" s="72"/>
      <c r="AF24" s="72"/>
    </row>
    <row r="25" spans="7:32" ht="15.75" customHeight="1" x14ac:dyDescent="0.25">
      <c r="G25" s="72"/>
      <c r="H25" s="72"/>
      <c r="I25" s="72"/>
      <c r="J25" s="72"/>
      <c r="K25" s="72"/>
      <c r="L25" s="72"/>
      <c r="M25" s="72"/>
      <c r="N25" s="72"/>
      <c r="O25" s="72"/>
      <c r="P25" s="72"/>
      <c r="Q25" s="72"/>
      <c r="R25" s="72"/>
      <c r="S25" s="72"/>
      <c r="T25" s="72"/>
      <c r="U25" s="72"/>
      <c r="V25" s="72"/>
      <c r="W25" s="72"/>
      <c r="X25" s="72"/>
      <c r="Y25" s="72"/>
      <c r="Z25" s="72"/>
      <c r="AA25" s="72"/>
      <c r="AB25" s="72"/>
      <c r="AC25" s="72"/>
      <c r="AD25" s="72"/>
      <c r="AE25" s="72"/>
      <c r="AF25" s="72"/>
    </row>
    <row r="26" spans="7:32" ht="15.75" customHeight="1" x14ac:dyDescent="0.25">
      <c r="G26" s="72"/>
      <c r="H26" s="72"/>
      <c r="I26" s="72"/>
      <c r="J26" s="72"/>
      <c r="K26" s="72"/>
      <c r="L26" s="72"/>
      <c r="M26" s="72"/>
      <c r="N26" s="72"/>
      <c r="O26" s="72"/>
      <c r="P26" s="72"/>
      <c r="Q26" s="72"/>
      <c r="R26" s="72"/>
      <c r="S26" s="72"/>
      <c r="T26" s="72"/>
      <c r="U26" s="72"/>
      <c r="V26" s="72"/>
      <c r="W26" s="72"/>
      <c r="X26" s="72"/>
      <c r="Y26" s="72"/>
      <c r="Z26" s="72"/>
      <c r="AA26" s="72"/>
      <c r="AB26" s="72"/>
      <c r="AC26" s="72"/>
      <c r="AD26" s="72"/>
      <c r="AE26" s="72"/>
      <c r="AF26" s="72"/>
    </row>
    <row r="27" spans="7:32" ht="15.75" customHeight="1" x14ac:dyDescent="0.25">
      <c r="G27" s="72"/>
      <c r="H27" s="72"/>
      <c r="I27" s="72"/>
      <c r="J27" s="72"/>
      <c r="K27" s="72"/>
      <c r="L27" s="72"/>
      <c r="M27" s="72"/>
      <c r="N27" s="72"/>
      <c r="O27" s="72"/>
      <c r="P27" s="72"/>
      <c r="Q27" s="72"/>
      <c r="R27" s="72"/>
      <c r="S27" s="72"/>
      <c r="T27" s="72"/>
      <c r="U27" s="72"/>
      <c r="V27" s="72"/>
      <c r="W27" s="72"/>
      <c r="X27" s="72"/>
      <c r="Y27" s="72"/>
      <c r="Z27" s="72"/>
      <c r="AA27" s="72"/>
      <c r="AB27" s="72"/>
      <c r="AC27" s="72"/>
      <c r="AD27" s="72"/>
      <c r="AE27" s="72"/>
      <c r="AF27" s="72"/>
    </row>
    <row r="28" spans="7:32" ht="15.75" customHeight="1" x14ac:dyDescent="0.25">
      <c r="G28" s="72"/>
      <c r="H28" s="72"/>
      <c r="I28" s="72"/>
      <c r="J28" s="72"/>
      <c r="K28" s="72"/>
      <c r="L28" s="72"/>
      <c r="M28" s="72"/>
      <c r="N28" s="72"/>
      <c r="O28" s="72"/>
      <c r="P28" s="72"/>
      <c r="Q28" s="72"/>
      <c r="R28" s="72"/>
      <c r="S28" s="72"/>
      <c r="T28" s="72"/>
      <c r="U28" s="72"/>
      <c r="V28" s="72"/>
      <c r="W28" s="72"/>
      <c r="X28" s="72"/>
      <c r="Y28" s="72"/>
      <c r="Z28" s="72"/>
      <c r="AA28" s="72"/>
      <c r="AB28" s="72"/>
      <c r="AC28" s="72"/>
      <c r="AD28" s="72"/>
      <c r="AE28" s="72"/>
      <c r="AF28" s="72"/>
    </row>
    <row r="29" spans="7:32" ht="15.75" customHeight="1" x14ac:dyDescent="0.25">
      <c r="G29" s="72"/>
      <c r="H29" s="72"/>
      <c r="I29" s="72"/>
      <c r="J29" s="72"/>
      <c r="K29" s="72"/>
      <c r="L29" s="72"/>
      <c r="M29" s="72"/>
      <c r="N29" s="72"/>
      <c r="O29" s="72"/>
      <c r="P29" s="72"/>
      <c r="Q29" s="72"/>
      <c r="R29" s="72"/>
      <c r="S29" s="72"/>
      <c r="T29" s="72"/>
      <c r="U29" s="72"/>
      <c r="V29" s="72"/>
      <c r="W29" s="72"/>
      <c r="X29" s="72"/>
      <c r="Y29" s="72"/>
      <c r="Z29" s="72"/>
      <c r="AA29" s="72"/>
      <c r="AB29" s="72"/>
      <c r="AC29" s="72"/>
      <c r="AD29" s="72"/>
      <c r="AE29" s="72"/>
      <c r="AF29" s="72"/>
    </row>
    <row r="30" spans="7:32" ht="15.75" customHeight="1" x14ac:dyDescent="0.25"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2"/>
      <c r="S30" s="72"/>
      <c r="T30" s="72"/>
      <c r="U30" s="72"/>
      <c r="V30" s="72"/>
      <c r="W30" s="72"/>
      <c r="X30" s="72"/>
      <c r="Y30" s="72"/>
      <c r="Z30" s="72"/>
      <c r="AA30" s="72"/>
      <c r="AB30" s="72"/>
      <c r="AC30" s="72"/>
      <c r="AD30" s="72"/>
      <c r="AE30" s="72"/>
      <c r="AF30" s="72"/>
    </row>
    <row r="31" spans="7:32" ht="15.75" customHeight="1" x14ac:dyDescent="0.25">
      <c r="G31" s="72"/>
      <c r="H31" s="72"/>
      <c r="I31" s="72"/>
      <c r="J31" s="72"/>
      <c r="K31" s="72"/>
      <c r="L31" s="72"/>
      <c r="M31" s="72"/>
      <c r="N31" s="72"/>
      <c r="O31" s="72"/>
      <c r="P31" s="72"/>
      <c r="Q31" s="72"/>
      <c r="R31" s="72"/>
      <c r="S31" s="72"/>
      <c r="T31" s="72"/>
      <c r="U31" s="72"/>
      <c r="V31" s="72"/>
      <c r="W31" s="72"/>
      <c r="X31" s="72"/>
      <c r="Y31" s="72"/>
      <c r="Z31" s="72"/>
      <c r="AA31" s="72"/>
      <c r="AB31" s="72"/>
      <c r="AC31" s="72"/>
      <c r="AD31" s="72"/>
      <c r="AE31" s="72"/>
      <c r="AF31" s="72"/>
    </row>
    <row r="32" spans="7:32" ht="15.75" customHeight="1" x14ac:dyDescent="0.25">
      <c r="G32" s="72"/>
      <c r="H32" s="72"/>
      <c r="I32" s="72"/>
      <c r="J32" s="72"/>
      <c r="K32" s="72"/>
      <c r="L32" s="72"/>
      <c r="M32" s="72"/>
      <c r="N32" s="72"/>
      <c r="O32" s="72"/>
      <c r="P32" s="72"/>
      <c r="Q32" s="72"/>
      <c r="R32" s="72"/>
      <c r="S32" s="72"/>
      <c r="T32" s="72"/>
      <c r="U32" s="72"/>
      <c r="V32" s="72"/>
      <c r="W32" s="72"/>
      <c r="X32" s="72"/>
      <c r="Y32" s="72"/>
      <c r="Z32" s="72"/>
      <c r="AA32" s="72"/>
      <c r="AB32" s="72"/>
      <c r="AC32" s="72"/>
      <c r="AD32" s="72"/>
      <c r="AE32" s="72"/>
      <c r="AF32" s="72"/>
    </row>
    <row r="33" spans="7:32" ht="15.75" customHeight="1" x14ac:dyDescent="0.25">
      <c r="G33" s="72"/>
      <c r="H33" s="72"/>
      <c r="I33" s="72"/>
      <c r="J33" s="72"/>
      <c r="K33" s="72"/>
      <c r="L33" s="72"/>
      <c r="M33" s="72"/>
      <c r="N33" s="72"/>
      <c r="O33" s="72"/>
      <c r="P33" s="72"/>
      <c r="Q33" s="72"/>
      <c r="R33" s="72"/>
      <c r="S33" s="72"/>
      <c r="T33" s="72"/>
      <c r="U33" s="72"/>
      <c r="V33" s="72"/>
      <c r="W33" s="72"/>
      <c r="X33" s="72"/>
      <c r="Y33" s="72"/>
      <c r="Z33" s="72"/>
      <c r="AA33" s="72"/>
      <c r="AB33" s="72"/>
      <c r="AC33" s="72"/>
      <c r="AD33" s="72"/>
      <c r="AE33" s="72"/>
      <c r="AF33" s="72"/>
    </row>
    <row r="34" spans="7:32" ht="15.75" customHeight="1" x14ac:dyDescent="0.25">
      <c r="G34" s="72"/>
      <c r="H34" s="72"/>
      <c r="I34" s="72"/>
      <c r="J34" s="72"/>
      <c r="K34" s="72"/>
      <c r="L34" s="72"/>
      <c r="M34" s="72"/>
      <c r="N34" s="72"/>
      <c r="O34" s="72"/>
      <c r="P34" s="72"/>
      <c r="Q34" s="72"/>
      <c r="R34" s="72"/>
      <c r="S34" s="72"/>
      <c r="T34" s="72"/>
      <c r="U34" s="72"/>
      <c r="V34" s="72"/>
      <c r="W34" s="72"/>
      <c r="X34" s="72"/>
      <c r="Y34" s="72"/>
      <c r="Z34" s="72"/>
      <c r="AA34" s="72"/>
      <c r="AB34" s="72"/>
      <c r="AC34" s="72"/>
      <c r="AD34" s="72"/>
      <c r="AE34" s="72"/>
      <c r="AF34" s="72"/>
    </row>
    <row r="35" spans="7:32" ht="15.75" customHeight="1" x14ac:dyDescent="0.25">
      <c r="G35" s="72"/>
      <c r="H35" s="72"/>
      <c r="I35" s="72"/>
      <c r="J35" s="72"/>
      <c r="K35" s="72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  <c r="AA35" s="72"/>
      <c r="AB35" s="72"/>
      <c r="AC35" s="72"/>
      <c r="AD35" s="72"/>
      <c r="AE35" s="72"/>
      <c r="AF35" s="72"/>
    </row>
    <row r="36" spans="7:32" ht="15.75" customHeight="1" x14ac:dyDescent="0.25">
      <c r="G36" s="72"/>
      <c r="H36" s="72"/>
      <c r="I36" s="72"/>
      <c r="J36" s="72"/>
      <c r="K36" s="72"/>
      <c r="L36" s="72"/>
      <c r="M36" s="72"/>
      <c r="N36" s="72"/>
      <c r="O36" s="72"/>
      <c r="P36" s="72"/>
      <c r="Q36" s="72"/>
      <c r="R36" s="72"/>
      <c r="S36" s="72"/>
      <c r="T36" s="72"/>
      <c r="U36" s="72"/>
      <c r="V36" s="72"/>
      <c r="W36" s="72"/>
      <c r="X36" s="72"/>
      <c r="Y36" s="72"/>
      <c r="Z36" s="72"/>
      <c r="AA36" s="72"/>
      <c r="AB36" s="72"/>
      <c r="AC36" s="72"/>
      <c r="AD36" s="72"/>
      <c r="AE36" s="72"/>
      <c r="AF36" s="72"/>
    </row>
    <row r="37" spans="7:32" ht="15.75" customHeight="1" x14ac:dyDescent="0.25">
      <c r="G37" s="72"/>
      <c r="H37" s="72"/>
      <c r="I37" s="72"/>
      <c r="J37" s="72"/>
      <c r="K37" s="72"/>
      <c r="L37" s="72"/>
      <c r="M37" s="72"/>
      <c r="N37" s="72"/>
      <c r="O37" s="72"/>
      <c r="P37" s="72"/>
      <c r="Q37" s="72"/>
      <c r="R37" s="72"/>
      <c r="S37" s="72"/>
      <c r="T37" s="72"/>
      <c r="U37" s="72"/>
      <c r="V37" s="72"/>
      <c r="W37" s="72"/>
      <c r="X37" s="72"/>
      <c r="Y37" s="72"/>
      <c r="Z37" s="72"/>
      <c r="AA37" s="72"/>
      <c r="AB37" s="72"/>
      <c r="AC37" s="72"/>
      <c r="AD37" s="72"/>
      <c r="AE37" s="72"/>
      <c r="AF37" s="72"/>
    </row>
    <row r="38" spans="7:32" ht="15.75" customHeight="1" x14ac:dyDescent="0.25">
      <c r="G38" s="72"/>
      <c r="H38" s="72"/>
      <c r="I38" s="72"/>
      <c r="J38" s="72"/>
      <c r="K38" s="72"/>
      <c r="L38" s="72"/>
      <c r="M38" s="72"/>
      <c r="N38" s="72"/>
      <c r="O38" s="72"/>
      <c r="P38" s="72"/>
      <c r="Q38" s="72"/>
      <c r="R38" s="72"/>
      <c r="S38" s="72"/>
      <c r="T38" s="72"/>
      <c r="U38" s="72"/>
      <c r="V38" s="72"/>
      <c r="W38" s="72"/>
      <c r="X38" s="72"/>
      <c r="Y38" s="72"/>
      <c r="Z38" s="72"/>
      <c r="AA38" s="72"/>
      <c r="AB38" s="72"/>
      <c r="AC38" s="72"/>
      <c r="AD38" s="72"/>
      <c r="AE38" s="72"/>
      <c r="AF38" s="72"/>
    </row>
    <row r="39" spans="7:32" ht="15.75" customHeight="1" x14ac:dyDescent="0.25">
      <c r="G39" s="72"/>
      <c r="H39" s="72"/>
      <c r="I39" s="72"/>
      <c r="J39" s="72"/>
      <c r="K39" s="72"/>
      <c r="L39" s="72"/>
      <c r="M39" s="72"/>
      <c r="N39" s="72"/>
      <c r="O39" s="72"/>
      <c r="P39" s="72"/>
      <c r="Q39" s="72"/>
      <c r="R39" s="72"/>
      <c r="S39" s="72"/>
      <c r="T39" s="72"/>
      <c r="U39" s="72"/>
      <c r="V39" s="72"/>
      <c r="W39" s="72"/>
      <c r="X39" s="72"/>
      <c r="Y39" s="72"/>
      <c r="Z39" s="72"/>
      <c r="AA39" s="72"/>
      <c r="AB39" s="72"/>
      <c r="AC39" s="72"/>
      <c r="AD39" s="72"/>
      <c r="AE39" s="72"/>
      <c r="AF39" s="72"/>
    </row>
    <row r="40" spans="7:32" ht="15.75" customHeight="1" x14ac:dyDescent="0.25">
      <c r="G40" s="72"/>
      <c r="H40" s="72"/>
      <c r="I40" s="72"/>
      <c r="J40" s="72"/>
      <c r="K40" s="72"/>
      <c r="L40" s="72"/>
      <c r="M40" s="72"/>
      <c r="N40" s="72"/>
      <c r="O40" s="72"/>
      <c r="P40" s="72"/>
      <c r="Q40" s="72"/>
      <c r="R40" s="72"/>
      <c r="S40" s="72"/>
      <c r="T40" s="72"/>
      <c r="U40" s="72"/>
      <c r="V40" s="72"/>
      <c r="W40" s="72"/>
      <c r="X40" s="72"/>
      <c r="Y40" s="72"/>
      <c r="Z40" s="72"/>
      <c r="AA40" s="72"/>
      <c r="AB40" s="72"/>
      <c r="AC40" s="72"/>
      <c r="AD40" s="72"/>
      <c r="AE40" s="72"/>
      <c r="AF40" s="72"/>
    </row>
    <row r="41" spans="7:32" ht="15.75" customHeight="1" x14ac:dyDescent="0.25">
      <c r="G41" s="72"/>
      <c r="H41" s="72"/>
      <c r="I41" s="72"/>
      <c r="J41" s="72"/>
      <c r="K41" s="72"/>
      <c r="L41" s="72"/>
      <c r="M41" s="72"/>
      <c r="N41" s="72"/>
      <c r="O41" s="72"/>
      <c r="P41" s="72"/>
      <c r="Q41" s="72"/>
      <c r="R41" s="72"/>
      <c r="S41" s="72"/>
      <c r="T41" s="72"/>
      <c r="U41" s="72"/>
      <c r="V41" s="72"/>
      <c r="W41" s="72"/>
      <c r="X41" s="72"/>
      <c r="Y41" s="72"/>
      <c r="Z41" s="72"/>
      <c r="AA41" s="72"/>
      <c r="AB41" s="72"/>
      <c r="AC41" s="72"/>
      <c r="AD41" s="72"/>
      <c r="AE41" s="72"/>
      <c r="AF41" s="72"/>
    </row>
    <row r="42" spans="7:32" ht="15.75" customHeight="1" x14ac:dyDescent="0.25">
      <c r="G42" s="72"/>
      <c r="H42" s="72"/>
      <c r="I42" s="72"/>
      <c r="J42" s="72"/>
      <c r="K42" s="72"/>
      <c r="L42" s="72"/>
      <c r="M42" s="72"/>
      <c r="N42" s="72"/>
      <c r="O42" s="72"/>
      <c r="P42" s="72"/>
      <c r="Q42" s="72"/>
      <c r="R42" s="72"/>
      <c r="S42" s="72"/>
      <c r="T42" s="72"/>
      <c r="U42" s="72"/>
      <c r="V42" s="72"/>
      <c r="W42" s="72"/>
      <c r="X42" s="72"/>
      <c r="Y42" s="72"/>
      <c r="Z42" s="72"/>
      <c r="AA42" s="72"/>
      <c r="AB42" s="72"/>
      <c r="AC42" s="72"/>
      <c r="AD42" s="72"/>
      <c r="AE42" s="72"/>
      <c r="AF42" s="72"/>
    </row>
    <row r="43" spans="7:32" ht="15.75" customHeight="1" x14ac:dyDescent="0.25">
      <c r="G43" s="72"/>
      <c r="H43" s="72"/>
      <c r="I43" s="72"/>
      <c r="J43" s="72"/>
      <c r="K43" s="72"/>
      <c r="L43" s="72"/>
      <c r="M43" s="72"/>
      <c r="N43" s="72"/>
      <c r="O43" s="72"/>
      <c r="P43" s="72"/>
      <c r="Q43" s="72"/>
      <c r="R43" s="72"/>
      <c r="S43" s="72"/>
      <c r="T43" s="72"/>
      <c r="U43" s="72"/>
      <c r="V43" s="72"/>
      <c r="W43" s="72"/>
      <c r="X43" s="72"/>
      <c r="Y43" s="72"/>
      <c r="Z43" s="72"/>
      <c r="AA43" s="72"/>
      <c r="AB43" s="72"/>
      <c r="AC43" s="72"/>
      <c r="AD43" s="72"/>
      <c r="AE43" s="72"/>
      <c r="AF43" s="72"/>
    </row>
    <row r="44" spans="7:32" ht="15.75" customHeight="1" x14ac:dyDescent="0.25">
      <c r="G44" s="72"/>
      <c r="H44" s="72"/>
      <c r="I44" s="72"/>
      <c r="J44" s="72"/>
      <c r="K44" s="72"/>
      <c r="L44" s="72"/>
      <c r="M44" s="72"/>
      <c r="N44" s="72"/>
      <c r="O44" s="72"/>
      <c r="P44" s="72"/>
      <c r="Q44" s="72"/>
      <c r="R44" s="72"/>
      <c r="S44" s="72"/>
      <c r="T44" s="72"/>
      <c r="U44" s="72"/>
      <c r="V44" s="72"/>
      <c r="W44" s="72"/>
      <c r="X44" s="72"/>
      <c r="Y44" s="72"/>
      <c r="Z44" s="72"/>
      <c r="AA44" s="72"/>
      <c r="AB44" s="72"/>
      <c r="AC44" s="72"/>
      <c r="AD44" s="72"/>
      <c r="AE44" s="72"/>
      <c r="AF44" s="72"/>
    </row>
    <row r="45" spans="7:32" ht="15.75" customHeight="1" x14ac:dyDescent="0.25">
      <c r="G45" s="72"/>
      <c r="H45" s="72"/>
      <c r="I45" s="72"/>
      <c r="J45" s="72"/>
      <c r="K45" s="72"/>
      <c r="L45" s="72"/>
      <c r="M45" s="72"/>
      <c r="N45" s="72"/>
      <c r="O45" s="72"/>
      <c r="P45" s="72"/>
      <c r="Q45" s="72"/>
      <c r="R45" s="72"/>
      <c r="S45" s="72"/>
      <c r="T45" s="72"/>
      <c r="U45" s="72"/>
      <c r="V45" s="72"/>
      <c r="W45" s="72"/>
      <c r="X45" s="72"/>
      <c r="Y45" s="72"/>
      <c r="Z45" s="72"/>
      <c r="AA45" s="72"/>
      <c r="AB45" s="72"/>
      <c r="AC45" s="72"/>
      <c r="AD45" s="72"/>
      <c r="AE45" s="72"/>
      <c r="AF45" s="72"/>
    </row>
    <row r="46" spans="7:32" ht="15.75" customHeight="1" x14ac:dyDescent="0.25">
      <c r="G46" s="72"/>
      <c r="H46" s="72"/>
      <c r="I46" s="72"/>
      <c r="J46" s="72"/>
      <c r="K46" s="72"/>
      <c r="L46" s="72"/>
      <c r="M46" s="72"/>
      <c r="N46" s="72"/>
      <c r="O46" s="72"/>
      <c r="P46" s="72"/>
      <c r="Q46" s="72"/>
      <c r="R46" s="72"/>
      <c r="S46" s="72"/>
      <c r="T46" s="72"/>
      <c r="U46" s="72"/>
      <c r="V46" s="72"/>
      <c r="W46" s="72"/>
      <c r="X46" s="72"/>
      <c r="Y46" s="72"/>
      <c r="Z46" s="72"/>
      <c r="AA46" s="72"/>
      <c r="AB46" s="72"/>
      <c r="AC46" s="72"/>
      <c r="AD46" s="72"/>
      <c r="AE46" s="72"/>
      <c r="AF46" s="72"/>
    </row>
    <row r="47" spans="7:32" ht="15.75" customHeight="1" x14ac:dyDescent="0.25">
      <c r="G47" s="72"/>
      <c r="H47" s="72"/>
      <c r="I47" s="72"/>
      <c r="J47" s="72"/>
      <c r="K47" s="72"/>
      <c r="L47" s="72"/>
      <c r="M47" s="72"/>
      <c r="N47" s="72"/>
      <c r="O47" s="72"/>
      <c r="P47" s="72"/>
      <c r="Q47" s="72"/>
      <c r="R47" s="72"/>
      <c r="S47" s="72"/>
      <c r="T47" s="72"/>
      <c r="U47" s="72"/>
      <c r="V47" s="72"/>
      <c r="W47" s="72"/>
      <c r="X47" s="72"/>
      <c r="Y47" s="72"/>
      <c r="Z47" s="72"/>
      <c r="AA47" s="72"/>
      <c r="AB47" s="72"/>
      <c r="AC47" s="72"/>
      <c r="AD47" s="72"/>
      <c r="AE47" s="72"/>
      <c r="AF47" s="72"/>
    </row>
    <row r="48" spans="7:32" ht="15.75" customHeight="1" x14ac:dyDescent="0.25">
      <c r="G48" s="72"/>
      <c r="H48" s="72"/>
      <c r="I48" s="72"/>
      <c r="J48" s="72"/>
      <c r="K48" s="72"/>
      <c r="L48" s="72"/>
      <c r="M48" s="72"/>
      <c r="N48" s="72"/>
      <c r="O48" s="72"/>
      <c r="P48" s="72"/>
      <c r="Q48" s="72"/>
      <c r="R48" s="72"/>
      <c r="S48" s="72"/>
      <c r="T48" s="72"/>
      <c r="U48" s="72"/>
      <c r="V48" s="72"/>
      <c r="W48" s="72"/>
      <c r="X48" s="72"/>
      <c r="Y48" s="72"/>
      <c r="Z48" s="72"/>
      <c r="AA48" s="72"/>
      <c r="AB48" s="72"/>
      <c r="AC48" s="72"/>
      <c r="AD48" s="72"/>
      <c r="AE48" s="72"/>
      <c r="AF48" s="72"/>
    </row>
    <row r="49" spans="7:32" ht="15.75" customHeight="1" x14ac:dyDescent="0.25">
      <c r="G49" s="72"/>
      <c r="H49" s="72"/>
      <c r="I49" s="72"/>
      <c r="J49" s="72"/>
      <c r="K49" s="72"/>
      <c r="L49" s="72"/>
      <c r="M49" s="72"/>
      <c r="N49" s="72"/>
      <c r="O49" s="72"/>
      <c r="P49" s="72"/>
      <c r="Q49" s="72"/>
      <c r="R49" s="72"/>
      <c r="S49" s="72"/>
      <c r="T49" s="72"/>
      <c r="U49" s="72"/>
      <c r="V49" s="72"/>
      <c r="W49" s="72"/>
      <c r="X49" s="72"/>
      <c r="Y49" s="72"/>
      <c r="Z49" s="72"/>
      <c r="AA49" s="72"/>
      <c r="AB49" s="72"/>
      <c r="AC49" s="72"/>
      <c r="AD49" s="72"/>
      <c r="AE49" s="72"/>
      <c r="AF49" s="72"/>
    </row>
    <row r="50" spans="7:32" ht="15.75" customHeight="1" x14ac:dyDescent="0.25">
      <c r="G50" s="72"/>
      <c r="H50" s="72"/>
      <c r="I50" s="72"/>
      <c r="J50" s="72"/>
      <c r="K50" s="72"/>
      <c r="L50" s="72"/>
      <c r="M50" s="72"/>
      <c r="N50" s="72"/>
      <c r="O50" s="72"/>
      <c r="P50" s="72"/>
      <c r="Q50" s="72"/>
      <c r="R50" s="72"/>
      <c r="S50" s="72"/>
      <c r="T50" s="72"/>
      <c r="U50" s="72"/>
      <c r="V50" s="72"/>
      <c r="W50" s="72"/>
      <c r="X50" s="72"/>
      <c r="Y50" s="72"/>
      <c r="Z50" s="72"/>
      <c r="AA50" s="72"/>
      <c r="AB50" s="72"/>
      <c r="AC50" s="72"/>
      <c r="AD50" s="72"/>
      <c r="AE50" s="72"/>
      <c r="AF50" s="72"/>
    </row>
    <row r="51" spans="7:32" ht="15.75" customHeight="1" x14ac:dyDescent="0.25">
      <c r="G51" s="72"/>
      <c r="H51" s="72"/>
      <c r="I51" s="72"/>
      <c r="J51" s="72"/>
      <c r="K51" s="72"/>
      <c r="L51" s="72"/>
      <c r="M51" s="72"/>
      <c r="N51" s="72"/>
      <c r="O51" s="72"/>
      <c r="P51" s="72"/>
      <c r="Q51" s="72"/>
      <c r="R51" s="72"/>
      <c r="S51" s="72"/>
      <c r="T51" s="72"/>
      <c r="U51" s="72"/>
      <c r="V51" s="72"/>
      <c r="W51" s="72"/>
      <c r="X51" s="72"/>
      <c r="Y51" s="72"/>
      <c r="Z51" s="72"/>
      <c r="AA51" s="72"/>
      <c r="AB51" s="72"/>
      <c r="AC51" s="72"/>
      <c r="AD51" s="72"/>
      <c r="AE51" s="72"/>
      <c r="AF51" s="72"/>
    </row>
    <row r="52" spans="7:32" ht="15.75" customHeight="1" x14ac:dyDescent="0.25">
      <c r="G52" s="72"/>
      <c r="H52" s="72"/>
      <c r="I52" s="72"/>
      <c r="J52" s="72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  <c r="AA52" s="72"/>
      <c r="AB52" s="72"/>
      <c r="AC52" s="72"/>
      <c r="AD52" s="72"/>
      <c r="AE52" s="72"/>
      <c r="AF52" s="72"/>
    </row>
    <row r="53" spans="7:32" ht="15.75" customHeight="1" x14ac:dyDescent="0.25">
      <c r="G53" s="72"/>
      <c r="H53" s="72"/>
      <c r="I53" s="72"/>
      <c r="J53" s="72"/>
      <c r="K53" s="72"/>
      <c r="L53" s="72"/>
      <c r="M53" s="72"/>
      <c r="N53" s="72"/>
      <c r="O53" s="72"/>
      <c r="P53" s="72"/>
      <c r="Q53" s="72"/>
      <c r="R53" s="72"/>
      <c r="S53" s="72"/>
      <c r="T53" s="72"/>
      <c r="U53" s="72"/>
      <c r="V53" s="72"/>
      <c r="W53" s="72"/>
      <c r="X53" s="72"/>
      <c r="Y53" s="72"/>
      <c r="Z53" s="72"/>
      <c r="AA53" s="72"/>
      <c r="AB53" s="72"/>
      <c r="AC53" s="72"/>
      <c r="AD53" s="72"/>
      <c r="AE53" s="72"/>
      <c r="AF53" s="72"/>
    </row>
    <row r="54" spans="7:32" ht="15.75" customHeight="1" x14ac:dyDescent="0.25">
      <c r="G54" s="72"/>
      <c r="H54" s="72"/>
      <c r="I54" s="72"/>
      <c r="J54" s="72"/>
      <c r="K54" s="72"/>
      <c r="L54" s="72"/>
      <c r="M54" s="72"/>
      <c r="N54" s="72"/>
      <c r="O54" s="72"/>
      <c r="P54" s="72"/>
      <c r="Q54" s="72"/>
      <c r="R54" s="72"/>
      <c r="S54" s="72"/>
      <c r="T54" s="72"/>
      <c r="U54" s="72"/>
      <c r="V54" s="72"/>
      <c r="W54" s="72"/>
      <c r="X54" s="72"/>
      <c r="Y54" s="72"/>
      <c r="Z54" s="72"/>
      <c r="AA54" s="72"/>
      <c r="AB54" s="72"/>
      <c r="AC54" s="72"/>
      <c r="AD54" s="72"/>
      <c r="AE54" s="72"/>
      <c r="AF54" s="72"/>
    </row>
    <row r="55" spans="7:32" ht="15.75" customHeight="1" x14ac:dyDescent="0.25">
      <c r="G55" s="72"/>
      <c r="H55" s="72"/>
      <c r="I55" s="72"/>
      <c r="J55" s="72"/>
      <c r="K55" s="72"/>
      <c r="L55" s="72"/>
      <c r="M55" s="72"/>
      <c r="N55" s="72"/>
      <c r="O55" s="72"/>
      <c r="P55" s="72"/>
      <c r="Q55" s="72"/>
      <c r="R55" s="72"/>
      <c r="S55" s="72"/>
      <c r="T55" s="72"/>
      <c r="U55" s="72"/>
      <c r="V55" s="72"/>
      <c r="W55" s="72"/>
      <c r="X55" s="72"/>
      <c r="Y55" s="72"/>
      <c r="Z55" s="72"/>
      <c r="AA55" s="72"/>
      <c r="AB55" s="72"/>
      <c r="AC55" s="72"/>
      <c r="AD55" s="72"/>
      <c r="AE55" s="72"/>
      <c r="AF55" s="72"/>
    </row>
    <row r="56" spans="7:32" ht="15.75" customHeight="1" x14ac:dyDescent="0.25">
      <c r="G56" s="72"/>
      <c r="H56" s="72"/>
      <c r="I56" s="72"/>
      <c r="J56" s="72"/>
      <c r="K56" s="72"/>
      <c r="L56" s="72"/>
      <c r="M56" s="72"/>
      <c r="N56" s="72"/>
      <c r="O56" s="72"/>
      <c r="P56" s="72"/>
      <c r="Q56" s="72"/>
      <c r="R56" s="72"/>
      <c r="S56" s="72"/>
      <c r="T56" s="72"/>
      <c r="U56" s="72"/>
      <c r="V56" s="72"/>
      <c r="W56" s="72"/>
      <c r="X56" s="72"/>
      <c r="Y56" s="72"/>
      <c r="Z56" s="72"/>
      <c r="AA56" s="72"/>
      <c r="AB56" s="72"/>
      <c r="AC56" s="72"/>
      <c r="AD56" s="72"/>
      <c r="AE56" s="72"/>
      <c r="AF56" s="72"/>
    </row>
    <row r="57" spans="7:32" ht="15.75" customHeight="1" x14ac:dyDescent="0.25">
      <c r="G57" s="72"/>
      <c r="H57" s="72"/>
      <c r="I57" s="72"/>
      <c r="J57" s="72"/>
      <c r="K57" s="72"/>
      <c r="L57" s="72"/>
      <c r="M57" s="72"/>
      <c r="N57" s="72"/>
      <c r="O57" s="72"/>
      <c r="P57" s="72"/>
      <c r="Q57" s="72"/>
      <c r="R57" s="72"/>
      <c r="S57" s="72"/>
      <c r="T57" s="72"/>
      <c r="U57" s="72"/>
      <c r="V57" s="72"/>
      <c r="W57" s="72"/>
      <c r="X57" s="72"/>
      <c r="Y57" s="72"/>
      <c r="Z57" s="72"/>
      <c r="AA57" s="72"/>
      <c r="AB57" s="72"/>
      <c r="AC57" s="72"/>
      <c r="AD57" s="72"/>
      <c r="AE57" s="72"/>
      <c r="AF57" s="72"/>
    </row>
    <row r="58" spans="7:32" ht="15.75" customHeight="1" x14ac:dyDescent="0.25">
      <c r="G58" s="72"/>
      <c r="H58" s="72"/>
      <c r="I58" s="72"/>
      <c r="J58" s="72"/>
      <c r="K58" s="72"/>
      <c r="L58" s="72"/>
      <c r="M58" s="72"/>
      <c r="N58" s="72"/>
      <c r="O58" s="72"/>
      <c r="P58" s="72"/>
      <c r="Q58" s="72"/>
      <c r="R58" s="72"/>
      <c r="S58" s="72"/>
      <c r="T58" s="72"/>
      <c r="U58" s="72"/>
      <c r="V58" s="72"/>
      <c r="W58" s="72"/>
      <c r="X58" s="72"/>
      <c r="Y58" s="72"/>
      <c r="Z58" s="72"/>
      <c r="AA58" s="72"/>
      <c r="AB58" s="72"/>
      <c r="AC58" s="72"/>
      <c r="AD58" s="72"/>
      <c r="AE58" s="72"/>
      <c r="AF58" s="72"/>
    </row>
    <row r="59" spans="7:32" ht="15.75" customHeight="1" x14ac:dyDescent="0.25">
      <c r="G59" s="72"/>
      <c r="H59" s="72"/>
      <c r="I59" s="72"/>
      <c r="J59" s="72"/>
      <c r="K59" s="72"/>
      <c r="L59" s="72"/>
      <c r="M59" s="72"/>
      <c r="N59" s="72"/>
      <c r="O59" s="72"/>
      <c r="P59" s="72"/>
      <c r="Q59" s="72"/>
      <c r="R59" s="72"/>
      <c r="S59" s="72"/>
      <c r="T59" s="72"/>
      <c r="U59" s="72"/>
      <c r="V59" s="72"/>
      <c r="W59" s="72"/>
      <c r="X59" s="72"/>
      <c r="Y59" s="72"/>
      <c r="Z59" s="72"/>
      <c r="AA59" s="72"/>
      <c r="AB59" s="72"/>
      <c r="AC59" s="72"/>
      <c r="AD59" s="72"/>
      <c r="AE59" s="72"/>
      <c r="AF59" s="72"/>
    </row>
    <row r="60" spans="7:32" ht="15.75" customHeight="1" x14ac:dyDescent="0.25">
      <c r="G60" s="72"/>
      <c r="H60" s="72"/>
      <c r="I60" s="72"/>
      <c r="J60" s="72"/>
      <c r="K60" s="72"/>
      <c r="L60" s="72"/>
      <c r="M60" s="72"/>
      <c r="N60" s="72"/>
      <c r="O60" s="72"/>
      <c r="P60" s="72"/>
      <c r="Q60" s="72"/>
      <c r="R60" s="72"/>
      <c r="S60" s="72"/>
      <c r="T60" s="72"/>
      <c r="U60" s="72"/>
      <c r="V60" s="72"/>
      <c r="W60" s="72"/>
      <c r="X60" s="72"/>
      <c r="Y60" s="72"/>
      <c r="Z60" s="72"/>
      <c r="AA60" s="72"/>
      <c r="AB60" s="72"/>
      <c r="AC60" s="72"/>
      <c r="AD60" s="72"/>
      <c r="AE60" s="72"/>
      <c r="AF60" s="72"/>
    </row>
    <row r="61" spans="7:32" ht="15.75" customHeight="1" x14ac:dyDescent="0.25">
      <c r="G61" s="72"/>
      <c r="H61" s="72"/>
      <c r="I61" s="72"/>
      <c r="J61" s="72"/>
      <c r="K61" s="72"/>
      <c r="L61" s="72"/>
      <c r="M61" s="72"/>
      <c r="N61" s="72"/>
      <c r="O61" s="72"/>
      <c r="P61" s="72"/>
      <c r="Q61" s="72"/>
      <c r="R61" s="72"/>
      <c r="S61" s="72"/>
      <c r="T61" s="72"/>
      <c r="U61" s="72"/>
      <c r="V61" s="72"/>
      <c r="W61" s="72"/>
      <c r="X61" s="72"/>
      <c r="Y61" s="72"/>
      <c r="Z61" s="72"/>
      <c r="AA61" s="72"/>
      <c r="AB61" s="72"/>
      <c r="AC61" s="72"/>
      <c r="AD61" s="72"/>
      <c r="AE61" s="72"/>
      <c r="AF61" s="72"/>
    </row>
    <row r="62" spans="7:32" ht="15.75" customHeight="1" x14ac:dyDescent="0.25">
      <c r="G62" s="72"/>
      <c r="H62" s="72"/>
      <c r="I62" s="72"/>
      <c r="J62" s="72"/>
      <c r="K62" s="72"/>
      <c r="L62" s="72"/>
      <c r="M62" s="72"/>
      <c r="N62" s="72"/>
      <c r="O62" s="72"/>
      <c r="P62" s="72"/>
      <c r="Q62" s="72"/>
      <c r="R62" s="72"/>
      <c r="S62" s="72"/>
      <c r="T62" s="72"/>
      <c r="U62" s="72"/>
      <c r="V62" s="72"/>
      <c r="W62" s="72"/>
      <c r="X62" s="72"/>
      <c r="Y62" s="72"/>
      <c r="Z62" s="72"/>
      <c r="AA62" s="72"/>
      <c r="AB62" s="72"/>
      <c r="AC62" s="72"/>
      <c r="AD62" s="72"/>
      <c r="AE62" s="72"/>
      <c r="AF62" s="72"/>
    </row>
    <row r="63" spans="7:32" ht="15.75" customHeight="1" x14ac:dyDescent="0.25">
      <c r="G63" s="72"/>
      <c r="H63" s="72"/>
      <c r="I63" s="72"/>
      <c r="J63" s="72"/>
      <c r="K63" s="72"/>
      <c r="L63" s="72"/>
      <c r="M63" s="72"/>
      <c r="N63" s="72"/>
      <c r="O63" s="72"/>
      <c r="P63" s="72"/>
      <c r="Q63" s="72"/>
      <c r="R63" s="72"/>
      <c r="S63" s="72"/>
      <c r="T63" s="72"/>
      <c r="U63" s="72"/>
      <c r="V63" s="72"/>
      <c r="W63" s="72"/>
      <c r="X63" s="72"/>
      <c r="Y63" s="72"/>
      <c r="Z63" s="72"/>
      <c r="AA63" s="72"/>
      <c r="AB63" s="72"/>
      <c r="AC63" s="72"/>
      <c r="AD63" s="72"/>
      <c r="AE63" s="72"/>
      <c r="AF63" s="72"/>
    </row>
    <row r="64" spans="7:32" ht="15.75" customHeight="1" x14ac:dyDescent="0.25">
      <c r="G64" s="72"/>
      <c r="H64" s="72"/>
      <c r="I64" s="72"/>
      <c r="J64" s="72"/>
      <c r="K64" s="72"/>
      <c r="L64" s="72"/>
      <c r="M64" s="72"/>
      <c r="N64" s="72"/>
      <c r="O64" s="72"/>
      <c r="P64" s="72"/>
      <c r="Q64" s="72"/>
      <c r="R64" s="72"/>
      <c r="S64" s="72"/>
      <c r="T64" s="72"/>
      <c r="U64" s="72"/>
      <c r="V64" s="72"/>
      <c r="W64" s="72"/>
      <c r="X64" s="72"/>
      <c r="Y64" s="72"/>
      <c r="Z64" s="72"/>
      <c r="AA64" s="72"/>
      <c r="AB64" s="72"/>
      <c r="AC64" s="72"/>
      <c r="AD64" s="72"/>
      <c r="AE64" s="72"/>
      <c r="AF64" s="72"/>
    </row>
    <row r="65" spans="7:32" ht="15.75" customHeight="1" x14ac:dyDescent="0.25">
      <c r="G65" s="72"/>
      <c r="H65" s="72"/>
      <c r="I65" s="72"/>
      <c r="J65" s="72"/>
      <c r="K65" s="72"/>
      <c r="L65" s="72"/>
      <c r="M65" s="72"/>
      <c r="N65" s="72"/>
      <c r="O65" s="72"/>
      <c r="P65" s="72"/>
      <c r="Q65" s="72"/>
      <c r="R65" s="72"/>
      <c r="S65" s="72"/>
      <c r="T65" s="72"/>
      <c r="U65" s="72"/>
      <c r="V65" s="72"/>
      <c r="W65" s="72"/>
      <c r="X65" s="72"/>
      <c r="Y65" s="72"/>
      <c r="Z65" s="72"/>
      <c r="AA65" s="72"/>
      <c r="AB65" s="72"/>
      <c r="AC65" s="72"/>
      <c r="AD65" s="72"/>
      <c r="AE65" s="72"/>
      <c r="AF65" s="72"/>
    </row>
    <row r="66" spans="7:32" ht="15.75" customHeight="1" x14ac:dyDescent="0.25">
      <c r="G66" s="72"/>
      <c r="H66" s="72"/>
      <c r="I66" s="72"/>
      <c r="J66" s="72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  <c r="AA66" s="72"/>
      <c r="AB66" s="72"/>
      <c r="AC66" s="72"/>
      <c r="AD66" s="72"/>
      <c r="AE66" s="72"/>
      <c r="AF66" s="72"/>
    </row>
    <row r="67" spans="7:32" ht="15.75" customHeight="1" x14ac:dyDescent="0.25">
      <c r="G67" s="72"/>
      <c r="H67" s="72"/>
      <c r="I67" s="72"/>
      <c r="J67" s="72"/>
      <c r="K67" s="72"/>
      <c r="L67" s="72"/>
      <c r="M67" s="72"/>
      <c r="N67" s="72"/>
      <c r="O67" s="72"/>
      <c r="P67" s="72"/>
      <c r="Q67" s="72"/>
      <c r="R67" s="72"/>
      <c r="S67" s="72"/>
      <c r="T67" s="72"/>
      <c r="U67" s="72"/>
      <c r="V67" s="72"/>
      <c r="W67" s="72"/>
      <c r="X67" s="72"/>
      <c r="Y67" s="72"/>
      <c r="Z67" s="72"/>
      <c r="AA67" s="72"/>
      <c r="AB67" s="72"/>
      <c r="AC67" s="72"/>
      <c r="AD67" s="72"/>
      <c r="AE67" s="72"/>
      <c r="AF67" s="72"/>
    </row>
    <row r="68" spans="7:32" ht="15.75" customHeight="1" x14ac:dyDescent="0.25">
      <c r="G68" s="72"/>
      <c r="H68" s="72"/>
      <c r="I68" s="72"/>
      <c r="J68" s="72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 s="72"/>
      <c r="V68" s="72"/>
      <c r="W68" s="72"/>
      <c r="X68" s="72"/>
      <c r="Y68" s="72"/>
      <c r="Z68" s="72"/>
      <c r="AA68" s="72"/>
      <c r="AB68" s="72"/>
      <c r="AC68" s="72"/>
      <c r="AD68" s="72"/>
      <c r="AE68" s="72"/>
      <c r="AF68" s="72"/>
    </row>
    <row r="69" spans="7:32" ht="15.75" customHeight="1" x14ac:dyDescent="0.25">
      <c r="G69" s="72"/>
      <c r="H69" s="72"/>
      <c r="I69" s="72"/>
      <c r="J69" s="72"/>
      <c r="K69" s="72"/>
      <c r="L69" s="72"/>
      <c r="M69" s="72"/>
      <c r="N69" s="72"/>
      <c r="O69" s="72"/>
      <c r="P69" s="72"/>
      <c r="Q69" s="72"/>
      <c r="R69" s="72"/>
      <c r="S69" s="72"/>
      <c r="T69" s="72"/>
      <c r="U69" s="72"/>
      <c r="V69" s="72"/>
      <c r="W69" s="72"/>
      <c r="X69" s="72"/>
      <c r="Y69" s="72"/>
      <c r="Z69" s="72"/>
      <c r="AA69" s="72"/>
      <c r="AB69" s="72"/>
      <c r="AC69" s="72"/>
      <c r="AD69" s="72"/>
      <c r="AE69" s="72"/>
      <c r="AF69" s="72"/>
    </row>
    <row r="70" spans="7:32" ht="15.75" customHeight="1" x14ac:dyDescent="0.25">
      <c r="G70" s="72"/>
      <c r="H70" s="72"/>
      <c r="I70" s="72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 s="72"/>
      <c r="V70" s="72"/>
      <c r="W70" s="72"/>
      <c r="X70" s="72"/>
      <c r="Y70" s="72"/>
      <c r="Z70" s="72"/>
      <c r="AA70" s="72"/>
      <c r="AB70" s="72"/>
      <c r="AC70" s="72"/>
      <c r="AD70" s="72"/>
      <c r="AE70" s="72"/>
      <c r="AF70" s="72"/>
    </row>
    <row r="71" spans="7:32" ht="15.75" customHeight="1" x14ac:dyDescent="0.25">
      <c r="G71" s="72"/>
      <c r="H71" s="72"/>
      <c r="I71" s="72"/>
      <c r="J71" s="72"/>
      <c r="K71" s="72"/>
      <c r="L71" s="72"/>
      <c r="M71" s="72"/>
      <c r="N71" s="72"/>
      <c r="O71" s="72"/>
      <c r="P71" s="72"/>
      <c r="Q71" s="72"/>
      <c r="R71" s="72"/>
      <c r="S71" s="72"/>
      <c r="T71" s="72"/>
      <c r="U71" s="72"/>
      <c r="V71" s="72"/>
      <c r="W71" s="72"/>
      <c r="X71" s="72"/>
      <c r="Y71" s="72"/>
      <c r="Z71" s="72"/>
      <c r="AA71" s="72"/>
      <c r="AB71" s="72"/>
      <c r="AC71" s="72"/>
      <c r="AD71" s="72"/>
      <c r="AE71" s="72"/>
      <c r="AF71" s="72"/>
    </row>
    <row r="72" spans="7:32" ht="15.75" customHeight="1" x14ac:dyDescent="0.25">
      <c r="G72" s="72"/>
      <c r="H72" s="72"/>
      <c r="I72" s="72"/>
      <c r="J72" s="72"/>
      <c r="K72" s="72"/>
      <c r="L72" s="72"/>
      <c r="M72" s="72"/>
      <c r="N72" s="72"/>
      <c r="O72" s="72"/>
      <c r="P72" s="72"/>
      <c r="Q72" s="72"/>
      <c r="R72" s="72"/>
      <c r="S72" s="72"/>
      <c r="T72" s="72"/>
      <c r="U72" s="72"/>
      <c r="V72" s="72"/>
      <c r="W72" s="72"/>
      <c r="X72" s="72"/>
      <c r="Y72" s="72"/>
      <c r="Z72" s="72"/>
      <c r="AA72" s="72"/>
      <c r="AB72" s="72"/>
      <c r="AC72" s="72"/>
      <c r="AD72" s="72"/>
      <c r="AE72" s="72"/>
      <c r="AF72" s="72"/>
    </row>
    <row r="73" spans="7:32" ht="15.75" customHeight="1" x14ac:dyDescent="0.25">
      <c r="G73" s="72"/>
      <c r="H73" s="72"/>
      <c r="I73" s="72"/>
      <c r="J73" s="72"/>
      <c r="K73" s="72"/>
      <c r="L73" s="72"/>
      <c r="M73" s="72"/>
      <c r="N73" s="72"/>
      <c r="O73" s="72"/>
      <c r="P73" s="72"/>
      <c r="Q73" s="72"/>
      <c r="R73" s="72"/>
      <c r="S73" s="72"/>
      <c r="T73" s="72"/>
      <c r="U73" s="72"/>
      <c r="V73" s="72"/>
      <c r="W73" s="72"/>
      <c r="X73" s="72"/>
      <c r="Y73" s="72"/>
      <c r="Z73" s="72"/>
      <c r="AA73" s="72"/>
      <c r="AB73" s="72"/>
      <c r="AC73" s="72"/>
      <c r="AD73" s="72"/>
      <c r="AE73" s="72"/>
      <c r="AF73" s="72"/>
    </row>
    <row r="74" spans="7:32" ht="15.75" customHeight="1" x14ac:dyDescent="0.25">
      <c r="G74" s="72"/>
      <c r="H74" s="72"/>
      <c r="I74" s="72"/>
      <c r="J74" s="72"/>
      <c r="K74" s="72"/>
      <c r="L74" s="72"/>
      <c r="M74" s="72"/>
      <c r="N74" s="72"/>
      <c r="O74" s="72"/>
      <c r="P74" s="72"/>
      <c r="Q74" s="72"/>
      <c r="R74" s="72"/>
      <c r="S74" s="72"/>
      <c r="T74" s="72"/>
      <c r="U74" s="72"/>
      <c r="V74" s="72"/>
      <c r="W74" s="72"/>
      <c r="X74" s="72"/>
      <c r="Y74" s="72"/>
      <c r="Z74" s="72"/>
      <c r="AA74" s="72"/>
      <c r="AB74" s="72"/>
      <c r="AC74" s="72"/>
      <c r="AD74" s="72"/>
      <c r="AE74" s="72"/>
      <c r="AF74" s="72"/>
    </row>
    <row r="75" spans="7:32" ht="15.75" customHeight="1" x14ac:dyDescent="0.25">
      <c r="G75" s="72"/>
      <c r="H75" s="72"/>
      <c r="I75" s="72"/>
      <c r="J75" s="72"/>
      <c r="K75" s="72"/>
      <c r="L75" s="72"/>
      <c r="M75" s="72"/>
      <c r="N75" s="72"/>
      <c r="O75" s="72"/>
      <c r="P75" s="72"/>
      <c r="Q75" s="72"/>
      <c r="R75" s="72"/>
      <c r="S75" s="72"/>
      <c r="T75" s="72"/>
      <c r="U75" s="72"/>
      <c r="V75" s="72"/>
      <c r="W75" s="72"/>
      <c r="X75" s="72"/>
      <c r="Y75" s="72"/>
      <c r="Z75" s="72"/>
      <c r="AA75" s="72"/>
      <c r="AB75" s="72"/>
      <c r="AC75" s="72"/>
      <c r="AD75" s="72"/>
      <c r="AE75" s="72"/>
      <c r="AF75" s="72"/>
    </row>
    <row r="76" spans="7:32" ht="15.75" customHeight="1" x14ac:dyDescent="0.25">
      <c r="G76" s="72"/>
      <c r="H76" s="72"/>
      <c r="I76" s="72"/>
      <c r="J76" s="72"/>
      <c r="K76" s="72"/>
      <c r="L76" s="72"/>
      <c r="M76" s="72"/>
      <c r="N76" s="72"/>
      <c r="O76" s="72"/>
      <c r="P76" s="72"/>
      <c r="Q76" s="72"/>
      <c r="R76" s="72"/>
      <c r="S76" s="72"/>
      <c r="T76" s="72"/>
      <c r="U76" s="72"/>
      <c r="V76" s="72"/>
      <c r="W76" s="72"/>
      <c r="X76" s="72"/>
      <c r="Y76" s="72"/>
      <c r="Z76" s="72"/>
      <c r="AA76" s="72"/>
      <c r="AB76" s="72"/>
      <c r="AC76" s="72"/>
      <c r="AD76" s="72"/>
      <c r="AE76" s="72"/>
      <c r="AF76" s="72"/>
    </row>
    <row r="77" spans="7:32" ht="15.75" customHeight="1" x14ac:dyDescent="0.25">
      <c r="G77" s="72"/>
      <c r="H77" s="72"/>
      <c r="I77" s="72"/>
      <c r="J77" s="72"/>
      <c r="K77" s="72"/>
      <c r="L77" s="72"/>
      <c r="M77" s="72"/>
      <c r="N77" s="72"/>
      <c r="O77" s="72"/>
      <c r="P77" s="72"/>
      <c r="Q77" s="72"/>
      <c r="R77" s="72"/>
      <c r="S77" s="72"/>
      <c r="T77" s="72"/>
      <c r="U77" s="72"/>
      <c r="V77" s="72"/>
      <c r="W77" s="72"/>
      <c r="X77" s="72"/>
      <c r="Y77" s="72"/>
      <c r="Z77" s="72"/>
      <c r="AA77" s="72"/>
      <c r="AB77" s="72"/>
      <c r="AC77" s="72"/>
      <c r="AD77" s="72"/>
      <c r="AE77" s="72"/>
      <c r="AF77" s="72"/>
    </row>
    <row r="78" spans="7:32" ht="15.75" customHeight="1" x14ac:dyDescent="0.25">
      <c r="G78" s="72"/>
      <c r="H78" s="72"/>
      <c r="I78" s="72"/>
      <c r="J78" s="72"/>
      <c r="K78" s="72"/>
      <c r="L78" s="72"/>
      <c r="M78" s="72"/>
      <c r="N78" s="72"/>
      <c r="O78" s="72"/>
      <c r="P78" s="72"/>
      <c r="Q78" s="72"/>
      <c r="R78" s="72"/>
      <c r="S78" s="72"/>
      <c r="T78" s="72"/>
      <c r="U78" s="72"/>
      <c r="V78" s="72"/>
      <c r="W78" s="72"/>
      <c r="X78" s="72"/>
      <c r="Y78" s="72"/>
      <c r="Z78" s="72"/>
      <c r="AA78" s="72"/>
      <c r="AB78" s="72"/>
      <c r="AC78" s="72"/>
      <c r="AD78" s="72"/>
      <c r="AE78" s="72"/>
      <c r="AF78" s="72"/>
    </row>
    <row r="79" spans="7:32" ht="15.75" customHeight="1" x14ac:dyDescent="0.25">
      <c r="G79" s="72"/>
      <c r="H79" s="72"/>
      <c r="I79" s="72"/>
      <c r="J79" s="72"/>
      <c r="K79" s="72"/>
      <c r="L79" s="72"/>
      <c r="M79" s="72"/>
      <c r="N79" s="72"/>
      <c r="O79" s="72"/>
      <c r="P79" s="72"/>
      <c r="Q79" s="72"/>
      <c r="R79" s="72"/>
      <c r="S79" s="72"/>
      <c r="T79" s="72"/>
      <c r="U79" s="72"/>
      <c r="V79" s="72"/>
      <c r="W79" s="72"/>
      <c r="X79" s="72"/>
      <c r="Y79" s="72"/>
      <c r="Z79" s="72"/>
      <c r="AA79" s="72"/>
      <c r="AB79" s="72"/>
      <c r="AC79" s="72"/>
      <c r="AD79" s="72"/>
      <c r="AE79" s="72"/>
      <c r="AF79" s="72"/>
    </row>
    <row r="80" spans="7:32" ht="15.75" customHeight="1" x14ac:dyDescent="0.25">
      <c r="G80" s="72"/>
      <c r="H80" s="72"/>
      <c r="I80" s="72"/>
      <c r="J80" s="72"/>
      <c r="K80" s="72"/>
      <c r="L80" s="72"/>
      <c r="M80" s="72"/>
      <c r="N80" s="72"/>
      <c r="O80" s="72"/>
      <c r="P80" s="72"/>
      <c r="Q80" s="72"/>
      <c r="R80" s="72"/>
      <c r="S80" s="72"/>
      <c r="T80" s="72"/>
      <c r="U80" s="72"/>
      <c r="V80" s="72"/>
      <c r="W80" s="72"/>
      <c r="X80" s="72"/>
      <c r="Y80" s="72"/>
      <c r="Z80" s="72"/>
      <c r="AA80" s="72"/>
      <c r="AB80" s="72"/>
      <c r="AC80" s="72"/>
      <c r="AD80" s="72"/>
      <c r="AE80" s="72"/>
      <c r="AF80" s="72"/>
    </row>
    <row r="81" spans="7:32" ht="15.75" customHeight="1" x14ac:dyDescent="0.25">
      <c r="G81" s="72"/>
      <c r="H81" s="72"/>
      <c r="I81" s="72"/>
      <c r="J81" s="72"/>
      <c r="K81" s="72"/>
      <c r="L81" s="72"/>
      <c r="M81" s="72"/>
      <c r="N81" s="72"/>
      <c r="O81" s="72"/>
      <c r="P81" s="72"/>
      <c r="Q81" s="72"/>
      <c r="R81" s="72"/>
      <c r="S81" s="72"/>
      <c r="T81" s="72"/>
      <c r="U81" s="72"/>
      <c r="V81" s="72"/>
      <c r="W81" s="72"/>
      <c r="X81" s="72"/>
      <c r="Y81" s="72"/>
      <c r="Z81" s="72"/>
      <c r="AA81" s="72"/>
      <c r="AB81" s="72"/>
      <c r="AC81" s="72"/>
      <c r="AD81" s="72"/>
      <c r="AE81" s="72"/>
      <c r="AF81" s="72"/>
    </row>
    <row r="82" spans="7:32" ht="15.75" customHeight="1" x14ac:dyDescent="0.25">
      <c r="G82" s="72"/>
      <c r="H82" s="72"/>
      <c r="I82" s="72"/>
      <c r="J82" s="72"/>
      <c r="K82" s="72"/>
      <c r="L82" s="72"/>
      <c r="M82" s="72"/>
      <c r="N82" s="72"/>
      <c r="O82" s="72"/>
      <c r="P82" s="72"/>
      <c r="Q82" s="72"/>
      <c r="R82" s="72"/>
      <c r="S82" s="72"/>
      <c r="T82" s="72"/>
      <c r="U82" s="72"/>
      <c r="V82" s="72"/>
      <c r="W82" s="72"/>
      <c r="X82" s="72"/>
      <c r="Y82" s="72"/>
      <c r="Z82" s="72"/>
      <c r="AA82" s="72"/>
      <c r="AB82" s="72"/>
      <c r="AC82" s="72"/>
      <c r="AD82" s="72"/>
      <c r="AE82" s="72"/>
      <c r="AF82" s="72"/>
    </row>
    <row r="83" spans="7:32" ht="15.75" customHeight="1" x14ac:dyDescent="0.25">
      <c r="G83" s="72"/>
      <c r="H83" s="72"/>
      <c r="I83" s="72"/>
      <c r="J83" s="72"/>
      <c r="K83" s="72"/>
      <c r="L83" s="72"/>
      <c r="M83" s="72"/>
      <c r="N83" s="72"/>
      <c r="O83" s="72"/>
      <c r="P83" s="72"/>
      <c r="Q83" s="72"/>
      <c r="R83" s="72"/>
      <c r="S83" s="72"/>
      <c r="T83" s="72"/>
      <c r="U83" s="72"/>
      <c r="V83" s="72"/>
      <c r="W83" s="72"/>
      <c r="X83" s="72"/>
      <c r="Y83" s="72"/>
      <c r="Z83" s="72"/>
      <c r="AA83" s="72"/>
      <c r="AB83" s="72"/>
      <c r="AC83" s="72"/>
      <c r="AD83" s="72"/>
      <c r="AE83" s="72"/>
      <c r="AF83" s="72"/>
    </row>
    <row r="84" spans="7:32" ht="15.75" customHeight="1" x14ac:dyDescent="0.25">
      <c r="G84" s="72"/>
      <c r="H84" s="72"/>
      <c r="I84" s="72"/>
      <c r="J84" s="72"/>
      <c r="K84" s="72"/>
      <c r="L84" s="72"/>
      <c r="M84" s="72"/>
      <c r="N84" s="72"/>
      <c r="O84" s="72"/>
      <c r="P84" s="72"/>
      <c r="Q84" s="72"/>
      <c r="R84" s="72"/>
      <c r="S84" s="72"/>
      <c r="T84" s="72"/>
      <c r="U84" s="72"/>
      <c r="V84" s="72"/>
      <c r="W84" s="72"/>
      <c r="X84" s="72"/>
      <c r="Y84" s="72"/>
      <c r="Z84" s="72"/>
      <c r="AA84" s="72"/>
      <c r="AB84" s="72"/>
      <c r="AC84" s="72"/>
      <c r="AD84" s="72"/>
      <c r="AE84" s="72"/>
      <c r="AF84" s="72"/>
    </row>
    <row r="85" spans="7:32" ht="15.75" customHeight="1" x14ac:dyDescent="0.25">
      <c r="G85" s="72"/>
      <c r="H85" s="72"/>
      <c r="I85" s="72"/>
      <c r="J85" s="72"/>
      <c r="K85" s="72"/>
      <c r="L85" s="72"/>
      <c r="M85" s="72"/>
      <c r="N85" s="72"/>
      <c r="O85" s="72"/>
      <c r="P85" s="72"/>
      <c r="Q85" s="72"/>
      <c r="R85" s="72"/>
      <c r="S85" s="72"/>
      <c r="T85" s="72"/>
      <c r="U85" s="72"/>
      <c r="V85" s="72"/>
      <c r="W85" s="72"/>
      <c r="X85" s="72"/>
      <c r="Y85" s="72"/>
      <c r="Z85" s="72"/>
      <c r="AA85" s="72"/>
      <c r="AB85" s="72"/>
      <c r="AC85" s="72"/>
      <c r="AD85" s="72"/>
      <c r="AE85" s="72"/>
      <c r="AF85" s="72"/>
    </row>
    <row r="86" spans="7:32" ht="15.75" customHeight="1" x14ac:dyDescent="0.25">
      <c r="G86" s="72"/>
      <c r="H86" s="72"/>
      <c r="I86" s="72"/>
      <c r="J86" s="72"/>
      <c r="K86" s="72"/>
      <c r="L86" s="72"/>
      <c r="M86" s="72"/>
      <c r="N86" s="72"/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  <c r="AA86" s="72"/>
      <c r="AB86" s="72"/>
      <c r="AC86" s="72"/>
      <c r="AD86" s="72"/>
      <c r="AE86" s="72"/>
      <c r="AF86" s="72"/>
    </row>
    <row r="87" spans="7:32" ht="15.75" customHeight="1" x14ac:dyDescent="0.25">
      <c r="G87" s="72"/>
      <c r="H87" s="72"/>
      <c r="I87" s="72"/>
      <c r="J87" s="72"/>
      <c r="K87" s="72"/>
      <c r="L87" s="72"/>
      <c r="M87" s="72"/>
      <c r="N87" s="72"/>
      <c r="O87" s="72"/>
      <c r="P87" s="72"/>
      <c r="Q87" s="72"/>
      <c r="R87" s="72"/>
      <c r="S87" s="72"/>
      <c r="T87" s="72"/>
      <c r="U87" s="72"/>
      <c r="V87" s="72"/>
      <c r="W87" s="72"/>
      <c r="X87" s="72"/>
      <c r="Y87" s="72"/>
      <c r="Z87" s="72"/>
      <c r="AA87" s="72"/>
      <c r="AB87" s="72"/>
      <c r="AC87" s="72"/>
      <c r="AD87" s="72"/>
      <c r="AE87" s="72"/>
      <c r="AF87" s="72"/>
    </row>
    <row r="88" spans="7:32" ht="15.75" customHeight="1" x14ac:dyDescent="0.25">
      <c r="G88" s="72"/>
      <c r="H88" s="72"/>
      <c r="I88" s="72"/>
      <c r="J88" s="72"/>
      <c r="K88" s="72"/>
      <c r="L88" s="72"/>
      <c r="M88" s="72"/>
      <c r="N88" s="72"/>
      <c r="O88" s="72"/>
      <c r="P88" s="72"/>
      <c r="Q88" s="72"/>
      <c r="R88" s="72"/>
      <c r="S88" s="72"/>
      <c r="T88" s="72"/>
      <c r="U88" s="72"/>
      <c r="V88" s="72"/>
      <c r="W88" s="72"/>
      <c r="X88" s="72"/>
      <c r="Y88" s="72"/>
      <c r="Z88" s="72"/>
      <c r="AA88" s="72"/>
      <c r="AB88" s="72"/>
      <c r="AC88" s="72"/>
      <c r="AD88" s="72"/>
      <c r="AE88" s="72"/>
      <c r="AF88" s="72"/>
    </row>
    <row r="89" spans="7:32" ht="15.75" customHeight="1" x14ac:dyDescent="0.25">
      <c r="G89" s="72"/>
      <c r="H89" s="72"/>
      <c r="I89" s="72"/>
      <c r="J89" s="72"/>
      <c r="K89" s="72"/>
      <c r="L89" s="72"/>
      <c r="M89" s="72"/>
      <c r="N89" s="72"/>
      <c r="O89" s="72"/>
      <c r="P89" s="72"/>
      <c r="Q89" s="72"/>
      <c r="R89" s="72"/>
      <c r="S89" s="72"/>
      <c r="T89" s="72"/>
      <c r="U89" s="72"/>
      <c r="V89" s="72"/>
      <c r="W89" s="72"/>
      <c r="X89" s="72"/>
      <c r="Y89" s="72"/>
      <c r="Z89" s="72"/>
      <c r="AA89" s="72"/>
      <c r="AB89" s="72"/>
      <c r="AC89" s="72"/>
      <c r="AD89" s="72"/>
      <c r="AE89" s="72"/>
      <c r="AF89" s="72"/>
    </row>
    <row r="90" spans="7:32" ht="15.75" customHeight="1" x14ac:dyDescent="0.25">
      <c r="G90" s="72"/>
      <c r="H90" s="72"/>
      <c r="I90" s="72"/>
      <c r="J90" s="72"/>
      <c r="K90" s="72"/>
      <c r="L90" s="72"/>
      <c r="M90" s="72"/>
      <c r="N90" s="72"/>
      <c r="O90" s="72"/>
      <c r="P90" s="72"/>
      <c r="Q90" s="72"/>
      <c r="R90" s="72"/>
      <c r="S90" s="72"/>
      <c r="T90" s="72"/>
      <c r="U90" s="72"/>
      <c r="V90" s="72"/>
      <c r="W90" s="72"/>
      <c r="X90" s="72"/>
      <c r="Y90" s="72"/>
      <c r="Z90" s="72"/>
      <c r="AA90" s="72"/>
      <c r="AB90" s="72"/>
      <c r="AC90" s="72"/>
      <c r="AD90" s="72"/>
      <c r="AE90" s="72"/>
      <c r="AF90" s="72"/>
    </row>
    <row r="91" spans="7:32" ht="15.75" customHeight="1" x14ac:dyDescent="0.25">
      <c r="G91" s="72"/>
      <c r="H91" s="72"/>
      <c r="I91" s="72"/>
      <c r="J91" s="72"/>
      <c r="K91" s="72"/>
      <c r="L91" s="72"/>
      <c r="M91" s="72"/>
      <c r="N91" s="72"/>
      <c r="O91" s="72"/>
      <c r="P91" s="72"/>
      <c r="Q91" s="72"/>
      <c r="R91" s="72"/>
      <c r="S91" s="72"/>
      <c r="T91" s="72"/>
      <c r="U91" s="72"/>
      <c r="V91" s="72"/>
      <c r="W91" s="72"/>
      <c r="X91" s="72"/>
      <c r="Y91" s="72"/>
      <c r="Z91" s="72"/>
      <c r="AA91" s="72"/>
      <c r="AB91" s="72"/>
      <c r="AC91" s="72"/>
      <c r="AD91" s="72"/>
      <c r="AE91" s="72"/>
      <c r="AF91" s="72"/>
    </row>
    <row r="92" spans="7:32" ht="15.75" customHeight="1" x14ac:dyDescent="0.25">
      <c r="G92" s="72"/>
      <c r="H92" s="72"/>
      <c r="I92" s="72"/>
      <c r="J92" s="72"/>
      <c r="K92" s="72"/>
      <c r="L92" s="72"/>
      <c r="M92" s="72"/>
      <c r="N92" s="72"/>
      <c r="O92" s="72"/>
      <c r="P92" s="72"/>
      <c r="Q92" s="72"/>
      <c r="R92" s="72"/>
      <c r="S92" s="72"/>
      <c r="T92" s="72"/>
      <c r="U92" s="72"/>
      <c r="V92" s="72"/>
      <c r="W92" s="72"/>
      <c r="X92" s="72"/>
      <c r="Y92" s="72"/>
      <c r="Z92" s="72"/>
      <c r="AA92" s="72"/>
      <c r="AB92" s="72"/>
      <c r="AC92" s="72"/>
      <c r="AD92" s="72"/>
      <c r="AE92" s="72"/>
      <c r="AF92" s="72"/>
    </row>
    <row r="93" spans="7:32" ht="15.75" customHeight="1" x14ac:dyDescent="0.25">
      <c r="G93" s="72"/>
      <c r="H93" s="72"/>
      <c r="I93" s="72"/>
      <c r="J93" s="72"/>
      <c r="K93" s="72"/>
      <c r="L93" s="72"/>
      <c r="M93" s="72"/>
      <c r="N93" s="72"/>
      <c r="O93" s="72"/>
      <c r="P93" s="72"/>
      <c r="Q93" s="72"/>
      <c r="R93" s="72"/>
      <c r="S93" s="72"/>
      <c r="T93" s="72"/>
      <c r="U93" s="72"/>
      <c r="V93" s="72"/>
      <c r="W93" s="72"/>
      <c r="X93" s="72"/>
      <c r="Y93" s="72"/>
      <c r="Z93" s="72"/>
      <c r="AA93" s="72"/>
      <c r="AB93" s="72"/>
      <c r="AC93" s="72"/>
      <c r="AD93" s="72"/>
      <c r="AE93" s="72"/>
      <c r="AF93" s="72"/>
    </row>
    <row r="94" spans="7:32" ht="15.75" customHeight="1" x14ac:dyDescent="0.25">
      <c r="G94" s="72"/>
      <c r="H94" s="72"/>
      <c r="I94" s="72"/>
      <c r="J94" s="72"/>
      <c r="K94" s="72"/>
      <c r="L94" s="72"/>
      <c r="M94" s="72"/>
      <c r="N94" s="72"/>
      <c r="O94" s="72"/>
      <c r="P94" s="72"/>
      <c r="Q94" s="72"/>
      <c r="R94" s="72"/>
      <c r="S94" s="72"/>
      <c r="T94" s="72"/>
      <c r="U94" s="72"/>
      <c r="V94" s="72"/>
      <c r="W94" s="72"/>
      <c r="X94" s="72"/>
      <c r="Y94" s="72"/>
      <c r="Z94" s="72"/>
      <c r="AA94" s="72"/>
      <c r="AB94" s="72"/>
      <c r="AC94" s="72"/>
      <c r="AD94" s="72"/>
      <c r="AE94" s="72"/>
      <c r="AF94" s="72"/>
    </row>
    <row r="95" spans="7:32" ht="15.75" customHeight="1" x14ac:dyDescent="0.25">
      <c r="G95" s="72"/>
      <c r="H95" s="72"/>
      <c r="I95" s="72"/>
      <c r="J95" s="72"/>
      <c r="K95" s="72"/>
      <c r="L95" s="72"/>
      <c r="M95" s="72"/>
      <c r="N95" s="72"/>
      <c r="O95" s="72"/>
      <c r="P95" s="72"/>
      <c r="Q95" s="72"/>
      <c r="R95" s="72"/>
      <c r="S95" s="72"/>
      <c r="T95" s="72"/>
      <c r="U95" s="72"/>
      <c r="V95" s="72"/>
      <c r="W95" s="72"/>
      <c r="X95" s="72"/>
      <c r="Y95" s="72"/>
      <c r="Z95" s="72"/>
      <c r="AA95" s="72"/>
      <c r="AB95" s="72"/>
      <c r="AC95" s="72"/>
      <c r="AD95" s="72"/>
      <c r="AE95" s="72"/>
      <c r="AF95" s="72"/>
    </row>
    <row r="96" spans="7:32" ht="15.75" customHeight="1" x14ac:dyDescent="0.25">
      <c r="G96" s="72"/>
      <c r="H96" s="72"/>
      <c r="I96" s="72"/>
      <c r="J96" s="72"/>
      <c r="K96" s="72"/>
      <c r="L96" s="72"/>
      <c r="M96" s="72"/>
      <c r="N96" s="72"/>
      <c r="O96" s="72"/>
      <c r="P96" s="72"/>
      <c r="Q96" s="72"/>
      <c r="R96" s="72"/>
      <c r="S96" s="72"/>
      <c r="T96" s="72"/>
      <c r="U96" s="72"/>
      <c r="V96" s="72"/>
      <c r="W96" s="72"/>
      <c r="X96" s="72"/>
      <c r="Y96" s="72"/>
      <c r="Z96" s="72"/>
      <c r="AA96" s="72"/>
      <c r="AB96" s="72"/>
      <c r="AC96" s="72"/>
      <c r="AD96" s="72"/>
      <c r="AE96" s="72"/>
      <c r="AF96" s="72"/>
    </row>
    <row r="97" spans="7:32" ht="15.75" customHeight="1" x14ac:dyDescent="0.25">
      <c r="G97" s="72"/>
      <c r="H97" s="72"/>
      <c r="I97" s="72"/>
      <c r="J97" s="72"/>
      <c r="K97" s="72"/>
      <c r="L97" s="72"/>
      <c r="M97" s="72"/>
      <c r="N97" s="72"/>
      <c r="O97" s="72"/>
      <c r="P97" s="72"/>
      <c r="Q97" s="72"/>
      <c r="R97" s="72"/>
      <c r="S97" s="72"/>
      <c r="T97" s="72"/>
      <c r="U97" s="72"/>
      <c r="V97" s="72"/>
      <c r="W97" s="72"/>
      <c r="X97" s="72"/>
      <c r="Y97" s="72"/>
      <c r="Z97" s="72"/>
      <c r="AA97" s="72"/>
      <c r="AB97" s="72"/>
      <c r="AC97" s="72"/>
      <c r="AD97" s="72"/>
      <c r="AE97" s="72"/>
      <c r="AF97" s="72"/>
    </row>
    <row r="98" spans="7:32" ht="15.75" customHeight="1" x14ac:dyDescent="0.25">
      <c r="G98" s="72"/>
      <c r="H98" s="72"/>
      <c r="I98" s="72"/>
      <c r="J98" s="72"/>
      <c r="K98" s="72"/>
      <c r="L98" s="72"/>
      <c r="M98" s="72"/>
      <c r="N98" s="72"/>
      <c r="O98" s="72"/>
      <c r="P98" s="72"/>
      <c r="Q98" s="72"/>
      <c r="R98" s="72"/>
      <c r="S98" s="72"/>
      <c r="T98" s="72"/>
      <c r="U98" s="72"/>
      <c r="V98" s="72"/>
      <c r="W98" s="72"/>
      <c r="X98" s="72"/>
      <c r="Y98" s="72"/>
      <c r="Z98" s="72"/>
      <c r="AA98" s="72"/>
      <c r="AB98" s="72"/>
      <c r="AC98" s="72"/>
      <c r="AD98" s="72"/>
      <c r="AE98" s="72"/>
      <c r="AF98" s="72"/>
    </row>
    <row r="99" spans="7:32" ht="15.75" customHeight="1" x14ac:dyDescent="0.25"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  <c r="AA99" s="72"/>
      <c r="AB99" s="72"/>
      <c r="AC99" s="72"/>
      <c r="AD99" s="72"/>
      <c r="AE99" s="72"/>
      <c r="AF99" s="72"/>
    </row>
    <row r="100" spans="7:32" ht="15.75" customHeight="1" x14ac:dyDescent="0.25">
      <c r="G100" s="72"/>
      <c r="H100" s="72"/>
      <c r="I100" s="72"/>
      <c r="J100" s="72"/>
      <c r="K100" s="72"/>
      <c r="L100" s="72"/>
      <c r="M100" s="72"/>
      <c r="N100" s="72"/>
      <c r="O100" s="72"/>
      <c r="P100" s="72"/>
      <c r="Q100" s="72"/>
      <c r="R100" s="72"/>
      <c r="S100" s="72"/>
      <c r="T100" s="72"/>
      <c r="U100" s="72"/>
      <c r="V100" s="72"/>
      <c r="W100" s="72"/>
      <c r="X100" s="72"/>
      <c r="Y100" s="72"/>
      <c r="Z100" s="72"/>
      <c r="AA100" s="72"/>
      <c r="AB100" s="72"/>
      <c r="AC100" s="72"/>
      <c r="AD100" s="72"/>
      <c r="AE100" s="72"/>
      <c r="AF100" s="72"/>
    </row>
    <row r="101" spans="7:32" ht="15.75" customHeight="1" x14ac:dyDescent="0.25">
      <c r="G101" s="72"/>
      <c r="H101" s="72"/>
      <c r="I101" s="72"/>
      <c r="J101" s="72"/>
      <c r="K101" s="72"/>
      <c r="L101" s="72"/>
      <c r="M101" s="72"/>
      <c r="N101" s="72"/>
      <c r="O101" s="72"/>
      <c r="P101" s="72"/>
      <c r="Q101" s="72"/>
      <c r="R101" s="72"/>
      <c r="S101" s="72"/>
      <c r="T101" s="72"/>
      <c r="U101" s="72"/>
      <c r="V101" s="72"/>
      <c r="W101" s="72"/>
      <c r="X101" s="72"/>
      <c r="Y101" s="72"/>
      <c r="Z101" s="72"/>
      <c r="AA101" s="72"/>
      <c r="AB101" s="72"/>
      <c r="AC101" s="72"/>
      <c r="AD101" s="72"/>
      <c r="AE101" s="72"/>
      <c r="AF101" s="72"/>
    </row>
    <row r="102" spans="7:32" ht="15.75" customHeight="1" x14ac:dyDescent="0.25">
      <c r="G102" s="72"/>
      <c r="H102" s="72"/>
      <c r="I102" s="72"/>
      <c r="J102" s="72"/>
      <c r="K102" s="72"/>
      <c r="L102" s="72"/>
      <c r="M102" s="72"/>
      <c r="N102" s="72"/>
      <c r="O102" s="72"/>
      <c r="P102" s="72"/>
      <c r="Q102" s="72"/>
      <c r="R102" s="72"/>
      <c r="S102" s="72"/>
      <c r="T102" s="72"/>
      <c r="U102" s="72"/>
      <c r="V102" s="72"/>
      <c r="W102" s="72"/>
      <c r="X102" s="72"/>
      <c r="Y102" s="72"/>
      <c r="Z102" s="72"/>
      <c r="AA102" s="72"/>
      <c r="AB102" s="72"/>
      <c r="AC102" s="72"/>
      <c r="AD102" s="72"/>
      <c r="AE102" s="72"/>
      <c r="AF102" s="72"/>
    </row>
    <row r="103" spans="7:32" ht="15.75" customHeight="1" x14ac:dyDescent="0.25">
      <c r="G103" s="72"/>
      <c r="H103" s="72"/>
      <c r="I103" s="72"/>
      <c r="J103" s="72"/>
      <c r="K103" s="72"/>
      <c r="L103" s="72"/>
      <c r="M103" s="72"/>
      <c r="N103" s="72"/>
      <c r="O103" s="72"/>
      <c r="P103" s="72"/>
      <c r="Q103" s="72"/>
      <c r="R103" s="72"/>
      <c r="S103" s="72"/>
      <c r="T103" s="72"/>
      <c r="U103" s="72"/>
      <c r="V103" s="72"/>
      <c r="W103" s="72"/>
      <c r="X103" s="72"/>
      <c r="Y103" s="72"/>
      <c r="Z103" s="72"/>
      <c r="AA103" s="72"/>
      <c r="AB103" s="72"/>
      <c r="AC103" s="72"/>
      <c r="AD103" s="72"/>
      <c r="AE103" s="72"/>
      <c r="AF103" s="72"/>
    </row>
    <row r="104" spans="7:32" ht="15.75" customHeight="1" x14ac:dyDescent="0.25">
      <c r="G104" s="72"/>
      <c r="H104" s="72"/>
      <c r="I104" s="72"/>
      <c r="J104" s="72"/>
      <c r="K104" s="72"/>
      <c r="L104" s="72"/>
      <c r="M104" s="72"/>
      <c r="N104" s="72"/>
      <c r="O104" s="72"/>
      <c r="P104" s="72"/>
      <c r="Q104" s="72"/>
      <c r="R104" s="72"/>
      <c r="S104" s="72"/>
      <c r="T104" s="72"/>
      <c r="U104" s="72"/>
      <c r="V104" s="72"/>
      <c r="W104" s="72"/>
      <c r="X104" s="72"/>
      <c r="Y104" s="72"/>
      <c r="Z104" s="72"/>
      <c r="AA104" s="72"/>
      <c r="AB104" s="72"/>
      <c r="AC104" s="72"/>
      <c r="AD104" s="72"/>
      <c r="AE104" s="72"/>
      <c r="AF104" s="72"/>
    </row>
    <row r="105" spans="7:32" ht="15.75" customHeight="1" x14ac:dyDescent="0.25">
      <c r="G105" s="72"/>
      <c r="H105" s="72"/>
      <c r="I105" s="72"/>
      <c r="J105" s="72"/>
      <c r="K105" s="72"/>
      <c r="L105" s="72"/>
      <c r="M105" s="72"/>
      <c r="N105" s="72"/>
      <c r="O105" s="72"/>
      <c r="P105" s="72"/>
      <c r="Q105" s="72"/>
      <c r="R105" s="72"/>
      <c r="S105" s="72"/>
      <c r="T105" s="72"/>
      <c r="U105" s="72"/>
      <c r="V105" s="72"/>
      <c r="W105" s="72"/>
      <c r="X105" s="72"/>
      <c r="Y105" s="72"/>
      <c r="Z105" s="72"/>
      <c r="AA105" s="72"/>
      <c r="AB105" s="72"/>
      <c r="AC105" s="72"/>
      <c r="AD105" s="72"/>
      <c r="AE105" s="72"/>
      <c r="AF105" s="72"/>
    </row>
    <row r="106" spans="7:32" ht="15.75" customHeight="1" x14ac:dyDescent="0.25">
      <c r="G106" s="72"/>
      <c r="H106" s="72"/>
      <c r="I106" s="72"/>
      <c r="J106" s="72"/>
      <c r="K106" s="72"/>
      <c r="L106" s="72"/>
      <c r="M106" s="72"/>
      <c r="N106" s="72"/>
      <c r="O106" s="72"/>
      <c r="P106" s="72"/>
      <c r="Q106" s="72"/>
      <c r="R106" s="72"/>
      <c r="S106" s="72"/>
      <c r="T106" s="72"/>
      <c r="U106" s="72"/>
      <c r="V106" s="72"/>
      <c r="W106" s="72"/>
      <c r="X106" s="72"/>
      <c r="Y106" s="72"/>
      <c r="Z106" s="72"/>
      <c r="AA106" s="72"/>
      <c r="AB106" s="72"/>
      <c r="AC106" s="72"/>
      <c r="AD106" s="72"/>
      <c r="AE106" s="72"/>
      <c r="AF106" s="72"/>
    </row>
    <row r="107" spans="7:32" ht="15.75" customHeight="1" x14ac:dyDescent="0.25">
      <c r="G107" s="72"/>
      <c r="H107" s="72"/>
      <c r="I107" s="72"/>
      <c r="J107" s="72"/>
      <c r="K107" s="72"/>
      <c r="L107" s="72"/>
      <c r="M107" s="72"/>
      <c r="N107" s="72"/>
      <c r="O107" s="72"/>
      <c r="P107" s="72"/>
      <c r="Q107" s="72"/>
      <c r="R107" s="72"/>
      <c r="S107" s="72"/>
      <c r="T107" s="72"/>
      <c r="U107" s="72"/>
      <c r="V107" s="72"/>
      <c r="W107" s="72"/>
      <c r="X107" s="72"/>
      <c r="Y107" s="72"/>
      <c r="Z107" s="72"/>
      <c r="AA107" s="72"/>
      <c r="AB107" s="72"/>
      <c r="AC107" s="72"/>
      <c r="AD107" s="72"/>
      <c r="AE107" s="72"/>
      <c r="AF107" s="72"/>
    </row>
    <row r="108" spans="7:32" ht="15.75" customHeight="1" x14ac:dyDescent="0.25">
      <c r="G108" s="72"/>
      <c r="H108" s="72"/>
      <c r="I108" s="72"/>
      <c r="J108" s="72"/>
      <c r="K108" s="72"/>
      <c r="L108" s="72"/>
      <c r="M108" s="72"/>
      <c r="N108" s="72"/>
      <c r="O108" s="72"/>
      <c r="P108" s="72"/>
      <c r="Q108" s="72"/>
      <c r="R108" s="72"/>
      <c r="S108" s="72"/>
      <c r="T108" s="72"/>
      <c r="U108" s="72"/>
      <c r="V108" s="72"/>
      <c r="W108" s="72"/>
      <c r="X108" s="72"/>
      <c r="Y108" s="72"/>
      <c r="Z108" s="72"/>
      <c r="AA108" s="72"/>
      <c r="AB108" s="72"/>
      <c r="AC108" s="72"/>
      <c r="AD108" s="72"/>
      <c r="AE108" s="72"/>
      <c r="AF108" s="72"/>
    </row>
    <row r="109" spans="7:32" ht="15.75" customHeight="1" x14ac:dyDescent="0.25">
      <c r="G109" s="72"/>
      <c r="H109" s="72"/>
      <c r="I109" s="72"/>
      <c r="J109" s="72"/>
      <c r="K109" s="72"/>
      <c r="L109" s="72"/>
      <c r="M109" s="72"/>
      <c r="N109" s="72"/>
      <c r="O109" s="72"/>
      <c r="P109" s="72"/>
      <c r="Q109" s="72"/>
      <c r="R109" s="72"/>
      <c r="S109" s="72"/>
      <c r="T109" s="72"/>
      <c r="U109" s="72"/>
      <c r="V109" s="72"/>
      <c r="W109" s="72"/>
      <c r="X109" s="72"/>
      <c r="Y109" s="72"/>
      <c r="Z109" s="72"/>
      <c r="AA109" s="72"/>
      <c r="AB109" s="72"/>
      <c r="AC109" s="72"/>
      <c r="AD109" s="72"/>
      <c r="AE109" s="72"/>
      <c r="AF109" s="72"/>
    </row>
    <row r="110" spans="7:32" ht="15.75" customHeight="1" x14ac:dyDescent="0.25">
      <c r="G110" s="72"/>
      <c r="H110" s="72"/>
      <c r="I110" s="72"/>
      <c r="J110" s="72"/>
      <c r="K110" s="72"/>
      <c r="L110" s="72"/>
      <c r="M110" s="72"/>
      <c r="N110" s="72"/>
      <c r="O110" s="72"/>
      <c r="P110" s="72"/>
      <c r="Q110" s="72"/>
      <c r="R110" s="72"/>
      <c r="S110" s="72"/>
      <c r="T110" s="72"/>
      <c r="U110" s="72"/>
      <c r="V110" s="72"/>
      <c r="W110" s="72"/>
      <c r="X110" s="72"/>
      <c r="Y110" s="72"/>
      <c r="Z110" s="72"/>
      <c r="AA110" s="72"/>
      <c r="AB110" s="72"/>
      <c r="AC110" s="72"/>
      <c r="AD110" s="72"/>
      <c r="AE110" s="72"/>
      <c r="AF110" s="72"/>
    </row>
    <row r="111" spans="7:32" ht="15.75" customHeight="1" x14ac:dyDescent="0.25">
      <c r="G111" s="72"/>
      <c r="H111" s="72"/>
      <c r="I111" s="72"/>
      <c r="J111" s="72"/>
      <c r="K111" s="72"/>
      <c r="L111" s="72"/>
      <c r="M111" s="72"/>
      <c r="N111" s="72"/>
      <c r="O111" s="72"/>
      <c r="P111" s="72"/>
      <c r="Q111" s="72"/>
      <c r="R111" s="72"/>
      <c r="S111" s="72"/>
      <c r="T111" s="72"/>
      <c r="U111" s="72"/>
      <c r="V111" s="72"/>
      <c r="W111" s="72"/>
      <c r="X111" s="72"/>
      <c r="Y111" s="72"/>
      <c r="Z111" s="72"/>
      <c r="AA111" s="72"/>
      <c r="AB111" s="72"/>
      <c r="AC111" s="72"/>
      <c r="AD111" s="72"/>
      <c r="AE111" s="72"/>
      <c r="AF111" s="72"/>
    </row>
    <row r="112" spans="7:32" ht="15.75" customHeight="1" x14ac:dyDescent="0.25">
      <c r="G112" s="72"/>
      <c r="H112" s="72"/>
      <c r="I112" s="72"/>
      <c r="J112" s="72"/>
      <c r="K112" s="72"/>
      <c r="L112" s="72"/>
      <c r="M112" s="72"/>
      <c r="N112" s="72"/>
      <c r="O112" s="72"/>
      <c r="P112" s="72"/>
      <c r="Q112" s="72"/>
      <c r="R112" s="72"/>
      <c r="S112" s="72"/>
      <c r="T112" s="72"/>
      <c r="U112" s="72"/>
      <c r="V112" s="72"/>
      <c r="W112" s="72"/>
      <c r="X112" s="72"/>
      <c r="Y112" s="72"/>
      <c r="Z112" s="72"/>
      <c r="AA112" s="72"/>
      <c r="AB112" s="72"/>
      <c r="AC112" s="72"/>
      <c r="AD112" s="72"/>
      <c r="AE112" s="72"/>
      <c r="AF112" s="72"/>
    </row>
    <row r="113" spans="7:32" ht="15.75" customHeight="1" x14ac:dyDescent="0.25">
      <c r="G113" s="72"/>
      <c r="H113" s="72"/>
      <c r="I113" s="72"/>
      <c r="J113" s="72"/>
      <c r="K113" s="72"/>
      <c r="L113" s="72"/>
      <c r="M113" s="72"/>
      <c r="N113" s="72"/>
      <c r="O113" s="72"/>
      <c r="P113" s="72"/>
      <c r="Q113" s="72"/>
      <c r="R113" s="72"/>
      <c r="S113" s="72"/>
      <c r="T113" s="72"/>
      <c r="U113" s="72"/>
      <c r="V113" s="72"/>
      <c r="W113" s="72"/>
      <c r="X113" s="72"/>
      <c r="Y113" s="72"/>
      <c r="Z113" s="72"/>
      <c r="AA113" s="72"/>
      <c r="AB113" s="72"/>
      <c r="AC113" s="72"/>
      <c r="AD113" s="72"/>
      <c r="AE113" s="72"/>
      <c r="AF113" s="72"/>
    </row>
    <row r="114" spans="7:32" ht="15.75" customHeight="1" x14ac:dyDescent="0.25">
      <c r="G114" s="72"/>
      <c r="H114" s="72"/>
      <c r="I114" s="72"/>
      <c r="J114" s="72"/>
      <c r="K114" s="72"/>
      <c r="L114" s="72"/>
      <c r="M114" s="72"/>
      <c r="N114" s="72"/>
      <c r="O114" s="72"/>
      <c r="P114" s="72"/>
      <c r="Q114" s="72"/>
      <c r="R114" s="72"/>
      <c r="S114" s="72"/>
      <c r="T114" s="72"/>
      <c r="U114" s="72"/>
      <c r="V114" s="72"/>
      <c r="W114" s="72"/>
      <c r="X114" s="72"/>
      <c r="Y114" s="72"/>
      <c r="Z114" s="72"/>
      <c r="AA114" s="72"/>
      <c r="AB114" s="72"/>
      <c r="AC114" s="72"/>
      <c r="AD114" s="72"/>
      <c r="AE114" s="72"/>
      <c r="AF114" s="72"/>
    </row>
    <row r="115" spans="7:32" ht="15.75" customHeight="1" x14ac:dyDescent="0.25">
      <c r="G115" s="72"/>
      <c r="H115" s="72"/>
      <c r="I115" s="72"/>
      <c r="J115" s="72"/>
      <c r="K115" s="72"/>
      <c r="L115" s="72"/>
      <c r="M115" s="72"/>
      <c r="N115" s="72"/>
      <c r="O115" s="72"/>
      <c r="P115" s="72"/>
      <c r="Q115" s="72"/>
      <c r="R115" s="72"/>
      <c r="S115" s="72"/>
      <c r="T115" s="72"/>
      <c r="U115" s="72"/>
      <c r="V115" s="72"/>
      <c r="W115" s="72"/>
      <c r="X115" s="72"/>
      <c r="Y115" s="72"/>
      <c r="Z115" s="72"/>
      <c r="AA115" s="72"/>
      <c r="AB115" s="72"/>
      <c r="AC115" s="72"/>
      <c r="AD115" s="72"/>
      <c r="AE115" s="72"/>
      <c r="AF115" s="72"/>
    </row>
    <row r="116" spans="7:32" ht="15.75" customHeight="1" x14ac:dyDescent="0.25">
      <c r="G116" s="72"/>
      <c r="H116" s="72"/>
      <c r="I116" s="72"/>
      <c r="J116" s="72"/>
      <c r="K116" s="72"/>
      <c r="L116" s="72"/>
      <c r="M116" s="72"/>
      <c r="N116" s="72"/>
      <c r="O116" s="72"/>
      <c r="P116" s="72"/>
      <c r="Q116" s="72"/>
      <c r="R116" s="72"/>
      <c r="S116" s="72"/>
      <c r="T116" s="72"/>
      <c r="U116" s="72"/>
      <c r="V116" s="72"/>
      <c r="W116" s="72"/>
      <c r="X116" s="72"/>
      <c r="Y116" s="72"/>
      <c r="Z116" s="72"/>
      <c r="AA116" s="72"/>
      <c r="AB116" s="72"/>
      <c r="AC116" s="72"/>
      <c r="AD116" s="72"/>
      <c r="AE116" s="72"/>
      <c r="AF116" s="72"/>
    </row>
    <row r="117" spans="7:32" ht="15.75" customHeight="1" x14ac:dyDescent="0.25">
      <c r="G117" s="72"/>
      <c r="H117" s="72"/>
      <c r="I117" s="72"/>
      <c r="J117" s="72"/>
      <c r="K117" s="72"/>
      <c r="L117" s="72"/>
      <c r="M117" s="72"/>
      <c r="N117" s="72"/>
      <c r="O117" s="72"/>
      <c r="P117" s="72"/>
      <c r="Q117" s="72"/>
      <c r="R117" s="72"/>
      <c r="S117" s="72"/>
      <c r="T117" s="72"/>
      <c r="U117" s="72"/>
      <c r="V117" s="72"/>
      <c r="W117" s="72"/>
      <c r="X117" s="72"/>
      <c r="Y117" s="72"/>
      <c r="Z117" s="72"/>
      <c r="AA117" s="72"/>
      <c r="AB117" s="72"/>
      <c r="AC117" s="72"/>
      <c r="AD117" s="72"/>
      <c r="AE117" s="72"/>
      <c r="AF117" s="72"/>
    </row>
    <row r="118" spans="7:32" ht="15.75" customHeight="1" x14ac:dyDescent="0.25">
      <c r="G118" s="72"/>
      <c r="H118" s="72"/>
      <c r="I118" s="72"/>
      <c r="J118" s="72"/>
      <c r="K118" s="72"/>
      <c r="L118" s="72"/>
      <c r="M118" s="72"/>
      <c r="N118" s="72"/>
      <c r="O118" s="72"/>
      <c r="P118" s="72"/>
      <c r="Q118" s="72"/>
      <c r="R118" s="72"/>
      <c r="S118" s="72"/>
      <c r="T118" s="72"/>
      <c r="U118" s="72"/>
      <c r="V118" s="72"/>
      <c r="W118" s="72"/>
      <c r="X118" s="72"/>
      <c r="Y118" s="72"/>
      <c r="Z118" s="72"/>
      <c r="AA118" s="72"/>
      <c r="AB118" s="72"/>
      <c r="AC118" s="72"/>
      <c r="AD118" s="72"/>
      <c r="AE118" s="72"/>
      <c r="AF118" s="72"/>
    </row>
    <row r="119" spans="7:32" ht="15.75" customHeight="1" x14ac:dyDescent="0.25">
      <c r="G119" s="72"/>
      <c r="H119" s="72"/>
      <c r="I119" s="72"/>
      <c r="J119" s="72"/>
      <c r="K119" s="72"/>
      <c r="L119" s="72"/>
      <c r="M119" s="72"/>
      <c r="N119" s="72"/>
      <c r="O119" s="72"/>
      <c r="P119" s="72"/>
      <c r="Q119" s="72"/>
      <c r="R119" s="72"/>
      <c r="S119" s="72"/>
      <c r="T119" s="72"/>
      <c r="U119" s="72"/>
      <c r="V119" s="72"/>
      <c r="W119" s="72"/>
      <c r="X119" s="72"/>
      <c r="Y119" s="72"/>
      <c r="Z119" s="72"/>
      <c r="AA119" s="72"/>
      <c r="AB119" s="72"/>
      <c r="AC119" s="72"/>
      <c r="AD119" s="72"/>
      <c r="AE119" s="72"/>
      <c r="AF119" s="72"/>
    </row>
    <row r="120" spans="7:32" ht="15.75" customHeight="1" x14ac:dyDescent="0.25">
      <c r="G120" s="72"/>
      <c r="H120" s="72"/>
      <c r="I120" s="72"/>
      <c r="J120" s="72"/>
      <c r="K120" s="72"/>
      <c r="L120" s="72"/>
      <c r="M120" s="72"/>
      <c r="N120" s="72"/>
      <c r="O120" s="72"/>
      <c r="P120" s="72"/>
      <c r="Q120" s="72"/>
      <c r="R120" s="72"/>
      <c r="S120" s="72"/>
      <c r="T120" s="72"/>
      <c r="U120" s="72"/>
      <c r="V120" s="72"/>
      <c r="W120" s="72"/>
      <c r="X120" s="72"/>
      <c r="Y120" s="72"/>
      <c r="Z120" s="72"/>
      <c r="AA120" s="72"/>
      <c r="AB120" s="72"/>
      <c r="AC120" s="72"/>
      <c r="AD120" s="72"/>
      <c r="AE120" s="72"/>
      <c r="AF120" s="72"/>
    </row>
    <row r="121" spans="7:32" ht="15.75" customHeight="1" x14ac:dyDescent="0.25">
      <c r="G121" s="72"/>
      <c r="H121" s="72"/>
      <c r="I121" s="72"/>
      <c r="J121" s="72"/>
      <c r="K121" s="72"/>
      <c r="L121" s="72"/>
      <c r="M121" s="72"/>
      <c r="N121" s="72"/>
      <c r="O121" s="72"/>
      <c r="P121" s="72"/>
      <c r="Q121" s="72"/>
      <c r="R121" s="72"/>
      <c r="S121" s="72"/>
      <c r="T121" s="72"/>
      <c r="U121" s="72"/>
      <c r="V121" s="72"/>
      <c r="W121" s="72"/>
      <c r="X121" s="72"/>
      <c r="Y121" s="72"/>
      <c r="Z121" s="72"/>
      <c r="AA121" s="72"/>
      <c r="AB121" s="72"/>
      <c r="AC121" s="72"/>
      <c r="AD121" s="72"/>
      <c r="AE121" s="72"/>
      <c r="AF121" s="72"/>
    </row>
    <row r="122" spans="7:32" ht="15.75" customHeight="1" x14ac:dyDescent="0.25">
      <c r="G122" s="72"/>
      <c r="H122" s="72"/>
      <c r="I122" s="72"/>
      <c r="J122" s="72"/>
      <c r="K122" s="72"/>
      <c r="L122" s="72"/>
      <c r="M122" s="72"/>
      <c r="N122" s="72"/>
      <c r="O122" s="72"/>
      <c r="P122" s="72"/>
      <c r="Q122" s="72"/>
      <c r="R122" s="72"/>
      <c r="S122" s="72"/>
      <c r="T122" s="72"/>
      <c r="U122" s="72"/>
      <c r="V122" s="72"/>
      <c r="W122" s="72"/>
      <c r="X122" s="72"/>
      <c r="Y122" s="72"/>
      <c r="Z122" s="72"/>
      <c r="AA122" s="72"/>
      <c r="AB122" s="72"/>
      <c r="AC122" s="72"/>
      <c r="AD122" s="72"/>
      <c r="AE122" s="72"/>
      <c r="AF122" s="72"/>
    </row>
    <row r="123" spans="7:32" ht="15.75" customHeight="1" x14ac:dyDescent="0.25">
      <c r="G123" s="72"/>
      <c r="H123" s="72"/>
      <c r="I123" s="72"/>
      <c r="J123" s="72"/>
      <c r="K123" s="72"/>
      <c r="L123" s="72"/>
      <c r="M123" s="72"/>
      <c r="N123" s="72"/>
      <c r="O123" s="72"/>
      <c r="P123" s="72"/>
      <c r="Q123" s="72"/>
      <c r="R123" s="72"/>
      <c r="S123" s="72"/>
      <c r="T123" s="72"/>
      <c r="U123" s="72"/>
      <c r="V123" s="72"/>
      <c r="W123" s="72"/>
      <c r="X123" s="72"/>
      <c r="Y123" s="72"/>
      <c r="Z123" s="72"/>
      <c r="AA123" s="72"/>
      <c r="AB123" s="72"/>
      <c r="AC123" s="72"/>
      <c r="AD123" s="72"/>
      <c r="AE123" s="72"/>
      <c r="AF123" s="72"/>
    </row>
    <row r="124" spans="7:32" ht="15.75" customHeight="1" x14ac:dyDescent="0.25">
      <c r="G124" s="72"/>
      <c r="H124" s="72"/>
      <c r="I124" s="72"/>
      <c r="J124" s="72"/>
      <c r="K124" s="72"/>
      <c r="L124" s="72"/>
      <c r="M124" s="72"/>
      <c r="N124" s="72"/>
      <c r="O124" s="72"/>
      <c r="P124" s="72"/>
      <c r="Q124" s="72"/>
      <c r="R124" s="72"/>
      <c r="S124" s="72"/>
      <c r="T124" s="72"/>
      <c r="U124" s="72"/>
      <c r="V124" s="72"/>
      <c r="W124" s="72"/>
      <c r="X124" s="72"/>
      <c r="Y124" s="72"/>
      <c r="Z124" s="72"/>
      <c r="AA124" s="72"/>
      <c r="AB124" s="72"/>
      <c r="AC124" s="72"/>
      <c r="AD124" s="72"/>
      <c r="AE124" s="72"/>
      <c r="AF124" s="72"/>
    </row>
    <row r="125" spans="7:32" ht="15.75" customHeight="1" x14ac:dyDescent="0.25">
      <c r="G125" s="72"/>
      <c r="H125" s="72"/>
      <c r="I125" s="72"/>
      <c r="J125" s="72"/>
      <c r="K125" s="72"/>
      <c r="L125" s="72"/>
      <c r="M125" s="72"/>
      <c r="N125" s="72"/>
      <c r="O125" s="72"/>
      <c r="P125" s="72"/>
      <c r="Q125" s="72"/>
      <c r="R125" s="72"/>
      <c r="S125" s="72"/>
      <c r="T125" s="72"/>
      <c r="U125" s="72"/>
      <c r="V125" s="72"/>
      <c r="W125" s="72"/>
      <c r="X125" s="72"/>
      <c r="Y125" s="72"/>
      <c r="Z125" s="72"/>
      <c r="AA125" s="72"/>
      <c r="AB125" s="72"/>
      <c r="AC125" s="72"/>
      <c r="AD125" s="72"/>
      <c r="AE125" s="72"/>
      <c r="AF125" s="72"/>
    </row>
    <row r="126" spans="7:32" ht="15.75" customHeight="1" x14ac:dyDescent="0.25">
      <c r="G126" s="72"/>
      <c r="H126" s="72"/>
      <c r="I126" s="72"/>
      <c r="J126" s="72"/>
      <c r="K126" s="72"/>
      <c r="L126" s="72"/>
      <c r="M126" s="72"/>
      <c r="N126" s="72"/>
      <c r="O126" s="72"/>
      <c r="P126" s="72"/>
      <c r="Q126" s="72"/>
      <c r="R126" s="72"/>
      <c r="S126" s="72"/>
      <c r="T126" s="72"/>
      <c r="U126" s="72"/>
      <c r="V126" s="72"/>
      <c r="W126" s="72"/>
      <c r="X126" s="72"/>
      <c r="Y126" s="72"/>
      <c r="Z126" s="72"/>
      <c r="AA126" s="72"/>
      <c r="AB126" s="72"/>
      <c r="AC126" s="72"/>
      <c r="AD126" s="72"/>
      <c r="AE126" s="72"/>
      <c r="AF126" s="72"/>
    </row>
    <row r="127" spans="7:32" ht="15.75" customHeight="1" x14ac:dyDescent="0.25">
      <c r="G127" s="72"/>
      <c r="H127" s="72"/>
      <c r="I127" s="72"/>
      <c r="J127" s="72"/>
      <c r="K127" s="72"/>
      <c r="L127" s="72"/>
      <c r="M127" s="72"/>
      <c r="N127" s="72"/>
      <c r="O127" s="72"/>
      <c r="P127" s="72"/>
      <c r="Q127" s="72"/>
      <c r="R127" s="72"/>
      <c r="S127" s="72"/>
      <c r="T127" s="72"/>
      <c r="U127" s="72"/>
      <c r="V127" s="72"/>
      <c r="W127" s="72"/>
      <c r="X127" s="72"/>
      <c r="Y127" s="72"/>
      <c r="Z127" s="72"/>
      <c r="AA127" s="72"/>
      <c r="AB127" s="72"/>
      <c r="AC127" s="72"/>
      <c r="AD127" s="72"/>
      <c r="AE127" s="72"/>
      <c r="AF127" s="72"/>
    </row>
    <row r="128" spans="7:32" ht="15.75" customHeight="1" x14ac:dyDescent="0.25">
      <c r="G128" s="72"/>
      <c r="H128" s="72"/>
      <c r="I128" s="72"/>
      <c r="J128" s="72"/>
      <c r="K128" s="72"/>
      <c r="L128" s="72"/>
      <c r="M128" s="72"/>
      <c r="N128" s="72"/>
      <c r="O128" s="72"/>
      <c r="P128" s="72"/>
      <c r="Q128" s="72"/>
      <c r="R128" s="72"/>
      <c r="S128" s="72"/>
      <c r="T128" s="72"/>
      <c r="U128" s="72"/>
      <c r="V128" s="72"/>
      <c r="W128" s="72"/>
      <c r="X128" s="72"/>
      <c r="Y128" s="72"/>
      <c r="Z128" s="72"/>
      <c r="AA128" s="72"/>
      <c r="AB128" s="72"/>
      <c r="AC128" s="72"/>
      <c r="AD128" s="72"/>
      <c r="AE128" s="72"/>
      <c r="AF128" s="72"/>
    </row>
    <row r="129" spans="7:32" ht="15.75" customHeight="1" x14ac:dyDescent="0.25">
      <c r="G129" s="72"/>
      <c r="H129" s="72"/>
      <c r="I129" s="72"/>
      <c r="J129" s="72"/>
      <c r="K129" s="72"/>
      <c r="L129" s="72"/>
      <c r="M129" s="72"/>
      <c r="N129" s="72"/>
      <c r="O129" s="72"/>
      <c r="P129" s="72"/>
      <c r="Q129" s="72"/>
      <c r="R129" s="72"/>
      <c r="S129" s="72"/>
      <c r="T129" s="72"/>
      <c r="U129" s="72"/>
      <c r="V129" s="72"/>
      <c r="W129" s="72"/>
      <c r="X129" s="72"/>
      <c r="Y129" s="72"/>
      <c r="Z129" s="72"/>
      <c r="AA129" s="72"/>
      <c r="AB129" s="72"/>
      <c r="AC129" s="72"/>
      <c r="AD129" s="72"/>
      <c r="AE129" s="72"/>
      <c r="AF129" s="72"/>
    </row>
    <row r="130" spans="7:32" ht="15.75" customHeight="1" x14ac:dyDescent="0.25">
      <c r="G130" s="72"/>
      <c r="H130" s="72"/>
      <c r="I130" s="72"/>
      <c r="J130" s="72"/>
      <c r="K130" s="72"/>
      <c r="L130" s="72"/>
      <c r="M130" s="72"/>
      <c r="N130" s="72"/>
      <c r="O130" s="72"/>
      <c r="P130" s="72"/>
      <c r="Q130" s="72"/>
      <c r="R130" s="72"/>
      <c r="S130" s="72"/>
      <c r="T130" s="72"/>
      <c r="U130" s="72"/>
      <c r="V130" s="72"/>
      <c r="W130" s="72"/>
      <c r="X130" s="72"/>
      <c r="Y130" s="72"/>
      <c r="Z130" s="72"/>
      <c r="AA130" s="72"/>
      <c r="AB130" s="72"/>
      <c r="AC130" s="72"/>
      <c r="AD130" s="72"/>
      <c r="AE130" s="72"/>
      <c r="AF130" s="72"/>
    </row>
    <row r="131" spans="7:32" ht="15.75" customHeight="1" x14ac:dyDescent="0.25">
      <c r="G131" s="72"/>
      <c r="H131" s="72"/>
      <c r="I131" s="72"/>
      <c r="J131" s="72"/>
      <c r="K131" s="72"/>
      <c r="L131" s="72"/>
      <c r="M131" s="72"/>
      <c r="N131" s="72"/>
      <c r="O131" s="72"/>
      <c r="P131" s="72"/>
      <c r="Q131" s="72"/>
      <c r="R131" s="72"/>
      <c r="S131" s="72"/>
      <c r="T131" s="72"/>
      <c r="U131" s="72"/>
      <c r="V131" s="72"/>
      <c r="W131" s="72"/>
      <c r="X131" s="72"/>
      <c r="Y131" s="72"/>
      <c r="Z131" s="72"/>
      <c r="AA131" s="72"/>
      <c r="AB131" s="72"/>
      <c r="AC131" s="72"/>
      <c r="AD131" s="72"/>
      <c r="AE131" s="72"/>
      <c r="AF131" s="72"/>
    </row>
    <row r="132" spans="7:32" ht="15.75" customHeight="1" x14ac:dyDescent="0.25">
      <c r="G132" s="72"/>
      <c r="H132" s="72"/>
      <c r="I132" s="72"/>
      <c r="J132" s="72"/>
      <c r="K132" s="72"/>
      <c r="L132" s="72"/>
      <c r="M132" s="72"/>
      <c r="N132" s="72"/>
      <c r="O132" s="72"/>
      <c r="P132" s="72"/>
      <c r="Q132" s="72"/>
      <c r="R132" s="72"/>
      <c r="S132" s="72"/>
      <c r="T132" s="72"/>
      <c r="U132" s="72"/>
      <c r="V132" s="72"/>
      <c r="W132" s="72"/>
      <c r="X132" s="72"/>
      <c r="Y132" s="72"/>
      <c r="Z132" s="72"/>
      <c r="AA132" s="72"/>
      <c r="AB132" s="72"/>
      <c r="AC132" s="72"/>
      <c r="AD132" s="72"/>
      <c r="AE132" s="72"/>
      <c r="AF132" s="72"/>
    </row>
    <row r="133" spans="7:32" ht="15.75" customHeight="1" x14ac:dyDescent="0.25">
      <c r="G133" s="72"/>
      <c r="H133" s="72"/>
      <c r="I133" s="72"/>
      <c r="J133" s="72"/>
      <c r="K133" s="72"/>
      <c r="L133" s="72"/>
      <c r="M133" s="72"/>
      <c r="N133" s="72"/>
      <c r="O133" s="72"/>
      <c r="P133" s="72"/>
      <c r="Q133" s="72"/>
      <c r="R133" s="72"/>
      <c r="S133" s="72"/>
      <c r="T133" s="72"/>
      <c r="U133" s="72"/>
      <c r="V133" s="72"/>
      <c r="W133" s="72"/>
      <c r="X133" s="72"/>
      <c r="Y133" s="72"/>
      <c r="Z133" s="72"/>
      <c r="AA133" s="72"/>
      <c r="AB133" s="72"/>
      <c r="AC133" s="72"/>
      <c r="AD133" s="72"/>
      <c r="AE133" s="72"/>
      <c r="AF133" s="72"/>
    </row>
    <row r="134" spans="7:32" ht="15.75" customHeight="1" x14ac:dyDescent="0.25">
      <c r="G134" s="72"/>
      <c r="H134" s="72"/>
      <c r="I134" s="72"/>
      <c r="J134" s="72"/>
      <c r="K134" s="72"/>
      <c r="L134" s="72"/>
      <c r="M134" s="72"/>
      <c r="N134" s="72"/>
      <c r="O134" s="72"/>
      <c r="P134" s="72"/>
      <c r="Q134" s="72"/>
      <c r="R134" s="72"/>
      <c r="S134" s="72"/>
      <c r="T134" s="72"/>
      <c r="U134" s="72"/>
      <c r="V134" s="72"/>
      <c r="W134" s="72"/>
      <c r="X134" s="72"/>
      <c r="Y134" s="72"/>
      <c r="Z134" s="72"/>
      <c r="AA134" s="72"/>
      <c r="AB134" s="72"/>
      <c r="AC134" s="72"/>
      <c r="AD134" s="72"/>
      <c r="AE134" s="72"/>
      <c r="AF134" s="72"/>
    </row>
    <row r="135" spans="7:32" ht="15.75" customHeight="1" x14ac:dyDescent="0.25">
      <c r="G135" s="72"/>
      <c r="H135" s="72"/>
      <c r="I135" s="72"/>
      <c r="J135" s="72"/>
      <c r="K135" s="72"/>
      <c r="L135" s="72"/>
      <c r="M135" s="72"/>
      <c r="N135" s="72"/>
      <c r="O135" s="72"/>
      <c r="P135" s="72"/>
      <c r="Q135" s="72"/>
      <c r="R135" s="72"/>
      <c r="S135" s="72"/>
      <c r="T135" s="72"/>
      <c r="U135" s="72"/>
      <c r="V135" s="72"/>
      <c r="W135" s="72"/>
      <c r="X135" s="72"/>
      <c r="Y135" s="72"/>
      <c r="Z135" s="72"/>
      <c r="AA135" s="72"/>
      <c r="AB135" s="72"/>
      <c r="AC135" s="72"/>
      <c r="AD135" s="72"/>
      <c r="AE135" s="72"/>
      <c r="AF135" s="72"/>
    </row>
    <row r="136" spans="7:32" ht="15.75" customHeight="1" x14ac:dyDescent="0.25">
      <c r="G136" s="72"/>
      <c r="H136" s="72"/>
      <c r="I136" s="72"/>
      <c r="J136" s="72"/>
      <c r="K136" s="72"/>
      <c r="L136" s="72"/>
      <c r="M136" s="72"/>
      <c r="N136" s="72"/>
      <c r="O136" s="72"/>
      <c r="P136" s="72"/>
      <c r="Q136" s="72"/>
      <c r="R136" s="72"/>
      <c r="S136" s="72"/>
      <c r="T136" s="72"/>
      <c r="U136" s="72"/>
      <c r="V136" s="72"/>
      <c r="W136" s="72"/>
      <c r="X136" s="72"/>
      <c r="Y136" s="72"/>
      <c r="Z136" s="72"/>
      <c r="AA136" s="72"/>
      <c r="AB136" s="72"/>
      <c r="AC136" s="72"/>
      <c r="AD136" s="72"/>
      <c r="AE136" s="72"/>
      <c r="AF136" s="72"/>
    </row>
    <row r="137" spans="7:32" ht="15.75" customHeight="1" x14ac:dyDescent="0.25">
      <c r="G137" s="72"/>
      <c r="H137" s="72"/>
      <c r="I137" s="72"/>
      <c r="J137" s="72"/>
      <c r="K137" s="72"/>
      <c r="L137" s="72"/>
      <c r="M137" s="72"/>
      <c r="N137" s="72"/>
      <c r="O137" s="72"/>
      <c r="P137" s="72"/>
      <c r="Q137" s="72"/>
      <c r="R137" s="72"/>
      <c r="S137" s="72"/>
      <c r="T137" s="72"/>
      <c r="U137" s="72"/>
      <c r="V137" s="72"/>
      <c r="W137" s="72"/>
      <c r="X137" s="72"/>
      <c r="Y137" s="72"/>
      <c r="Z137" s="72"/>
      <c r="AA137" s="72"/>
      <c r="AB137" s="72"/>
      <c r="AC137" s="72"/>
      <c r="AD137" s="72"/>
      <c r="AE137" s="72"/>
      <c r="AF137" s="72"/>
    </row>
    <row r="138" spans="7:32" ht="15.75" customHeight="1" x14ac:dyDescent="0.25">
      <c r="G138" s="72"/>
      <c r="H138" s="72"/>
      <c r="I138" s="72"/>
      <c r="J138" s="72"/>
      <c r="K138" s="72"/>
      <c r="L138" s="72"/>
      <c r="M138" s="72"/>
      <c r="N138" s="72"/>
      <c r="O138" s="72"/>
      <c r="P138" s="72"/>
      <c r="Q138" s="72"/>
      <c r="R138" s="72"/>
      <c r="S138" s="72"/>
      <c r="T138" s="72"/>
      <c r="U138" s="72"/>
      <c r="V138" s="72"/>
      <c r="W138" s="72"/>
      <c r="X138" s="72"/>
      <c r="Y138" s="72"/>
      <c r="Z138" s="72"/>
      <c r="AA138" s="72"/>
      <c r="AB138" s="72"/>
      <c r="AC138" s="72"/>
      <c r="AD138" s="72"/>
      <c r="AE138" s="72"/>
      <c r="AF138" s="72"/>
    </row>
    <row r="139" spans="7:32" ht="15.75" customHeight="1" x14ac:dyDescent="0.25">
      <c r="G139" s="72"/>
      <c r="H139" s="72"/>
      <c r="I139" s="72"/>
      <c r="J139" s="72"/>
      <c r="K139" s="72"/>
      <c r="L139" s="72"/>
      <c r="M139" s="72"/>
      <c r="N139" s="72"/>
      <c r="O139" s="72"/>
      <c r="P139" s="72"/>
      <c r="Q139" s="72"/>
      <c r="R139" s="72"/>
      <c r="S139" s="72"/>
      <c r="T139" s="72"/>
      <c r="U139" s="72"/>
      <c r="V139" s="72"/>
      <c r="W139" s="72"/>
      <c r="X139" s="72"/>
      <c r="Y139" s="72"/>
      <c r="Z139" s="72"/>
      <c r="AA139" s="72"/>
      <c r="AB139" s="72"/>
      <c r="AC139" s="72"/>
      <c r="AD139" s="72"/>
      <c r="AE139" s="72"/>
      <c r="AF139" s="72"/>
    </row>
    <row r="140" spans="7:32" ht="15.75" customHeight="1" x14ac:dyDescent="0.25">
      <c r="G140" s="72"/>
      <c r="H140" s="72"/>
      <c r="I140" s="72"/>
      <c r="J140" s="72"/>
      <c r="K140" s="72"/>
      <c r="L140" s="72"/>
      <c r="M140" s="72"/>
      <c r="N140" s="72"/>
      <c r="O140" s="72"/>
      <c r="P140" s="72"/>
      <c r="Q140" s="72"/>
      <c r="R140" s="72"/>
      <c r="S140" s="72"/>
      <c r="T140" s="72"/>
      <c r="U140" s="72"/>
      <c r="V140" s="72"/>
      <c r="W140" s="72"/>
      <c r="X140" s="72"/>
      <c r="Y140" s="72"/>
      <c r="Z140" s="72"/>
      <c r="AA140" s="72"/>
      <c r="AB140" s="72"/>
      <c r="AC140" s="72"/>
      <c r="AD140" s="72"/>
      <c r="AE140" s="72"/>
      <c r="AF140" s="72"/>
    </row>
    <row r="141" spans="7:32" ht="15.75" customHeight="1" x14ac:dyDescent="0.25">
      <c r="G141" s="72"/>
      <c r="H141" s="72"/>
      <c r="I141" s="72"/>
      <c r="J141" s="72"/>
      <c r="K141" s="72"/>
      <c r="L141" s="72"/>
      <c r="M141" s="72"/>
      <c r="N141" s="72"/>
      <c r="O141" s="72"/>
      <c r="P141" s="72"/>
      <c r="Q141" s="72"/>
      <c r="R141" s="72"/>
      <c r="S141" s="72"/>
      <c r="T141" s="72"/>
      <c r="U141" s="72"/>
      <c r="V141" s="72"/>
      <c r="W141" s="72"/>
      <c r="X141" s="72"/>
      <c r="Y141" s="72"/>
      <c r="Z141" s="72"/>
      <c r="AA141" s="72"/>
      <c r="AB141" s="72"/>
      <c r="AC141" s="72"/>
      <c r="AD141" s="72"/>
      <c r="AE141" s="72"/>
      <c r="AF141" s="72"/>
    </row>
    <row r="142" spans="7:32" ht="15.75" customHeight="1" x14ac:dyDescent="0.25">
      <c r="G142" s="72"/>
      <c r="H142" s="72"/>
      <c r="I142" s="72"/>
      <c r="J142" s="72"/>
      <c r="K142" s="72"/>
      <c r="L142" s="72"/>
      <c r="M142" s="72"/>
      <c r="N142" s="72"/>
      <c r="O142" s="72"/>
      <c r="P142" s="72"/>
      <c r="Q142" s="72"/>
      <c r="R142" s="72"/>
      <c r="S142" s="72"/>
      <c r="T142" s="72"/>
      <c r="U142" s="72"/>
      <c r="V142" s="72"/>
      <c r="W142" s="72"/>
      <c r="X142" s="72"/>
      <c r="Y142" s="72"/>
      <c r="Z142" s="72"/>
      <c r="AA142" s="72"/>
      <c r="AB142" s="72"/>
      <c r="AC142" s="72"/>
      <c r="AD142" s="72"/>
      <c r="AE142" s="72"/>
      <c r="AF142" s="72"/>
    </row>
    <row r="143" spans="7:32" ht="15.75" customHeight="1" x14ac:dyDescent="0.25">
      <c r="G143" s="72"/>
      <c r="H143" s="72"/>
      <c r="I143" s="72"/>
      <c r="J143" s="72"/>
      <c r="K143" s="72"/>
      <c r="L143" s="72"/>
      <c r="M143" s="72"/>
      <c r="N143" s="72"/>
      <c r="O143" s="72"/>
      <c r="P143" s="72"/>
      <c r="Q143" s="72"/>
      <c r="R143" s="72"/>
      <c r="S143" s="72"/>
      <c r="T143" s="72"/>
      <c r="U143" s="72"/>
      <c r="V143" s="72"/>
      <c r="W143" s="72"/>
      <c r="X143" s="72"/>
      <c r="Y143" s="72"/>
      <c r="Z143" s="72"/>
      <c r="AA143" s="72"/>
      <c r="AB143" s="72"/>
      <c r="AC143" s="72"/>
      <c r="AD143" s="72"/>
      <c r="AE143" s="72"/>
      <c r="AF143" s="72"/>
    </row>
    <row r="144" spans="7:32" ht="15.75" customHeight="1" x14ac:dyDescent="0.25">
      <c r="G144" s="72"/>
      <c r="H144" s="72"/>
      <c r="I144" s="72"/>
      <c r="J144" s="72"/>
      <c r="K144" s="72"/>
      <c r="L144" s="72"/>
      <c r="M144" s="72"/>
      <c r="N144" s="72"/>
      <c r="O144" s="72"/>
      <c r="P144" s="72"/>
      <c r="Q144" s="72"/>
      <c r="R144" s="72"/>
      <c r="S144" s="72"/>
      <c r="T144" s="72"/>
      <c r="U144" s="72"/>
      <c r="V144" s="72"/>
      <c r="W144" s="72"/>
      <c r="X144" s="72"/>
      <c r="Y144" s="72"/>
      <c r="Z144" s="72"/>
      <c r="AA144" s="72"/>
      <c r="AB144" s="72"/>
      <c r="AC144" s="72"/>
      <c r="AD144" s="72"/>
      <c r="AE144" s="72"/>
      <c r="AF144" s="72"/>
    </row>
    <row r="145" spans="7:32" ht="15.75" customHeight="1" x14ac:dyDescent="0.25">
      <c r="G145" s="72"/>
      <c r="H145" s="72"/>
      <c r="I145" s="72"/>
      <c r="J145" s="72"/>
      <c r="K145" s="72"/>
      <c r="L145" s="72"/>
      <c r="M145" s="72"/>
      <c r="N145" s="72"/>
      <c r="O145" s="72"/>
      <c r="P145" s="72"/>
      <c r="Q145" s="72"/>
      <c r="R145" s="72"/>
      <c r="S145" s="72"/>
      <c r="T145" s="72"/>
      <c r="U145" s="72"/>
      <c r="V145" s="72"/>
      <c r="W145" s="72"/>
      <c r="X145" s="72"/>
      <c r="Y145" s="72"/>
      <c r="Z145" s="72"/>
      <c r="AA145" s="72"/>
      <c r="AB145" s="72"/>
      <c r="AC145" s="72"/>
      <c r="AD145" s="72"/>
      <c r="AE145" s="72"/>
      <c r="AF145" s="72"/>
    </row>
    <row r="146" spans="7:32" ht="15.75" customHeight="1" x14ac:dyDescent="0.25">
      <c r="G146" s="72"/>
      <c r="H146" s="72"/>
      <c r="I146" s="72"/>
      <c r="J146" s="72"/>
      <c r="K146" s="72"/>
      <c r="L146" s="72"/>
      <c r="M146" s="72"/>
      <c r="N146" s="72"/>
      <c r="O146" s="72"/>
      <c r="P146" s="72"/>
      <c r="Q146" s="72"/>
      <c r="R146" s="72"/>
      <c r="S146" s="72"/>
      <c r="T146" s="72"/>
      <c r="U146" s="72"/>
      <c r="V146" s="72"/>
      <c r="W146" s="72"/>
      <c r="X146" s="72"/>
      <c r="Y146" s="72"/>
      <c r="Z146" s="72"/>
      <c r="AA146" s="72"/>
      <c r="AB146" s="72"/>
      <c r="AC146" s="72"/>
      <c r="AD146" s="72"/>
      <c r="AE146" s="72"/>
      <c r="AF146" s="72"/>
    </row>
    <row r="147" spans="7:32" ht="15.75" customHeight="1" x14ac:dyDescent="0.25">
      <c r="G147" s="72"/>
      <c r="H147" s="72"/>
      <c r="I147" s="72"/>
      <c r="J147" s="72"/>
      <c r="K147" s="72"/>
      <c r="L147" s="72"/>
      <c r="M147" s="72"/>
      <c r="N147" s="72"/>
      <c r="O147" s="72"/>
      <c r="P147" s="72"/>
      <c r="Q147" s="72"/>
      <c r="R147" s="72"/>
      <c r="S147" s="72"/>
      <c r="T147" s="72"/>
      <c r="U147" s="72"/>
      <c r="V147" s="72"/>
      <c r="W147" s="72"/>
      <c r="X147" s="72"/>
      <c r="Y147" s="72"/>
      <c r="Z147" s="72"/>
      <c r="AA147" s="72"/>
      <c r="AB147" s="72"/>
      <c r="AC147" s="72"/>
      <c r="AD147" s="72"/>
      <c r="AE147" s="72"/>
      <c r="AF147" s="72"/>
    </row>
    <row r="148" spans="7:32" ht="15.75" customHeight="1" x14ac:dyDescent="0.25">
      <c r="G148" s="72"/>
      <c r="H148" s="72"/>
      <c r="I148" s="72"/>
      <c r="J148" s="72"/>
      <c r="K148" s="72"/>
      <c r="L148" s="72"/>
      <c r="M148" s="72"/>
      <c r="N148" s="72"/>
      <c r="O148" s="72"/>
      <c r="P148" s="72"/>
      <c r="Q148" s="72"/>
      <c r="R148" s="72"/>
      <c r="S148" s="72"/>
      <c r="T148" s="72"/>
      <c r="U148" s="72"/>
      <c r="V148" s="72"/>
      <c r="W148" s="72"/>
      <c r="X148" s="72"/>
      <c r="Y148" s="72"/>
      <c r="Z148" s="72"/>
      <c r="AA148" s="72"/>
      <c r="AB148" s="72"/>
      <c r="AC148" s="72"/>
      <c r="AD148" s="72"/>
      <c r="AE148" s="72"/>
      <c r="AF148" s="72"/>
    </row>
    <row r="149" spans="7:32" ht="15.75" customHeight="1" x14ac:dyDescent="0.25">
      <c r="G149" s="72"/>
      <c r="H149" s="72"/>
      <c r="I149" s="72"/>
      <c r="J149" s="72"/>
      <c r="K149" s="72"/>
      <c r="L149" s="72"/>
      <c r="M149" s="72"/>
      <c r="N149" s="72"/>
      <c r="O149" s="72"/>
      <c r="P149" s="72"/>
      <c r="Q149" s="72"/>
      <c r="R149" s="72"/>
      <c r="S149" s="72"/>
      <c r="T149" s="72"/>
      <c r="U149" s="72"/>
      <c r="V149" s="72"/>
      <c r="W149" s="72"/>
      <c r="X149" s="72"/>
      <c r="Y149" s="72"/>
      <c r="Z149" s="72"/>
      <c r="AA149" s="72"/>
      <c r="AB149" s="72"/>
      <c r="AC149" s="72"/>
      <c r="AD149" s="72"/>
      <c r="AE149" s="72"/>
      <c r="AF149" s="72"/>
    </row>
    <row r="150" spans="7:32" ht="15.75" customHeight="1" x14ac:dyDescent="0.25">
      <c r="G150" s="72"/>
      <c r="H150" s="72"/>
      <c r="I150" s="72"/>
      <c r="J150" s="72"/>
      <c r="K150" s="72"/>
      <c r="L150" s="72"/>
      <c r="M150" s="72"/>
      <c r="N150" s="72"/>
      <c r="O150" s="72"/>
      <c r="P150" s="72"/>
      <c r="Q150" s="72"/>
      <c r="R150" s="72"/>
      <c r="S150" s="72"/>
      <c r="T150" s="72"/>
      <c r="U150" s="72"/>
      <c r="V150" s="72"/>
      <c r="W150" s="72"/>
      <c r="X150" s="72"/>
      <c r="Y150" s="72"/>
      <c r="Z150" s="72"/>
      <c r="AA150" s="72"/>
      <c r="AB150" s="72"/>
      <c r="AC150" s="72"/>
      <c r="AD150" s="72"/>
      <c r="AE150" s="72"/>
      <c r="AF150" s="72"/>
    </row>
    <row r="151" spans="7:32" ht="15.75" customHeight="1" x14ac:dyDescent="0.25">
      <c r="G151" s="72"/>
      <c r="H151" s="72"/>
      <c r="I151" s="72"/>
      <c r="J151" s="72"/>
      <c r="K151" s="72"/>
      <c r="L151" s="72"/>
      <c r="M151" s="72"/>
      <c r="N151" s="72"/>
      <c r="O151" s="72"/>
      <c r="P151" s="72"/>
      <c r="Q151" s="72"/>
      <c r="R151" s="72"/>
      <c r="S151" s="72"/>
      <c r="T151" s="72"/>
      <c r="U151" s="72"/>
      <c r="V151" s="72"/>
      <c r="W151" s="72"/>
      <c r="X151" s="72"/>
      <c r="Y151" s="72"/>
      <c r="Z151" s="72"/>
      <c r="AA151" s="72"/>
      <c r="AB151" s="72"/>
      <c r="AC151" s="72"/>
      <c r="AD151" s="72"/>
      <c r="AE151" s="72"/>
      <c r="AF151" s="72"/>
    </row>
    <row r="152" spans="7:32" ht="15.75" customHeight="1" x14ac:dyDescent="0.25">
      <c r="G152" s="72"/>
      <c r="H152" s="72"/>
      <c r="I152" s="72"/>
      <c r="J152" s="72"/>
      <c r="K152" s="72"/>
      <c r="L152" s="72"/>
      <c r="M152" s="72"/>
      <c r="N152" s="72"/>
      <c r="O152" s="72"/>
      <c r="P152" s="72"/>
      <c r="Q152" s="72"/>
      <c r="R152" s="72"/>
      <c r="S152" s="72"/>
      <c r="T152" s="72"/>
      <c r="U152" s="72"/>
      <c r="V152" s="72"/>
      <c r="W152" s="72"/>
      <c r="X152" s="72"/>
      <c r="Y152" s="72"/>
      <c r="Z152" s="72"/>
      <c r="AA152" s="72"/>
      <c r="AB152" s="72"/>
      <c r="AC152" s="72"/>
      <c r="AD152" s="72"/>
      <c r="AE152" s="72"/>
      <c r="AF152" s="72"/>
    </row>
    <row r="153" spans="7:32" ht="15.75" customHeight="1" x14ac:dyDescent="0.25">
      <c r="G153" s="72"/>
      <c r="H153" s="72"/>
      <c r="I153" s="72"/>
      <c r="J153" s="72"/>
      <c r="K153" s="72"/>
      <c r="L153" s="72"/>
      <c r="M153" s="72"/>
      <c r="N153" s="72"/>
      <c r="O153" s="72"/>
      <c r="P153" s="72"/>
      <c r="Q153" s="72"/>
      <c r="R153" s="72"/>
      <c r="S153" s="72"/>
      <c r="T153" s="72"/>
      <c r="U153" s="72"/>
      <c r="V153" s="72"/>
      <c r="W153" s="72"/>
      <c r="X153" s="72"/>
      <c r="Y153" s="72"/>
      <c r="Z153" s="72"/>
      <c r="AA153" s="72"/>
      <c r="AB153" s="72"/>
      <c r="AC153" s="72"/>
      <c r="AD153" s="72"/>
      <c r="AE153" s="72"/>
      <c r="AF153" s="72"/>
    </row>
    <row r="154" spans="7:32" ht="15.75" customHeight="1" x14ac:dyDescent="0.25">
      <c r="G154" s="72"/>
      <c r="H154" s="72"/>
      <c r="I154" s="72"/>
      <c r="J154" s="72"/>
      <c r="K154" s="72"/>
      <c r="L154" s="72"/>
      <c r="M154" s="72"/>
      <c r="N154" s="72"/>
      <c r="O154" s="72"/>
      <c r="P154" s="72"/>
      <c r="Q154" s="72"/>
      <c r="R154" s="72"/>
      <c r="S154" s="72"/>
      <c r="T154" s="72"/>
      <c r="U154" s="72"/>
      <c r="V154" s="72"/>
      <c r="W154" s="72"/>
      <c r="X154" s="72"/>
      <c r="Y154" s="72"/>
      <c r="Z154" s="72"/>
      <c r="AA154" s="72"/>
      <c r="AB154" s="72"/>
      <c r="AC154" s="72"/>
      <c r="AD154" s="72"/>
      <c r="AE154" s="72"/>
      <c r="AF154" s="72"/>
    </row>
    <row r="155" spans="7:32" ht="15.75" customHeight="1" x14ac:dyDescent="0.25">
      <c r="G155" s="72"/>
      <c r="H155" s="72"/>
      <c r="I155" s="72"/>
      <c r="J155" s="72"/>
      <c r="K155" s="72"/>
      <c r="L155" s="72"/>
      <c r="M155" s="72"/>
      <c r="N155" s="72"/>
      <c r="O155" s="72"/>
      <c r="P155" s="72"/>
      <c r="Q155" s="72"/>
      <c r="R155" s="72"/>
      <c r="S155" s="72"/>
      <c r="T155" s="72"/>
      <c r="U155" s="72"/>
      <c r="V155" s="72"/>
      <c r="W155" s="72"/>
      <c r="X155" s="72"/>
      <c r="Y155" s="72"/>
      <c r="Z155" s="72"/>
      <c r="AA155" s="72"/>
      <c r="AB155" s="72"/>
      <c r="AC155" s="72"/>
      <c r="AD155" s="72"/>
      <c r="AE155" s="72"/>
      <c r="AF155" s="72"/>
    </row>
    <row r="156" spans="7:32" ht="15.75" customHeight="1" x14ac:dyDescent="0.25">
      <c r="G156" s="72"/>
      <c r="H156" s="72"/>
      <c r="I156" s="72"/>
      <c r="J156" s="72"/>
      <c r="K156" s="72"/>
      <c r="L156" s="72"/>
      <c r="M156" s="72"/>
      <c r="N156" s="72"/>
      <c r="O156" s="72"/>
      <c r="P156" s="72"/>
      <c r="Q156" s="72"/>
      <c r="R156" s="72"/>
      <c r="S156" s="72"/>
      <c r="T156" s="72"/>
      <c r="U156" s="72"/>
      <c r="V156" s="72"/>
      <c r="W156" s="72"/>
      <c r="X156" s="72"/>
      <c r="Y156" s="72"/>
      <c r="Z156" s="72"/>
      <c r="AA156" s="72"/>
      <c r="AB156" s="72"/>
      <c r="AC156" s="72"/>
      <c r="AD156" s="72"/>
      <c r="AE156" s="72"/>
      <c r="AF156" s="72"/>
    </row>
    <row r="157" spans="7:32" ht="15.75" customHeight="1" x14ac:dyDescent="0.25">
      <c r="G157" s="72"/>
      <c r="H157" s="72"/>
      <c r="I157" s="72"/>
      <c r="J157" s="72"/>
      <c r="K157" s="72"/>
      <c r="L157" s="72"/>
      <c r="M157" s="72"/>
      <c r="N157" s="72"/>
      <c r="O157" s="72"/>
      <c r="P157" s="72"/>
      <c r="Q157" s="72"/>
      <c r="R157" s="72"/>
      <c r="S157" s="72"/>
      <c r="T157" s="72"/>
      <c r="U157" s="72"/>
      <c r="V157" s="72"/>
      <c r="W157" s="72"/>
      <c r="X157" s="72"/>
      <c r="Y157" s="72"/>
      <c r="Z157" s="72"/>
      <c r="AA157" s="72"/>
      <c r="AB157" s="72"/>
      <c r="AC157" s="72"/>
      <c r="AD157" s="72"/>
      <c r="AE157" s="72"/>
      <c r="AF157" s="72"/>
    </row>
    <row r="158" spans="7:32" ht="15.75" customHeight="1" x14ac:dyDescent="0.25">
      <c r="G158" s="72"/>
      <c r="H158" s="72"/>
      <c r="I158" s="72"/>
      <c r="J158" s="72"/>
      <c r="K158" s="72"/>
      <c r="L158" s="72"/>
      <c r="M158" s="72"/>
      <c r="N158" s="72"/>
      <c r="O158" s="72"/>
      <c r="P158" s="72"/>
      <c r="Q158" s="72"/>
      <c r="R158" s="72"/>
      <c r="S158" s="72"/>
      <c r="T158" s="72"/>
      <c r="U158" s="72"/>
      <c r="V158" s="72"/>
      <c r="W158" s="72"/>
      <c r="X158" s="72"/>
      <c r="Y158" s="72"/>
      <c r="Z158" s="72"/>
      <c r="AA158" s="72"/>
      <c r="AB158" s="72"/>
      <c r="AC158" s="72"/>
      <c r="AD158" s="72"/>
      <c r="AE158" s="72"/>
      <c r="AF158" s="72"/>
    </row>
    <row r="159" spans="7:32" ht="15.75" customHeight="1" x14ac:dyDescent="0.25">
      <c r="G159" s="72"/>
      <c r="H159" s="72"/>
      <c r="I159" s="72"/>
      <c r="J159" s="72"/>
      <c r="K159" s="72"/>
      <c r="L159" s="72"/>
      <c r="M159" s="72"/>
      <c r="N159" s="72"/>
      <c r="O159" s="72"/>
      <c r="P159" s="72"/>
      <c r="Q159" s="72"/>
      <c r="R159" s="72"/>
      <c r="S159" s="72"/>
      <c r="T159" s="72"/>
      <c r="U159" s="72"/>
      <c r="V159" s="72"/>
      <c r="W159" s="72"/>
      <c r="X159" s="72"/>
      <c r="Y159" s="72"/>
      <c r="Z159" s="72"/>
      <c r="AA159" s="72"/>
      <c r="AB159" s="72"/>
      <c r="AC159" s="72"/>
      <c r="AD159" s="72"/>
      <c r="AE159" s="72"/>
      <c r="AF159" s="72"/>
    </row>
    <row r="160" spans="7:32" ht="15.75" customHeight="1" x14ac:dyDescent="0.25">
      <c r="G160" s="72"/>
      <c r="H160" s="72"/>
      <c r="I160" s="72"/>
      <c r="J160" s="72"/>
      <c r="K160" s="72"/>
      <c r="L160" s="72"/>
      <c r="M160" s="72"/>
      <c r="N160" s="72"/>
      <c r="O160" s="72"/>
      <c r="P160" s="72"/>
      <c r="Q160" s="72"/>
      <c r="R160" s="72"/>
      <c r="S160" s="72"/>
      <c r="T160" s="72"/>
      <c r="U160" s="72"/>
      <c r="V160" s="72"/>
      <c r="W160" s="72"/>
      <c r="X160" s="72"/>
      <c r="Y160" s="72"/>
      <c r="Z160" s="72"/>
      <c r="AA160" s="72"/>
      <c r="AB160" s="72"/>
      <c r="AC160" s="72"/>
      <c r="AD160" s="72"/>
      <c r="AE160" s="72"/>
      <c r="AF160" s="72"/>
    </row>
    <row r="161" spans="7:32" ht="15.75" customHeight="1" x14ac:dyDescent="0.25">
      <c r="G161" s="72"/>
      <c r="H161" s="72"/>
      <c r="I161" s="72"/>
      <c r="J161" s="72"/>
      <c r="K161" s="72"/>
      <c r="L161" s="72"/>
      <c r="M161" s="72"/>
      <c r="N161" s="72"/>
      <c r="O161" s="72"/>
      <c r="P161" s="72"/>
      <c r="Q161" s="72"/>
      <c r="R161" s="72"/>
      <c r="S161" s="72"/>
      <c r="T161" s="72"/>
      <c r="U161" s="72"/>
      <c r="V161" s="72"/>
      <c r="W161" s="72"/>
      <c r="X161" s="72"/>
      <c r="Y161" s="72"/>
      <c r="Z161" s="72"/>
      <c r="AA161" s="72"/>
      <c r="AB161" s="72"/>
      <c r="AC161" s="72"/>
      <c r="AD161" s="72"/>
      <c r="AE161" s="72"/>
      <c r="AF161" s="72"/>
    </row>
    <row r="162" spans="7:32" ht="15.75" customHeight="1" x14ac:dyDescent="0.25">
      <c r="G162" s="72"/>
      <c r="H162" s="72"/>
      <c r="I162" s="72"/>
      <c r="J162" s="72"/>
      <c r="K162" s="72"/>
      <c r="L162" s="72"/>
      <c r="M162" s="72"/>
      <c r="N162" s="72"/>
      <c r="O162" s="72"/>
      <c r="P162" s="72"/>
      <c r="Q162" s="72"/>
      <c r="R162" s="72"/>
      <c r="S162" s="72"/>
      <c r="T162" s="72"/>
      <c r="U162" s="72"/>
      <c r="V162" s="72"/>
      <c r="W162" s="72"/>
      <c r="X162" s="72"/>
      <c r="Y162" s="72"/>
      <c r="Z162" s="72"/>
      <c r="AA162" s="72"/>
      <c r="AB162" s="72"/>
      <c r="AC162" s="72"/>
      <c r="AD162" s="72"/>
      <c r="AE162" s="72"/>
      <c r="AF162" s="72"/>
    </row>
    <row r="163" spans="7:32" ht="15.75" customHeight="1" x14ac:dyDescent="0.25">
      <c r="G163" s="72"/>
      <c r="H163" s="72"/>
      <c r="I163" s="72"/>
      <c r="J163" s="72"/>
      <c r="K163" s="72"/>
      <c r="L163" s="72"/>
      <c r="M163" s="72"/>
      <c r="N163" s="72"/>
      <c r="O163" s="72"/>
      <c r="P163" s="72"/>
      <c r="Q163" s="72"/>
      <c r="R163" s="72"/>
      <c r="S163" s="72"/>
      <c r="T163" s="72"/>
      <c r="U163" s="72"/>
      <c r="V163" s="72"/>
      <c r="W163" s="72"/>
      <c r="X163" s="72"/>
      <c r="Y163" s="72"/>
      <c r="Z163" s="72"/>
      <c r="AA163" s="72"/>
      <c r="AB163" s="72"/>
      <c r="AC163" s="72"/>
      <c r="AD163" s="72"/>
      <c r="AE163" s="72"/>
      <c r="AF163" s="72"/>
    </row>
    <row r="164" spans="7:32" ht="15.75" customHeight="1" x14ac:dyDescent="0.25">
      <c r="G164" s="72"/>
      <c r="H164" s="72"/>
      <c r="I164" s="72"/>
      <c r="J164" s="72"/>
      <c r="K164" s="72"/>
      <c r="L164" s="72"/>
      <c r="M164" s="72"/>
      <c r="N164" s="72"/>
      <c r="O164" s="72"/>
      <c r="P164" s="72"/>
      <c r="Q164" s="72"/>
      <c r="R164" s="72"/>
      <c r="S164" s="72"/>
      <c r="T164" s="72"/>
      <c r="U164" s="72"/>
      <c r="V164" s="72"/>
      <c r="W164" s="72"/>
      <c r="X164" s="72"/>
      <c r="Y164" s="72"/>
      <c r="Z164" s="72"/>
      <c r="AA164" s="72"/>
      <c r="AB164" s="72"/>
      <c r="AC164" s="72"/>
      <c r="AD164" s="72"/>
      <c r="AE164" s="72"/>
      <c r="AF164" s="72"/>
    </row>
    <row r="165" spans="7:32" ht="15.75" customHeight="1" x14ac:dyDescent="0.25">
      <c r="G165" s="72"/>
      <c r="H165" s="72"/>
      <c r="I165" s="72"/>
      <c r="J165" s="72"/>
      <c r="K165" s="72"/>
      <c r="L165" s="72"/>
      <c r="M165" s="72"/>
      <c r="N165" s="72"/>
      <c r="O165" s="72"/>
      <c r="P165" s="72"/>
      <c r="Q165" s="72"/>
      <c r="R165" s="72"/>
      <c r="S165" s="72"/>
      <c r="T165" s="72"/>
      <c r="U165" s="72"/>
      <c r="V165" s="72"/>
      <c r="W165" s="72"/>
      <c r="X165" s="72"/>
      <c r="Y165" s="72"/>
      <c r="Z165" s="72"/>
      <c r="AA165" s="72"/>
      <c r="AB165" s="72"/>
      <c r="AC165" s="72"/>
      <c r="AD165" s="72"/>
      <c r="AE165" s="72"/>
      <c r="AF165" s="72"/>
    </row>
    <row r="166" spans="7:32" ht="15.75" customHeight="1" x14ac:dyDescent="0.25">
      <c r="G166" s="72"/>
      <c r="H166" s="72"/>
      <c r="I166" s="72"/>
      <c r="J166" s="72"/>
      <c r="K166" s="72"/>
      <c r="L166" s="72"/>
      <c r="M166" s="72"/>
      <c r="N166" s="72"/>
      <c r="O166" s="72"/>
      <c r="P166" s="72"/>
      <c r="Q166" s="72"/>
      <c r="R166" s="72"/>
      <c r="S166" s="72"/>
      <c r="T166" s="72"/>
      <c r="U166" s="72"/>
      <c r="V166" s="72"/>
      <c r="W166" s="72"/>
      <c r="X166" s="72"/>
      <c r="Y166" s="72"/>
      <c r="Z166" s="72"/>
      <c r="AA166" s="72"/>
      <c r="AB166" s="72"/>
      <c r="AC166" s="72"/>
      <c r="AD166" s="72"/>
      <c r="AE166" s="72"/>
      <c r="AF166" s="72"/>
    </row>
    <row r="167" spans="7:32" ht="15.75" customHeight="1" x14ac:dyDescent="0.25">
      <c r="G167" s="72"/>
      <c r="H167" s="72"/>
      <c r="I167" s="72"/>
      <c r="J167" s="72"/>
      <c r="K167" s="72"/>
      <c r="L167" s="72"/>
      <c r="M167" s="72"/>
      <c r="N167" s="72"/>
      <c r="O167" s="72"/>
      <c r="P167" s="72"/>
      <c r="Q167" s="72"/>
      <c r="R167" s="72"/>
      <c r="S167" s="72"/>
      <c r="T167" s="72"/>
      <c r="U167" s="72"/>
      <c r="V167" s="72"/>
      <c r="W167" s="72"/>
      <c r="X167" s="72"/>
      <c r="Y167" s="72"/>
      <c r="Z167" s="72"/>
      <c r="AA167" s="72"/>
      <c r="AB167" s="72"/>
      <c r="AC167" s="72"/>
      <c r="AD167" s="72"/>
      <c r="AE167" s="72"/>
      <c r="AF167" s="72"/>
    </row>
    <row r="168" spans="7:32" ht="15.75" customHeight="1" x14ac:dyDescent="0.25">
      <c r="G168" s="72"/>
      <c r="H168" s="72"/>
      <c r="I168" s="72"/>
      <c r="J168" s="72"/>
      <c r="K168" s="72"/>
      <c r="L168" s="72"/>
      <c r="M168" s="72"/>
      <c r="N168" s="72"/>
      <c r="O168" s="72"/>
      <c r="P168" s="72"/>
      <c r="Q168" s="72"/>
      <c r="R168" s="72"/>
      <c r="S168" s="72"/>
      <c r="T168" s="72"/>
      <c r="U168" s="72"/>
      <c r="V168" s="72"/>
      <c r="W168" s="72"/>
      <c r="X168" s="72"/>
      <c r="Y168" s="72"/>
      <c r="Z168" s="72"/>
      <c r="AA168" s="72"/>
      <c r="AB168" s="72"/>
      <c r="AC168" s="72"/>
      <c r="AD168" s="72"/>
      <c r="AE168" s="72"/>
      <c r="AF168" s="72"/>
    </row>
    <row r="169" spans="7:32" ht="15.75" customHeight="1" x14ac:dyDescent="0.25">
      <c r="G169" s="72"/>
      <c r="H169" s="72"/>
      <c r="I169" s="72"/>
      <c r="J169" s="72"/>
      <c r="K169" s="72"/>
      <c r="L169" s="72"/>
      <c r="M169" s="72"/>
      <c r="N169" s="72"/>
      <c r="O169" s="72"/>
      <c r="P169" s="72"/>
      <c r="Q169" s="72"/>
      <c r="R169" s="72"/>
      <c r="S169" s="72"/>
      <c r="T169" s="72"/>
      <c r="U169" s="72"/>
      <c r="V169" s="72"/>
      <c r="W169" s="72"/>
      <c r="X169" s="72"/>
      <c r="Y169" s="72"/>
      <c r="Z169" s="72"/>
      <c r="AA169" s="72"/>
      <c r="AB169" s="72"/>
      <c r="AC169" s="72"/>
      <c r="AD169" s="72"/>
      <c r="AE169" s="72"/>
      <c r="AF169" s="72"/>
    </row>
    <row r="170" spans="7:32" ht="15.75" customHeight="1" x14ac:dyDescent="0.25">
      <c r="G170" s="72"/>
      <c r="H170" s="72"/>
      <c r="I170" s="72"/>
      <c r="J170" s="72"/>
      <c r="K170" s="72"/>
      <c r="L170" s="72"/>
      <c r="M170" s="72"/>
      <c r="N170" s="72"/>
      <c r="O170" s="72"/>
      <c r="P170" s="72"/>
      <c r="Q170" s="72"/>
      <c r="R170" s="72"/>
      <c r="S170" s="72"/>
      <c r="T170" s="72"/>
      <c r="U170" s="72"/>
      <c r="V170" s="72"/>
      <c r="W170" s="72"/>
      <c r="X170" s="72"/>
      <c r="Y170" s="72"/>
      <c r="Z170" s="72"/>
      <c r="AA170" s="72"/>
      <c r="AB170" s="72"/>
      <c r="AC170" s="72"/>
      <c r="AD170" s="72"/>
      <c r="AE170" s="72"/>
      <c r="AF170" s="72"/>
    </row>
    <row r="171" spans="7:32" ht="15.75" customHeight="1" x14ac:dyDescent="0.25">
      <c r="G171" s="72"/>
      <c r="H171" s="72"/>
      <c r="I171" s="72"/>
      <c r="J171" s="72"/>
      <c r="K171" s="72"/>
      <c r="L171" s="72"/>
      <c r="M171" s="72"/>
      <c r="N171" s="72"/>
      <c r="O171" s="72"/>
      <c r="P171" s="72"/>
      <c r="Q171" s="72"/>
      <c r="R171" s="72"/>
      <c r="S171" s="72"/>
      <c r="T171" s="72"/>
      <c r="U171" s="72"/>
      <c r="V171" s="72"/>
      <c r="W171" s="72"/>
      <c r="X171" s="72"/>
      <c r="Y171" s="72"/>
      <c r="Z171" s="72"/>
      <c r="AA171" s="72"/>
      <c r="AB171" s="72"/>
      <c r="AC171" s="72"/>
      <c r="AD171" s="72"/>
      <c r="AE171" s="72"/>
      <c r="AF171" s="72"/>
    </row>
    <row r="172" spans="7:32" ht="15.75" customHeight="1" x14ac:dyDescent="0.25">
      <c r="G172" s="72"/>
      <c r="H172" s="72"/>
      <c r="I172" s="72"/>
      <c r="J172" s="72"/>
      <c r="K172" s="72"/>
      <c r="L172" s="72"/>
      <c r="M172" s="72"/>
      <c r="N172" s="72"/>
      <c r="O172" s="72"/>
      <c r="P172" s="72"/>
      <c r="Q172" s="72"/>
      <c r="R172" s="72"/>
      <c r="S172" s="72"/>
      <c r="T172" s="72"/>
      <c r="U172" s="72"/>
      <c r="V172" s="72"/>
      <c r="W172" s="72"/>
      <c r="X172" s="72"/>
      <c r="Y172" s="72"/>
      <c r="Z172" s="72"/>
      <c r="AA172" s="72"/>
      <c r="AB172" s="72"/>
      <c r="AC172" s="72"/>
      <c r="AD172" s="72"/>
      <c r="AE172" s="72"/>
      <c r="AF172" s="72"/>
    </row>
    <row r="173" spans="7:32" ht="15.75" customHeight="1" x14ac:dyDescent="0.25">
      <c r="G173" s="72"/>
      <c r="H173" s="72"/>
      <c r="I173" s="72"/>
      <c r="J173" s="72"/>
      <c r="K173" s="72"/>
      <c r="L173" s="72"/>
      <c r="M173" s="72"/>
      <c r="N173" s="72"/>
      <c r="O173" s="72"/>
      <c r="P173" s="72"/>
      <c r="Q173" s="72"/>
      <c r="R173" s="72"/>
      <c r="S173" s="72"/>
      <c r="T173" s="72"/>
      <c r="U173" s="72"/>
      <c r="V173" s="72"/>
      <c r="W173" s="72"/>
      <c r="X173" s="72"/>
      <c r="Y173" s="72"/>
      <c r="Z173" s="72"/>
      <c r="AA173" s="72"/>
      <c r="AB173" s="72"/>
      <c r="AC173" s="72"/>
      <c r="AD173" s="72"/>
      <c r="AE173" s="72"/>
      <c r="AF173" s="72"/>
    </row>
    <row r="174" spans="7:32" ht="15.75" customHeight="1" x14ac:dyDescent="0.25">
      <c r="G174" s="72"/>
      <c r="H174" s="72"/>
      <c r="I174" s="72"/>
      <c r="J174" s="72"/>
      <c r="K174" s="72"/>
      <c r="L174" s="72"/>
      <c r="M174" s="72"/>
      <c r="N174" s="72"/>
      <c r="O174" s="72"/>
      <c r="P174" s="72"/>
      <c r="Q174" s="72"/>
      <c r="R174" s="72"/>
      <c r="S174" s="72"/>
      <c r="T174" s="72"/>
      <c r="U174" s="72"/>
      <c r="V174" s="72"/>
      <c r="W174" s="72"/>
      <c r="X174" s="72"/>
      <c r="Y174" s="72"/>
      <c r="Z174" s="72"/>
      <c r="AA174" s="72"/>
      <c r="AB174" s="72"/>
      <c r="AC174" s="72"/>
      <c r="AD174" s="72"/>
      <c r="AE174" s="72"/>
      <c r="AF174" s="72"/>
    </row>
    <row r="175" spans="7:32" ht="15.75" customHeight="1" x14ac:dyDescent="0.25">
      <c r="G175" s="72"/>
      <c r="H175" s="72"/>
      <c r="I175" s="72"/>
      <c r="J175" s="72"/>
      <c r="K175" s="72"/>
      <c r="L175" s="72"/>
      <c r="M175" s="72"/>
      <c r="N175" s="72"/>
      <c r="O175" s="72"/>
      <c r="P175" s="72"/>
      <c r="Q175" s="72"/>
      <c r="R175" s="72"/>
      <c r="S175" s="72"/>
      <c r="T175" s="72"/>
      <c r="U175" s="72"/>
      <c r="V175" s="72"/>
      <c r="W175" s="72"/>
      <c r="X175" s="72"/>
      <c r="Y175" s="72"/>
      <c r="Z175" s="72"/>
      <c r="AA175" s="72"/>
      <c r="AB175" s="72"/>
      <c r="AC175" s="72"/>
      <c r="AD175" s="72"/>
      <c r="AE175" s="72"/>
      <c r="AF175" s="72"/>
    </row>
    <row r="176" spans="7:32" ht="15.75" customHeight="1" x14ac:dyDescent="0.25">
      <c r="G176" s="72"/>
      <c r="H176" s="72"/>
      <c r="I176" s="72"/>
      <c r="J176" s="72"/>
      <c r="K176" s="72"/>
      <c r="L176" s="72"/>
      <c r="M176" s="72"/>
      <c r="N176" s="72"/>
      <c r="O176" s="72"/>
      <c r="P176" s="72"/>
      <c r="Q176" s="72"/>
      <c r="R176" s="72"/>
      <c r="S176" s="72"/>
      <c r="T176" s="72"/>
      <c r="U176" s="72"/>
      <c r="V176" s="72"/>
      <c r="W176" s="72"/>
      <c r="X176" s="72"/>
      <c r="Y176" s="72"/>
      <c r="Z176" s="72"/>
      <c r="AA176" s="72"/>
      <c r="AB176" s="72"/>
      <c r="AC176" s="72"/>
      <c r="AD176" s="72"/>
      <c r="AE176" s="72"/>
      <c r="AF176" s="72"/>
    </row>
    <row r="177" spans="7:32" ht="15.75" customHeight="1" x14ac:dyDescent="0.25">
      <c r="G177" s="72"/>
      <c r="H177" s="72"/>
      <c r="I177" s="72"/>
      <c r="J177" s="72"/>
      <c r="K177" s="72"/>
      <c r="L177" s="72"/>
      <c r="M177" s="72"/>
      <c r="N177" s="72"/>
      <c r="O177" s="72"/>
      <c r="P177" s="72"/>
      <c r="Q177" s="72"/>
      <c r="R177" s="72"/>
      <c r="S177" s="72"/>
      <c r="T177" s="72"/>
      <c r="U177" s="72"/>
      <c r="V177" s="72"/>
      <c r="W177" s="72"/>
      <c r="X177" s="72"/>
      <c r="Y177" s="72"/>
      <c r="Z177" s="72"/>
      <c r="AA177" s="72"/>
      <c r="AB177" s="72"/>
      <c r="AC177" s="72"/>
      <c r="AD177" s="72"/>
      <c r="AE177" s="72"/>
      <c r="AF177" s="72"/>
    </row>
    <row r="178" spans="7:32" ht="15.75" customHeight="1" x14ac:dyDescent="0.25">
      <c r="G178" s="72"/>
      <c r="H178" s="72"/>
      <c r="I178" s="72"/>
      <c r="J178" s="72"/>
      <c r="K178" s="72"/>
      <c r="L178" s="72"/>
      <c r="M178" s="72"/>
      <c r="N178" s="72"/>
      <c r="O178" s="72"/>
      <c r="P178" s="72"/>
      <c r="Q178" s="72"/>
      <c r="R178" s="72"/>
      <c r="S178" s="72"/>
      <c r="T178" s="72"/>
      <c r="U178" s="72"/>
      <c r="V178" s="72"/>
      <c r="W178" s="72"/>
      <c r="X178" s="72"/>
      <c r="Y178" s="72"/>
      <c r="Z178" s="72"/>
      <c r="AA178" s="72"/>
      <c r="AB178" s="72"/>
      <c r="AC178" s="72"/>
      <c r="AD178" s="72"/>
      <c r="AE178" s="72"/>
      <c r="AF178" s="72"/>
    </row>
    <row r="179" spans="7:32" ht="15.75" customHeight="1" x14ac:dyDescent="0.25">
      <c r="G179" s="72"/>
      <c r="H179" s="72"/>
      <c r="I179" s="72"/>
      <c r="J179" s="72"/>
      <c r="K179" s="72"/>
      <c r="L179" s="72"/>
      <c r="M179" s="72"/>
      <c r="N179" s="72"/>
      <c r="O179" s="72"/>
      <c r="P179" s="72"/>
      <c r="Q179" s="72"/>
      <c r="R179" s="72"/>
      <c r="S179" s="72"/>
      <c r="T179" s="72"/>
      <c r="U179" s="72"/>
      <c r="V179" s="72"/>
      <c r="W179" s="72"/>
      <c r="X179" s="72"/>
      <c r="Y179" s="72"/>
      <c r="Z179" s="72"/>
      <c r="AA179" s="72"/>
      <c r="AB179" s="72"/>
      <c r="AC179" s="72"/>
      <c r="AD179" s="72"/>
      <c r="AE179" s="72"/>
      <c r="AF179" s="72"/>
    </row>
    <row r="180" spans="7:32" ht="15.75" customHeight="1" x14ac:dyDescent="0.25">
      <c r="G180" s="72"/>
      <c r="H180" s="72"/>
      <c r="I180" s="72"/>
      <c r="J180" s="72"/>
      <c r="K180" s="72"/>
      <c r="L180" s="72"/>
      <c r="M180" s="72"/>
      <c r="N180" s="72"/>
      <c r="O180" s="72"/>
      <c r="P180" s="72"/>
      <c r="Q180" s="72"/>
      <c r="R180" s="72"/>
      <c r="S180" s="72"/>
      <c r="T180" s="72"/>
      <c r="U180" s="72"/>
      <c r="V180" s="72"/>
      <c r="W180" s="72"/>
      <c r="X180" s="72"/>
      <c r="Y180" s="72"/>
      <c r="Z180" s="72"/>
      <c r="AA180" s="72"/>
      <c r="AB180" s="72"/>
      <c r="AC180" s="72"/>
      <c r="AD180" s="72"/>
      <c r="AE180" s="72"/>
      <c r="AF180" s="72"/>
    </row>
    <row r="181" spans="7:32" ht="15.75" customHeight="1" x14ac:dyDescent="0.25">
      <c r="G181" s="72"/>
      <c r="H181" s="72"/>
      <c r="I181" s="72"/>
      <c r="J181" s="72"/>
      <c r="K181" s="72"/>
      <c r="L181" s="72"/>
      <c r="M181" s="72"/>
      <c r="N181" s="72"/>
      <c r="O181" s="72"/>
      <c r="P181" s="72"/>
      <c r="Q181" s="72"/>
      <c r="R181" s="72"/>
      <c r="S181" s="72"/>
      <c r="T181" s="72"/>
      <c r="U181" s="72"/>
      <c r="V181" s="72"/>
      <c r="W181" s="72"/>
      <c r="X181" s="72"/>
      <c r="Y181" s="72"/>
      <c r="Z181" s="72"/>
      <c r="AA181" s="72"/>
      <c r="AB181" s="72"/>
      <c r="AC181" s="72"/>
      <c r="AD181" s="72"/>
      <c r="AE181" s="72"/>
      <c r="AF181" s="72"/>
    </row>
    <row r="182" spans="7:32" ht="15.75" customHeight="1" x14ac:dyDescent="0.25">
      <c r="G182" s="72"/>
      <c r="H182" s="72"/>
      <c r="I182" s="72"/>
      <c r="J182" s="72"/>
      <c r="K182" s="72"/>
      <c r="L182" s="72"/>
      <c r="M182" s="72"/>
      <c r="N182" s="72"/>
      <c r="O182" s="72"/>
      <c r="P182" s="72"/>
      <c r="Q182" s="72"/>
      <c r="R182" s="72"/>
      <c r="S182" s="72"/>
      <c r="T182" s="72"/>
      <c r="U182" s="72"/>
      <c r="V182" s="72"/>
      <c r="W182" s="72"/>
      <c r="X182" s="72"/>
      <c r="Y182" s="72"/>
      <c r="Z182" s="72"/>
      <c r="AA182" s="72"/>
      <c r="AB182" s="72"/>
      <c r="AC182" s="72"/>
      <c r="AD182" s="72"/>
      <c r="AE182" s="72"/>
      <c r="AF182" s="72"/>
    </row>
    <row r="183" spans="7:32" ht="15.75" customHeight="1" x14ac:dyDescent="0.25">
      <c r="G183" s="72"/>
      <c r="H183" s="72"/>
      <c r="I183" s="72"/>
      <c r="J183" s="72"/>
      <c r="K183" s="72"/>
      <c r="L183" s="72"/>
      <c r="M183" s="72"/>
      <c r="N183" s="72"/>
      <c r="O183" s="72"/>
      <c r="P183" s="72"/>
      <c r="Q183" s="72"/>
      <c r="R183" s="72"/>
      <c r="S183" s="72"/>
      <c r="T183" s="72"/>
      <c r="U183" s="72"/>
      <c r="V183" s="72"/>
      <c r="W183" s="72"/>
      <c r="X183" s="72"/>
      <c r="Y183" s="72"/>
      <c r="Z183" s="72"/>
      <c r="AA183" s="72"/>
      <c r="AB183" s="72"/>
      <c r="AC183" s="72"/>
      <c r="AD183" s="72"/>
      <c r="AE183" s="72"/>
      <c r="AF183" s="72"/>
    </row>
    <row r="184" spans="7:32" ht="15.75" customHeight="1" x14ac:dyDescent="0.25">
      <c r="G184" s="72"/>
      <c r="H184" s="72"/>
      <c r="I184" s="72"/>
      <c r="J184" s="72"/>
      <c r="K184" s="72"/>
      <c r="L184" s="72"/>
      <c r="M184" s="72"/>
      <c r="N184" s="72"/>
      <c r="O184" s="72"/>
      <c r="P184" s="72"/>
      <c r="Q184" s="72"/>
      <c r="R184" s="72"/>
      <c r="S184" s="72"/>
      <c r="T184" s="72"/>
      <c r="U184" s="72"/>
      <c r="V184" s="72"/>
      <c r="W184" s="72"/>
      <c r="X184" s="72"/>
      <c r="Y184" s="72"/>
      <c r="Z184" s="72"/>
      <c r="AA184" s="72"/>
      <c r="AB184" s="72"/>
      <c r="AC184" s="72"/>
      <c r="AD184" s="72"/>
      <c r="AE184" s="72"/>
      <c r="AF184" s="72"/>
    </row>
    <row r="185" spans="7:32" ht="15.75" customHeight="1" x14ac:dyDescent="0.25">
      <c r="G185" s="72"/>
      <c r="H185" s="72"/>
      <c r="I185" s="72"/>
      <c r="J185" s="72"/>
      <c r="K185" s="72"/>
      <c r="L185" s="72"/>
      <c r="M185" s="72"/>
      <c r="N185" s="72"/>
      <c r="O185" s="72"/>
      <c r="P185" s="72"/>
      <c r="Q185" s="72"/>
      <c r="R185" s="72"/>
      <c r="S185" s="72"/>
      <c r="T185" s="72"/>
      <c r="U185" s="72"/>
      <c r="V185" s="72"/>
      <c r="W185" s="72"/>
      <c r="X185" s="72"/>
      <c r="Y185" s="72"/>
      <c r="Z185" s="72"/>
      <c r="AA185" s="72"/>
      <c r="AB185" s="72"/>
      <c r="AC185" s="72"/>
      <c r="AD185" s="72"/>
      <c r="AE185" s="72"/>
      <c r="AF185" s="72"/>
    </row>
    <row r="186" spans="7:32" ht="15.75" customHeight="1" x14ac:dyDescent="0.25">
      <c r="G186" s="72"/>
      <c r="H186" s="72"/>
      <c r="I186" s="72"/>
      <c r="J186" s="72"/>
      <c r="K186" s="72"/>
      <c r="L186" s="72"/>
      <c r="M186" s="72"/>
      <c r="N186" s="72"/>
      <c r="O186" s="72"/>
      <c r="P186" s="72"/>
      <c r="Q186" s="72"/>
      <c r="R186" s="72"/>
      <c r="S186" s="72"/>
      <c r="T186" s="72"/>
      <c r="U186" s="72"/>
      <c r="V186" s="72"/>
      <c r="W186" s="72"/>
      <c r="X186" s="72"/>
      <c r="Y186" s="72"/>
      <c r="Z186" s="72"/>
      <c r="AA186" s="72"/>
      <c r="AB186" s="72"/>
      <c r="AC186" s="72"/>
      <c r="AD186" s="72"/>
      <c r="AE186" s="72"/>
      <c r="AF186" s="72"/>
    </row>
    <row r="187" spans="7:32" ht="15.75" customHeight="1" x14ac:dyDescent="0.25">
      <c r="G187" s="72"/>
      <c r="H187" s="72"/>
      <c r="I187" s="72"/>
      <c r="J187" s="72"/>
      <c r="K187" s="72"/>
      <c r="L187" s="72"/>
      <c r="M187" s="72"/>
      <c r="N187" s="72"/>
      <c r="O187" s="72"/>
      <c r="P187" s="72"/>
      <c r="Q187" s="72"/>
      <c r="R187" s="72"/>
      <c r="S187" s="72"/>
      <c r="T187" s="72"/>
      <c r="U187" s="72"/>
      <c r="V187" s="72"/>
      <c r="W187" s="72"/>
      <c r="X187" s="72"/>
      <c r="Y187" s="72"/>
      <c r="Z187" s="72"/>
      <c r="AA187" s="72"/>
      <c r="AB187" s="72"/>
      <c r="AC187" s="72"/>
      <c r="AD187" s="72"/>
      <c r="AE187" s="72"/>
      <c r="AF187" s="72"/>
    </row>
    <row r="188" spans="7:32" ht="15.75" customHeight="1" x14ac:dyDescent="0.25">
      <c r="G188" s="72"/>
      <c r="H188" s="72"/>
      <c r="I188" s="72"/>
      <c r="J188" s="72"/>
      <c r="K188" s="72"/>
      <c r="L188" s="72"/>
      <c r="M188" s="72"/>
      <c r="N188" s="72"/>
      <c r="O188" s="72"/>
      <c r="P188" s="72"/>
      <c r="Q188" s="72"/>
      <c r="R188" s="72"/>
      <c r="S188" s="72"/>
      <c r="T188" s="72"/>
      <c r="U188" s="72"/>
      <c r="V188" s="72"/>
      <c r="W188" s="72"/>
      <c r="X188" s="72"/>
      <c r="Y188" s="72"/>
      <c r="Z188" s="72"/>
      <c r="AA188" s="72"/>
      <c r="AB188" s="72"/>
      <c r="AC188" s="72"/>
      <c r="AD188" s="72"/>
      <c r="AE188" s="72"/>
      <c r="AF188" s="72"/>
    </row>
    <row r="189" spans="7:32" ht="15.75" customHeight="1" x14ac:dyDescent="0.25">
      <c r="G189" s="72"/>
      <c r="H189" s="72"/>
      <c r="I189" s="72"/>
      <c r="J189" s="72"/>
      <c r="K189" s="72"/>
      <c r="L189" s="72"/>
      <c r="M189" s="72"/>
      <c r="N189" s="72"/>
      <c r="O189" s="72"/>
      <c r="P189" s="72"/>
      <c r="Q189" s="72"/>
      <c r="R189" s="72"/>
      <c r="S189" s="72"/>
      <c r="T189" s="72"/>
      <c r="U189" s="72"/>
      <c r="V189" s="72"/>
      <c r="W189" s="72"/>
      <c r="X189" s="72"/>
      <c r="Y189" s="72"/>
      <c r="Z189" s="72"/>
      <c r="AA189" s="72"/>
      <c r="AB189" s="72"/>
      <c r="AC189" s="72"/>
      <c r="AD189" s="72"/>
      <c r="AE189" s="72"/>
      <c r="AF189" s="72"/>
    </row>
    <row r="190" spans="7:32" ht="15.75" customHeight="1" x14ac:dyDescent="0.25">
      <c r="G190" s="72"/>
      <c r="H190" s="72"/>
      <c r="I190" s="72"/>
      <c r="J190" s="72"/>
      <c r="K190" s="72"/>
      <c r="L190" s="72"/>
      <c r="M190" s="72"/>
      <c r="N190" s="72"/>
      <c r="O190" s="72"/>
      <c r="P190" s="72"/>
      <c r="Q190" s="72"/>
      <c r="R190" s="72"/>
      <c r="S190" s="72"/>
      <c r="T190" s="72"/>
      <c r="U190" s="72"/>
      <c r="V190" s="72"/>
      <c r="W190" s="72"/>
      <c r="X190" s="72"/>
      <c r="Y190" s="72"/>
      <c r="Z190" s="72"/>
      <c r="AA190" s="72"/>
      <c r="AB190" s="72"/>
      <c r="AC190" s="72"/>
      <c r="AD190" s="72"/>
      <c r="AE190" s="72"/>
      <c r="AF190" s="72"/>
    </row>
    <row r="191" spans="7:32" ht="15.75" customHeight="1" x14ac:dyDescent="0.25">
      <c r="G191" s="72"/>
      <c r="H191" s="72"/>
      <c r="I191" s="72"/>
      <c r="J191" s="72"/>
      <c r="K191" s="72"/>
      <c r="L191" s="72"/>
      <c r="M191" s="72"/>
      <c r="N191" s="72"/>
      <c r="O191" s="72"/>
      <c r="P191" s="72"/>
      <c r="Q191" s="72"/>
      <c r="R191" s="72"/>
      <c r="S191" s="72"/>
      <c r="T191" s="72"/>
      <c r="U191" s="72"/>
      <c r="V191" s="72"/>
      <c r="W191" s="72"/>
      <c r="X191" s="72"/>
      <c r="Y191" s="72"/>
      <c r="Z191" s="72"/>
      <c r="AA191" s="72"/>
      <c r="AB191" s="72"/>
      <c r="AC191" s="72"/>
      <c r="AD191" s="72"/>
      <c r="AE191" s="72"/>
      <c r="AF191" s="72"/>
    </row>
    <row r="192" spans="7:32" ht="15.75" customHeight="1" x14ac:dyDescent="0.25">
      <c r="G192" s="72"/>
      <c r="H192" s="72"/>
      <c r="I192" s="72"/>
      <c r="J192" s="72"/>
      <c r="K192" s="72"/>
      <c r="L192" s="72"/>
      <c r="M192" s="72"/>
      <c r="N192" s="72"/>
      <c r="O192" s="72"/>
      <c r="P192" s="72"/>
      <c r="Q192" s="72"/>
      <c r="R192" s="72"/>
      <c r="S192" s="72"/>
      <c r="T192" s="72"/>
      <c r="U192" s="72"/>
      <c r="V192" s="72"/>
      <c r="W192" s="72"/>
      <c r="X192" s="72"/>
      <c r="Y192" s="72"/>
      <c r="Z192" s="72"/>
      <c r="AA192" s="72"/>
      <c r="AB192" s="72"/>
      <c r="AC192" s="72"/>
      <c r="AD192" s="72"/>
      <c r="AE192" s="72"/>
      <c r="AF192" s="72"/>
    </row>
    <row r="193" spans="7:32" ht="15.75" customHeight="1" x14ac:dyDescent="0.25">
      <c r="G193" s="72"/>
      <c r="H193" s="72"/>
      <c r="I193" s="72"/>
      <c r="J193" s="72"/>
      <c r="K193" s="72"/>
      <c r="L193" s="72"/>
      <c r="M193" s="72"/>
      <c r="N193" s="72"/>
      <c r="O193" s="72"/>
      <c r="P193" s="72"/>
      <c r="Q193" s="72"/>
      <c r="R193" s="72"/>
      <c r="S193" s="72"/>
      <c r="T193" s="72"/>
      <c r="U193" s="72"/>
      <c r="V193" s="72"/>
      <c r="W193" s="72"/>
      <c r="X193" s="72"/>
      <c r="Y193" s="72"/>
      <c r="Z193" s="72"/>
      <c r="AA193" s="72"/>
      <c r="AB193" s="72"/>
      <c r="AC193" s="72"/>
      <c r="AD193" s="72"/>
      <c r="AE193" s="72"/>
      <c r="AF193" s="72"/>
    </row>
    <row r="194" spans="7:32" ht="15.75" customHeight="1" x14ac:dyDescent="0.25">
      <c r="G194" s="72"/>
      <c r="H194" s="72"/>
      <c r="I194" s="72"/>
      <c r="J194" s="72"/>
      <c r="K194" s="72"/>
      <c r="L194" s="72"/>
      <c r="M194" s="72"/>
      <c r="N194" s="72"/>
      <c r="O194" s="72"/>
      <c r="P194" s="72"/>
      <c r="Q194" s="72"/>
      <c r="R194" s="72"/>
      <c r="S194" s="72"/>
      <c r="T194" s="72"/>
      <c r="U194" s="72"/>
      <c r="V194" s="72"/>
      <c r="W194" s="72"/>
      <c r="X194" s="72"/>
      <c r="Y194" s="72"/>
      <c r="Z194" s="72"/>
      <c r="AA194" s="72"/>
      <c r="AB194" s="72"/>
      <c r="AC194" s="72"/>
      <c r="AD194" s="72"/>
      <c r="AE194" s="72"/>
      <c r="AF194" s="72"/>
    </row>
    <row r="195" spans="7:32" ht="15.75" customHeight="1" x14ac:dyDescent="0.25">
      <c r="G195" s="72"/>
      <c r="H195" s="72"/>
      <c r="I195" s="72"/>
      <c r="J195" s="72"/>
      <c r="K195" s="72"/>
      <c r="L195" s="72"/>
      <c r="M195" s="72"/>
      <c r="N195" s="72"/>
      <c r="O195" s="72"/>
      <c r="P195" s="72"/>
      <c r="Q195" s="72"/>
      <c r="R195" s="72"/>
      <c r="S195" s="72"/>
      <c r="T195" s="72"/>
      <c r="U195" s="72"/>
      <c r="V195" s="72"/>
      <c r="W195" s="72"/>
      <c r="X195" s="72"/>
      <c r="Y195" s="72"/>
      <c r="Z195" s="72"/>
      <c r="AA195" s="72"/>
      <c r="AB195" s="72"/>
      <c r="AC195" s="72"/>
      <c r="AD195" s="72"/>
      <c r="AE195" s="72"/>
      <c r="AF195" s="72"/>
    </row>
    <row r="196" spans="7:32" ht="15.75" customHeight="1" x14ac:dyDescent="0.25">
      <c r="G196" s="72"/>
      <c r="H196" s="72"/>
      <c r="I196" s="72"/>
      <c r="J196" s="72"/>
      <c r="K196" s="72"/>
      <c r="L196" s="72"/>
      <c r="M196" s="72"/>
      <c r="N196" s="72"/>
      <c r="O196" s="72"/>
      <c r="P196" s="72"/>
      <c r="Q196" s="72"/>
      <c r="R196" s="72"/>
      <c r="S196" s="72"/>
      <c r="T196" s="72"/>
      <c r="U196" s="72"/>
      <c r="V196" s="72"/>
      <c r="W196" s="72"/>
      <c r="X196" s="72"/>
      <c r="Y196" s="72"/>
      <c r="Z196" s="72"/>
      <c r="AA196" s="72"/>
      <c r="AB196" s="72"/>
      <c r="AC196" s="72"/>
      <c r="AD196" s="72"/>
      <c r="AE196" s="72"/>
      <c r="AF196" s="72"/>
    </row>
    <row r="197" spans="7:32" ht="15.75" customHeight="1" x14ac:dyDescent="0.25">
      <c r="G197" s="72"/>
      <c r="H197" s="72"/>
      <c r="I197" s="72"/>
      <c r="J197" s="72"/>
      <c r="K197" s="72"/>
      <c r="L197" s="72"/>
      <c r="M197" s="72"/>
      <c r="N197" s="72"/>
      <c r="O197" s="72"/>
      <c r="P197" s="72"/>
      <c r="Q197" s="72"/>
      <c r="R197" s="72"/>
      <c r="S197" s="72"/>
      <c r="T197" s="72"/>
      <c r="U197" s="72"/>
      <c r="V197" s="72"/>
      <c r="W197" s="72"/>
      <c r="X197" s="72"/>
      <c r="Y197" s="72"/>
      <c r="Z197" s="72"/>
      <c r="AA197" s="72"/>
      <c r="AB197" s="72"/>
      <c r="AC197" s="72"/>
      <c r="AD197" s="72"/>
      <c r="AE197" s="72"/>
      <c r="AF197" s="72"/>
    </row>
    <row r="198" spans="7:32" ht="15.75" customHeight="1" x14ac:dyDescent="0.25">
      <c r="G198" s="72"/>
      <c r="H198" s="72"/>
      <c r="I198" s="72"/>
      <c r="J198" s="72"/>
      <c r="K198" s="72"/>
      <c r="L198" s="72"/>
      <c r="M198" s="72"/>
      <c r="N198" s="72"/>
      <c r="O198" s="72"/>
      <c r="P198" s="72"/>
      <c r="Q198" s="72"/>
      <c r="R198" s="72"/>
      <c r="S198" s="72"/>
      <c r="T198" s="72"/>
      <c r="U198" s="72"/>
      <c r="V198" s="72"/>
      <c r="W198" s="72"/>
      <c r="X198" s="72"/>
      <c r="Y198" s="72"/>
      <c r="Z198" s="72"/>
      <c r="AA198" s="72"/>
      <c r="AB198" s="72"/>
      <c r="AC198" s="72"/>
      <c r="AD198" s="72"/>
      <c r="AE198" s="72"/>
      <c r="AF198" s="72"/>
    </row>
    <row r="199" spans="7:32" ht="15.75" customHeight="1" x14ac:dyDescent="0.25">
      <c r="G199" s="72"/>
      <c r="H199" s="72"/>
      <c r="I199" s="72"/>
      <c r="J199" s="72"/>
      <c r="K199" s="72"/>
      <c r="L199" s="72"/>
      <c r="M199" s="72"/>
      <c r="N199" s="72"/>
      <c r="O199" s="72"/>
      <c r="P199" s="72"/>
      <c r="Q199" s="72"/>
      <c r="R199" s="72"/>
      <c r="S199" s="72"/>
      <c r="T199" s="72"/>
      <c r="U199" s="72"/>
      <c r="V199" s="72"/>
      <c r="W199" s="72"/>
      <c r="X199" s="72"/>
      <c r="Y199" s="72"/>
      <c r="Z199" s="72"/>
      <c r="AA199" s="72"/>
      <c r="AB199" s="72"/>
      <c r="AC199" s="72"/>
      <c r="AD199" s="72"/>
      <c r="AE199" s="72"/>
      <c r="AF199" s="72"/>
    </row>
    <row r="200" spans="7:32" ht="15.75" customHeight="1" x14ac:dyDescent="0.25">
      <c r="G200" s="72"/>
      <c r="H200" s="72"/>
      <c r="I200" s="72"/>
      <c r="J200" s="72"/>
      <c r="K200" s="72"/>
      <c r="L200" s="72"/>
      <c r="M200" s="72"/>
      <c r="N200" s="72"/>
      <c r="O200" s="72"/>
      <c r="P200" s="72"/>
      <c r="Q200" s="72"/>
      <c r="R200" s="72"/>
      <c r="S200" s="72"/>
      <c r="T200" s="72"/>
      <c r="U200" s="72"/>
      <c r="V200" s="72"/>
      <c r="W200" s="72"/>
      <c r="X200" s="72"/>
      <c r="Y200" s="72"/>
      <c r="Z200" s="72"/>
      <c r="AA200" s="72"/>
      <c r="AB200" s="72"/>
      <c r="AC200" s="72"/>
      <c r="AD200" s="72"/>
      <c r="AE200" s="72"/>
      <c r="AF200" s="72"/>
    </row>
    <row r="201" spans="7:32" ht="15.75" customHeight="1" x14ac:dyDescent="0.25">
      <c r="G201" s="72"/>
      <c r="H201" s="72"/>
      <c r="I201" s="72"/>
      <c r="J201" s="72"/>
      <c r="K201" s="72"/>
      <c r="L201" s="72"/>
      <c r="M201" s="72"/>
      <c r="N201" s="72"/>
      <c r="O201" s="72"/>
      <c r="P201" s="72"/>
      <c r="Q201" s="72"/>
      <c r="R201" s="72"/>
      <c r="S201" s="72"/>
      <c r="T201" s="72"/>
      <c r="U201" s="72"/>
      <c r="V201" s="72"/>
      <c r="W201" s="72"/>
      <c r="X201" s="72"/>
      <c r="Y201" s="72"/>
      <c r="Z201" s="72"/>
      <c r="AA201" s="72"/>
      <c r="AB201" s="72"/>
      <c r="AC201" s="72"/>
      <c r="AD201" s="72"/>
      <c r="AE201" s="72"/>
      <c r="AF201" s="72"/>
    </row>
    <row r="202" spans="7:32" ht="15.75" customHeight="1" x14ac:dyDescent="0.25">
      <c r="G202" s="72"/>
      <c r="H202" s="72"/>
      <c r="I202" s="72"/>
      <c r="J202" s="72"/>
      <c r="K202" s="72"/>
      <c r="L202" s="72"/>
      <c r="M202" s="72"/>
      <c r="N202" s="72"/>
      <c r="O202" s="72"/>
      <c r="P202" s="72"/>
      <c r="Q202" s="72"/>
      <c r="R202" s="72"/>
      <c r="S202" s="72"/>
      <c r="T202" s="72"/>
      <c r="U202" s="72"/>
      <c r="V202" s="72"/>
      <c r="W202" s="72"/>
      <c r="X202" s="72"/>
      <c r="Y202" s="72"/>
      <c r="Z202" s="72"/>
      <c r="AA202" s="72"/>
      <c r="AB202" s="72"/>
      <c r="AC202" s="72"/>
      <c r="AD202" s="72"/>
      <c r="AE202" s="72"/>
      <c r="AF202" s="72"/>
    </row>
    <row r="203" spans="7:32" ht="15.75" customHeight="1" x14ac:dyDescent="0.25">
      <c r="G203" s="72"/>
      <c r="H203" s="72"/>
      <c r="I203" s="72"/>
      <c r="J203" s="72"/>
      <c r="K203" s="72"/>
      <c r="L203" s="72"/>
      <c r="M203" s="72"/>
      <c r="N203" s="72"/>
      <c r="O203" s="72"/>
      <c r="P203" s="72"/>
      <c r="Q203" s="72"/>
      <c r="R203" s="72"/>
      <c r="S203" s="72"/>
      <c r="T203" s="72"/>
      <c r="U203" s="72"/>
      <c r="V203" s="72"/>
      <c r="W203" s="72"/>
      <c r="X203" s="72"/>
      <c r="Y203" s="72"/>
      <c r="Z203" s="72"/>
      <c r="AA203" s="72"/>
      <c r="AB203" s="72"/>
      <c r="AC203" s="72"/>
      <c r="AD203" s="72"/>
      <c r="AE203" s="72"/>
      <c r="AF203" s="72"/>
    </row>
    <row r="204" spans="7:32" ht="15.75" customHeight="1" x14ac:dyDescent="0.25">
      <c r="G204" s="72"/>
      <c r="H204" s="72"/>
      <c r="I204" s="72"/>
      <c r="J204" s="72"/>
      <c r="K204" s="72"/>
      <c r="L204" s="72"/>
      <c r="M204" s="72"/>
      <c r="N204" s="72"/>
      <c r="O204" s="72"/>
      <c r="P204" s="72"/>
      <c r="Q204" s="72"/>
      <c r="R204" s="72"/>
      <c r="S204" s="72"/>
      <c r="T204" s="72"/>
      <c r="U204" s="72"/>
      <c r="V204" s="72"/>
      <c r="W204" s="72"/>
      <c r="X204" s="72"/>
      <c r="Y204" s="72"/>
      <c r="Z204" s="72"/>
      <c r="AA204" s="72"/>
      <c r="AB204" s="72"/>
      <c r="AC204" s="72"/>
      <c r="AD204" s="72"/>
      <c r="AE204" s="72"/>
      <c r="AF204" s="72"/>
    </row>
    <row r="205" spans="7:32" ht="15.75" customHeight="1" x14ac:dyDescent="0.25">
      <c r="G205" s="72"/>
      <c r="H205" s="72"/>
      <c r="I205" s="72"/>
      <c r="J205" s="72"/>
      <c r="K205" s="72"/>
      <c r="L205" s="72"/>
      <c r="M205" s="72"/>
      <c r="N205" s="72"/>
      <c r="O205" s="72"/>
      <c r="P205" s="72"/>
      <c r="Q205" s="72"/>
      <c r="R205" s="72"/>
      <c r="S205" s="72"/>
      <c r="T205" s="72"/>
      <c r="U205" s="72"/>
      <c r="V205" s="72"/>
      <c r="W205" s="72"/>
      <c r="X205" s="72"/>
      <c r="Y205" s="72"/>
      <c r="Z205" s="72"/>
      <c r="AA205" s="72"/>
      <c r="AB205" s="72"/>
      <c r="AC205" s="72"/>
      <c r="AD205" s="72"/>
      <c r="AE205" s="72"/>
      <c r="AF205" s="72"/>
    </row>
    <row r="206" spans="7:32" ht="15.75" customHeight="1" x14ac:dyDescent="0.25">
      <c r="G206" s="72"/>
      <c r="H206" s="72"/>
      <c r="I206" s="72"/>
      <c r="J206" s="72"/>
      <c r="K206" s="72"/>
      <c r="L206" s="72"/>
      <c r="M206" s="72"/>
      <c r="N206" s="72"/>
      <c r="O206" s="72"/>
      <c r="P206" s="72"/>
      <c r="Q206" s="72"/>
      <c r="R206" s="72"/>
      <c r="S206" s="72"/>
      <c r="T206" s="72"/>
      <c r="U206" s="72"/>
      <c r="V206" s="72"/>
      <c r="W206" s="72"/>
      <c r="X206" s="72"/>
      <c r="Y206" s="72"/>
      <c r="Z206" s="72"/>
      <c r="AA206" s="72"/>
      <c r="AB206" s="72"/>
      <c r="AC206" s="72"/>
      <c r="AD206" s="72"/>
      <c r="AE206" s="72"/>
      <c r="AF206" s="72"/>
    </row>
    <row r="207" spans="7:32" ht="15.75" customHeight="1" x14ac:dyDescent="0.25">
      <c r="G207" s="72"/>
      <c r="H207" s="72"/>
      <c r="I207" s="72"/>
      <c r="J207" s="72"/>
      <c r="K207" s="72"/>
      <c r="L207" s="72"/>
      <c r="M207" s="72"/>
      <c r="N207" s="72"/>
      <c r="O207" s="72"/>
      <c r="P207" s="72"/>
      <c r="Q207" s="72"/>
      <c r="R207" s="72"/>
      <c r="S207" s="72"/>
      <c r="T207" s="72"/>
      <c r="U207" s="72"/>
      <c r="V207" s="72"/>
      <c r="W207" s="72"/>
      <c r="X207" s="72"/>
      <c r="Y207" s="72"/>
      <c r="Z207" s="72"/>
      <c r="AA207" s="72"/>
      <c r="AB207" s="72"/>
      <c r="AC207" s="72"/>
      <c r="AD207" s="72"/>
      <c r="AE207" s="72"/>
      <c r="AF207" s="72"/>
    </row>
    <row r="208" spans="7:32" ht="15.75" customHeight="1" x14ac:dyDescent="0.25">
      <c r="G208" s="72"/>
      <c r="H208" s="72"/>
      <c r="I208" s="72"/>
      <c r="J208" s="72"/>
      <c r="K208" s="72"/>
      <c r="L208" s="72"/>
      <c r="M208" s="72"/>
      <c r="N208" s="72"/>
      <c r="O208" s="72"/>
      <c r="P208" s="72"/>
      <c r="Q208" s="72"/>
      <c r="R208" s="72"/>
      <c r="S208" s="72"/>
      <c r="T208" s="72"/>
      <c r="U208" s="72"/>
      <c r="V208" s="72"/>
      <c r="W208" s="72"/>
      <c r="X208" s="72"/>
      <c r="Y208" s="72"/>
      <c r="Z208" s="72"/>
      <c r="AA208" s="72"/>
      <c r="AB208" s="72"/>
      <c r="AC208" s="72"/>
      <c r="AD208" s="72"/>
      <c r="AE208" s="72"/>
      <c r="AF208" s="72"/>
    </row>
    <row r="209" spans="7:32" ht="15.75" customHeight="1" x14ac:dyDescent="0.25">
      <c r="G209" s="72"/>
      <c r="H209" s="72"/>
      <c r="I209" s="72"/>
      <c r="J209" s="72"/>
      <c r="K209" s="72"/>
      <c r="L209" s="72"/>
      <c r="M209" s="72"/>
      <c r="N209" s="72"/>
      <c r="O209" s="72"/>
      <c r="P209" s="72"/>
      <c r="Q209" s="72"/>
      <c r="R209" s="72"/>
      <c r="S209" s="72"/>
      <c r="T209" s="72"/>
      <c r="U209" s="72"/>
      <c r="V209" s="72"/>
      <c r="W209" s="72"/>
      <c r="X209" s="72"/>
      <c r="Y209" s="72"/>
      <c r="Z209" s="72"/>
      <c r="AA209" s="72"/>
      <c r="AB209" s="72"/>
      <c r="AC209" s="72"/>
      <c r="AD209" s="72"/>
      <c r="AE209" s="72"/>
      <c r="AF209" s="72"/>
    </row>
    <row r="210" spans="7:32" ht="15.75" customHeight="1" x14ac:dyDescent="0.25">
      <c r="G210" s="72"/>
      <c r="H210" s="72"/>
      <c r="I210" s="72"/>
      <c r="J210" s="72"/>
      <c r="K210" s="72"/>
      <c r="L210" s="72"/>
      <c r="M210" s="72"/>
      <c r="N210" s="72"/>
      <c r="O210" s="72"/>
      <c r="P210" s="72"/>
      <c r="Q210" s="72"/>
      <c r="R210" s="72"/>
      <c r="S210" s="72"/>
      <c r="T210" s="72"/>
      <c r="U210" s="72"/>
      <c r="V210" s="72"/>
      <c r="W210" s="72"/>
      <c r="X210" s="72"/>
      <c r="Y210" s="72"/>
      <c r="Z210" s="72"/>
      <c r="AA210" s="72"/>
      <c r="AB210" s="72"/>
      <c r="AC210" s="72"/>
      <c r="AD210" s="72"/>
      <c r="AE210" s="72"/>
      <c r="AF210" s="72"/>
    </row>
    <row r="211" spans="7:32" ht="15.75" customHeight="1" x14ac:dyDescent="0.25">
      <c r="G211" s="72"/>
      <c r="H211" s="72"/>
      <c r="I211" s="72"/>
      <c r="J211" s="72"/>
      <c r="K211" s="72"/>
      <c r="L211" s="72"/>
      <c r="M211" s="72"/>
      <c r="N211" s="72"/>
      <c r="O211" s="72"/>
      <c r="P211" s="72"/>
      <c r="Q211" s="72"/>
      <c r="R211" s="72"/>
      <c r="S211" s="72"/>
      <c r="T211" s="72"/>
      <c r="U211" s="72"/>
      <c r="V211" s="72"/>
      <c r="W211" s="72"/>
      <c r="X211" s="72"/>
      <c r="Y211" s="72"/>
      <c r="Z211" s="72"/>
      <c r="AA211" s="72"/>
      <c r="AB211" s="72"/>
      <c r="AC211" s="72"/>
      <c r="AD211" s="72"/>
      <c r="AE211" s="72"/>
      <c r="AF211" s="72"/>
    </row>
    <row r="212" spans="7:32" ht="15.75" customHeight="1" x14ac:dyDescent="0.25">
      <c r="G212" s="72"/>
      <c r="H212" s="72"/>
      <c r="I212" s="72"/>
      <c r="J212" s="72"/>
      <c r="K212" s="72"/>
      <c r="L212" s="72"/>
      <c r="M212" s="72"/>
      <c r="N212" s="72"/>
      <c r="O212" s="72"/>
      <c r="P212" s="72"/>
      <c r="Q212" s="72"/>
      <c r="R212" s="72"/>
      <c r="S212" s="72"/>
      <c r="T212" s="72"/>
      <c r="U212" s="72"/>
      <c r="V212" s="72"/>
      <c r="W212" s="72"/>
      <c r="X212" s="72"/>
      <c r="Y212" s="72"/>
      <c r="Z212" s="72"/>
      <c r="AA212" s="72"/>
      <c r="AB212" s="72"/>
      <c r="AC212" s="72"/>
      <c r="AD212" s="72"/>
      <c r="AE212" s="72"/>
      <c r="AF212" s="72"/>
    </row>
    <row r="213" spans="7:32" ht="15.75" customHeight="1" x14ac:dyDescent="0.25">
      <c r="G213" s="72"/>
      <c r="H213" s="72"/>
      <c r="I213" s="72"/>
      <c r="J213" s="72"/>
      <c r="K213" s="72"/>
      <c r="L213" s="72"/>
      <c r="M213" s="72"/>
      <c r="N213" s="72"/>
      <c r="O213" s="72"/>
      <c r="P213" s="72"/>
      <c r="Q213" s="72"/>
      <c r="R213" s="72"/>
      <c r="S213" s="72"/>
      <c r="T213" s="72"/>
      <c r="U213" s="72"/>
      <c r="V213" s="72"/>
      <c r="W213" s="72"/>
      <c r="X213" s="72"/>
      <c r="Y213" s="72"/>
      <c r="Z213" s="72"/>
      <c r="AA213" s="72"/>
      <c r="AB213" s="72"/>
      <c r="AC213" s="72"/>
      <c r="AD213" s="72"/>
      <c r="AE213" s="72"/>
      <c r="AF213" s="72"/>
    </row>
    <row r="214" spans="7:32" ht="15.75" customHeight="1" x14ac:dyDescent="0.25">
      <c r="G214" s="72"/>
      <c r="H214" s="72"/>
      <c r="I214" s="72"/>
      <c r="J214" s="72"/>
      <c r="K214" s="72"/>
      <c r="L214" s="72"/>
      <c r="M214" s="72"/>
      <c r="N214" s="72"/>
      <c r="O214" s="72"/>
      <c r="P214" s="72"/>
      <c r="Q214" s="72"/>
      <c r="R214" s="72"/>
      <c r="S214" s="72"/>
      <c r="T214" s="72"/>
      <c r="U214" s="72"/>
      <c r="V214" s="72"/>
      <c r="W214" s="72"/>
      <c r="X214" s="72"/>
      <c r="Y214" s="72"/>
      <c r="Z214" s="72"/>
      <c r="AA214" s="72"/>
      <c r="AB214" s="72"/>
      <c r="AC214" s="72"/>
      <c r="AD214" s="72"/>
      <c r="AE214" s="72"/>
      <c r="AF214" s="72"/>
    </row>
    <row r="215" spans="7:32" ht="15.75" customHeight="1" x14ac:dyDescent="0.25">
      <c r="G215" s="72"/>
      <c r="H215" s="72"/>
      <c r="I215" s="72"/>
      <c r="J215" s="72"/>
      <c r="K215" s="72"/>
      <c r="L215" s="72"/>
      <c r="M215" s="72"/>
      <c r="N215" s="72"/>
      <c r="O215" s="72"/>
      <c r="P215" s="72"/>
      <c r="Q215" s="72"/>
      <c r="R215" s="72"/>
      <c r="S215" s="72"/>
      <c r="T215" s="72"/>
      <c r="U215" s="72"/>
      <c r="V215" s="72"/>
      <c r="W215" s="72"/>
      <c r="X215" s="72"/>
      <c r="Y215" s="72"/>
      <c r="Z215" s="72"/>
      <c r="AA215" s="72"/>
      <c r="AB215" s="72"/>
      <c r="AC215" s="72"/>
      <c r="AD215" s="72"/>
      <c r="AE215" s="72"/>
      <c r="AF215" s="72"/>
    </row>
    <row r="216" spans="7:32" ht="15.75" customHeight="1" x14ac:dyDescent="0.25">
      <c r="G216" s="72"/>
      <c r="H216" s="72"/>
      <c r="I216" s="72"/>
      <c r="J216" s="72"/>
      <c r="K216" s="72"/>
      <c r="L216" s="72"/>
      <c r="M216" s="72"/>
      <c r="N216" s="72"/>
      <c r="O216" s="72"/>
      <c r="P216" s="72"/>
      <c r="Q216" s="72"/>
      <c r="R216" s="72"/>
      <c r="S216" s="72"/>
      <c r="T216" s="72"/>
      <c r="U216" s="72"/>
      <c r="V216" s="72"/>
      <c r="W216" s="72"/>
      <c r="X216" s="72"/>
      <c r="Y216" s="72"/>
      <c r="Z216" s="72"/>
      <c r="AA216" s="72"/>
      <c r="AB216" s="72"/>
      <c r="AC216" s="72"/>
      <c r="AD216" s="72"/>
      <c r="AE216" s="72"/>
      <c r="AF216" s="72"/>
    </row>
    <row r="217" spans="7:32" ht="15.75" customHeight="1" x14ac:dyDescent="0.25">
      <c r="G217" s="72"/>
      <c r="H217" s="72"/>
      <c r="I217" s="72"/>
      <c r="J217" s="72"/>
      <c r="K217" s="72"/>
      <c r="L217" s="72"/>
      <c r="M217" s="72"/>
      <c r="N217" s="72"/>
      <c r="O217" s="72"/>
      <c r="P217" s="72"/>
      <c r="Q217" s="72"/>
      <c r="R217" s="72"/>
      <c r="S217" s="72"/>
      <c r="T217" s="72"/>
      <c r="U217" s="72"/>
      <c r="V217" s="72"/>
      <c r="W217" s="72"/>
      <c r="X217" s="72"/>
      <c r="Y217" s="72"/>
      <c r="Z217" s="72"/>
      <c r="AA217" s="72"/>
      <c r="AB217" s="72"/>
      <c r="AC217" s="72"/>
      <c r="AD217" s="72"/>
      <c r="AE217" s="72"/>
      <c r="AF217" s="72"/>
    </row>
    <row r="218" spans="7:32" ht="15.75" customHeight="1" x14ac:dyDescent="0.25">
      <c r="G218" s="72"/>
      <c r="H218" s="72"/>
      <c r="I218" s="72"/>
      <c r="J218" s="72"/>
      <c r="K218" s="72"/>
      <c r="L218" s="72"/>
      <c r="M218" s="72"/>
      <c r="N218" s="72"/>
      <c r="O218" s="72"/>
      <c r="P218" s="72"/>
      <c r="Q218" s="72"/>
      <c r="R218" s="72"/>
      <c r="S218" s="72"/>
      <c r="T218" s="72"/>
      <c r="U218" s="72"/>
      <c r="V218" s="72"/>
      <c r="W218" s="72"/>
      <c r="X218" s="72"/>
      <c r="Y218" s="72"/>
      <c r="Z218" s="72"/>
      <c r="AA218" s="72"/>
      <c r="AB218" s="72"/>
      <c r="AC218" s="72"/>
      <c r="AD218" s="72"/>
      <c r="AE218" s="72"/>
      <c r="AF218" s="72"/>
    </row>
    <row r="219" spans="7:32" ht="15.75" customHeight="1" x14ac:dyDescent="0.25">
      <c r="G219" s="72"/>
      <c r="H219" s="72"/>
      <c r="I219" s="72"/>
      <c r="J219" s="72"/>
      <c r="K219" s="72"/>
      <c r="L219" s="72"/>
      <c r="M219" s="72"/>
      <c r="N219" s="72"/>
      <c r="O219" s="72"/>
      <c r="P219" s="72"/>
      <c r="Q219" s="72"/>
      <c r="R219" s="72"/>
      <c r="S219" s="72"/>
      <c r="T219" s="72"/>
      <c r="U219" s="72"/>
      <c r="V219" s="72"/>
      <c r="W219" s="72"/>
      <c r="X219" s="72"/>
      <c r="Y219" s="72"/>
      <c r="Z219" s="72"/>
      <c r="AA219" s="72"/>
      <c r="AB219" s="72"/>
      <c r="AC219" s="72"/>
      <c r="AD219" s="72"/>
      <c r="AE219" s="72"/>
      <c r="AF219" s="72"/>
    </row>
    <row r="220" spans="7:32" ht="15.75" customHeight="1" x14ac:dyDescent="0.25">
      <c r="G220" s="72"/>
      <c r="H220" s="72"/>
      <c r="I220" s="72"/>
      <c r="J220" s="72"/>
      <c r="K220" s="72"/>
      <c r="L220" s="72"/>
      <c r="M220" s="72"/>
      <c r="N220" s="72"/>
      <c r="O220" s="72"/>
      <c r="P220" s="72"/>
      <c r="Q220" s="72"/>
      <c r="R220" s="72"/>
      <c r="S220" s="72"/>
      <c r="T220" s="72"/>
      <c r="U220" s="72"/>
      <c r="V220" s="72"/>
      <c r="W220" s="72"/>
      <c r="X220" s="72"/>
      <c r="Y220" s="72"/>
      <c r="Z220" s="72"/>
      <c r="AA220" s="72"/>
      <c r="AB220" s="72"/>
      <c r="AC220" s="72"/>
      <c r="AD220" s="72"/>
      <c r="AE220" s="72"/>
      <c r="AF220" s="72"/>
    </row>
    <row r="221" spans="7:32" ht="15.75" customHeight="1" x14ac:dyDescent="0.25">
      <c r="G221" s="72"/>
      <c r="H221" s="72"/>
      <c r="I221" s="72"/>
      <c r="J221" s="72"/>
      <c r="K221" s="72"/>
      <c r="L221" s="72"/>
      <c r="M221" s="72"/>
      <c r="N221" s="72"/>
      <c r="O221" s="72"/>
      <c r="P221" s="72"/>
      <c r="Q221" s="72"/>
      <c r="R221" s="72"/>
      <c r="S221" s="72"/>
      <c r="T221" s="72"/>
      <c r="U221" s="72"/>
      <c r="V221" s="72"/>
      <c r="W221" s="72"/>
      <c r="X221" s="72"/>
      <c r="Y221" s="72"/>
      <c r="Z221" s="72"/>
      <c r="AA221" s="72"/>
      <c r="AB221" s="72"/>
      <c r="AC221" s="72"/>
      <c r="AD221" s="72"/>
      <c r="AE221" s="72"/>
      <c r="AF221" s="72"/>
    </row>
    <row r="222" spans="7:32" ht="15.75" customHeight="1" x14ac:dyDescent="0.25">
      <c r="G222" s="72"/>
      <c r="H222" s="72"/>
      <c r="I222" s="72"/>
      <c r="J222" s="72"/>
      <c r="K222" s="72"/>
      <c r="L222" s="72"/>
      <c r="M222" s="72"/>
      <c r="N222" s="72"/>
      <c r="O222" s="72"/>
      <c r="P222" s="72"/>
      <c r="Q222" s="72"/>
      <c r="R222" s="72"/>
      <c r="S222" s="72"/>
      <c r="T222" s="72"/>
      <c r="U222" s="72"/>
      <c r="V222" s="72"/>
      <c r="W222" s="72"/>
      <c r="X222" s="72"/>
      <c r="Y222" s="72"/>
      <c r="Z222" s="72"/>
      <c r="AA222" s="72"/>
      <c r="AB222" s="72"/>
      <c r="AC222" s="72"/>
      <c r="AD222" s="72"/>
      <c r="AE222" s="72"/>
      <c r="AF222" s="72"/>
    </row>
    <row r="223" spans="7:32" ht="15.75" customHeight="1" x14ac:dyDescent="0.25">
      <c r="G223" s="72"/>
      <c r="H223" s="72"/>
      <c r="I223" s="72"/>
      <c r="J223" s="72"/>
      <c r="K223" s="72"/>
      <c r="L223" s="72"/>
      <c r="M223" s="72"/>
      <c r="N223" s="72"/>
      <c r="O223" s="72"/>
      <c r="P223" s="72"/>
      <c r="Q223" s="72"/>
      <c r="R223" s="72"/>
      <c r="S223" s="72"/>
      <c r="T223" s="72"/>
      <c r="U223" s="72"/>
      <c r="V223" s="72"/>
      <c r="W223" s="72"/>
      <c r="X223" s="72"/>
      <c r="Y223" s="72"/>
      <c r="Z223" s="72"/>
      <c r="AA223" s="72"/>
      <c r="AB223" s="72"/>
      <c r="AC223" s="72"/>
      <c r="AD223" s="72"/>
      <c r="AE223" s="72"/>
      <c r="AF223" s="72"/>
    </row>
    <row r="224" spans="7:32" ht="15.75" customHeight="1" x14ac:dyDescent="0.25">
      <c r="G224" s="72"/>
      <c r="H224" s="72"/>
      <c r="I224" s="72"/>
      <c r="J224" s="72"/>
      <c r="K224" s="72"/>
      <c r="L224" s="72"/>
      <c r="M224" s="72"/>
      <c r="N224" s="72"/>
      <c r="O224" s="72"/>
      <c r="P224" s="72"/>
      <c r="Q224" s="72"/>
      <c r="R224" s="72"/>
      <c r="S224" s="72"/>
      <c r="T224" s="72"/>
      <c r="U224" s="72"/>
      <c r="V224" s="72"/>
      <c r="W224" s="72"/>
      <c r="X224" s="72"/>
      <c r="Y224" s="72"/>
      <c r="Z224" s="72"/>
      <c r="AA224" s="72"/>
      <c r="AB224" s="72"/>
      <c r="AC224" s="72"/>
      <c r="AD224" s="72"/>
      <c r="AE224" s="72"/>
      <c r="AF224" s="72"/>
    </row>
    <row r="225" spans="7:32" ht="15.75" customHeight="1" x14ac:dyDescent="0.25">
      <c r="G225" s="72"/>
      <c r="H225" s="72"/>
      <c r="I225" s="72"/>
      <c r="J225" s="72"/>
      <c r="K225" s="72"/>
      <c r="L225" s="72"/>
      <c r="M225" s="72"/>
      <c r="N225" s="72"/>
      <c r="O225" s="72"/>
      <c r="P225" s="72"/>
      <c r="Q225" s="72"/>
      <c r="R225" s="72"/>
      <c r="S225" s="72"/>
      <c r="T225" s="72"/>
      <c r="U225" s="72"/>
      <c r="V225" s="72"/>
      <c r="W225" s="72"/>
      <c r="X225" s="72"/>
      <c r="Y225" s="72"/>
      <c r="Z225" s="72"/>
      <c r="AA225" s="72"/>
      <c r="AB225" s="72"/>
      <c r="AC225" s="72"/>
      <c r="AD225" s="72"/>
      <c r="AE225" s="72"/>
      <c r="AF225" s="72"/>
    </row>
    <row r="226" spans="7:32" ht="15.75" customHeight="1" x14ac:dyDescent="0.25">
      <c r="G226" s="72"/>
      <c r="H226" s="72"/>
      <c r="I226" s="72"/>
      <c r="J226" s="72"/>
      <c r="K226" s="72"/>
      <c r="L226" s="72"/>
      <c r="M226" s="72"/>
      <c r="N226" s="72"/>
      <c r="O226" s="72"/>
      <c r="P226" s="72"/>
      <c r="Q226" s="72"/>
      <c r="R226" s="72"/>
      <c r="S226" s="72"/>
      <c r="T226" s="72"/>
      <c r="U226" s="72"/>
      <c r="V226" s="72"/>
      <c r="W226" s="72"/>
      <c r="X226" s="72"/>
      <c r="Y226" s="72"/>
      <c r="Z226" s="72"/>
      <c r="AA226" s="72"/>
      <c r="AB226" s="72"/>
      <c r="AC226" s="72"/>
      <c r="AD226" s="72"/>
      <c r="AE226" s="72"/>
      <c r="AF226" s="72"/>
    </row>
    <row r="227" spans="7:32" ht="15.75" customHeight="1" x14ac:dyDescent="0.25">
      <c r="G227" s="72"/>
      <c r="H227" s="72"/>
      <c r="I227" s="72"/>
      <c r="J227" s="72"/>
      <c r="K227" s="72"/>
      <c r="L227" s="72"/>
      <c r="M227" s="72"/>
      <c r="N227" s="72"/>
      <c r="O227" s="72"/>
      <c r="P227" s="72"/>
      <c r="Q227" s="72"/>
      <c r="R227" s="72"/>
      <c r="S227" s="72"/>
      <c r="T227" s="72"/>
      <c r="U227" s="72"/>
      <c r="V227" s="72"/>
      <c r="W227" s="72"/>
      <c r="X227" s="72"/>
      <c r="Y227" s="72"/>
      <c r="Z227" s="72"/>
      <c r="AA227" s="72"/>
      <c r="AB227" s="72"/>
      <c r="AC227" s="72"/>
      <c r="AD227" s="72"/>
      <c r="AE227" s="72"/>
      <c r="AF227" s="72"/>
    </row>
    <row r="228" spans="7:32" ht="15.75" customHeight="1" x14ac:dyDescent="0.25">
      <c r="G228" s="72"/>
      <c r="H228" s="72"/>
      <c r="I228" s="72"/>
      <c r="J228" s="72"/>
      <c r="K228" s="72"/>
      <c r="L228" s="72"/>
      <c r="M228" s="72"/>
      <c r="N228" s="72"/>
      <c r="O228" s="72"/>
      <c r="P228" s="72"/>
      <c r="Q228" s="72"/>
      <c r="R228" s="72"/>
      <c r="S228" s="72"/>
      <c r="T228" s="72"/>
      <c r="U228" s="72"/>
      <c r="V228" s="72"/>
      <c r="W228" s="72"/>
      <c r="X228" s="72"/>
      <c r="Y228" s="72"/>
      <c r="Z228" s="72"/>
      <c r="AA228" s="72"/>
      <c r="AB228" s="72"/>
      <c r="AC228" s="72"/>
      <c r="AD228" s="72"/>
      <c r="AE228" s="72"/>
      <c r="AF228" s="72"/>
    </row>
    <row r="229" spans="7:32" ht="15.75" customHeight="1" x14ac:dyDescent="0.25">
      <c r="G229" s="72"/>
      <c r="H229" s="72"/>
      <c r="I229" s="72"/>
      <c r="J229" s="72"/>
      <c r="K229" s="72"/>
      <c r="L229" s="72"/>
      <c r="M229" s="72"/>
      <c r="N229" s="72"/>
      <c r="O229" s="72"/>
      <c r="P229" s="72"/>
      <c r="Q229" s="72"/>
      <c r="R229" s="72"/>
      <c r="S229" s="72"/>
      <c r="T229" s="72"/>
      <c r="U229" s="72"/>
      <c r="V229" s="72"/>
      <c r="W229" s="72"/>
      <c r="X229" s="72"/>
      <c r="Y229" s="72"/>
      <c r="Z229" s="72"/>
      <c r="AA229" s="72"/>
      <c r="AB229" s="72"/>
      <c r="AC229" s="72"/>
      <c r="AD229" s="72"/>
      <c r="AE229" s="72"/>
      <c r="AF229" s="72"/>
    </row>
    <row r="230" spans="7:32" ht="15.75" customHeight="1" x14ac:dyDescent="0.25">
      <c r="G230" s="72"/>
      <c r="H230" s="72"/>
      <c r="I230" s="72"/>
      <c r="J230" s="72"/>
      <c r="K230" s="72"/>
      <c r="L230" s="72"/>
      <c r="M230" s="72"/>
      <c r="N230" s="72"/>
      <c r="O230" s="72"/>
      <c r="P230" s="72"/>
      <c r="Q230" s="72"/>
      <c r="R230" s="72"/>
      <c r="S230" s="72"/>
      <c r="T230" s="72"/>
      <c r="U230" s="72"/>
      <c r="V230" s="72"/>
      <c r="W230" s="72"/>
      <c r="X230" s="72"/>
      <c r="Y230" s="72"/>
      <c r="Z230" s="72"/>
      <c r="AA230" s="72"/>
      <c r="AB230" s="72"/>
      <c r="AC230" s="72"/>
      <c r="AD230" s="72"/>
      <c r="AE230" s="72"/>
      <c r="AF230" s="72"/>
    </row>
    <row r="231" spans="7:32" ht="15.75" customHeight="1" x14ac:dyDescent="0.25">
      <c r="G231" s="72"/>
      <c r="H231" s="72"/>
      <c r="I231" s="72"/>
      <c r="J231" s="72"/>
      <c r="K231" s="72"/>
      <c r="L231" s="72"/>
      <c r="M231" s="72"/>
      <c r="N231" s="72"/>
      <c r="O231" s="72"/>
      <c r="P231" s="72"/>
      <c r="Q231" s="72"/>
      <c r="R231" s="72"/>
      <c r="S231" s="72"/>
      <c r="T231" s="72"/>
      <c r="U231" s="72"/>
      <c r="V231" s="72"/>
      <c r="W231" s="72"/>
      <c r="X231" s="72"/>
      <c r="Y231" s="72"/>
      <c r="Z231" s="72"/>
      <c r="AA231" s="72"/>
      <c r="AB231" s="72"/>
      <c r="AC231" s="72"/>
      <c r="AD231" s="72"/>
      <c r="AE231" s="72"/>
      <c r="AF231" s="72"/>
    </row>
    <row r="232" spans="7:32" ht="15.75" customHeight="1" x14ac:dyDescent="0.25">
      <c r="G232" s="72"/>
      <c r="H232" s="72"/>
      <c r="I232" s="72"/>
      <c r="J232" s="72"/>
      <c r="K232" s="72"/>
      <c r="L232" s="72"/>
      <c r="M232" s="72"/>
      <c r="N232" s="72"/>
      <c r="O232" s="72"/>
      <c r="P232" s="72"/>
      <c r="Q232" s="72"/>
      <c r="R232" s="72"/>
      <c r="S232" s="72"/>
      <c r="T232" s="72"/>
      <c r="U232" s="72"/>
      <c r="V232" s="72"/>
      <c r="W232" s="72"/>
      <c r="X232" s="72"/>
      <c r="Y232" s="72"/>
      <c r="Z232" s="72"/>
      <c r="AA232" s="72"/>
      <c r="AB232" s="72"/>
      <c r="AC232" s="72"/>
      <c r="AD232" s="72"/>
      <c r="AE232" s="72"/>
      <c r="AF232" s="72"/>
    </row>
    <row r="233" spans="7:32" ht="15.75" customHeight="1" x14ac:dyDescent="0.25">
      <c r="G233" s="72"/>
      <c r="H233" s="72"/>
      <c r="I233" s="72"/>
      <c r="J233" s="72"/>
      <c r="K233" s="72"/>
      <c r="L233" s="72"/>
      <c r="M233" s="72"/>
      <c r="N233" s="72"/>
      <c r="O233" s="72"/>
      <c r="P233" s="72"/>
      <c r="Q233" s="72"/>
      <c r="R233" s="72"/>
      <c r="S233" s="72"/>
      <c r="T233" s="72"/>
      <c r="U233" s="72"/>
      <c r="V233" s="72"/>
      <c r="W233" s="72"/>
      <c r="X233" s="72"/>
      <c r="Y233" s="72"/>
      <c r="Z233" s="72"/>
      <c r="AA233" s="72"/>
      <c r="AB233" s="72"/>
      <c r="AC233" s="72"/>
      <c r="AD233" s="72"/>
      <c r="AE233" s="72"/>
      <c r="AF233" s="72"/>
    </row>
    <row r="234" spans="7:32" ht="15.75" customHeight="1" x14ac:dyDescent="0.25">
      <c r="G234" s="72"/>
      <c r="H234" s="72"/>
      <c r="I234" s="72"/>
      <c r="J234" s="72"/>
      <c r="K234" s="72"/>
      <c r="L234" s="72"/>
      <c r="M234" s="72"/>
      <c r="N234" s="72"/>
      <c r="O234" s="72"/>
      <c r="P234" s="72"/>
      <c r="Q234" s="72"/>
      <c r="R234" s="72"/>
      <c r="S234" s="72"/>
      <c r="T234" s="72"/>
      <c r="U234" s="72"/>
      <c r="V234" s="72"/>
      <c r="W234" s="72"/>
      <c r="X234" s="72"/>
      <c r="Y234" s="72"/>
      <c r="Z234" s="72"/>
      <c r="AA234" s="72"/>
      <c r="AB234" s="72"/>
      <c r="AC234" s="72"/>
      <c r="AD234" s="72"/>
      <c r="AE234" s="72"/>
      <c r="AF234" s="72"/>
    </row>
    <row r="235" spans="7:32" ht="15.75" customHeight="1" x14ac:dyDescent="0.25">
      <c r="G235" s="72"/>
      <c r="H235" s="72"/>
      <c r="I235" s="72"/>
      <c r="J235" s="72"/>
      <c r="K235" s="72"/>
      <c r="L235" s="72"/>
      <c r="M235" s="72"/>
      <c r="N235" s="72"/>
      <c r="O235" s="72"/>
      <c r="P235" s="72"/>
      <c r="Q235" s="72"/>
      <c r="R235" s="72"/>
      <c r="S235" s="72"/>
      <c r="T235" s="72"/>
      <c r="U235" s="72"/>
      <c r="V235" s="72"/>
      <c r="W235" s="72"/>
      <c r="X235" s="72"/>
      <c r="Y235" s="72"/>
      <c r="Z235" s="72"/>
      <c r="AA235" s="72"/>
      <c r="AB235" s="72"/>
      <c r="AC235" s="72"/>
      <c r="AD235" s="72"/>
      <c r="AE235" s="72"/>
      <c r="AF235" s="72"/>
    </row>
    <row r="236" spans="7:32" ht="15.75" customHeight="1" x14ac:dyDescent="0.25">
      <c r="G236" s="72"/>
      <c r="H236" s="72"/>
      <c r="I236" s="72"/>
      <c r="J236" s="72"/>
      <c r="K236" s="72"/>
      <c r="L236" s="72"/>
      <c r="M236" s="72"/>
      <c r="N236" s="72"/>
      <c r="O236" s="72"/>
      <c r="P236" s="72"/>
      <c r="Q236" s="72"/>
      <c r="R236" s="72"/>
      <c r="S236" s="72"/>
      <c r="T236" s="72"/>
      <c r="U236" s="72"/>
      <c r="V236" s="72"/>
      <c r="W236" s="72"/>
      <c r="X236" s="72"/>
      <c r="Y236" s="72"/>
      <c r="Z236" s="72"/>
      <c r="AA236" s="72"/>
      <c r="AB236" s="72"/>
      <c r="AC236" s="72"/>
      <c r="AD236" s="72"/>
      <c r="AE236" s="72"/>
      <c r="AF236" s="72"/>
    </row>
    <row r="237" spans="7:32" ht="15.75" customHeight="1" x14ac:dyDescent="0.25">
      <c r="G237" s="72"/>
      <c r="H237" s="72"/>
      <c r="I237" s="72"/>
      <c r="J237" s="72"/>
      <c r="K237" s="72"/>
      <c r="L237" s="72"/>
      <c r="M237" s="72"/>
      <c r="N237" s="72"/>
      <c r="O237" s="72"/>
      <c r="P237" s="72"/>
      <c r="Q237" s="72"/>
      <c r="R237" s="72"/>
      <c r="S237" s="72"/>
      <c r="T237" s="72"/>
      <c r="U237" s="72"/>
      <c r="V237" s="72"/>
      <c r="W237" s="72"/>
      <c r="X237" s="72"/>
      <c r="Y237" s="72"/>
      <c r="Z237" s="72"/>
      <c r="AA237" s="72"/>
      <c r="AB237" s="72"/>
      <c r="AC237" s="72"/>
      <c r="AD237" s="72"/>
      <c r="AE237" s="72"/>
      <c r="AF237" s="72"/>
    </row>
    <row r="238" spans="7:32" ht="15.75" customHeight="1" x14ac:dyDescent="0.25">
      <c r="G238" s="72"/>
      <c r="H238" s="72"/>
      <c r="I238" s="72"/>
      <c r="J238" s="72"/>
      <c r="K238" s="72"/>
      <c r="L238" s="72"/>
      <c r="M238" s="72"/>
      <c r="N238" s="72"/>
      <c r="O238" s="72"/>
      <c r="P238" s="72"/>
      <c r="Q238" s="72"/>
      <c r="R238" s="72"/>
      <c r="S238" s="72"/>
      <c r="T238" s="72"/>
      <c r="U238" s="72"/>
      <c r="V238" s="72"/>
      <c r="W238" s="72"/>
      <c r="X238" s="72"/>
      <c r="Y238" s="72"/>
      <c r="Z238" s="72"/>
      <c r="AA238" s="72"/>
      <c r="AB238" s="72"/>
      <c r="AC238" s="72"/>
      <c r="AD238" s="72"/>
      <c r="AE238" s="72"/>
      <c r="AF238" s="72"/>
    </row>
    <row r="239" spans="7:32" ht="15.75" customHeight="1" x14ac:dyDescent="0.25">
      <c r="G239" s="72"/>
      <c r="H239" s="72"/>
      <c r="I239" s="72"/>
      <c r="J239" s="72"/>
      <c r="K239" s="72"/>
      <c r="L239" s="72"/>
      <c r="M239" s="72"/>
      <c r="N239" s="72"/>
      <c r="O239" s="72"/>
      <c r="P239" s="72"/>
      <c r="Q239" s="72"/>
      <c r="R239" s="72"/>
      <c r="S239" s="72"/>
      <c r="T239" s="72"/>
      <c r="U239" s="72"/>
      <c r="V239" s="72"/>
      <c r="W239" s="72"/>
      <c r="X239" s="72"/>
      <c r="Y239" s="72"/>
      <c r="Z239" s="72"/>
      <c r="AA239" s="72"/>
      <c r="AB239" s="72"/>
      <c r="AC239" s="72"/>
      <c r="AD239" s="72"/>
      <c r="AE239" s="72"/>
      <c r="AF239" s="72"/>
    </row>
    <row r="240" spans="7:32" ht="15.75" customHeight="1" x14ac:dyDescent="0.25">
      <c r="G240" s="72"/>
      <c r="H240" s="72"/>
      <c r="I240" s="72"/>
      <c r="J240" s="72"/>
      <c r="K240" s="72"/>
      <c r="L240" s="72"/>
      <c r="M240" s="72"/>
      <c r="N240" s="72"/>
      <c r="O240" s="72"/>
      <c r="P240" s="72"/>
      <c r="Q240" s="72"/>
      <c r="R240" s="72"/>
      <c r="S240" s="72"/>
      <c r="T240" s="72"/>
      <c r="U240" s="72"/>
      <c r="V240" s="72"/>
      <c r="W240" s="72"/>
      <c r="X240" s="72"/>
      <c r="Y240" s="72"/>
      <c r="Z240" s="72"/>
      <c r="AA240" s="72"/>
      <c r="AB240" s="72"/>
      <c r="AC240" s="72"/>
      <c r="AD240" s="72"/>
      <c r="AE240" s="72"/>
      <c r="AF240" s="72"/>
    </row>
    <row r="241" spans="7:32" ht="15.75" customHeight="1" x14ac:dyDescent="0.25">
      <c r="G241" s="72"/>
      <c r="H241" s="72"/>
      <c r="I241" s="72"/>
      <c r="J241" s="72"/>
      <c r="K241" s="72"/>
      <c r="L241" s="72"/>
      <c r="M241" s="72"/>
      <c r="N241" s="72"/>
      <c r="O241" s="72"/>
      <c r="P241" s="72"/>
      <c r="Q241" s="72"/>
      <c r="R241" s="72"/>
      <c r="S241" s="72"/>
      <c r="T241" s="72"/>
      <c r="U241" s="72"/>
      <c r="V241" s="72"/>
      <c r="W241" s="72"/>
      <c r="X241" s="72"/>
      <c r="Y241" s="72"/>
      <c r="Z241" s="72"/>
      <c r="AA241" s="72"/>
      <c r="AB241" s="72"/>
      <c r="AC241" s="72"/>
      <c r="AD241" s="72"/>
      <c r="AE241" s="72"/>
      <c r="AF241" s="72"/>
    </row>
    <row r="242" spans="7:32" ht="15.75" customHeight="1" x14ac:dyDescent="0.25">
      <c r="G242" s="72"/>
      <c r="H242" s="72"/>
      <c r="I242" s="72"/>
      <c r="J242" s="72"/>
      <c r="K242" s="72"/>
      <c r="L242" s="72"/>
      <c r="M242" s="72"/>
      <c r="N242" s="72"/>
      <c r="O242" s="72"/>
      <c r="P242" s="72"/>
      <c r="Q242" s="72"/>
      <c r="R242" s="72"/>
      <c r="S242" s="72"/>
      <c r="T242" s="72"/>
      <c r="U242" s="72"/>
      <c r="V242" s="72"/>
      <c r="W242" s="72"/>
      <c r="X242" s="72"/>
      <c r="Y242" s="72"/>
      <c r="Z242" s="72"/>
      <c r="AA242" s="72"/>
      <c r="AB242" s="72"/>
      <c r="AC242" s="72"/>
      <c r="AD242" s="72"/>
      <c r="AE242" s="72"/>
      <c r="AF242" s="72"/>
    </row>
    <row r="243" spans="7:32" ht="15.75" customHeight="1" x14ac:dyDescent="0.25">
      <c r="G243" s="72"/>
      <c r="H243" s="72"/>
      <c r="I243" s="72"/>
      <c r="J243" s="72"/>
      <c r="K243" s="72"/>
      <c r="L243" s="72"/>
      <c r="M243" s="72"/>
      <c r="N243" s="72"/>
      <c r="O243" s="72"/>
      <c r="P243" s="72"/>
      <c r="Q243" s="72"/>
      <c r="R243" s="72"/>
      <c r="S243" s="72"/>
      <c r="T243" s="72"/>
      <c r="U243" s="72"/>
      <c r="V243" s="72"/>
      <c r="W243" s="72"/>
      <c r="X243" s="72"/>
      <c r="Y243" s="72"/>
      <c r="Z243" s="72"/>
      <c r="AA243" s="72"/>
      <c r="AB243" s="72"/>
      <c r="AC243" s="72"/>
      <c r="AD243" s="72"/>
      <c r="AE243" s="72"/>
      <c r="AF243" s="72"/>
    </row>
    <row r="244" spans="7:32" ht="15.75" customHeight="1" x14ac:dyDescent="0.25">
      <c r="G244" s="72"/>
      <c r="H244" s="72"/>
      <c r="I244" s="72"/>
      <c r="J244" s="72"/>
      <c r="K244" s="72"/>
      <c r="L244" s="72"/>
      <c r="M244" s="72"/>
      <c r="N244" s="72"/>
      <c r="O244" s="72"/>
      <c r="P244" s="72"/>
      <c r="Q244" s="72"/>
      <c r="R244" s="72"/>
      <c r="S244" s="72"/>
      <c r="T244" s="72"/>
      <c r="U244" s="72"/>
      <c r="V244" s="72"/>
      <c r="W244" s="72"/>
      <c r="X244" s="72"/>
      <c r="Y244" s="72"/>
      <c r="Z244" s="72"/>
      <c r="AA244" s="72"/>
      <c r="AB244" s="72"/>
      <c r="AC244" s="72"/>
      <c r="AD244" s="72"/>
      <c r="AE244" s="72"/>
      <c r="AF244" s="72"/>
    </row>
    <row r="245" spans="7:32" ht="15.75" customHeight="1" x14ac:dyDescent="0.25">
      <c r="G245" s="72"/>
      <c r="H245" s="72"/>
      <c r="I245" s="72"/>
      <c r="J245" s="72"/>
      <c r="K245" s="72"/>
      <c r="L245" s="72"/>
      <c r="M245" s="72"/>
      <c r="N245" s="72"/>
      <c r="O245" s="72"/>
      <c r="P245" s="72"/>
      <c r="Q245" s="72"/>
      <c r="R245" s="72"/>
      <c r="S245" s="72"/>
      <c r="T245" s="72"/>
      <c r="U245" s="72"/>
      <c r="V245" s="72"/>
      <c r="W245" s="72"/>
      <c r="X245" s="72"/>
      <c r="Y245" s="72"/>
      <c r="Z245" s="72"/>
      <c r="AA245" s="72"/>
      <c r="AB245" s="72"/>
      <c r="AC245" s="72"/>
      <c r="AD245" s="72"/>
      <c r="AE245" s="72"/>
      <c r="AF245" s="72"/>
    </row>
    <row r="246" spans="7:32" ht="15.75" customHeight="1" x14ac:dyDescent="0.25">
      <c r="G246" s="72"/>
      <c r="H246" s="72"/>
      <c r="I246" s="72"/>
      <c r="J246" s="72"/>
      <c r="K246" s="72"/>
      <c r="L246" s="72"/>
      <c r="M246" s="72"/>
      <c r="N246" s="72"/>
      <c r="O246" s="72"/>
      <c r="P246" s="72"/>
      <c r="Q246" s="72"/>
      <c r="R246" s="72"/>
      <c r="S246" s="72"/>
      <c r="T246" s="72"/>
      <c r="U246" s="72"/>
      <c r="V246" s="72"/>
      <c r="W246" s="72"/>
      <c r="X246" s="72"/>
      <c r="Y246" s="72"/>
      <c r="Z246" s="72"/>
      <c r="AA246" s="72"/>
      <c r="AB246" s="72"/>
      <c r="AC246" s="72"/>
      <c r="AD246" s="72"/>
      <c r="AE246" s="72"/>
      <c r="AF246" s="72"/>
    </row>
    <row r="247" spans="7:32" ht="15.75" customHeight="1" x14ac:dyDescent="0.25">
      <c r="G247" s="72"/>
      <c r="H247" s="72"/>
      <c r="I247" s="72"/>
      <c r="J247" s="72"/>
      <c r="K247" s="72"/>
      <c r="L247" s="72"/>
      <c r="M247" s="72"/>
      <c r="N247" s="72"/>
      <c r="O247" s="72"/>
      <c r="P247" s="72"/>
      <c r="Q247" s="72"/>
      <c r="R247" s="72"/>
      <c r="S247" s="72"/>
      <c r="T247" s="72"/>
      <c r="U247" s="72"/>
      <c r="V247" s="72"/>
      <c r="W247" s="72"/>
      <c r="X247" s="72"/>
      <c r="Y247" s="72"/>
      <c r="Z247" s="72"/>
      <c r="AA247" s="72"/>
      <c r="AB247" s="72"/>
      <c r="AC247" s="72"/>
      <c r="AD247" s="72"/>
      <c r="AE247" s="72"/>
      <c r="AF247" s="72"/>
    </row>
    <row r="248" spans="7:32" ht="15.75" customHeight="1" x14ac:dyDescent="0.25">
      <c r="G248" s="72"/>
      <c r="H248" s="72"/>
      <c r="I248" s="72"/>
      <c r="J248" s="72"/>
      <c r="K248" s="72"/>
      <c r="L248" s="72"/>
      <c r="M248" s="72"/>
      <c r="N248" s="72"/>
      <c r="O248" s="72"/>
      <c r="P248" s="72"/>
      <c r="Q248" s="72"/>
      <c r="R248" s="72"/>
      <c r="S248" s="72"/>
      <c r="T248" s="72"/>
      <c r="U248" s="72"/>
      <c r="V248" s="72"/>
      <c r="W248" s="72"/>
      <c r="X248" s="72"/>
      <c r="Y248" s="72"/>
      <c r="Z248" s="72"/>
      <c r="AA248" s="72"/>
      <c r="AB248" s="72"/>
      <c r="AC248" s="72"/>
      <c r="AD248" s="72"/>
      <c r="AE248" s="72"/>
      <c r="AF248" s="72"/>
    </row>
    <row r="249" spans="7:32" ht="15.75" customHeight="1" x14ac:dyDescent="0.25">
      <c r="G249" s="72"/>
      <c r="H249" s="72"/>
      <c r="I249" s="72"/>
      <c r="J249" s="72"/>
      <c r="K249" s="72"/>
      <c r="L249" s="72"/>
      <c r="M249" s="72"/>
      <c r="N249" s="72"/>
      <c r="O249" s="72"/>
      <c r="P249" s="72"/>
      <c r="Q249" s="72"/>
      <c r="R249" s="72"/>
      <c r="S249" s="72"/>
      <c r="T249" s="72"/>
      <c r="U249" s="72"/>
      <c r="V249" s="72"/>
      <c r="W249" s="72"/>
      <c r="X249" s="72"/>
      <c r="Y249" s="72"/>
      <c r="Z249" s="72"/>
      <c r="AA249" s="72"/>
      <c r="AB249" s="72"/>
      <c r="AC249" s="72"/>
      <c r="AD249" s="72"/>
      <c r="AE249" s="72"/>
      <c r="AF249" s="72"/>
    </row>
    <row r="250" spans="7:32" ht="15.75" customHeight="1" x14ac:dyDescent="0.25">
      <c r="G250" s="72"/>
      <c r="H250" s="72"/>
      <c r="I250" s="72"/>
      <c r="J250" s="72"/>
      <c r="K250" s="72"/>
      <c r="L250" s="72"/>
      <c r="M250" s="72"/>
      <c r="N250" s="72"/>
      <c r="O250" s="72"/>
      <c r="P250" s="72"/>
      <c r="Q250" s="72"/>
      <c r="R250" s="72"/>
      <c r="S250" s="72"/>
      <c r="T250" s="72"/>
      <c r="U250" s="72"/>
      <c r="V250" s="72"/>
      <c r="W250" s="72"/>
      <c r="X250" s="72"/>
      <c r="Y250" s="72"/>
      <c r="Z250" s="72"/>
      <c r="AA250" s="72"/>
      <c r="AB250" s="72"/>
      <c r="AC250" s="72"/>
      <c r="AD250" s="72"/>
      <c r="AE250" s="72"/>
      <c r="AF250" s="72"/>
    </row>
    <row r="251" spans="7:32" ht="15.75" customHeight="1" x14ac:dyDescent="0.25">
      <c r="G251" s="72"/>
      <c r="H251" s="72"/>
      <c r="I251" s="72"/>
      <c r="J251" s="72"/>
      <c r="K251" s="72"/>
      <c r="L251" s="72"/>
      <c r="M251" s="72"/>
      <c r="N251" s="72"/>
      <c r="O251" s="72"/>
      <c r="P251" s="72"/>
      <c r="Q251" s="72"/>
      <c r="R251" s="72"/>
      <c r="S251" s="72"/>
      <c r="T251" s="72"/>
      <c r="U251" s="72"/>
      <c r="V251" s="72"/>
      <c r="W251" s="72"/>
      <c r="X251" s="72"/>
      <c r="Y251" s="72"/>
      <c r="Z251" s="72"/>
      <c r="AA251" s="72"/>
      <c r="AB251" s="72"/>
      <c r="AC251" s="72"/>
      <c r="AD251" s="72"/>
      <c r="AE251" s="72"/>
      <c r="AF251" s="72"/>
    </row>
    <row r="252" spans="7:32" ht="15.75" customHeight="1" x14ac:dyDescent="0.25">
      <c r="G252" s="72"/>
      <c r="H252" s="72"/>
      <c r="I252" s="72"/>
      <c r="J252" s="72"/>
      <c r="K252" s="72"/>
      <c r="L252" s="72"/>
      <c r="M252" s="72"/>
      <c r="N252" s="72"/>
      <c r="O252" s="72"/>
      <c r="P252" s="72"/>
      <c r="Q252" s="72"/>
      <c r="R252" s="72"/>
      <c r="S252" s="72"/>
      <c r="T252" s="72"/>
      <c r="U252" s="72"/>
      <c r="V252" s="72"/>
      <c r="W252" s="72"/>
      <c r="X252" s="72"/>
      <c r="Y252" s="72"/>
      <c r="Z252" s="72"/>
      <c r="AA252" s="72"/>
      <c r="AB252" s="72"/>
      <c r="AC252" s="72"/>
      <c r="AD252" s="72"/>
      <c r="AE252" s="72"/>
      <c r="AF252" s="72"/>
    </row>
    <row r="253" spans="7:32" ht="15.75" customHeight="1" x14ac:dyDescent="0.25">
      <c r="G253" s="72"/>
      <c r="H253" s="72"/>
      <c r="I253" s="72"/>
      <c r="J253" s="72"/>
      <c r="K253" s="72"/>
      <c r="L253" s="72"/>
      <c r="M253" s="72"/>
      <c r="N253" s="72"/>
      <c r="O253" s="72"/>
      <c r="P253" s="72"/>
      <c r="Q253" s="72"/>
      <c r="R253" s="72"/>
      <c r="S253" s="72"/>
      <c r="T253" s="72"/>
      <c r="U253" s="72"/>
      <c r="V253" s="72"/>
      <c r="W253" s="72"/>
      <c r="X253" s="72"/>
      <c r="Y253" s="72"/>
      <c r="Z253" s="72"/>
      <c r="AA253" s="72"/>
      <c r="AB253" s="72"/>
      <c r="AC253" s="72"/>
      <c r="AD253" s="72"/>
      <c r="AE253" s="72"/>
      <c r="AF253" s="72"/>
    </row>
    <row r="254" spans="7:32" ht="15.75" customHeight="1" x14ac:dyDescent="0.25">
      <c r="G254" s="72"/>
      <c r="H254" s="72"/>
      <c r="I254" s="72"/>
      <c r="J254" s="72"/>
      <c r="K254" s="72"/>
      <c r="L254" s="72"/>
      <c r="M254" s="72"/>
      <c r="N254" s="72"/>
      <c r="O254" s="72"/>
      <c r="P254" s="72"/>
      <c r="Q254" s="72"/>
      <c r="R254" s="72"/>
      <c r="S254" s="72"/>
      <c r="T254" s="72"/>
      <c r="U254" s="72"/>
      <c r="V254" s="72"/>
      <c r="W254" s="72"/>
      <c r="X254" s="72"/>
      <c r="Y254" s="72"/>
      <c r="Z254" s="72"/>
      <c r="AA254" s="72"/>
      <c r="AB254" s="72"/>
      <c r="AC254" s="72"/>
      <c r="AD254" s="72"/>
      <c r="AE254" s="72"/>
      <c r="AF254" s="72"/>
    </row>
    <row r="255" spans="7:32" ht="15.75" customHeight="1" x14ac:dyDescent="0.25">
      <c r="G255" s="72"/>
      <c r="H255" s="72"/>
      <c r="I255" s="72"/>
      <c r="J255" s="72"/>
      <c r="K255" s="72"/>
      <c r="L255" s="72"/>
      <c r="M255" s="72"/>
      <c r="N255" s="72"/>
      <c r="O255" s="72"/>
      <c r="P255" s="72"/>
      <c r="Q255" s="72"/>
      <c r="R255" s="72"/>
      <c r="S255" s="72"/>
      <c r="T255" s="72"/>
      <c r="U255" s="72"/>
      <c r="V255" s="72"/>
      <c r="W255" s="72"/>
      <c r="X255" s="72"/>
      <c r="Y255" s="72"/>
      <c r="Z255" s="72"/>
      <c r="AA255" s="72"/>
      <c r="AB255" s="72"/>
      <c r="AC255" s="72"/>
      <c r="AD255" s="72"/>
      <c r="AE255" s="72"/>
      <c r="AF255" s="72"/>
    </row>
    <row r="256" spans="7:32" ht="15.75" customHeight="1" x14ac:dyDescent="0.25">
      <c r="G256" s="72"/>
      <c r="H256" s="72"/>
      <c r="I256" s="72"/>
      <c r="J256" s="72"/>
      <c r="K256" s="72"/>
      <c r="L256" s="72"/>
      <c r="M256" s="72"/>
      <c r="N256" s="72"/>
      <c r="O256" s="72"/>
      <c r="P256" s="72"/>
      <c r="Q256" s="72"/>
      <c r="R256" s="72"/>
      <c r="S256" s="72"/>
      <c r="T256" s="72"/>
      <c r="U256" s="72"/>
      <c r="V256" s="72"/>
      <c r="W256" s="72"/>
      <c r="X256" s="72"/>
      <c r="Y256" s="72"/>
      <c r="Z256" s="72"/>
      <c r="AA256" s="72"/>
      <c r="AB256" s="72"/>
      <c r="AC256" s="72"/>
      <c r="AD256" s="72"/>
      <c r="AE256" s="72"/>
      <c r="AF256" s="72"/>
    </row>
    <row r="257" spans="7:32" ht="15.75" customHeight="1" x14ac:dyDescent="0.25">
      <c r="G257" s="72"/>
      <c r="H257" s="72"/>
      <c r="I257" s="72"/>
      <c r="J257" s="72"/>
      <c r="K257" s="72"/>
      <c r="L257" s="72"/>
      <c r="M257" s="72"/>
      <c r="N257" s="72"/>
      <c r="O257" s="72"/>
      <c r="P257" s="72"/>
      <c r="Q257" s="72"/>
      <c r="R257" s="72"/>
      <c r="S257" s="72"/>
      <c r="T257" s="72"/>
      <c r="U257" s="72"/>
      <c r="V257" s="72"/>
      <c r="W257" s="72"/>
      <c r="X257" s="72"/>
      <c r="Y257" s="72"/>
      <c r="Z257" s="72"/>
      <c r="AA257" s="72"/>
      <c r="AB257" s="72"/>
      <c r="AC257" s="72"/>
      <c r="AD257" s="72"/>
      <c r="AE257" s="72"/>
      <c r="AF257" s="72"/>
    </row>
    <row r="258" spans="7:32" ht="15.75" customHeight="1" x14ac:dyDescent="0.25">
      <c r="G258" s="72"/>
      <c r="H258" s="72"/>
      <c r="I258" s="72"/>
      <c r="J258" s="72"/>
      <c r="K258" s="72"/>
      <c r="L258" s="72"/>
      <c r="M258" s="72"/>
      <c r="N258" s="72"/>
      <c r="O258" s="72"/>
      <c r="P258" s="72"/>
      <c r="Q258" s="72"/>
      <c r="R258" s="72"/>
      <c r="S258" s="72"/>
      <c r="T258" s="72"/>
      <c r="U258" s="72"/>
      <c r="V258" s="72"/>
      <c r="W258" s="72"/>
      <c r="X258" s="72"/>
      <c r="Y258" s="72"/>
      <c r="Z258" s="72"/>
      <c r="AA258" s="72"/>
      <c r="AB258" s="72"/>
      <c r="AC258" s="72"/>
      <c r="AD258" s="72"/>
      <c r="AE258" s="72"/>
      <c r="AF258" s="72"/>
    </row>
    <row r="259" spans="7:32" ht="15.75" customHeight="1" x14ac:dyDescent="0.25">
      <c r="G259" s="72"/>
      <c r="H259" s="72"/>
      <c r="I259" s="72"/>
      <c r="J259" s="72"/>
      <c r="K259" s="72"/>
      <c r="L259" s="72"/>
      <c r="M259" s="72"/>
      <c r="N259" s="72"/>
      <c r="O259" s="72"/>
      <c r="P259" s="72"/>
      <c r="Q259" s="72"/>
      <c r="R259" s="72"/>
      <c r="S259" s="72"/>
      <c r="T259" s="72"/>
      <c r="U259" s="72"/>
      <c r="V259" s="72"/>
      <c r="W259" s="72"/>
      <c r="X259" s="72"/>
      <c r="Y259" s="72"/>
      <c r="Z259" s="72"/>
      <c r="AA259" s="72"/>
      <c r="AB259" s="72"/>
      <c r="AC259" s="72"/>
      <c r="AD259" s="72"/>
      <c r="AE259" s="72"/>
      <c r="AF259" s="72"/>
    </row>
    <row r="260" spans="7:32" ht="15.75" customHeight="1" x14ac:dyDescent="0.25">
      <c r="G260" s="72"/>
      <c r="H260" s="72"/>
      <c r="I260" s="72"/>
      <c r="J260" s="72"/>
      <c r="K260" s="72"/>
      <c r="L260" s="72"/>
      <c r="M260" s="72"/>
      <c r="N260" s="72"/>
      <c r="O260" s="72"/>
      <c r="P260" s="72"/>
      <c r="Q260" s="72"/>
      <c r="R260" s="72"/>
      <c r="S260" s="72"/>
      <c r="T260" s="72"/>
      <c r="U260" s="72"/>
      <c r="V260" s="72"/>
      <c r="W260" s="72"/>
      <c r="X260" s="72"/>
      <c r="Y260" s="72"/>
      <c r="Z260" s="72"/>
      <c r="AA260" s="72"/>
      <c r="AB260" s="72"/>
      <c r="AC260" s="72"/>
      <c r="AD260" s="72"/>
      <c r="AE260" s="72"/>
      <c r="AF260" s="72"/>
    </row>
    <row r="261" spans="7:32" ht="15.75" customHeight="1" x14ac:dyDescent="0.25">
      <c r="G261" s="72"/>
      <c r="H261" s="72"/>
      <c r="I261" s="72"/>
      <c r="J261" s="72"/>
      <c r="K261" s="72"/>
      <c r="L261" s="72"/>
      <c r="M261" s="72"/>
      <c r="N261" s="72"/>
      <c r="O261" s="72"/>
      <c r="P261" s="72"/>
      <c r="Q261" s="72"/>
      <c r="R261" s="72"/>
      <c r="S261" s="72"/>
      <c r="T261" s="72"/>
      <c r="U261" s="72"/>
      <c r="V261" s="72"/>
      <c r="W261" s="72"/>
      <c r="X261" s="72"/>
      <c r="Y261" s="72"/>
      <c r="Z261" s="72"/>
      <c r="AA261" s="72"/>
      <c r="AB261" s="72"/>
      <c r="AC261" s="72"/>
      <c r="AD261" s="72"/>
      <c r="AE261" s="72"/>
      <c r="AF261" s="72"/>
    </row>
    <row r="262" spans="7:32" ht="15.75" customHeight="1" x14ac:dyDescent="0.25">
      <c r="G262" s="72"/>
      <c r="H262" s="72"/>
      <c r="I262" s="72"/>
      <c r="J262" s="72"/>
      <c r="K262" s="72"/>
      <c r="L262" s="72"/>
      <c r="M262" s="72"/>
      <c r="N262" s="72"/>
      <c r="O262" s="72"/>
      <c r="P262" s="72"/>
      <c r="Q262" s="72"/>
      <c r="R262" s="72"/>
      <c r="S262" s="72"/>
      <c r="T262" s="72"/>
      <c r="U262" s="72"/>
      <c r="V262" s="72"/>
      <c r="W262" s="72"/>
      <c r="X262" s="72"/>
      <c r="Y262" s="72"/>
      <c r="Z262" s="72"/>
      <c r="AA262" s="72"/>
      <c r="AB262" s="72"/>
      <c r="AC262" s="72"/>
      <c r="AD262" s="72"/>
      <c r="AE262" s="72"/>
      <c r="AF262" s="72"/>
    </row>
    <row r="263" spans="7:32" ht="15.75" customHeight="1" x14ac:dyDescent="0.25">
      <c r="G263" s="72"/>
      <c r="H263" s="72"/>
      <c r="I263" s="72"/>
      <c r="J263" s="72"/>
      <c r="K263" s="72"/>
      <c r="L263" s="72"/>
      <c r="M263" s="72"/>
      <c r="N263" s="72"/>
      <c r="O263" s="72"/>
      <c r="P263" s="72"/>
      <c r="Q263" s="72"/>
      <c r="R263" s="72"/>
      <c r="S263" s="72"/>
      <c r="T263" s="72"/>
      <c r="U263" s="72"/>
      <c r="V263" s="72"/>
      <c r="W263" s="72"/>
      <c r="X263" s="72"/>
      <c r="Y263" s="72"/>
      <c r="Z263" s="72"/>
      <c r="AA263" s="72"/>
      <c r="AB263" s="72"/>
      <c r="AC263" s="72"/>
      <c r="AD263" s="72"/>
      <c r="AE263" s="72"/>
      <c r="AF263" s="72"/>
    </row>
    <row r="264" spans="7:32" ht="15.75" customHeight="1" x14ac:dyDescent="0.25">
      <c r="G264" s="72"/>
      <c r="H264" s="72"/>
      <c r="I264" s="72"/>
      <c r="J264" s="72"/>
      <c r="K264" s="72"/>
      <c r="L264" s="72"/>
      <c r="M264" s="72"/>
      <c r="N264" s="72"/>
      <c r="O264" s="72"/>
      <c r="P264" s="72"/>
      <c r="Q264" s="72"/>
      <c r="R264" s="72"/>
      <c r="S264" s="72"/>
      <c r="T264" s="72"/>
      <c r="U264" s="72"/>
      <c r="V264" s="72"/>
      <c r="W264" s="72"/>
      <c r="X264" s="72"/>
      <c r="Y264" s="72"/>
      <c r="Z264" s="72"/>
      <c r="AA264" s="72"/>
      <c r="AB264" s="72"/>
      <c r="AC264" s="72"/>
      <c r="AD264" s="72"/>
      <c r="AE264" s="72"/>
      <c r="AF264" s="72"/>
    </row>
    <row r="265" spans="7:32" ht="15.75" customHeight="1" x14ac:dyDescent="0.25">
      <c r="G265" s="72"/>
      <c r="H265" s="72"/>
      <c r="I265" s="72"/>
      <c r="J265" s="72"/>
      <c r="K265" s="72"/>
      <c r="L265" s="72"/>
      <c r="M265" s="72"/>
      <c r="N265" s="72"/>
      <c r="O265" s="72"/>
      <c r="P265" s="72"/>
      <c r="Q265" s="72"/>
      <c r="R265" s="72"/>
      <c r="S265" s="72"/>
      <c r="T265" s="72"/>
      <c r="U265" s="72"/>
      <c r="V265" s="72"/>
      <c r="W265" s="72"/>
      <c r="X265" s="72"/>
      <c r="Y265" s="72"/>
      <c r="Z265" s="72"/>
      <c r="AA265" s="72"/>
      <c r="AB265" s="72"/>
      <c r="AC265" s="72"/>
      <c r="AD265" s="72"/>
      <c r="AE265" s="72"/>
      <c r="AF265" s="72"/>
    </row>
    <row r="266" spans="7:32" ht="15.75" customHeight="1" x14ac:dyDescent="0.25">
      <c r="G266" s="72"/>
      <c r="H266" s="72"/>
      <c r="I266" s="72"/>
      <c r="J266" s="72"/>
      <c r="K266" s="72"/>
      <c r="L266" s="72"/>
      <c r="M266" s="72"/>
      <c r="N266" s="72"/>
      <c r="O266" s="72"/>
      <c r="P266" s="72"/>
      <c r="Q266" s="72"/>
      <c r="R266" s="72"/>
      <c r="S266" s="72"/>
      <c r="T266" s="72"/>
      <c r="U266" s="72"/>
      <c r="V266" s="72"/>
      <c r="W266" s="72"/>
      <c r="X266" s="72"/>
      <c r="Y266" s="72"/>
      <c r="Z266" s="72"/>
      <c r="AA266" s="72"/>
      <c r="AB266" s="72"/>
      <c r="AC266" s="72"/>
      <c r="AD266" s="72"/>
      <c r="AE266" s="72"/>
      <c r="AF266" s="72"/>
    </row>
    <row r="267" spans="7:32" ht="15.75" customHeight="1" x14ac:dyDescent="0.25">
      <c r="G267" s="72"/>
      <c r="H267" s="72"/>
      <c r="I267" s="72"/>
      <c r="J267" s="72"/>
      <c r="K267" s="72"/>
      <c r="L267" s="72"/>
      <c r="M267" s="72"/>
      <c r="N267" s="72"/>
      <c r="O267" s="72"/>
      <c r="P267" s="72"/>
      <c r="Q267" s="72"/>
      <c r="R267" s="72"/>
      <c r="S267" s="72"/>
      <c r="T267" s="72"/>
      <c r="U267" s="72"/>
      <c r="V267" s="72"/>
      <c r="W267" s="72"/>
      <c r="X267" s="72"/>
      <c r="Y267" s="72"/>
      <c r="Z267" s="72"/>
      <c r="AA267" s="72"/>
      <c r="AB267" s="72"/>
      <c r="AC267" s="72"/>
      <c r="AD267" s="72"/>
      <c r="AE267" s="72"/>
      <c r="AF267" s="72"/>
    </row>
    <row r="268" spans="7:32" ht="15.75" customHeight="1" x14ac:dyDescent="0.25">
      <c r="G268" s="72"/>
      <c r="H268" s="72"/>
      <c r="I268" s="72"/>
      <c r="J268" s="72"/>
      <c r="K268" s="72"/>
      <c r="L268" s="72"/>
      <c r="M268" s="72"/>
      <c r="N268" s="72"/>
      <c r="O268" s="72"/>
      <c r="P268" s="72"/>
      <c r="Q268" s="72"/>
      <c r="R268" s="72"/>
      <c r="S268" s="72"/>
      <c r="T268" s="72"/>
      <c r="U268" s="72"/>
      <c r="V268" s="72"/>
      <c r="W268" s="72"/>
      <c r="X268" s="72"/>
      <c r="Y268" s="72"/>
      <c r="Z268" s="72"/>
      <c r="AA268" s="72"/>
      <c r="AB268" s="72"/>
      <c r="AC268" s="72"/>
      <c r="AD268" s="72"/>
      <c r="AE268" s="72"/>
      <c r="AF268" s="72"/>
    </row>
    <row r="269" spans="7:32" ht="15.75" customHeight="1" x14ac:dyDescent="0.25">
      <c r="G269" s="72"/>
      <c r="H269" s="72"/>
      <c r="I269" s="72"/>
      <c r="J269" s="72"/>
      <c r="K269" s="72"/>
      <c r="L269" s="72"/>
      <c r="M269" s="72"/>
      <c r="N269" s="72"/>
      <c r="O269" s="72"/>
      <c r="P269" s="72"/>
      <c r="Q269" s="72"/>
      <c r="R269" s="72"/>
      <c r="S269" s="72"/>
      <c r="T269" s="72"/>
      <c r="U269" s="72"/>
      <c r="V269" s="72"/>
      <c r="W269" s="72"/>
      <c r="X269" s="72"/>
      <c r="Y269" s="72"/>
      <c r="Z269" s="72"/>
      <c r="AA269" s="72"/>
      <c r="AB269" s="72"/>
      <c r="AC269" s="72"/>
      <c r="AD269" s="72"/>
      <c r="AE269" s="72"/>
      <c r="AF269" s="72"/>
    </row>
    <row r="270" spans="7:32" ht="15.75" customHeight="1" x14ac:dyDescent="0.25">
      <c r="G270" s="72"/>
      <c r="H270" s="72"/>
      <c r="I270" s="72"/>
      <c r="J270" s="72"/>
      <c r="K270" s="72"/>
      <c r="L270" s="72"/>
      <c r="M270" s="72"/>
      <c r="N270" s="72"/>
      <c r="O270" s="72"/>
      <c r="P270" s="72"/>
      <c r="Q270" s="72"/>
      <c r="R270" s="72"/>
      <c r="S270" s="72"/>
      <c r="T270" s="72"/>
      <c r="U270" s="72"/>
      <c r="V270" s="72"/>
      <c r="W270" s="72"/>
      <c r="X270" s="72"/>
      <c r="Y270" s="72"/>
      <c r="Z270" s="72"/>
      <c r="AA270" s="72"/>
      <c r="AB270" s="72"/>
      <c r="AC270" s="72"/>
      <c r="AD270" s="72"/>
      <c r="AE270" s="72"/>
      <c r="AF270" s="72"/>
    </row>
    <row r="271" spans="7:32" ht="15.75" customHeight="1" x14ac:dyDescent="0.25">
      <c r="G271" s="72"/>
      <c r="H271" s="72"/>
      <c r="I271" s="72"/>
      <c r="J271" s="72"/>
      <c r="K271" s="72"/>
      <c r="L271" s="72"/>
      <c r="M271" s="72"/>
      <c r="N271" s="72"/>
      <c r="O271" s="72"/>
      <c r="P271" s="72"/>
      <c r="Q271" s="72"/>
      <c r="R271" s="72"/>
      <c r="S271" s="72"/>
      <c r="T271" s="72"/>
      <c r="U271" s="72"/>
      <c r="V271" s="72"/>
      <c r="W271" s="72"/>
      <c r="X271" s="72"/>
      <c r="Y271" s="72"/>
      <c r="Z271" s="72"/>
      <c r="AA271" s="72"/>
      <c r="AB271" s="72"/>
      <c r="AC271" s="72"/>
      <c r="AD271" s="72"/>
      <c r="AE271" s="72"/>
      <c r="AF271" s="72"/>
    </row>
    <row r="272" spans="7:32" ht="15.75" customHeight="1" x14ac:dyDescent="0.25">
      <c r="G272" s="72"/>
      <c r="H272" s="72"/>
      <c r="I272" s="72"/>
      <c r="J272" s="72"/>
      <c r="K272" s="72"/>
      <c r="L272" s="72"/>
      <c r="M272" s="72"/>
      <c r="N272" s="72"/>
      <c r="O272" s="72"/>
      <c r="P272" s="72"/>
      <c r="Q272" s="72"/>
      <c r="R272" s="72"/>
      <c r="S272" s="72"/>
      <c r="T272" s="72"/>
      <c r="U272" s="72"/>
      <c r="V272" s="72"/>
      <c r="W272" s="72"/>
      <c r="X272" s="72"/>
      <c r="Y272" s="72"/>
      <c r="Z272" s="72"/>
      <c r="AA272" s="72"/>
      <c r="AB272" s="72"/>
      <c r="AC272" s="72"/>
      <c r="AD272" s="72"/>
      <c r="AE272" s="72"/>
      <c r="AF272" s="72"/>
    </row>
    <row r="273" spans="7:32" ht="15.75" customHeight="1" x14ac:dyDescent="0.25">
      <c r="G273" s="72"/>
      <c r="H273" s="72"/>
      <c r="I273" s="72"/>
      <c r="J273" s="72"/>
      <c r="K273" s="72"/>
      <c r="L273" s="72"/>
      <c r="M273" s="72"/>
      <c r="N273" s="72"/>
      <c r="O273" s="72"/>
      <c r="P273" s="72"/>
      <c r="Q273" s="72"/>
      <c r="R273" s="72"/>
      <c r="S273" s="72"/>
      <c r="T273" s="72"/>
      <c r="U273" s="72"/>
      <c r="V273" s="72"/>
      <c r="W273" s="72"/>
      <c r="X273" s="72"/>
      <c r="Y273" s="72"/>
      <c r="Z273" s="72"/>
      <c r="AA273" s="72"/>
      <c r="AB273" s="72"/>
      <c r="AC273" s="72"/>
      <c r="AD273" s="72"/>
      <c r="AE273" s="72"/>
      <c r="AF273" s="72"/>
    </row>
    <row r="274" spans="7:32" ht="15.75" customHeight="1" x14ac:dyDescent="0.25">
      <c r="G274" s="72"/>
      <c r="H274" s="72"/>
      <c r="I274" s="72"/>
      <c r="J274" s="72"/>
      <c r="K274" s="72"/>
      <c r="L274" s="72"/>
      <c r="M274" s="72"/>
      <c r="N274" s="72"/>
      <c r="O274" s="72"/>
      <c r="P274" s="72"/>
      <c r="Q274" s="72"/>
      <c r="R274" s="72"/>
      <c r="S274" s="72"/>
      <c r="T274" s="72"/>
      <c r="U274" s="72"/>
      <c r="V274" s="72"/>
      <c r="W274" s="72"/>
      <c r="X274" s="72"/>
      <c r="Y274" s="72"/>
      <c r="Z274" s="72"/>
      <c r="AA274" s="72"/>
      <c r="AB274" s="72"/>
      <c r="AC274" s="72"/>
      <c r="AD274" s="72"/>
      <c r="AE274" s="72"/>
      <c r="AF274" s="72"/>
    </row>
    <row r="275" spans="7:32" ht="15.75" customHeight="1" x14ac:dyDescent="0.25">
      <c r="G275" s="72"/>
      <c r="H275" s="72"/>
      <c r="I275" s="72"/>
      <c r="J275" s="72"/>
      <c r="K275" s="72"/>
      <c r="L275" s="72"/>
      <c r="M275" s="72"/>
      <c r="N275" s="72"/>
      <c r="O275" s="72"/>
      <c r="P275" s="72"/>
      <c r="Q275" s="72"/>
      <c r="R275" s="72"/>
      <c r="S275" s="72"/>
      <c r="T275" s="72"/>
      <c r="U275" s="72"/>
      <c r="V275" s="72"/>
      <c r="W275" s="72"/>
      <c r="X275" s="72"/>
      <c r="Y275" s="72"/>
      <c r="Z275" s="72"/>
      <c r="AA275" s="72"/>
      <c r="AB275" s="72"/>
      <c r="AC275" s="72"/>
      <c r="AD275" s="72"/>
      <c r="AE275" s="72"/>
      <c r="AF275" s="72"/>
    </row>
    <row r="276" spans="7:32" ht="15.75" customHeight="1" x14ac:dyDescent="0.25">
      <c r="G276" s="72"/>
      <c r="H276" s="72"/>
      <c r="I276" s="72"/>
      <c r="J276" s="72"/>
      <c r="K276" s="72"/>
      <c r="L276" s="72"/>
      <c r="M276" s="72"/>
      <c r="N276" s="72"/>
      <c r="O276" s="72"/>
      <c r="P276" s="72"/>
      <c r="Q276" s="72"/>
      <c r="R276" s="72"/>
      <c r="S276" s="72"/>
      <c r="T276" s="72"/>
      <c r="U276" s="72"/>
      <c r="V276" s="72"/>
      <c r="W276" s="72"/>
      <c r="X276" s="72"/>
      <c r="Y276" s="72"/>
      <c r="Z276" s="72"/>
      <c r="AA276" s="72"/>
      <c r="AB276" s="72"/>
      <c r="AC276" s="72"/>
      <c r="AD276" s="72"/>
      <c r="AE276" s="72"/>
      <c r="AF276" s="72"/>
    </row>
    <row r="277" spans="7:32" ht="15.75" customHeight="1" x14ac:dyDescent="0.25">
      <c r="G277" s="72"/>
      <c r="H277" s="72"/>
      <c r="I277" s="72"/>
      <c r="J277" s="72"/>
      <c r="K277" s="72"/>
      <c r="L277" s="72"/>
      <c r="M277" s="72"/>
      <c r="N277" s="72"/>
      <c r="O277" s="72"/>
      <c r="P277" s="72"/>
      <c r="Q277" s="72"/>
      <c r="R277" s="72"/>
      <c r="S277" s="72"/>
      <c r="T277" s="72"/>
      <c r="U277" s="72"/>
      <c r="V277" s="72"/>
      <c r="W277" s="72"/>
      <c r="X277" s="72"/>
      <c r="Y277" s="72"/>
      <c r="Z277" s="72"/>
      <c r="AA277" s="72"/>
      <c r="AB277" s="72"/>
      <c r="AC277" s="72"/>
      <c r="AD277" s="72"/>
      <c r="AE277" s="72"/>
      <c r="AF277" s="72"/>
    </row>
    <row r="278" spans="7:32" ht="15.75" customHeight="1" x14ac:dyDescent="0.25">
      <c r="G278" s="72"/>
      <c r="H278" s="72"/>
      <c r="I278" s="72"/>
      <c r="J278" s="72"/>
      <c r="K278" s="72"/>
      <c r="L278" s="72"/>
      <c r="M278" s="72"/>
      <c r="N278" s="72"/>
      <c r="O278" s="72"/>
      <c r="P278" s="72"/>
      <c r="Q278" s="72"/>
      <c r="R278" s="72"/>
      <c r="S278" s="72"/>
      <c r="T278" s="72"/>
      <c r="U278" s="72"/>
      <c r="V278" s="72"/>
      <c r="W278" s="72"/>
      <c r="X278" s="72"/>
      <c r="Y278" s="72"/>
      <c r="Z278" s="72"/>
      <c r="AA278" s="72"/>
      <c r="AB278" s="72"/>
      <c r="AC278" s="72"/>
      <c r="AD278" s="72"/>
      <c r="AE278" s="72"/>
      <c r="AF278" s="72"/>
    </row>
    <row r="279" spans="7:32" ht="15.75" customHeight="1" x14ac:dyDescent="0.25">
      <c r="G279" s="72"/>
      <c r="H279" s="72"/>
      <c r="I279" s="72"/>
      <c r="J279" s="72"/>
      <c r="K279" s="72"/>
      <c r="L279" s="72"/>
      <c r="M279" s="72"/>
      <c r="N279" s="72"/>
      <c r="O279" s="72"/>
      <c r="P279" s="72"/>
      <c r="Q279" s="72"/>
      <c r="R279" s="72"/>
      <c r="S279" s="72"/>
      <c r="T279" s="72"/>
      <c r="U279" s="72"/>
      <c r="V279" s="72"/>
      <c r="W279" s="72"/>
      <c r="X279" s="72"/>
      <c r="Y279" s="72"/>
      <c r="Z279" s="72"/>
      <c r="AA279" s="72"/>
      <c r="AB279" s="72"/>
      <c r="AC279" s="72"/>
      <c r="AD279" s="72"/>
      <c r="AE279" s="72"/>
      <c r="AF279" s="72"/>
    </row>
    <row r="280" spans="7:32" ht="15.75" customHeight="1" x14ac:dyDescent="0.25">
      <c r="G280" s="72"/>
      <c r="H280" s="72"/>
      <c r="I280" s="72"/>
      <c r="J280" s="72"/>
      <c r="K280" s="72"/>
      <c r="L280" s="72"/>
      <c r="M280" s="72"/>
      <c r="N280" s="72"/>
      <c r="O280" s="72"/>
      <c r="P280" s="72"/>
      <c r="Q280" s="72"/>
      <c r="R280" s="72"/>
      <c r="S280" s="72"/>
      <c r="T280" s="72"/>
      <c r="U280" s="72"/>
      <c r="V280" s="72"/>
      <c r="W280" s="72"/>
      <c r="X280" s="72"/>
      <c r="Y280" s="72"/>
      <c r="Z280" s="72"/>
      <c r="AA280" s="72"/>
      <c r="AB280" s="72"/>
      <c r="AC280" s="72"/>
      <c r="AD280" s="72"/>
      <c r="AE280" s="72"/>
      <c r="AF280" s="72"/>
    </row>
    <row r="281" spans="7:32" ht="15.75" customHeight="1" x14ac:dyDescent="0.25">
      <c r="G281" s="72"/>
      <c r="H281" s="72"/>
      <c r="I281" s="72"/>
      <c r="J281" s="72"/>
      <c r="K281" s="72"/>
      <c r="L281" s="72"/>
      <c r="M281" s="72"/>
      <c r="N281" s="72"/>
      <c r="O281" s="72"/>
      <c r="P281" s="72"/>
      <c r="Q281" s="72"/>
      <c r="R281" s="72"/>
      <c r="S281" s="72"/>
      <c r="T281" s="72"/>
      <c r="U281" s="72"/>
      <c r="V281" s="72"/>
      <c r="W281" s="72"/>
      <c r="X281" s="72"/>
      <c r="Y281" s="72"/>
      <c r="Z281" s="72"/>
      <c r="AA281" s="72"/>
      <c r="AB281" s="72"/>
      <c r="AC281" s="72"/>
      <c r="AD281" s="72"/>
      <c r="AE281" s="72"/>
      <c r="AF281" s="72"/>
    </row>
    <row r="282" spans="7:32" ht="15.75" customHeight="1" x14ac:dyDescent="0.25">
      <c r="G282" s="72"/>
      <c r="H282" s="72"/>
      <c r="I282" s="72"/>
      <c r="J282" s="72"/>
      <c r="K282" s="72"/>
      <c r="L282" s="72"/>
      <c r="M282" s="72"/>
      <c r="N282" s="72"/>
      <c r="O282" s="72"/>
      <c r="P282" s="72"/>
      <c r="Q282" s="72"/>
      <c r="R282" s="72"/>
      <c r="S282" s="72"/>
      <c r="T282" s="72"/>
      <c r="U282" s="72"/>
      <c r="V282" s="72"/>
      <c r="W282" s="72"/>
      <c r="X282" s="72"/>
      <c r="Y282" s="72"/>
      <c r="Z282" s="72"/>
      <c r="AA282" s="72"/>
      <c r="AB282" s="72"/>
      <c r="AC282" s="72"/>
      <c r="AD282" s="72"/>
      <c r="AE282" s="72"/>
      <c r="AF282" s="72"/>
    </row>
    <row r="283" spans="7:32" ht="15.75" customHeight="1" x14ac:dyDescent="0.25">
      <c r="G283" s="72"/>
      <c r="H283" s="72"/>
      <c r="I283" s="72"/>
      <c r="J283" s="72"/>
      <c r="K283" s="72"/>
      <c r="L283" s="72"/>
      <c r="M283" s="72"/>
      <c r="N283" s="72"/>
      <c r="O283" s="72"/>
      <c r="P283" s="72"/>
      <c r="Q283" s="72"/>
      <c r="R283" s="72"/>
      <c r="S283" s="72"/>
      <c r="T283" s="72"/>
      <c r="U283" s="72"/>
      <c r="V283" s="72"/>
      <c r="W283" s="72"/>
      <c r="X283" s="72"/>
      <c r="Y283" s="72"/>
      <c r="Z283" s="72"/>
      <c r="AA283" s="72"/>
      <c r="AB283" s="72"/>
      <c r="AC283" s="72"/>
      <c r="AD283" s="72"/>
      <c r="AE283" s="72"/>
      <c r="AF283" s="72"/>
    </row>
    <row r="284" spans="7:32" ht="15.75" customHeight="1" x14ac:dyDescent="0.25">
      <c r="G284" s="72"/>
      <c r="H284" s="72"/>
      <c r="I284" s="72"/>
      <c r="J284" s="72"/>
      <c r="K284" s="72"/>
      <c r="L284" s="72"/>
      <c r="M284" s="72"/>
      <c r="N284" s="72"/>
      <c r="O284" s="72"/>
      <c r="P284" s="72"/>
      <c r="Q284" s="72"/>
      <c r="R284" s="72"/>
      <c r="S284" s="72"/>
      <c r="T284" s="72"/>
      <c r="U284" s="72"/>
      <c r="V284" s="72"/>
      <c r="W284" s="72"/>
      <c r="X284" s="72"/>
      <c r="Y284" s="72"/>
      <c r="Z284" s="72"/>
      <c r="AA284" s="72"/>
      <c r="AB284" s="72"/>
      <c r="AC284" s="72"/>
      <c r="AD284" s="72"/>
      <c r="AE284" s="72"/>
      <c r="AF284" s="72"/>
    </row>
    <row r="285" spans="7:32" ht="15.75" customHeight="1" x14ac:dyDescent="0.25">
      <c r="G285" s="72"/>
      <c r="H285" s="72"/>
      <c r="I285" s="72"/>
      <c r="J285" s="72"/>
      <c r="K285" s="72"/>
      <c r="L285" s="72"/>
      <c r="M285" s="72"/>
      <c r="N285" s="72"/>
      <c r="O285" s="72"/>
      <c r="P285" s="72"/>
      <c r="Q285" s="72"/>
      <c r="R285" s="72"/>
      <c r="S285" s="72"/>
      <c r="T285" s="72"/>
      <c r="U285" s="72"/>
      <c r="V285" s="72"/>
      <c r="W285" s="72"/>
      <c r="X285" s="72"/>
      <c r="Y285" s="72"/>
      <c r="Z285" s="72"/>
      <c r="AA285" s="72"/>
      <c r="AB285" s="72"/>
      <c r="AC285" s="72"/>
      <c r="AD285" s="72"/>
      <c r="AE285" s="72"/>
      <c r="AF285" s="72"/>
    </row>
    <row r="286" spans="7:32" ht="15.75" customHeight="1" x14ac:dyDescent="0.25">
      <c r="G286" s="72"/>
      <c r="H286" s="72"/>
      <c r="I286" s="72"/>
      <c r="J286" s="72"/>
      <c r="K286" s="72"/>
      <c r="L286" s="72"/>
      <c r="M286" s="72"/>
      <c r="N286" s="72"/>
      <c r="O286" s="72"/>
      <c r="P286" s="72"/>
      <c r="Q286" s="72"/>
      <c r="R286" s="72"/>
      <c r="S286" s="72"/>
      <c r="T286" s="72"/>
      <c r="U286" s="72"/>
      <c r="V286" s="72"/>
      <c r="W286" s="72"/>
      <c r="X286" s="72"/>
      <c r="Y286" s="72"/>
      <c r="Z286" s="72"/>
      <c r="AA286" s="72"/>
      <c r="AB286" s="72"/>
      <c r="AC286" s="72"/>
      <c r="AD286" s="72"/>
      <c r="AE286" s="72"/>
      <c r="AF286" s="72"/>
    </row>
    <row r="287" spans="7:32" ht="15.75" customHeight="1" x14ac:dyDescent="0.25">
      <c r="G287" s="72"/>
      <c r="H287" s="72"/>
      <c r="I287" s="72"/>
      <c r="J287" s="72"/>
      <c r="K287" s="72"/>
      <c r="L287" s="72"/>
      <c r="M287" s="72"/>
      <c r="N287" s="72"/>
      <c r="O287" s="72"/>
      <c r="P287" s="72"/>
      <c r="Q287" s="72"/>
      <c r="R287" s="72"/>
      <c r="S287" s="72"/>
      <c r="T287" s="72"/>
      <c r="U287" s="72"/>
      <c r="V287" s="72"/>
      <c r="W287" s="72"/>
      <c r="X287" s="72"/>
      <c r="Y287" s="72"/>
      <c r="Z287" s="72"/>
      <c r="AA287" s="72"/>
      <c r="AB287" s="72"/>
      <c r="AC287" s="72"/>
      <c r="AD287" s="72"/>
      <c r="AE287" s="72"/>
      <c r="AF287" s="72"/>
    </row>
    <row r="288" spans="7:32" ht="15.75" customHeight="1" x14ac:dyDescent="0.25">
      <c r="G288" s="72"/>
      <c r="H288" s="72"/>
      <c r="I288" s="72"/>
      <c r="J288" s="72"/>
      <c r="K288" s="72"/>
      <c r="L288" s="72"/>
      <c r="M288" s="72"/>
      <c r="N288" s="72"/>
      <c r="O288" s="72"/>
      <c r="P288" s="72"/>
      <c r="Q288" s="72"/>
      <c r="R288" s="72"/>
      <c r="S288" s="72"/>
      <c r="T288" s="72"/>
      <c r="U288" s="72"/>
      <c r="V288" s="72"/>
      <c r="W288" s="72"/>
      <c r="X288" s="72"/>
      <c r="Y288" s="72"/>
      <c r="Z288" s="72"/>
      <c r="AA288" s="72"/>
      <c r="AB288" s="72"/>
      <c r="AC288" s="72"/>
      <c r="AD288" s="72"/>
      <c r="AE288" s="72"/>
      <c r="AF288" s="72"/>
    </row>
    <row r="289" spans="7:32" ht="15.75" customHeight="1" x14ac:dyDescent="0.25">
      <c r="G289" s="72"/>
      <c r="H289" s="72"/>
      <c r="I289" s="72"/>
      <c r="J289" s="72"/>
      <c r="K289" s="72"/>
      <c r="L289" s="72"/>
      <c r="M289" s="72"/>
      <c r="N289" s="72"/>
      <c r="O289" s="72"/>
      <c r="P289" s="72"/>
      <c r="Q289" s="72"/>
      <c r="R289" s="72"/>
      <c r="S289" s="72"/>
      <c r="T289" s="72"/>
      <c r="U289" s="72"/>
      <c r="V289" s="72"/>
      <c r="W289" s="72"/>
      <c r="X289" s="72"/>
      <c r="Y289" s="72"/>
      <c r="Z289" s="72"/>
      <c r="AA289" s="72"/>
      <c r="AB289" s="72"/>
      <c r="AC289" s="72"/>
      <c r="AD289" s="72"/>
      <c r="AE289" s="72"/>
      <c r="AF289" s="72"/>
    </row>
    <row r="290" spans="7:32" ht="15.75" customHeight="1" x14ac:dyDescent="0.25">
      <c r="G290" s="72"/>
      <c r="H290" s="72"/>
      <c r="I290" s="72"/>
      <c r="J290" s="72"/>
      <c r="K290" s="72"/>
      <c r="L290" s="72"/>
      <c r="M290" s="72"/>
      <c r="N290" s="72"/>
      <c r="O290" s="72"/>
      <c r="P290" s="72"/>
      <c r="Q290" s="72"/>
      <c r="R290" s="72"/>
      <c r="S290" s="72"/>
      <c r="T290" s="72"/>
      <c r="U290" s="72"/>
      <c r="V290" s="72"/>
      <c r="W290" s="72"/>
      <c r="X290" s="72"/>
      <c r="Y290" s="72"/>
      <c r="Z290" s="72"/>
      <c r="AA290" s="72"/>
      <c r="AB290" s="72"/>
      <c r="AC290" s="72"/>
      <c r="AD290" s="72"/>
      <c r="AE290" s="72"/>
      <c r="AF290" s="72"/>
    </row>
    <row r="291" spans="7:32" ht="15.75" customHeight="1" x14ac:dyDescent="0.25">
      <c r="G291" s="72"/>
      <c r="H291" s="72"/>
      <c r="I291" s="72"/>
      <c r="J291" s="72"/>
      <c r="K291" s="72"/>
      <c r="L291" s="72"/>
      <c r="M291" s="72"/>
      <c r="N291" s="72"/>
      <c r="O291" s="72"/>
      <c r="P291" s="72"/>
      <c r="Q291" s="72"/>
      <c r="R291" s="72"/>
      <c r="S291" s="72"/>
      <c r="T291" s="72"/>
      <c r="U291" s="72"/>
      <c r="V291" s="72"/>
      <c r="W291" s="72"/>
      <c r="X291" s="72"/>
      <c r="Y291" s="72"/>
      <c r="Z291" s="72"/>
      <c r="AA291" s="72"/>
      <c r="AB291" s="72"/>
      <c r="AC291" s="72"/>
      <c r="AD291" s="72"/>
      <c r="AE291" s="72"/>
      <c r="AF291" s="72"/>
    </row>
    <row r="292" spans="7:32" ht="15.75" customHeight="1" x14ac:dyDescent="0.25">
      <c r="G292" s="72"/>
      <c r="H292" s="72"/>
      <c r="I292" s="72"/>
      <c r="J292" s="72"/>
      <c r="K292" s="72"/>
      <c r="L292" s="72"/>
      <c r="M292" s="72"/>
      <c r="N292" s="72"/>
      <c r="O292" s="72"/>
      <c r="P292" s="72"/>
      <c r="Q292" s="72"/>
      <c r="R292" s="72"/>
      <c r="S292" s="72"/>
      <c r="T292" s="72"/>
      <c r="U292" s="72"/>
      <c r="V292" s="72"/>
      <c r="W292" s="72"/>
      <c r="X292" s="72"/>
      <c r="Y292" s="72"/>
      <c r="Z292" s="72"/>
      <c r="AA292" s="72"/>
      <c r="AB292" s="72"/>
      <c r="AC292" s="72"/>
      <c r="AD292" s="72"/>
      <c r="AE292" s="72"/>
      <c r="AF292" s="72"/>
    </row>
    <row r="293" spans="7:32" ht="15.75" customHeight="1" x14ac:dyDescent="0.25">
      <c r="G293" s="72"/>
      <c r="H293" s="72"/>
      <c r="I293" s="72"/>
      <c r="J293" s="72"/>
      <c r="K293" s="72"/>
      <c r="L293" s="72"/>
      <c r="M293" s="72"/>
      <c r="N293" s="72"/>
      <c r="O293" s="72"/>
      <c r="P293" s="72"/>
      <c r="Q293" s="72"/>
      <c r="R293" s="72"/>
      <c r="S293" s="72"/>
      <c r="T293" s="72"/>
      <c r="U293" s="72"/>
      <c r="V293" s="72"/>
      <c r="W293" s="72"/>
      <c r="X293" s="72"/>
      <c r="Y293" s="72"/>
      <c r="Z293" s="72"/>
      <c r="AA293" s="72"/>
      <c r="AB293" s="72"/>
      <c r="AC293" s="72"/>
      <c r="AD293" s="72"/>
      <c r="AE293" s="72"/>
      <c r="AF293" s="72"/>
    </row>
    <row r="294" spans="7:32" ht="15.75" customHeight="1" x14ac:dyDescent="0.25">
      <c r="G294" s="72"/>
      <c r="H294" s="72"/>
      <c r="I294" s="72"/>
      <c r="J294" s="72"/>
      <c r="K294" s="72"/>
      <c r="L294" s="72"/>
      <c r="M294" s="72"/>
      <c r="N294" s="72"/>
      <c r="O294" s="72"/>
      <c r="P294" s="72"/>
      <c r="Q294" s="72"/>
      <c r="R294" s="72"/>
      <c r="S294" s="72"/>
      <c r="T294" s="72"/>
      <c r="U294" s="72"/>
      <c r="V294" s="72"/>
      <c r="W294" s="72"/>
      <c r="X294" s="72"/>
      <c r="Y294" s="72"/>
      <c r="Z294" s="72"/>
      <c r="AA294" s="72"/>
      <c r="AB294" s="72"/>
      <c r="AC294" s="72"/>
      <c r="AD294" s="72"/>
      <c r="AE294" s="72"/>
      <c r="AF294" s="72"/>
    </row>
    <row r="295" spans="7:32" ht="15.75" customHeight="1" x14ac:dyDescent="0.25">
      <c r="G295" s="72"/>
      <c r="H295" s="72"/>
      <c r="I295" s="72"/>
      <c r="J295" s="72"/>
      <c r="K295" s="72"/>
      <c r="L295" s="72"/>
      <c r="M295" s="72"/>
      <c r="N295" s="72"/>
      <c r="O295" s="72"/>
      <c r="P295" s="72"/>
      <c r="Q295" s="72"/>
      <c r="R295" s="72"/>
      <c r="S295" s="72"/>
      <c r="T295" s="72"/>
      <c r="U295" s="72"/>
      <c r="V295" s="72"/>
      <c r="W295" s="72"/>
      <c r="X295" s="72"/>
      <c r="Y295" s="72"/>
      <c r="Z295" s="72"/>
      <c r="AA295" s="72"/>
      <c r="AB295" s="72"/>
      <c r="AC295" s="72"/>
      <c r="AD295" s="72"/>
      <c r="AE295" s="72"/>
      <c r="AF295" s="72"/>
    </row>
    <row r="296" spans="7:32" ht="15.75" customHeight="1" x14ac:dyDescent="0.25">
      <c r="G296" s="72"/>
      <c r="H296" s="72"/>
      <c r="I296" s="72"/>
      <c r="J296" s="72"/>
      <c r="K296" s="72"/>
      <c r="L296" s="72"/>
      <c r="M296" s="72"/>
      <c r="N296" s="72"/>
      <c r="O296" s="72"/>
      <c r="P296" s="72"/>
      <c r="Q296" s="72"/>
      <c r="R296" s="72"/>
      <c r="S296" s="72"/>
      <c r="T296" s="72"/>
      <c r="U296" s="72"/>
      <c r="V296" s="72"/>
      <c r="W296" s="72"/>
      <c r="X296" s="72"/>
      <c r="Y296" s="72"/>
      <c r="Z296" s="72"/>
      <c r="AA296" s="72"/>
      <c r="AB296" s="72"/>
      <c r="AC296" s="72"/>
      <c r="AD296" s="72"/>
      <c r="AE296" s="72"/>
      <c r="AF296" s="72"/>
    </row>
    <row r="297" spans="7:32" ht="15.75" customHeight="1" x14ac:dyDescent="0.25">
      <c r="G297" s="72"/>
      <c r="H297" s="72"/>
      <c r="I297" s="72"/>
      <c r="J297" s="72"/>
      <c r="K297" s="72"/>
      <c r="L297" s="72"/>
      <c r="M297" s="72"/>
      <c r="N297" s="72"/>
      <c r="O297" s="72"/>
      <c r="P297" s="72"/>
      <c r="Q297" s="72"/>
      <c r="R297" s="72"/>
      <c r="S297" s="72"/>
      <c r="T297" s="72"/>
      <c r="U297" s="72"/>
      <c r="V297" s="72"/>
      <c r="W297" s="72"/>
      <c r="X297" s="72"/>
      <c r="Y297" s="72"/>
      <c r="Z297" s="72"/>
      <c r="AA297" s="72"/>
      <c r="AB297" s="72"/>
      <c r="AC297" s="72"/>
      <c r="AD297" s="72"/>
      <c r="AE297" s="72"/>
      <c r="AF297" s="72"/>
    </row>
    <row r="298" spans="7:32" ht="15.75" customHeight="1" x14ac:dyDescent="0.25">
      <c r="G298" s="72"/>
      <c r="H298" s="72"/>
      <c r="I298" s="72"/>
      <c r="J298" s="72"/>
      <c r="K298" s="72"/>
      <c r="L298" s="72"/>
      <c r="M298" s="72"/>
      <c r="N298" s="72"/>
      <c r="O298" s="72"/>
      <c r="P298" s="72"/>
      <c r="Q298" s="72"/>
      <c r="R298" s="72"/>
      <c r="S298" s="72"/>
      <c r="T298" s="72"/>
      <c r="U298" s="72"/>
      <c r="V298" s="72"/>
      <c r="W298" s="72"/>
      <c r="X298" s="72"/>
      <c r="Y298" s="72"/>
      <c r="Z298" s="72"/>
      <c r="AA298" s="72"/>
      <c r="AB298" s="72"/>
      <c r="AC298" s="72"/>
      <c r="AD298" s="72"/>
      <c r="AE298" s="72"/>
      <c r="AF298" s="72"/>
    </row>
    <row r="299" spans="7:32" ht="15.75" customHeight="1" x14ac:dyDescent="0.25">
      <c r="G299" s="72"/>
      <c r="H299" s="72"/>
      <c r="I299" s="72"/>
      <c r="J299" s="72"/>
      <c r="K299" s="72"/>
      <c r="L299" s="72"/>
      <c r="M299" s="72"/>
      <c r="N299" s="72"/>
      <c r="O299" s="72"/>
      <c r="P299" s="72"/>
      <c r="Q299" s="72"/>
      <c r="R299" s="72"/>
      <c r="S299" s="72"/>
      <c r="T299" s="72"/>
      <c r="U299" s="72"/>
      <c r="V299" s="72"/>
      <c r="W299" s="72"/>
      <c r="X299" s="72"/>
      <c r="Y299" s="72"/>
      <c r="Z299" s="72"/>
      <c r="AA299" s="72"/>
      <c r="AB299" s="72"/>
      <c r="AC299" s="72"/>
      <c r="AD299" s="72"/>
      <c r="AE299" s="72"/>
      <c r="AF299" s="72"/>
    </row>
    <row r="300" spans="7:32" ht="15.75" customHeight="1" x14ac:dyDescent="0.25">
      <c r="G300" s="72"/>
      <c r="H300" s="72"/>
      <c r="I300" s="72"/>
      <c r="J300" s="72"/>
      <c r="K300" s="72"/>
      <c r="L300" s="72"/>
      <c r="M300" s="72"/>
      <c r="N300" s="72"/>
      <c r="O300" s="72"/>
      <c r="P300" s="72"/>
      <c r="Q300" s="72"/>
      <c r="R300" s="72"/>
      <c r="S300" s="72"/>
      <c r="T300" s="72"/>
      <c r="U300" s="72"/>
      <c r="V300" s="72"/>
      <c r="W300" s="72"/>
      <c r="X300" s="72"/>
      <c r="Y300" s="72"/>
      <c r="Z300" s="72"/>
      <c r="AA300" s="72"/>
      <c r="AB300" s="72"/>
      <c r="AC300" s="72"/>
      <c r="AD300" s="72"/>
      <c r="AE300" s="72"/>
      <c r="AF300" s="72"/>
    </row>
    <row r="301" spans="7:32" ht="15.75" customHeight="1" x14ac:dyDescent="0.25">
      <c r="G301" s="72"/>
      <c r="H301" s="72"/>
      <c r="I301" s="72"/>
      <c r="J301" s="72"/>
      <c r="K301" s="72"/>
      <c r="L301" s="72"/>
      <c r="M301" s="72"/>
      <c r="N301" s="72"/>
      <c r="O301" s="72"/>
      <c r="P301" s="72"/>
      <c r="Q301" s="72"/>
      <c r="R301" s="72"/>
      <c r="S301" s="72"/>
      <c r="T301" s="72"/>
      <c r="U301" s="72"/>
      <c r="V301" s="72"/>
      <c r="W301" s="72"/>
      <c r="X301" s="72"/>
      <c r="Y301" s="72"/>
      <c r="Z301" s="72"/>
      <c r="AA301" s="72"/>
      <c r="AB301" s="72"/>
      <c r="AC301" s="72"/>
      <c r="AD301" s="72"/>
      <c r="AE301" s="72"/>
      <c r="AF301" s="72"/>
    </row>
    <row r="302" spans="7:32" ht="15.75" customHeight="1" x14ac:dyDescent="0.25">
      <c r="G302" s="72"/>
      <c r="H302" s="72"/>
      <c r="I302" s="72"/>
      <c r="J302" s="72"/>
      <c r="K302" s="72"/>
      <c r="L302" s="72"/>
      <c r="M302" s="72"/>
      <c r="N302" s="72"/>
      <c r="O302" s="72"/>
      <c r="P302" s="72"/>
      <c r="Q302" s="72"/>
      <c r="R302" s="72"/>
      <c r="S302" s="72"/>
      <c r="T302" s="72"/>
      <c r="U302" s="72"/>
      <c r="V302" s="72"/>
      <c r="W302" s="72"/>
      <c r="X302" s="72"/>
      <c r="Y302" s="72"/>
      <c r="Z302" s="72"/>
      <c r="AA302" s="72"/>
      <c r="AB302" s="72"/>
      <c r="AC302" s="72"/>
      <c r="AD302" s="72"/>
      <c r="AE302" s="72"/>
      <c r="AF302" s="72"/>
    </row>
    <row r="303" spans="7:32" ht="15.75" customHeight="1" x14ac:dyDescent="0.25">
      <c r="G303" s="72"/>
      <c r="H303" s="72"/>
      <c r="I303" s="72"/>
      <c r="J303" s="72"/>
      <c r="K303" s="72"/>
      <c r="L303" s="72"/>
      <c r="M303" s="72"/>
      <c r="N303" s="72"/>
      <c r="O303" s="72"/>
      <c r="P303" s="72"/>
      <c r="Q303" s="72"/>
      <c r="R303" s="72"/>
      <c r="S303" s="72"/>
      <c r="T303" s="72"/>
      <c r="U303" s="72"/>
      <c r="V303" s="72"/>
      <c r="W303" s="72"/>
      <c r="X303" s="72"/>
      <c r="Y303" s="72"/>
      <c r="Z303" s="72"/>
      <c r="AA303" s="72"/>
      <c r="AB303" s="72"/>
      <c r="AC303" s="72"/>
      <c r="AD303" s="72"/>
      <c r="AE303" s="72"/>
      <c r="AF303" s="72"/>
    </row>
    <row r="304" spans="7:32" ht="15.75" customHeight="1" x14ac:dyDescent="0.25">
      <c r="G304" s="72"/>
      <c r="H304" s="72"/>
      <c r="I304" s="72"/>
      <c r="J304" s="72"/>
      <c r="K304" s="72"/>
      <c r="L304" s="72"/>
      <c r="M304" s="72"/>
      <c r="N304" s="72"/>
      <c r="O304" s="72"/>
      <c r="P304" s="72"/>
      <c r="Q304" s="72"/>
      <c r="R304" s="72"/>
      <c r="S304" s="72"/>
      <c r="T304" s="72"/>
      <c r="U304" s="72"/>
      <c r="V304" s="72"/>
      <c r="W304" s="72"/>
      <c r="X304" s="72"/>
      <c r="Y304" s="72"/>
      <c r="Z304" s="72"/>
      <c r="AA304" s="72"/>
      <c r="AB304" s="72"/>
      <c r="AC304" s="72"/>
      <c r="AD304" s="72"/>
      <c r="AE304" s="72"/>
      <c r="AF304" s="72"/>
    </row>
    <row r="305" spans="7:32" ht="15.75" customHeight="1" x14ac:dyDescent="0.25">
      <c r="G305" s="72"/>
      <c r="H305" s="72"/>
      <c r="I305" s="72"/>
      <c r="J305" s="72"/>
      <c r="K305" s="72"/>
      <c r="L305" s="72"/>
      <c r="M305" s="72"/>
      <c r="N305" s="72"/>
      <c r="O305" s="72"/>
      <c r="P305" s="72"/>
      <c r="Q305" s="72"/>
      <c r="R305" s="72"/>
      <c r="S305" s="72"/>
      <c r="T305" s="72"/>
      <c r="U305" s="72"/>
      <c r="V305" s="72"/>
      <c r="W305" s="72"/>
      <c r="X305" s="72"/>
      <c r="Y305" s="72"/>
      <c r="Z305" s="72"/>
      <c r="AA305" s="72"/>
      <c r="AB305" s="72"/>
      <c r="AC305" s="72"/>
      <c r="AD305" s="72"/>
      <c r="AE305" s="72"/>
      <c r="AF305" s="72"/>
    </row>
    <row r="306" spans="7:32" ht="15.75" customHeight="1" x14ac:dyDescent="0.25">
      <c r="G306" s="72"/>
      <c r="H306" s="72"/>
      <c r="I306" s="72"/>
      <c r="J306" s="72"/>
      <c r="K306" s="72"/>
      <c r="L306" s="72"/>
      <c r="M306" s="72"/>
      <c r="N306" s="72"/>
      <c r="O306" s="72"/>
      <c r="P306" s="72"/>
      <c r="Q306" s="72"/>
      <c r="R306" s="72"/>
      <c r="S306" s="72"/>
      <c r="T306" s="72"/>
      <c r="U306" s="72"/>
      <c r="V306" s="72"/>
      <c r="W306" s="72"/>
      <c r="X306" s="72"/>
      <c r="Y306" s="72"/>
      <c r="Z306" s="72"/>
      <c r="AA306" s="72"/>
      <c r="AB306" s="72"/>
      <c r="AC306" s="72"/>
      <c r="AD306" s="72"/>
      <c r="AE306" s="72"/>
      <c r="AF306" s="72"/>
    </row>
    <row r="307" spans="7:32" ht="15.75" customHeight="1" x14ac:dyDescent="0.25">
      <c r="G307" s="72"/>
      <c r="H307" s="72"/>
      <c r="I307" s="72"/>
      <c r="J307" s="72"/>
      <c r="K307" s="72"/>
      <c r="L307" s="72"/>
      <c r="M307" s="72"/>
      <c r="N307" s="72"/>
      <c r="O307" s="72"/>
      <c r="P307" s="72"/>
      <c r="Q307" s="72"/>
      <c r="R307" s="72"/>
      <c r="S307" s="72"/>
      <c r="T307" s="72"/>
      <c r="U307" s="72"/>
      <c r="V307" s="72"/>
      <c r="W307" s="72"/>
      <c r="X307" s="72"/>
      <c r="Y307" s="72"/>
      <c r="Z307" s="72"/>
      <c r="AA307" s="72"/>
      <c r="AB307" s="72"/>
      <c r="AC307" s="72"/>
      <c r="AD307" s="72"/>
      <c r="AE307" s="72"/>
      <c r="AF307" s="72"/>
    </row>
    <row r="308" spans="7:32" ht="15.75" customHeight="1" x14ac:dyDescent="0.25">
      <c r="G308" s="72"/>
      <c r="H308" s="72"/>
      <c r="I308" s="72"/>
      <c r="J308" s="72"/>
      <c r="K308" s="72"/>
      <c r="L308" s="72"/>
      <c r="M308" s="72"/>
      <c r="N308" s="72"/>
      <c r="O308" s="72"/>
      <c r="P308" s="72"/>
      <c r="Q308" s="72"/>
      <c r="R308" s="72"/>
      <c r="S308" s="72"/>
      <c r="T308" s="72"/>
      <c r="U308" s="72"/>
      <c r="V308" s="72"/>
      <c r="W308" s="72"/>
      <c r="X308" s="72"/>
      <c r="Y308" s="72"/>
      <c r="Z308" s="72"/>
      <c r="AA308" s="72"/>
      <c r="AB308" s="72"/>
      <c r="AC308" s="72"/>
      <c r="AD308" s="72"/>
      <c r="AE308" s="72"/>
      <c r="AF308" s="72"/>
    </row>
    <row r="309" spans="7:32" ht="15.75" customHeight="1" x14ac:dyDescent="0.25">
      <c r="G309" s="72"/>
      <c r="H309" s="72"/>
      <c r="I309" s="72"/>
      <c r="J309" s="72"/>
      <c r="K309" s="72"/>
      <c r="L309" s="72"/>
      <c r="M309" s="72"/>
      <c r="N309" s="72"/>
      <c r="O309" s="72"/>
      <c r="P309" s="72"/>
      <c r="Q309" s="72"/>
      <c r="R309" s="72"/>
      <c r="S309" s="72"/>
      <c r="T309" s="72"/>
      <c r="U309" s="72"/>
      <c r="V309" s="72"/>
      <c r="W309" s="72"/>
      <c r="X309" s="72"/>
      <c r="Y309" s="72"/>
      <c r="Z309" s="72"/>
      <c r="AA309" s="72"/>
      <c r="AB309" s="72"/>
      <c r="AC309" s="72"/>
      <c r="AD309" s="72"/>
      <c r="AE309" s="72"/>
      <c r="AF309" s="72"/>
    </row>
    <row r="310" spans="7:32" ht="15.75" customHeight="1" x14ac:dyDescent="0.25">
      <c r="G310" s="72"/>
      <c r="H310" s="72"/>
      <c r="I310" s="72"/>
      <c r="J310" s="72"/>
      <c r="K310" s="72"/>
      <c r="L310" s="72"/>
      <c r="M310" s="72"/>
      <c r="N310" s="72"/>
      <c r="O310" s="72"/>
      <c r="P310" s="72"/>
      <c r="Q310" s="72"/>
      <c r="R310" s="72"/>
      <c r="S310" s="72"/>
      <c r="T310" s="72"/>
      <c r="U310" s="72"/>
      <c r="V310" s="72"/>
      <c r="W310" s="72"/>
      <c r="X310" s="72"/>
      <c r="Y310" s="72"/>
      <c r="Z310" s="72"/>
      <c r="AA310" s="72"/>
      <c r="AB310" s="72"/>
      <c r="AC310" s="72"/>
      <c r="AD310" s="72"/>
      <c r="AE310" s="72"/>
      <c r="AF310" s="72"/>
    </row>
    <row r="311" spans="7:32" ht="15.75" customHeight="1" x14ac:dyDescent="0.25">
      <c r="G311" s="72"/>
      <c r="H311" s="72"/>
      <c r="I311" s="72"/>
      <c r="J311" s="72"/>
      <c r="K311" s="72"/>
      <c r="L311" s="72"/>
      <c r="M311" s="72"/>
      <c r="N311" s="72"/>
      <c r="O311" s="72"/>
      <c r="P311" s="72"/>
      <c r="Q311" s="72"/>
      <c r="R311" s="72"/>
      <c r="S311" s="72"/>
      <c r="T311" s="72"/>
      <c r="U311" s="72"/>
      <c r="V311" s="72"/>
      <c r="W311" s="72"/>
      <c r="X311" s="72"/>
      <c r="Y311" s="72"/>
      <c r="Z311" s="72"/>
      <c r="AA311" s="72"/>
      <c r="AB311" s="72"/>
      <c r="AC311" s="72"/>
      <c r="AD311" s="72"/>
      <c r="AE311" s="72"/>
      <c r="AF311" s="72"/>
    </row>
    <row r="312" spans="7:32" ht="15.75" customHeight="1" x14ac:dyDescent="0.25">
      <c r="G312" s="72"/>
      <c r="H312" s="72"/>
      <c r="I312" s="72"/>
      <c r="J312" s="72"/>
      <c r="K312" s="72"/>
      <c r="L312" s="72"/>
      <c r="M312" s="72"/>
      <c r="N312" s="72"/>
      <c r="O312" s="72"/>
      <c r="P312" s="72"/>
      <c r="Q312" s="72"/>
      <c r="R312" s="72"/>
      <c r="S312" s="72"/>
      <c r="T312" s="72"/>
      <c r="U312" s="72"/>
      <c r="V312" s="72"/>
      <c r="W312" s="72"/>
      <c r="X312" s="72"/>
      <c r="Y312" s="72"/>
      <c r="Z312" s="72"/>
      <c r="AA312" s="72"/>
      <c r="AB312" s="72"/>
      <c r="AC312" s="72"/>
      <c r="AD312" s="72"/>
      <c r="AE312" s="72"/>
      <c r="AF312" s="72"/>
    </row>
    <row r="313" spans="7:32" ht="15.75" customHeight="1" x14ac:dyDescent="0.25">
      <c r="G313" s="72"/>
      <c r="H313" s="72"/>
      <c r="I313" s="72"/>
      <c r="J313" s="72"/>
      <c r="K313" s="72"/>
      <c r="L313" s="72"/>
      <c r="M313" s="72"/>
      <c r="N313" s="72"/>
      <c r="O313" s="72"/>
      <c r="P313" s="72"/>
      <c r="Q313" s="72"/>
      <c r="R313" s="72"/>
      <c r="S313" s="72"/>
      <c r="T313" s="72"/>
      <c r="U313" s="72"/>
      <c r="V313" s="72"/>
      <c r="W313" s="72"/>
      <c r="X313" s="72"/>
      <c r="Y313" s="72"/>
      <c r="Z313" s="72"/>
      <c r="AA313" s="72"/>
      <c r="AB313" s="72"/>
      <c r="AC313" s="72"/>
      <c r="AD313" s="72"/>
      <c r="AE313" s="72"/>
      <c r="AF313" s="72"/>
    </row>
    <row r="314" spans="7:32" ht="15.75" customHeight="1" x14ac:dyDescent="0.25">
      <c r="G314" s="72"/>
      <c r="H314" s="72"/>
      <c r="I314" s="72"/>
      <c r="J314" s="72"/>
      <c r="K314" s="72"/>
      <c r="L314" s="72"/>
      <c r="M314" s="72"/>
      <c r="N314" s="72"/>
      <c r="O314" s="72"/>
      <c r="P314" s="72"/>
      <c r="Q314" s="72"/>
      <c r="R314" s="72"/>
      <c r="S314" s="72"/>
      <c r="T314" s="72"/>
      <c r="U314" s="72"/>
      <c r="V314" s="72"/>
      <c r="W314" s="72"/>
      <c r="X314" s="72"/>
      <c r="Y314" s="72"/>
      <c r="Z314" s="72"/>
      <c r="AA314" s="72"/>
      <c r="AB314" s="72"/>
      <c r="AC314" s="72"/>
      <c r="AD314" s="72"/>
      <c r="AE314" s="72"/>
      <c r="AF314" s="72"/>
    </row>
    <row r="315" spans="7:32" ht="15.75" customHeight="1" x14ac:dyDescent="0.25">
      <c r="G315" s="72"/>
      <c r="H315" s="72"/>
      <c r="I315" s="72"/>
      <c r="J315" s="72"/>
      <c r="K315" s="72"/>
      <c r="L315" s="72"/>
      <c r="M315" s="72"/>
      <c r="N315" s="72"/>
      <c r="O315" s="72"/>
      <c r="P315" s="72"/>
      <c r="Q315" s="72"/>
      <c r="R315" s="72"/>
      <c r="S315" s="72"/>
      <c r="T315" s="72"/>
      <c r="U315" s="72"/>
      <c r="V315" s="72"/>
      <c r="W315" s="72"/>
      <c r="X315" s="72"/>
      <c r="Y315" s="72"/>
      <c r="Z315" s="72"/>
      <c r="AA315" s="72"/>
      <c r="AB315" s="72"/>
      <c r="AC315" s="72"/>
      <c r="AD315" s="72"/>
      <c r="AE315" s="72"/>
      <c r="AF315" s="72"/>
    </row>
    <row r="316" spans="7:32" ht="15.75" customHeight="1" x14ac:dyDescent="0.25">
      <c r="G316" s="72"/>
      <c r="H316" s="72"/>
      <c r="I316" s="72"/>
      <c r="J316" s="72"/>
      <c r="K316" s="72"/>
      <c r="L316" s="72"/>
      <c r="M316" s="72"/>
      <c r="N316" s="72"/>
      <c r="O316" s="72"/>
      <c r="P316" s="72"/>
      <c r="Q316" s="72"/>
      <c r="R316" s="72"/>
      <c r="S316" s="72"/>
      <c r="T316" s="72"/>
      <c r="U316" s="72"/>
      <c r="V316" s="72"/>
      <c r="W316" s="72"/>
      <c r="X316" s="72"/>
      <c r="Y316" s="72"/>
      <c r="Z316" s="72"/>
      <c r="AA316" s="72"/>
      <c r="AB316" s="72"/>
      <c r="AC316" s="72"/>
      <c r="AD316" s="72"/>
      <c r="AE316" s="72"/>
      <c r="AF316" s="72"/>
    </row>
    <row r="317" spans="7:32" ht="15.75" customHeight="1" x14ac:dyDescent="0.2"/>
    <row r="318" spans="7:32" ht="15.75" customHeight="1" x14ac:dyDescent="0.2"/>
    <row r="319" spans="7:32" ht="15.75" customHeight="1" x14ac:dyDescent="0.2"/>
    <row r="320" spans="7:32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511811024" right="0.511811024" top="0.78740157499999996" bottom="0.78740157499999996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ortim"/>
  <dimension ref="A1:X1000"/>
  <sheetViews>
    <sheetView workbookViewId="0"/>
  </sheetViews>
  <sheetFormatPr defaultColWidth="12.625" defaultRowHeight="15" customHeight="1" x14ac:dyDescent="0.2"/>
  <cols>
    <col min="1" max="1" width="10.25" customWidth="1"/>
    <col min="2" max="2" width="7.375" customWidth="1"/>
    <col min="3" max="3" width="13.5" customWidth="1"/>
    <col min="4" max="4" width="14" customWidth="1"/>
    <col min="5" max="5" width="11.75" customWidth="1"/>
    <col min="6" max="6" width="24.75" customWidth="1"/>
    <col min="7" max="7" width="17.25" customWidth="1"/>
    <col min="8" max="8" width="15.125" customWidth="1"/>
    <col min="9" max="9" width="33.625" customWidth="1"/>
    <col min="10" max="10" width="13.75" customWidth="1"/>
    <col min="11" max="11" width="15.125" customWidth="1"/>
    <col min="12" max="12" width="7.875" customWidth="1"/>
    <col min="13" max="13" width="10.875" customWidth="1"/>
    <col min="14" max="14" width="13.625" customWidth="1"/>
    <col min="15" max="15" width="9.125" customWidth="1"/>
    <col min="16" max="16" width="11.25" customWidth="1"/>
    <col min="17" max="20" width="9.5" customWidth="1"/>
    <col min="21" max="21" width="23.75" customWidth="1"/>
    <col min="22" max="22" width="30" customWidth="1"/>
    <col min="23" max="26" width="7.625" customWidth="1"/>
  </cols>
  <sheetData>
    <row r="1" spans="1:24" x14ac:dyDescent="0.25">
      <c r="A1" s="70" t="s">
        <v>76</v>
      </c>
      <c r="B1" s="70" t="s">
        <v>77</v>
      </c>
      <c r="C1" s="70" t="s">
        <v>72</v>
      </c>
      <c r="D1" s="70" t="s">
        <v>73</v>
      </c>
      <c r="E1" s="70" t="s">
        <v>71</v>
      </c>
      <c r="F1" s="70" t="s">
        <v>74</v>
      </c>
      <c r="G1" s="70" t="s">
        <v>75</v>
      </c>
      <c r="H1" s="70" t="s">
        <v>86</v>
      </c>
      <c r="I1" s="70" t="s">
        <v>87</v>
      </c>
      <c r="J1" s="70" t="s">
        <v>89</v>
      </c>
      <c r="K1" s="70" t="s">
        <v>88</v>
      </c>
      <c r="L1" s="70" t="s">
        <v>90</v>
      </c>
      <c r="M1" s="70" t="s">
        <v>91</v>
      </c>
      <c r="N1" s="70" t="s">
        <v>98</v>
      </c>
      <c r="O1" s="70" t="s">
        <v>95</v>
      </c>
      <c r="P1" s="70" t="s">
        <v>96</v>
      </c>
      <c r="Q1" s="70" t="s">
        <v>99</v>
      </c>
      <c r="R1" s="70" t="s">
        <v>100</v>
      </c>
      <c r="S1" s="70" t="s">
        <v>101</v>
      </c>
      <c r="T1" s="70" t="s">
        <v>102</v>
      </c>
      <c r="U1" s="70" t="s">
        <v>103</v>
      </c>
      <c r="V1" s="70" t="s">
        <v>104</v>
      </c>
      <c r="W1" s="70" t="s">
        <v>105</v>
      </c>
      <c r="X1" s="70" t="s">
        <v>106</v>
      </c>
    </row>
    <row r="2" spans="1:24" x14ac:dyDescent="0.25">
      <c r="A2" s="70"/>
      <c r="B2" s="70"/>
      <c r="C2" s="70"/>
      <c r="D2" s="70"/>
      <c r="E2" s="70"/>
      <c r="F2" s="70"/>
      <c r="G2" s="70"/>
      <c r="H2" s="70"/>
      <c r="I2" s="70"/>
      <c r="J2" s="70"/>
      <c r="K2" s="70"/>
      <c r="L2" s="70"/>
      <c r="M2" s="70"/>
      <c r="N2" s="70"/>
      <c r="O2" s="70"/>
      <c r="P2" s="70"/>
      <c r="Q2" s="70"/>
      <c r="R2" s="70"/>
      <c r="S2" s="70"/>
      <c r="T2" s="70"/>
      <c r="U2" s="70"/>
      <c r="V2" s="70"/>
      <c r="W2" s="70"/>
      <c r="X2" s="70"/>
    </row>
    <row r="3" spans="1:24" x14ac:dyDescent="0.25">
      <c r="A3" s="70"/>
      <c r="B3" s="70"/>
      <c r="C3" s="70"/>
      <c r="D3" s="70"/>
      <c r="E3" s="70"/>
      <c r="F3" s="70"/>
      <c r="G3" s="70"/>
      <c r="H3" s="70"/>
      <c r="I3" s="70"/>
      <c r="J3" s="70"/>
      <c r="K3" s="70"/>
      <c r="L3" s="70"/>
      <c r="M3" s="70"/>
      <c r="N3" s="70"/>
      <c r="O3" s="70"/>
      <c r="P3" s="70"/>
      <c r="Q3" s="70"/>
      <c r="R3" s="70"/>
      <c r="S3" s="70"/>
      <c r="T3" s="70"/>
      <c r="U3" s="70"/>
      <c r="V3" s="70"/>
      <c r="W3" s="70"/>
      <c r="X3" s="70"/>
    </row>
    <row r="4" spans="1:24" x14ac:dyDescent="0.25">
      <c r="A4" s="70"/>
      <c r="B4" s="70"/>
      <c r="C4" s="70"/>
      <c r="D4" s="70"/>
      <c r="E4" s="70"/>
      <c r="F4" s="70"/>
      <c r="G4" s="70"/>
      <c r="H4" s="70"/>
      <c r="I4" s="70"/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70"/>
      <c r="V4" s="70"/>
      <c r="W4" s="70"/>
      <c r="X4" s="70"/>
    </row>
    <row r="5" spans="1:24" x14ac:dyDescent="0.25">
      <c r="A5" s="70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0"/>
    </row>
    <row r="6" spans="1:24" x14ac:dyDescent="0.25">
      <c r="A6" s="70"/>
      <c r="B6" s="70"/>
      <c r="C6" s="70"/>
      <c r="D6" s="70"/>
      <c r="E6" s="70"/>
      <c r="F6" s="70"/>
      <c r="G6" s="70"/>
      <c r="H6" s="70"/>
      <c r="I6" s="70"/>
      <c r="J6" s="70"/>
      <c r="K6" s="70"/>
      <c r="L6" s="70"/>
      <c r="M6" s="70"/>
      <c r="N6" s="70"/>
      <c r="O6" s="70"/>
      <c r="P6" s="70"/>
      <c r="Q6" s="70"/>
      <c r="R6" s="70"/>
      <c r="S6" s="70"/>
      <c r="T6" s="70"/>
      <c r="U6" s="70"/>
      <c r="V6" s="70"/>
      <c r="W6" s="70"/>
      <c r="X6" s="70"/>
    </row>
    <row r="7" spans="1:24" x14ac:dyDescent="0.25">
      <c r="A7" s="70"/>
      <c r="B7" s="70"/>
      <c r="C7" s="70"/>
      <c r="D7" s="70"/>
      <c r="E7" s="70"/>
      <c r="F7" s="70"/>
      <c r="G7" s="70"/>
      <c r="H7" s="70"/>
      <c r="I7" s="70"/>
      <c r="J7" s="70"/>
      <c r="K7" s="70"/>
      <c r="L7" s="70"/>
      <c r="M7" s="70"/>
      <c r="N7" s="70"/>
      <c r="O7" s="70"/>
      <c r="P7" s="70"/>
      <c r="Q7" s="70"/>
      <c r="R7" s="70"/>
      <c r="S7" s="70"/>
      <c r="T7" s="70"/>
      <c r="U7" s="70"/>
      <c r="V7" s="70"/>
      <c r="W7" s="70"/>
      <c r="X7" s="70"/>
    </row>
    <row r="8" spans="1:24" x14ac:dyDescent="0.25">
      <c r="A8" s="70"/>
      <c r="B8" s="70"/>
      <c r="C8" s="70"/>
      <c r="D8" s="70"/>
      <c r="E8" s="70"/>
      <c r="F8" s="70"/>
      <c r="G8" s="70"/>
      <c r="H8" s="70"/>
      <c r="I8" s="70"/>
      <c r="J8" s="70"/>
      <c r="K8" s="70"/>
      <c r="L8" s="70"/>
      <c r="M8" s="70"/>
      <c r="N8" s="70"/>
      <c r="O8" s="70"/>
      <c r="P8" s="70"/>
      <c r="Q8" s="70"/>
      <c r="R8" s="70"/>
      <c r="S8" s="70"/>
      <c r="T8" s="70"/>
      <c r="U8" s="70"/>
      <c r="V8" s="70"/>
      <c r="W8" s="70"/>
      <c r="X8" s="70"/>
    </row>
    <row r="9" spans="1:24" x14ac:dyDescent="0.25">
      <c r="A9" s="70"/>
      <c r="B9" s="70"/>
      <c r="C9" s="70"/>
      <c r="D9" s="70"/>
      <c r="E9" s="70"/>
      <c r="F9" s="70"/>
      <c r="G9" s="70"/>
      <c r="H9" s="70"/>
      <c r="I9" s="70"/>
      <c r="J9" s="70"/>
      <c r="K9" s="70"/>
      <c r="L9" s="70"/>
      <c r="M9" s="70"/>
      <c r="N9" s="70"/>
      <c r="O9" s="70"/>
      <c r="P9" s="70"/>
      <c r="Q9" s="70"/>
      <c r="R9" s="70"/>
      <c r="S9" s="70"/>
      <c r="T9" s="70"/>
      <c r="U9" s="70"/>
      <c r="V9" s="70"/>
      <c r="W9" s="70"/>
      <c r="X9" s="70"/>
    </row>
    <row r="10" spans="1:24" x14ac:dyDescent="0.25">
      <c r="A10" s="70"/>
      <c r="B10" s="70"/>
      <c r="C10" s="70"/>
      <c r="D10" s="70"/>
      <c r="E10" s="70"/>
      <c r="F10" s="70"/>
      <c r="G10" s="70"/>
      <c r="H10" s="70"/>
      <c r="I10" s="70"/>
      <c r="J10" s="70"/>
      <c r="K10" s="70"/>
      <c r="L10" s="70"/>
      <c r="M10" s="70"/>
      <c r="N10" s="70"/>
      <c r="O10" s="70"/>
      <c r="P10" s="70"/>
      <c r="Q10" s="70"/>
      <c r="R10" s="70"/>
      <c r="S10" s="70"/>
      <c r="T10" s="70"/>
      <c r="U10" s="70"/>
      <c r="V10" s="70"/>
      <c r="W10" s="70"/>
      <c r="X10" s="70"/>
    </row>
    <row r="11" spans="1:24" x14ac:dyDescent="0.25">
      <c r="A11" s="70"/>
      <c r="B11" s="70"/>
      <c r="C11" s="70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W11" s="70"/>
      <c r="X11" s="70"/>
    </row>
    <row r="12" spans="1:24" x14ac:dyDescent="0.25">
      <c r="A12" s="70"/>
      <c r="B12" s="70"/>
      <c r="C12" s="70"/>
      <c r="D12" s="70"/>
      <c r="E12" s="70"/>
      <c r="F12" s="70"/>
      <c r="G12" s="70"/>
      <c r="H12" s="70"/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  <c r="U12" s="70"/>
      <c r="V12" s="70"/>
      <c r="W12" s="70"/>
      <c r="X12" s="70"/>
    </row>
    <row r="13" spans="1:24" x14ac:dyDescent="0.25">
      <c r="A13" s="70"/>
      <c r="B13" s="70"/>
      <c r="C13" s="70"/>
      <c r="D13" s="70"/>
      <c r="E13" s="70"/>
      <c r="F13" s="70"/>
      <c r="G13" s="70"/>
      <c r="H13" s="70"/>
      <c r="I13" s="70"/>
      <c r="J13" s="70"/>
      <c r="K13" s="70"/>
      <c r="L13" s="70"/>
      <c r="M13" s="70"/>
      <c r="N13" s="70"/>
      <c r="O13" s="70"/>
      <c r="P13" s="70"/>
      <c r="Q13" s="70"/>
      <c r="R13" s="70"/>
      <c r="S13" s="70"/>
      <c r="T13" s="70"/>
      <c r="U13" s="70"/>
      <c r="V13" s="70"/>
      <c r="W13" s="70"/>
      <c r="X13" s="70"/>
    </row>
    <row r="14" spans="1:24" x14ac:dyDescent="0.25">
      <c r="A14" s="70"/>
      <c r="B14" s="70"/>
      <c r="C14" s="70"/>
      <c r="D14" s="70"/>
      <c r="E14" s="70"/>
      <c r="F14" s="70"/>
      <c r="G14" s="70"/>
      <c r="H14" s="70"/>
      <c r="I14" s="70"/>
      <c r="J14" s="70"/>
      <c r="K14" s="70"/>
      <c r="L14" s="70"/>
      <c r="M14" s="70"/>
      <c r="N14" s="70"/>
      <c r="O14" s="70"/>
      <c r="P14" s="70"/>
      <c r="Q14" s="70"/>
      <c r="R14" s="70"/>
      <c r="S14" s="70"/>
      <c r="T14" s="70"/>
      <c r="U14" s="70"/>
      <c r="V14" s="70"/>
      <c r="W14" s="70"/>
      <c r="X14" s="70"/>
    </row>
    <row r="15" spans="1:24" x14ac:dyDescent="0.25">
      <c r="A15" s="70"/>
      <c r="B15" s="70"/>
      <c r="C15" s="70"/>
      <c r="D15" s="70"/>
      <c r="E15" s="70"/>
      <c r="F15" s="70"/>
      <c r="G15" s="70"/>
      <c r="H15" s="70"/>
      <c r="I15" s="70"/>
      <c r="J15" s="70"/>
      <c r="K15" s="70"/>
      <c r="L15" s="70"/>
      <c r="M15" s="70"/>
      <c r="N15" s="70"/>
      <c r="O15" s="70"/>
      <c r="P15" s="70"/>
      <c r="Q15" s="70"/>
      <c r="R15" s="70"/>
      <c r="S15" s="70"/>
      <c r="T15" s="70"/>
      <c r="U15" s="70"/>
      <c r="V15" s="70"/>
      <c r="W15" s="70"/>
      <c r="X15" s="70"/>
    </row>
    <row r="16" spans="1:24" x14ac:dyDescent="0.25">
      <c r="A16" s="70"/>
      <c r="B16" s="70"/>
      <c r="C16" s="70"/>
      <c r="D16" s="70"/>
      <c r="E16" s="70"/>
      <c r="F16" s="70"/>
      <c r="G16" s="70"/>
      <c r="H16" s="70"/>
      <c r="I16" s="70"/>
      <c r="J16" s="70"/>
      <c r="K16" s="70"/>
      <c r="L16" s="70"/>
      <c r="M16" s="70"/>
      <c r="N16" s="70"/>
      <c r="O16" s="70"/>
      <c r="P16" s="70"/>
      <c r="Q16" s="70"/>
      <c r="R16" s="70"/>
      <c r="S16" s="70"/>
      <c r="T16" s="70"/>
      <c r="U16" s="70"/>
      <c r="V16" s="70"/>
      <c r="W16" s="70"/>
      <c r="X16" s="70"/>
    </row>
    <row r="17" spans="1:24" x14ac:dyDescent="0.25">
      <c r="A17" s="70"/>
      <c r="B17" s="70"/>
      <c r="C17" s="70"/>
      <c r="D17" s="70"/>
      <c r="E17" s="70"/>
      <c r="F17" s="70"/>
      <c r="G17" s="70"/>
      <c r="H17" s="70"/>
      <c r="I17" s="70"/>
      <c r="J17" s="70"/>
      <c r="K17" s="70"/>
      <c r="L17" s="70"/>
      <c r="M17" s="70"/>
      <c r="N17" s="70"/>
      <c r="O17" s="70"/>
      <c r="P17" s="70"/>
      <c r="Q17" s="70"/>
      <c r="R17" s="70"/>
      <c r="S17" s="70"/>
      <c r="T17" s="70"/>
      <c r="U17" s="70"/>
      <c r="V17" s="70"/>
      <c r="W17" s="70"/>
      <c r="X17" s="70"/>
    </row>
    <row r="18" spans="1:24" x14ac:dyDescent="0.25">
      <c r="A18" s="70"/>
      <c r="B18" s="70"/>
      <c r="C18" s="70"/>
      <c r="D18" s="70"/>
      <c r="E18" s="70"/>
      <c r="F18" s="70"/>
      <c r="G18" s="70"/>
      <c r="H18" s="70"/>
      <c r="I18" s="70"/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70"/>
      <c r="V18" s="70"/>
      <c r="W18" s="70"/>
      <c r="X18" s="70"/>
    </row>
    <row r="19" spans="1:24" x14ac:dyDescent="0.25">
      <c r="A19" s="70"/>
      <c r="B19" s="70"/>
      <c r="C19" s="70"/>
      <c r="D19" s="70"/>
      <c r="E19" s="70"/>
      <c r="F19" s="70"/>
      <c r="G19" s="70"/>
      <c r="H19" s="70"/>
      <c r="I19" s="70"/>
      <c r="J19" s="70"/>
      <c r="K19" s="70"/>
      <c r="L19" s="70"/>
      <c r="M19" s="70"/>
      <c r="N19" s="70"/>
      <c r="O19" s="70"/>
      <c r="P19" s="70"/>
      <c r="Q19" s="70"/>
      <c r="R19" s="70"/>
      <c r="S19" s="70"/>
      <c r="T19" s="70"/>
      <c r="U19" s="70"/>
      <c r="V19" s="70"/>
      <c r="W19" s="70"/>
      <c r="X19" s="70"/>
    </row>
    <row r="20" spans="1:24" x14ac:dyDescent="0.25">
      <c r="A20" s="70"/>
      <c r="B20" s="70"/>
      <c r="C20" s="70"/>
      <c r="D20" s="70"/>
      <c r="E20" s="70"/>
      <c r="F20" s="70"/>
      <c r="G20" s="70"/>
      <c r="H20" s="70"/>
      <c r="I20" s="70"/>
      <c r="J20" s="70"/>
      <c r="K20" s="70"/>
      <c r="L20" s="70"/>
      <c r="M20" s="70"/>
      <c r="N20" s="70"/>
      <c r="O20" s="70"/>
      <c r="P20" s="70"/>
      <c r="Q20" s="70"/>
      <c r="R20" s="70"/>
      <c r="S20" s="70"/>
      <c r="T20" s="70"/>
      <c r="U20" s="70"/>
      <c r="V20" s="70"/>
      <c r="W20" s="70"/>
      <c r="X20" s="70"/>
    </row>
    <row r="21" spans="1:24" ht="15.75" customHeight="1" x14ac:dyDescent="0.2"/>
    <row r="22" spans="1:24" ht="15.75" customHeight="1" x14ac:dyDescent="0.2"/>
    <row r="23" spans="1:24" ht="15.75" customHeight="1" x14ac:dyDescent="0.2"/>
    <row r="24" spans="1:24" ht="15.75" customHeight="1" x14ac:dyDescent="0.2"/>
    <row r="25" spans="1:24" ht="15.75" customHeight="1" x14ac:dyDescent="0.2"/>
    <row r="26" spans="1:24" ht="15.75" customHeight="1" x14ac:dyDescent="0.2"/>
    <row r="27" spans="1:24" ht="15.75" customHeight="1" x14ac:dyDescent="0.2"/>
    <row r="28" spans="1:24" ht="15.75" customHeight="1" x14ac:dyDescent="0.2"/>
    <row r="29" spans="1:24" ht="15.75" customHeight="1" x14ac:dyDescent="0.2"/>
    <row r="30" spans="1:24" ht="15.75" customHeight="1" x14ac:dyDescent="0.2"/>
    <row r="31" spans="1:24" ht="15.75" customHeight="1" x14ac:dyDescent="0.2"/>
    <row r="32" spans="1:24" ht="15.75" customHeight="1" x14ac:dyDescent="0.2"/>
    <row r="33" ht="15.75" customHeight="1" x14ac:dyDescent="0.2"/>
    <row r="34" ht="15.75" customHeight="1" x14ac:dyDescent="0.2"/>
    <row r="35" ht="15.75" customHeight="1" x14ac:dyDescent="0.2"/>
    <row r="36" ht="15.75" customHeight="1" x14ac:dyDescent="0.2"/>
    <row r="37" ht="15.75" customHeight="1" x14ac:dyDescent="0.2"/>
    <row r="38" ht="15.75" customHeight="1" x14ac:dyDescent="0.2"/>
    <row r="39" ht="15.75" customHeight="1" x14ac:dyDescent="0.2"/>
    <row r="40" ht="15.75" customHeight="1" x14ac:dyDescent="0.2"/>
    <row r="41" ht="15.75" customHeight="1" x14ac:dyDescent="0.2"/>
    <row r="42" ht="15.75" customHeight="1" x14ac:dyDescent="0.2"/>
    <row r="43" ht="15.75" customHeight="1" x14ac:dyDescent="0.2"/>
    <row r="44" ht="15.75" customHeight="1" x14ac:dyDescent="0.2"/>
    <row r="45" ht="15.75" customHeight="1" x14ac:dyDescent="0.2"/>
    <row r="46" ht="15.75" customHeight="1" x14ac:dyDescent="0.2"/>
    <row r="47" ht="15.75" customHeight="1" x14ac:dyDescent="0.2"/>
    <row r="4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511811024" right="0.511811024" top="0.78740157499999996" bottom="0.78740157499999996" header="0" footer="0"/>
  <pageSetup orientation="landscape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din_sortim"/>
  <dimension ref="A3:C1000"/>
  <sheetViews>
    <sheetView workbookViewId="0">
      <selection activeCell="C5" sqref="C5"/>
    </sheetView>
  </sheetViews>
  <sheetFormatPr defaultColWidth="12.625" defaultRowHeight="15" customHeight="1" x14ac:dyDescent="0.2"/>
  <cols>
    <col min="1" max="1" width="16.25" customWidth="1"/>
    <col min="2" max="2" width="17.125" customWidth="1"/>
    <col min="3" max="3" width="9.375" customWidth="1"/>
    <col min="4" max="4" width="23.125" customWidth="1"/>
    <col min="5" max="5" width="22.5" customWidth="1"/>
    <col min="6" max="6" width="23.5" customWidth="1"/>
    <col min="7" max="26" width="7.625" customWidth="1"/>
  </cols>
  <sheetData>
    <row r="3" spans="1:3" ht="14.25" x14ac:dyDescent="0.2">
      <c r="A3" s="78"/>
      <c r="B3" s="79" t="s">
        <v>95</v>
      </c>
      <c r="C3" s="80"/>
    </row>
    <row r="4" spans="1:3" ht="14.25" x14ac:dyDescent="0.2">
      <c r="A4" s="81"/>
      <c r="B4" s="78" t="s">
        <v>118</v>
      </c>
      <c r="C4" s="82" t="s">
        <v>119</v>
      </c>
    </row>
    <row r="5" spans="1:3" ht="14.25" x14ac:dyDescent="0.2">
      <c r="A5" s="83" t="s">
        <v>107</v>
      </c>
      <c r="B5" s="84"/>
      <c r="C5" s="85"/>
    </row>
    <row r="21" ht="15.75" customHeight="1" x14ac:dyDescent="0.2"/>
    <row r="22" ht="15.75" customHeight="1" x14ac:dyDescent="0.2"/>
    <row r="23" ht="15.75" customHeight="1" x14ac:dyDescent="0.2"/>
    <row r="24" ht="15.75" customHeight="1" x14ac:dyDescent="0.2"/>
    <row r="25" ht="15.75" customHeight="1" x14ac:dyDescent="0.2"/>
    <row r="26" ht="15.75" customHeight="1" x14ac:dyDescent="0.2"/>
    <row r="27" ht="15.75" customHeight="1" x14ac:dyDescent="0.2"/>
    <row r="28" ht="15.75" customHeight="1" x14ac:dyDescent="0.2"/>
    <row r="29" ht="15.75" customHeight="1" x14ac:dyDescent="0.2"/>
    <row r="30" ht="15.75" customHeight="1" x14ac:dyDescent="0.2"/>
    <row r="31" ht="15.75" customHeight="1" x14ac:dyDescent="0.2"/>
    <row r="32" ht="15.75" customHeight="1" x14ac:dyDescent="0.2"/>
    <row r="33" ht="15.75" customHeight="1" x14ac:dyDescent="0.2"/>
    <row r="34" ht="15.75" customHeight="1" x14ac:dyDescent="0.2"/>
    <row r="35" ht="15.75" customHeight="1" x14ac:dyDescent="0.2"/>
    <row r="36" ht="15.75" customHeight="1" x14ac:dyDescent="0.2"/>
    <row r="37" ht="15.75" customHeight="1" x14ac:dyDescent="0.2"/>
    <row r="38" ht="15.75" customHeight="1" x14ac:dyDescent="0.2"/>
    <row r="39" ht="15.75" customHeight="1" x14ac:dyDescent="0.2"/>
    <row r="40" ht="15.75" customHeight="1" x14ac:dyDescent="0.2"/>
    <row r="41" ht="15.75" customHeight="1" x14ac:dyDescent="0.2"/>
    <row r="42" ht="15.75" customHeight="1" x14ac:dyDescent="0.2"/>
    <row r="43" ht="15.75" customHeight="1" x14ac:dyDescent="0.2"/>
    <row r="44" ht="15.75" customHeight="1" x14ac:dyDescent="0.2"/>
    <row r="45" ht="15.75" customHeight="1" x14ac:dyDescent="0.2"/>
    <row r="46" ht="15.75" customHeight="1" x14ac:dyDescent="0.2"/>
    <row r="47" ht="15.75" customHeight="1" x14ac:dyDescent="0.2"/>
    <row r="4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511811024" right="0.511811024" top="0.78740157499999996" bottom="0.78740157499999996" header="0" footer="0"/>
  <pageSetup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carga_exclusao">
    <tabColor theme="5"/>
  </sheetPr>
  <dimension ref="A1:K1000"/>
  <sheetViews>
    <sheetView showGridLines="0" workbookViewId="0">
      <selection sqref="A1:K1"/>
    </sheetView>
  </sheetViews>
  <sheetFormatPr defaultColWidth="12.625" defaultRowHeight="15" customHeight="1" x14ac:dyDescent="0.2"/>
  <cols>
    <col min="1" max="1" width="9.5" customWidth="1"/>
    <col min="2" max="2" width="11.125" customWidth="1"/>
    <col min="3" max="3" width="6" customWidth="1"/>
    <col min="4" max="4" width="14.25" customWidth="1"/>
    <col min="5" max="5" width="13.25" customWidth="1"/>
    <col min="6" max="6" width="13.875" customWidth="1"/>
    <col min="7" max="7" width="10.5" customWidth="1"/>
    <col min="8" max="8" width="13.625" customWidth="1"/>
    <col min="9" max="9" width="5.125" customWidth="1"/>
    <col min="10" max="10" width="4.5" customWidth="1"/>
    <col min="11" max="11" width="9.5" customWidth="1"/>
    <col min="12" max="26" width="7.625" customWidth="1"/>
  </cols>
  <sheetData>
    <row r="1" spans="1:11" x14ac:dyDescent="0.2">
      <c r="A1" s="103" t="s">
        <v>108</v>
      </c>
      <c r="B1" s="104"/>
      <c r="C1" s="104"/>
      <c r="D1" s="104"/>
      <c r="E1" s="104"/>
      <c r="F1" s="104"/>
      <c r="G1" s="104"/>
      <c r="H1" s="104"/>
      <c r="I1" s="104"/>
      <c r="J1" s="104"/>
      <c r="K1" s="105"/>
    </row>
    <row r="2" spans="1:11" ht="45" x14ac:dyDescent="0.2">
      <c r="A2" s="73" t="s">
        <v>109</v>
      </c>
      <c r="B2" s="73" t="s">
        <v>110</v>
      </c>
      <c r="C2" s="73" t="s">
        <v>111</v>
      </c>
      <c r="D2" s="73" t="s">
        <v>112</v>
      </c>
      <c r="E2" s="73" t="s">
        <v>113</v>
      </c>
      <c r="F2" s="74" t="s">
        <v>114</v>
      </c>
      <c r="G2" s="74" t="s">
        <v>115</v>
      </c>
      <c r="H2" s="73" t="s">
        <v>116</v>
      </c>
      <c r="I2" s="74">
        <v>1</v>
      </c>
      <c r="J2" s="73" t="s">
        <v>117</v>
      </c>
      <c r="K2" s="74" t="s">
        <v>83</v>
      </c>
    </row>
    <row r="3" spans="1:11" x14ac:dyDescent="0.25">
      <c r="F3" s="75"/>
    </row>
    <row r="4" spans="1:11" x14ac:dyDescent="0.25">
      <c r="F4" s="75"/>
    </row>
    <row r="5" spans="1:11" x14ac:dyDescent="0.25">
      <c r="F5" s="75"/>
    </row>
    <row r="6" spans="1:11" x14ac:dyDescent="0.25">
      <c r="F6" s="75"/>
    </row>
    <row r="7" spans="1:11" x14ac:dyDescent="0.25">
      <c r="F7" s="75"/>
    </row>
    <row r="8" spans="1:11" x14ac:dyDescent="0.25">
      <c r="F8" s="75"/>
    </row>
    <row r="9" spans="1:11" x14ac:dyDescent="0.25">
      <c r="F9" s="75"/>
    </row>
    <row r="10" spans="1:11" x14ac:dyDescent="0.25">
      <c r="F10" s="75"/>
    </row>
    <row r="11" spans="1:11" x14ac:dyDescent="0.25">
      <c r="F11" s="75"/>
    </row>
    <row r="12" spans="1:11" x14ac:dyDescent="0.25">
      <c r="F12" s="75"/>
    </row>
    <row r="13" spans="1:11" x14ac:dyDescent="0.25">
      <c r="F13" s="75"/>
    </row>
    <row r="14" spans="1:11" x14ac:dyDescent="0.25">
      <c r="F14" s="75"/>
    </row>
    <row r="15" spans="1:11" x14ac:dyDescent="0.25">
      <c r="F15" s="75"/>
    </row>
    <row r="16" spans="1:11" x14ac:dyDescent="0.25">
      <c r="F16" s="75"/>
    </row>
    <row r="17" spans="6:6" x14ac:dyDescent="0.25">
      <c r="F17" s="75"/>
    </row>
    <row r="18" spans="6:6" x14ac:dyDescent="0.25">
      <c r="F18" s="75"/>
    </row>
    <row r="19" spans="6:6" x14ac:dyDescent="0.25">
      <c r="F19" s="75"/>
    </row>
    <row r="20" spans="6:6" x14ac:dyDescent="0.25">
      <c r="F20" s="75"/>
    </row>
    <row r="21" spans="6:6" ht="15.75" customHeight="1" x14ac:dyDescent="0.25">
      <c r="F21" s="75"/>
    </row>
    <row r="22" spans="6:6" ht="15.75" customHeight="1" x14ac:dyDescent="0.25">
      <c r="F22" s="75"/>
    </row>
    <row r="23" spans="6:6" ht="15.75" customHeight="1" x14ac:dyDescent="0.25">
      <c r="F23" s="75"/>
    </row>
    <row r="24" spans="6:6" ht="15.75" customHeight="1" x14ac:dyDescent="0.25">
      <c r="F24" s="75"/>
    </row>
    <row r="25" spans="6:6" ht="15.75" customHeight="1" x14ac:dyDescent="0.25">
      <c r="F25" s="75"/>
    </row>
    <row r="26" spans="6:6" ht="15.75" customHeight="1" x14ac:dyDescent="0.25">
      <c r="F26" s="75"/>
    </row>
    <row r="27" spans="6:6" ht="15.75" customHeight="1" x14ac:dyDescent="0.25">
      <c r="F27" s="75"/>
    </row>
    <row r="28" spans="6:6" ht="15.75" customHeight="1" x14ac:dyDescent="0.25">
      <c r="F28" s="75"/>
    </row>
    <row r="29" spans="6:6" ht="15.75" customHeight="1" x14ac:dyDescent="0.25">
      <c r="F29" s="75"/>
    </row>
    <row r="30" spans="6:6" ht="15.75" customHeight="1" x14ac:dyDescent="0.25">
      <c r="F30" s="75"/>
    </row>
    <row r="31" spans="6:6" ht="15.75" customHeight="1" x14ac:dyDescent="0.25">
      <c r="F31" s="75"/>
    </row>
    <row r="32" spans="6:6" ht="15.75" customHeight="1" x14ac:dyDescent="0.25">
      <c r="F32" s="75"/>
    </row>
    <row r="33" spans="6:6" ht="15.75" customHeight="1" x14ac:dyDescent="0.25">
      <c r="F33" s="75"/>
    </row>
    <row r="34" spans="6:6" ht="15.75" customHeight="1" x14ac:dyDescent="0.25">
      <c r="F34" s="75"/>
    </row>
    <row r="35" spans="6:6" ht="15.75" customHeight="1" x14ac:dyDescent="0.25">
      <c r="F35" s="75"/>
    </row>
    <row r="36" spans="6:6" ht="15.75" customHeight="1" x14ac:dyDescent="0.25">
      <c r="F36" s="75"/>
    </row>
    <row r="37" spans="6:6" ht="15.75" customHeight="1" x14ac:dyDescent="0.25">
      <c r="F37" s="75"/>
    </row>
    <row r="38" spans="6:6" ht="15.75" customHeight="1" x14ac:dyDescent="0.25">
      <c r="F38" s="75"/>
    </row>
    <row r="39" spans="6:6" ht="15.75" customHeight="1" x14ac:dyDescent="0.25">
      <c r="F39" s="75"/>
    </row>
    <row r="40" spans="6:6" ht="15.75" customHeight="1" x14ac:dyDescent="0.25">
      <c r="F40" s="75"/>
    </row>
    <row r="41" spans="6:6" ht="15.75" customHeight="1" x14ac:dyDescent="0.25">
      <c r="F41" s="75"/>
    </row>
    <row r="42" spans="6:6" ht="15.75" customHeight="1" x14ac:dyDescent="0.25">
      <c r="F42" s="75"/>
    </row>
    <row r="43" spans="6:6" ht="15.75" customHeight="1" x14ac:dyDescent="0.25">
      <c r="F43" s="75"/>
    </row>
    <row r="44" spans="6:6" ht="15.75" customHeight="1" x14ac:dyDescent="0.25">
      <c r="F44" s="75"/>
    </row>
    <row r="45" spans="6:6" ht="15.75" customHeight="1" x14ac:dyDescent="0.25">
      <c r="F45" s="75"/>
    </row>
    <row r="46" spans="6:6" ht="15.75" customHeight="1" x14ac:dyDescent="0.25">
      <c r="F46" s="75"/>
    </row>
    <row r="47" spans="6:6" ht="15.75" customHeight="1" x14ac:dyDescent="0.25">
      <c r="F47" s="75"/>
    </row>
    <row r="48" spans="6:6" ht="15.75" customHeight="1" x14ac:dyDescent="0.25">
      <c r="F48" s="75"/>
    </row>
    <row r="49" spans="6:6" ht="15.75" customHeight="1" x14ac:dyDescent="0.25">
      <c r="F49" s="75"/>
    </row>
    <row r="50" spans="6:6" ht="15.75" customHeight="1" x14ac:dyDescent="0.25">
      <c r="F50" s="75"/>
    </row>
    <row r="51" spans="6:6" ht="15.75" customHeight="1" x14ac:dyDescent="0.25">
      <c r="F51" s="75"/>
    </row>
    <row r="52" spans="6:6" ht="15.75" customHeight="1" x14ac:dyDescent="0.25">
      <c r="F52" s="75"/>
    </row>
    <row r="53" spans="6:6" ht="15.75" customHeight="1" x14ac:dyDescent="0.25">
      <c r="F53" s="75"/>
    </row>
    <row r="54" spans="6:6" ht="15.75" customHeight="1" x14ac:dyDescent="0.25">
      <c r="F54" s="75"/>
    </row>
    <row r="55" spans="6:6" ht="15.75" customHeight="1" x14ac:dyDescent="0.25">
      <c r="F55" s="75"/>
    </row>
    <row r="56" spans="6:6" ht="15.75" customHeight="1" x14ac:dyDescent="0.25">
      <c r="F56" s="75"/>
    </row>
    <row r="57" spans="6:6" ht="15.75" customHeight="1" x14ac:dyDescent="0.25">
      <c r="F57" s="75"/>
    </row>
    <row r="58" spans="6:6" ht="15.75" customHeight="1" x14ac:dyDescent="0.25">
      <c r="F58" s="75"/>
    </row>
    <row r="59" spans="6:6" ht="15.75" customHeight="1" x14ac:dyDescent="0.25">
      <c r="F59" s="75"/>
    </row>
    <row r="60" spans="6:6" ht="15.75" customHeight="1" x14ac:dyDescent="0.25">
      <c r="F60" s="75"/>
    </row>
    <row r="61" spans="6:6" ht="15.75" customHeight="1" x14ac:dyDescent="0.25">
      <c r="F61" s="75"/>
    </row>
    <row r="62" spans="6:6" ht="15.75" customHeight="1" x14ac:dyDescent="0.25">
      <c r="F62" s="75"/>
    </row>
    <row r="63" spans="6:6" ht="15.75" customHeight="1" x14ac:dyDescent="0.25">
      <c r="F63" s="75"/>
    </row>
    <row r="64" spans="6:6" ht="15.75" customHeight="1" x14ac:dyDescent="0.25">
      <c r="F64" s="75"/>
    </row>
    <row r="65" spans="6:6" ht="15.75" customHeight="1" x14ac:dyDescent="0.25">
      <c r="F65" s="75"/>
    </row>
    <row r="66" spans="6:6" ht="15.75" customHeight="1" x14ac:dyDescent="0.25">
      <c r="F66" s="75"/>
    </row>
    <row r="67" spans="6:6" ht="15.75" customHeight="1" x14ac:dyDescent="0.25">
      <c r="F67" s="75"/>
    </row>
    <row r="68" spans="6:6" ht="15.75" customHeight="1" x14ac:dyDescent="0.25">
      <c r="F68" s="75"/>
    </row>
    <row r="69" spans="6:6" ht="15.75" customHeight="1" x14ac:dyDescent="0.25">
      <c r="F69" s="75"/>
    </row>
    <row r="70" spans="6:6" ht="15.75" customHeight="1" x14ac:dyDescent="0.25">
      <c r="F70" s="75"/>
    </row>
    <row r="71" spans="6:6" ht="15.75" customHeight="1" x14ac:dyDescent="0.25">
      <c r="F71" s="75"/>
    </row>
    <row r="72" spans="6:6" ht="15.75" customHeight="1" x14ac:dyDescent="0.25">
      <c r="F72" s="75"/>
    </row>
    <row r="73" spans="6:6" ht="15.75" customHeight="1" x14ac:dyDescent="0.25">
      <c r="F73" s="75"/>
    </row>
    <row r="74" spans="6:6" ht="15.75" customHeight="1" x14ac:dyDescent="0.25">
      <c r="F74" s="75"/>
    </row>
    <row r="75" spans="6:6" ht="15.75" customHeight="1" x14ac:dyDescent="0.25">
      <c r="F75" s="75"/>
    </row>
    <row r="76" spans="6:6" ht="15.75" customHeight="1" x14ac:dyDescent="0.25">
      <c r="F76" s="75"/>
    </row>
    <row r="77" spans="6:6" ht="15.75" customHeight="1" x14ac:dyDescent="0.25">
      <c r="F77" s="75"/>
    </row>
    <row r="78" spans="6:6" ht="15.75" customHeight="1" x14ac:dyDescent="0.25">
      <c r="F78" s="75"/>
    </row>
    <row r="79" spans="6:6" ht="15.75" customHeight="1" x14ac:dyDescent="0.25">
      <c r="F79" s="75"/>
    </row>
    <row r="80" spans="6:6" ht="15.75" customHeight="1" x14ac:dyDescent="0.25">
      <c r="F80" s="75"/>
    </row>
    <row r="81" spans="6:6" ht="15.75" customHeight="1" x14ac:dyDescent="0.25">
      <c r="F81" s="75"/>
    </row>
    <row r="82" spans="6:6" ht="15.75" customHeight="1" x14ac:dyDescent="0.25">
      <c r="F82" s="75"/>
    </row>
    <row r="83" spans="6:6" ht="15.75" customHeight="1" x14ac:dyDescent="0.25">
      <c r="F83" s="75"/>
    </row>
    <row r="84" spans="6:6" ht="15.75" customHeight="1" x14ac:dyDescent="0.25">
      <c r="F84" s="75"/>
    </row>
    <row r="85" spans="6:6" ht="15.75" customHeight="1" x14ac:dyDescent="0.25">
      <c r="F85" s="75"/>
    </row>
    <row r="86" spans="6:6" ht="15.75" customHeight="1" x14ac:dyDescent="0.25">
      <c r="F86" s="75"/>
    </row>
    <row r="87" spans="6:6" ht="15.75" customHeight="1" x14ac:dyDescent="0.25">
      <c r="F87" s="75"/>
    </row>
    <row r="88" spans="6:6" ht="15.75" customHeight="1" x14ac:dyDescent="0.25">
      <c r="F88" s="75"/>
    </row>
    <row r="89" spans="6:6" ht="15.75" customHeight="1" x14ac:dyDescent="0.25">
      <c r="F89" s="75"/>
    </row>
    <row r="90" spans="6:6" ht="15.75" customHeight="1" x14ac:dyDescent="0.25">
      <c r="F90" s="75"/>
    </row>
    <row r="91" spans="6:6" ht="15.75" customHeight="1" x14ac:dyDescent="0.25">
      <c r="F91" s="75"/>
    </row>
    <row r="92" spans="6:6" ht="15.75" customHeight="1" x14ac:dyDescent="0.25">
      <c r="F92" s="75"/>
    </row>
    <row r="93" spans="6:6" ht="15.75" customHeight="1" x14ac:dyDescent="0.25">
      <c r="F93" s="75"/>
    </row>
    <row r="94" spans="6:6" ht="15.75" customHeight="1" x14ac:dyDescent="0.25">
      <c r="F94" s="75"/>
    </row>
    <row r="95" spans="6:6" ht="15.75" customHeight="1" x14ac:dyDescent="0.25">
      <c r="F95" s="75"/>
    </row>
    <row r="96" spans="6:6" ht="15.75" customHeight="1" x14ac:dyDescent="0.25">
      <c r="F96" s="75"/>
    </row>
    <row r="97" spans="6:6" ht="15.75" customHeight="1" x14ac:dyDescent="0.25">
      <c r="F97" s="75"/>
    </row>
    <row r="98" spans="6:6" ht="15.75" customHeight="1" x14ac:dyDescent="0.25">
      <c r="F98" s="75"/>
    </row>
    <row r="99" spans="6:6" ht="15.75" customHeight="1" x14ac:dyDescent="0.25">
      <c r="F99" s="75"/>
    </row>
    <row r="100" spans="6:6" ht="15.75" customHeight="1" x14ac:dyDescent="0.25">
      <c r="F100" s="75"/>
    </row>
    <row r="101" spans="6:6" ht="15.75" customHeight="1" x14ac:dyDescent="0.25">
      <c r="F101" s="75"/>
    </row>
    <row r="102" spans="6:6" ht="15.75" customHeight="1" x14ac:dyDescent="0.25">
      <c r="F102" s="75"/>
    </row>
    <row r="103" spans="6:6" ht="15.75" customHeight="1" x14ac:dyDescent="0.25">
      <c r="F103" s="75"/>
    </row>
    <row r="104" spans="6:6" ht="15.75" customHeight="1" x14ac:dyDescent="0.25">
      <c r="F104" s="75"/>
    </row>
    <row r="105" spans="6:6" ht="15.75" customHeight="1" x14ac:dyDescent="0.25">
      <c r="F105" s="75"/>
    </row>
    <row r="106" spans="6:6" ht="15.75" customHeight="1" x14ac:dyDescent="0.25">
      <c r="F106" s="75"/>
    </row>
    <row r="107" spans="6:6" ht="15.75" customHeight="1" x14ac:dyDescent="0.25">
      <c r="F107" s="75"/>
    </row>
    <row r="108" spans="6:6" ht="15.75" customHeight="1" x14ac:dyDescent="0.25">
      <c r="F108" s="75"/>
    </row>
    <row r="109" spans="6:6" ht="15.75" customHeight="1" x14ac:dyDescent="0.25">
      <c r="F109" s="75"/>
    </row>
    <row r="110" spans="6:6" ht="15.75" customHeight="1" x14ac:dyDescent="0.25">
      <c r="F110" s="75"/>
    </row>
    <row r="111" spans="6:6" ht="15.75" customHeight="1" x14ac:dyDescent="0.25">
      <c r="F111" s="75"/>
    </row>
    <row r="112" spans="6:6" ht="15.75" customHeight="1" x14ac:dyDescent="0.25">
      <c r="F112" s="75"/>
    </row>
    <row r="113" spans="6:6" ht="15.75" customHeight="1" x14ac:dyDescent="0.25">
      <c r="F113" s="75"/>
    </row>
    <row r="114" spans="6:6" ht="15.75" customHeight="1" x14ac:dyDescent="0.25">
      <c r="F114" s="75"/>
    </row>
    <row r="115" spans="6:6" ht="15.75" customHeight="1" x14ac:dyDescent="0.25">
      <c r="F115" s="75"/>
    </row>
    <row r="116" spans="6:6" ht="15.75" customHeight="1" x14ac:dyDescent="0.25">
      <c r="F116" s="75"/>
    </row>
    <row r="117" spans="6:6" ht="15.75" customHeight="1" x14ac:dyDescent="0.25">
      <c r="F117" s="75"/>
    </row>
    <row r="118" spans="6:6" ht="15.75" customHeight="1" x14ac:dyDescent="0.25">
      <c r="F118" s="75"/>
    </row>
    <row r="119" spans="6:6" ht="15.75" customHeight="1" x14ac:dyDescent="0.25">
      <c r="F119" s="75"/>
    </row>
    <row r="120" spans="6:6" ht="15.75" customHeight="1" x14ac:dyDescent="0.25">
      <c r="F120" s="75"/>
    </row>
    <row r="121" spans="6:6" ht="15.75" customHeight="1" x14ac:dyDescent="0.25">
      <c r="F121" s="75"/>
    </row>
    <row r="122" spans="6:6" ht="15.75" customHeight="1" x14ac:dyDescent="0.25">
      <c r="F122" s="75"/>
    </row>
    <row r="123" spans="6:6" ht="15.75" customHeight="1" x14ac:dyDescent="0.25">
      <c r="F123" s="75"/>
    </row>
    <row r="124" spans="6:6" ht="15.75" customHeight="1" x14ac:dyDescent="0.25">
      <c r="F124" s="75"/>
    </row>
    <row r="125" spans="6:6" ht="15.75" customHeight="1" x14ac:dyDescent="0.25">
      <c r="F125" s="75"/>
    </row>
    <row r="126" spans="6:6" ht="15.75" customHeight="1" x14ac:dyDescent="0.25">
      <c r="F126" s="75"/>
    </row>
    <row r="127" spans="6:6" ht="15.75" customHeight="1" x14ac:dyDescent="0.25">
      <c r="F127" s="75"/>
    </row>
    <row r="128" spans="6:6" ht="15.75" customHeight="1" x14ac:dyDescent="0.25">
      <c r="F128" s="75"/>
    </row>
    <row r="129" spans="6:6" ht="15.75" customHeight="1" x14ac:dyDescent="0.25">
      <c r="F129" s="75"/>
    </row>
    <row r="130" spans="6:6" ht="15.75" customHeight="1" x14ac:dyDescent="0.25">
      <c r="F130" s="75"/>
    </row>
    <row r="131" spans="6:6" ht="15.75" customHeight="1" x14ac:dyDescent="0.25">
      <c r="F131" s="75"/>
    </row>
    <row r="132" spans="6:6" ht="15.75" customHeight="1" x14ac:dyDescent="0.25">
      <c r="F132" s="75"/>
    </row>
    <row r="133" spans="6:6" ht="15.75" customHeight="1" x14ac:dyDescent="0.25">
      <c r="F133" s="75"/>
    </row>
    <row r="134" spans="6:6" ht="15.75" customHeight="1" x14ac:dyDescent="0.25">
      <c r="F134" s="75"/>
    </row>
    <row r="135" spans="6:6" ht="15.75" customHeight="1" x14ac:dyDescent="0.25">
      <c r="F135" s="75"/>
    </row>
    <row r="136" spans="6:6" ht="15.75" customHeight="1" x14ac:dyDescent="0.25">
      <c r="F136" s="75"/>
    </row>
    <row r="137" spans="6:6" ht="15.75" customHeight="1" x14ac:dyDescent="0.25">
      <c r="F137" s="75"/>
    </row>
    <row r="138" spans="6:6" ht="15.75" customHeight="1" x14ac:dyDescent="0.25">
      <c r="F138" s="75"/>
    </row>
    <row r="139" spans="6:6" ht="15.75" customHeight="1" x14ac:dyDescent="0.25">
      <c r="F139" s="75"/>
    </row>
    <row r="140" spans="6:6" ht="15.75" customHeight="1" x14ac:dyDescent="0.25">
      <c r="F140" s="75"/>
    </row>
    <row r="141" spans="6:6" ht="15.75" customHeight="1" x14ac:dyDescent="0.25">
      <c r="F141" s="75"/>
    </row>
    <row r="142" spans="6:6" ht="15.75" customHeight="1" x14ac:dyDescent="0.25">
      <c r="F142" s="75"/>
    </row>
    <row r="143" spans="6:6" ht="15.75" customHeight="1" x14ac:dyDescent="0.25">
      <c r="F143" s="75"/>
    </row>
    <row r="144" spans="6:6" ht="15.75" customHeight="1" x14ac:dyDescent="0.25">
      <c r="F144" s="75"/>
    </row>
    <row r="145" spans="6:6" ht="15.75" customHeight="1" x14ac:dyDescent="0.25">
      <c r="F145" s="75"/>
    </row>
    <row r="146" spans="6:6" ht="15.75" customHeight="1" x14ac:dyDescent="0.25">
      <c r="F146" s="75"/>
    </row>
    <row r="147" spans="6:6" ht="15.75" customHeight="1" x14ac:dyDescent="0.25">
      <c r="F147" s="75"/>
    </row>
    <row r="148" spans="6:6" ht="15.75" customHeight="1" x14ac:dyDescent="0.25">
      <c r="F148" s="75"/>
    </row>
    <row r="149" spans="6:6" ht="15.75" customHeight="1" x14ac:dyDescent="0.25">
      <c r="F149" s="75"/>
    </row>
    <row r="150" spans="6:6" ht="15.75" customHeight="1" x14ac:dyDescent="0.25">
      <c r="F150" s="75"/>
    </row>
    <row r="151" spans="6:6" ht="15.75" customHeight="1" x14ac:dyDescent="0.25">
      <c r="F151" s="75"/>
    </row>
    <row r="152" spans="6:6" ht="15.75" customHeight="1" x14ac:dyDescent="0.25">
      <c r="F152" s="75"/>
    </row>
    <row r="153" spans="6:6" ht="15.75" customHeight="1" x14ac:dyDescent="0.25">
      <c r="F153" s="75"/>
    </row>
    <row r="154" spans="6:6" ht="15.75" customHeight="1" x14ac:dyDescent="0.25">
      <c r="F154" s="75"/>
    </row>
    <row r="155" spans="6:6" ht="15.75" customHeight="1" x14ac:dyDescent="0.25">
      <c r="F155" s="75"/>
    </row>
    <row r="156" spans="6:6" ht="15.75" customHeight="1" x14ac:dyDescent="0.25">
      <c r="F156" s="75"/>
    </row>
    <row r="157" spans="6:6" ht="15.75" customHeight="1" x14ac:dyDescent="0.25">
      <c r="F157" s="75"/>
    </row>
    <row r="158" spans="6:6" ht="15.75" customHeight="1" x14ac:dyDescent="0.25">
      <c r="F158" s="75"/>
    </row>
    <row r="159" spans="6:6" ht="15.75" customHeight="1" x14ac:dyDescent="0.25">
      <c r="F159" s="75"/>
    </row>
    <row r="160" spans="6:6" ht="15.75" customHeight="1" x14ac:dyDescent="0.25">
      <c r="F160" s="75"/>
    </row>
    <row r="161" spans="6:6" ht="15.75" customHeight="1" x14ac:dyDescent="0.25">
      <c r="F161" s="75"/>
    </row>
    <row r="162" spans="6:6" ht="15.75" customHeight="1" x14ac:dyDescent="0.25">
      <c r="F162" s="75"/>
    </row>
    <row r="163" spans="6:6" ht="15.75" customHeight="1" x14ac:dyDescent="0.25">
      <c r="F163" s="75"/>
    </row>
    <row r="164" spans="6:6" ht="15.75" customHeight="1" x14ac:dyDescent="0.25">
      <c r="F164" s="75"/>
    </row>
    <row r="165" spans="6:6" ht="15.75" customHeight="1" x14ac:dyDescent="0.25">
      <c r="F165" s="75"/>
    </row>
    <row r="166" spans="6:6" ht="15.75" customHeight="1" x14ac:dyDescent="0.25">
      <c r="F166" s="75"/>
    </row>
    <row r="167" spans="6:6" ht="15.75" customHeight="1" x14ac:dyDescent="0.25">
      <c r="F167" s="75"/>
    </row>
    <row r="168" spans="6:6" ht="15.75" customHeight="1" x14ac:dyDescent="0.25">
      <c r="F168" s="75"/>
    </row>
    <row r="169" spans="6:6" ht="15.75" customHeight="1" x14ac:dyDescent="0.25">
      <c r="F169" s="75"/>
    </row>
    <row r="170" spans="6:6" ht="15.75" customHeight="1" x14ac:dyDescent="0.25">
      <c r="F170" s="75"/>
    </row>
    <row r="171" spans="6:6" ht="15.75" customHeight="1" x14ac:dyDescent="0.25">
      <c r="F171" s="75"/>
    </row>
    <row r="172" spans="6:6" ht="15.75" customHeight="1" x14ac:dyDescent="0.25">
      <c r="F172" s="75"/>
    </row>
    <row r="173" spans="6:6" ht="15.75" customHeight="1" x14ac:dyDescent="0.25">
      <c r="F173" s="75"/>
    </row>
    <row r="174" spans="6:6" ht="15.75" customHeight="1" x14ac:dyDescent="0.25">
      <c r="F174" s="75"/>
    </row>
    <row r="175" spans="6:6" ht="15.75" customHeight="1" x14ac:dyDescent="0.25">
      <c r="F175" s="75"/>
    </row>
    <row r="176" spans="6:6" ht="15.75" customHeight="1" x14ac:dyDescent="0.25">
      <c r="F176" s="75"/>
    </row>
    <row r="177" spans="6:6" ht="15.75" customHeight="1" x14ac:dyDescent="0.25">
      <c r="F177" s="75"/>
    </row>
    <row r="178" spans="6:6" ht="15.75" customHeight="1" x14ac:dyDescent="0.25">
      <c r="F178" s="75"/>
    </row>
    <row r="179" spans="6:6" ht="15.75" customHeight="1" x14ac:dyDescent="0.25">
      <c r="F179" s="75"/>
    </row>
    <row r="180" spans="6:6" ht="15.75" customHeight="1" x14ac:dyDescent="0.25">
      <c r="F180" s="75"/>
    </row>
    <row r="181" spans="6:6" ht="15.75" customHeight="1" x14ac:dyDescent="0.25">
      <c r="F181" s="75"/>
    </row>
    <row r="182" spans="6:6" ht="15.75" customHeight="1" x14ac:dyDescent="0.25">
      <c r="F182" s="75"/>
    </row>
    <row r="183" spans="6:6" ht="15.75" customHeight="1" x14ac:dyDescent="0.25">
      <c r="F183" s="75"/>
    </row>
    <row r="184" spans="6:6" ht="15.75" customHeight="1" x14ac:dyDescent="0.25">
      <c r="F184" s="75"/>
    </row>
    <row r="185" spans="6:6" ht="15.75" customHeight="1" x14ac:dyDescent="0.25">
      <c r="F185" s="75"/>
    </row>
    <row r="186" spans="6:6" ht="15.75" customHeight="1" x14ac:dyDescent="0.25">
      <c r="F186" s="75"/>
    </row>
    <row r="187" spans="6:6" ht="15.75" customHeight="1" x14ac:dyDescent="0.25">
      <c r="F187" s="75"/>
    </row>
    <row r="188" spans="6:6" ht="15.75" customHeight="1" x14ac:dyDescent="0.25">
      <c r="F188" s="75"/>
    </row>
    <row r="189" spans="6:6" ht="15.75" customHeight="1" x14ac:dyDescent="0.25">
      <c r="F189" s="75"/>
    </row>
    <row r="190" spans="6:6" ht="15.75" customHeight="1" x14ac:dyDescent="0.25">
      <c r="F190" s="75"/>
    </row>
    <row r="191" spans="6:6" ht="15.75" customHeight="1" x14ac:dyDescent="0.25">
      <c r="F191" s="75"/>
    </row>
    <row r="192" spans="6:6" ht="15.75" customHeight="1" x14ac:dyDescent="0.25">
      <c r="F192" s="75"/>
    </row>
    <row r="193" spans="6:6" ht="15.75" customHeight="1" x14ac:dyDescent="0.25">
      <c r="F193" s="75"/>
    </row>
    <row r="194" spans="6:6" ht="15.75" customHeight="1" x14ac:dyDescent="0.25">
      <c r="F194" s="75"/>
    </row>
    <row r="195" spans="6:6" ht="15.75" customHeight="1" x14ac:dyDescent="0.25">
      <c r="F195" s="75"/>
    </row>
    <row r="196" spans="6:6" ht="15.75" customHeight="1" x14ac:dyDescent="0.25">
      <c r="F196" s="75"/>
    </row>
    <row r="197" spans="6:6" ht="15.75" customHeight="1" x14ac:dyDescent="0.25">
      <c r="F197" s="75"/>
    </row>
    <row r="198" spans="6:6" ht="15.75" customHeight="1" x14ac:dyDescent="0.25">
      <c r="F198" s="75"/>
    </row>
    <row r="199" spans="6:6" ht="15.75" customHeight="1" x14ac:dyDescent="0.25">
      <c r="F199" s="75"/>
    </row>
    <row r="200" spans="6:6" ht="15.75" customHeight="1" x14ac:dyDescent="0.25">
      <c r="F200" s="75"/>
    </row>
    <row r="201" spans="6:6" ht="15.75" customHeight="1" x14ac:dyDescent="0.25">
      <c r="F201" s="75"/>
    </row>
    <row r="202" spans="6:6" ht="15.75" customHeight="1" x14ac:dyDescent="0.25">
      <c r="F202" s="75"/>
    </row>
    <row r="203" spans="6:6" ht="15.75" customHeight="1" x14ac:dyDescent="0.25">
      <c r="F203" s="75"/>
    </row>
    <row r="204" spans="6:6" ht="15.75" customHeight="1" x14ac:dyDescent="0.25">
      <c r="F204" s="75"/>
    </row>
    <row r="205" spans="6:6" ht="15.75" customHeight="1" x14ac:dyDescent="0.25">
      <c r="F205" s="75"/>
    </row>
    <row r="206" spans="6:6" ht="15.75" customHeight="1" x14ac:dyDescent="0.25">
      <c r="F206" s="75"/>
    </row>
    <row r="207" spans="6:6" ht="15.75" customHeight="1" x14ac:dyDescent="0.25">
      <c r="F207" s="75"/>
    </row>
    <row r="208" spans="6:6" ht="15.75" customHeight="1" x14ac:dyDescent="0.25">
      <c r="F208" s="75"/>
    </row>
    <row r="209" spans="6:6" ht="15.75" customHeight="1" x14ac:dyDescent="0.25">
      <c r="F209" s="75"/>
    </row>
    <row r="210" spans="6:6" ht="15.75" customHeight="1" x14ac:dyDescent="0.25">
      <c r="F210" s="75"/>
    </row>
    <row r="211" spans="6:6" ht="15.75" customHeight="1" x14ac:dyDescent="0.25">
      <c r="F211" s="75"/>
    </row>
    <row r="212" spans="6:6" ht="15.75" customHeight="1" x14ac:dyDescent="0.25">
      <c r="F212" s="75"/>
    </row>
    <row r="213" spans="6:6" ht="15.75" customHeight="1" x14ac:dyDescent="0.25">
      <c r="F213" s="75"/>
    </row>
    <row r="214" spans="6:6" ht="15.75" customHeight="1" x14ac:dyDescent="0.25">
      <c r="F214" s="75"/>
    </row>
    <row r="215" spans="6:6" ht="15.75" customHeight="1" x14ac:dyDescent="0.25">
      <c r="F215" s="75"/>
    </row>
    <row r="216" spans="6:6" ht="15.75" customHeight="1" x14ac:dyDescent="0.25">
      <c r="F216" s="75"/>
    </row>
    <row r="217" spans="6:6" ht="15.75" customHeight="1" x14ac:dyDescent="0.25">
      <c r="F217" s="75"/>
    </row>
    <row r="218" spans="6:6" ht="15.75" customHeight="1" x14ac:dyDescent="0.25">
      <c r="F218" s="75"/>
    </row>
    <row r="219" spans="6:6" ht="15.75" customHeight="1" x14ac:dyDescent="0.25">
      <c r="F219" s="75"/>
    </row>
    <row r="220" spans="6:6" ht="15.75" customHeight="1" x14ac:dyDescent="0.25">
      <c r="F220" s="75"/>
    </row>
    <row r="221" spans="6:6" ht="15.75" customHeight="1" x14ac:dyDescent="0.2"/>
    <row r="222" spans="6:6" ht="15.75" customHeight="1" x14ac:dyDescent="0.2"/>
    <row r="223" spans="6:6" ht="15.75" customHeight="1" x14ac:dyDescent="0.2"/>
    <row r="224" spans="6:6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mergeCells count="1">
    <mergeCell ref="A1:K1"/>
  </mergeCells>
  <pageMargins left="0.511811024" right="0.511811024" top="0.78740157499999996" bottom="0.78740157499999996" header="0" footer="0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carga_inclusao">
    <tabColor rgb="FF92D050"/>
  </sheetPr>
  <dimension ref="A1:K1000"/>
  <sheetViews>
    <sheetView showGridLines="0" workbookViewId="0">
      <selection sqref="A1:K1"/>
    </sheetView>
  </sheetViews>
  <sheetFormatPr defaultColWidth="12.625" defaultRowHeight="15" customHeight="1" x14ac:dyDescent="0.2"/>
  <cols>
    <col min="1" max="1" width="9.5" customWidth="1"/>
    <col min="2" max="2" width="11.125" customWidth="1"/>
    <col min="3" max="3" width="6" customWidth="1"/>
    <col min="4" max="4" width="14.25" customWidth="1"/>
    <col min="5" max="5" width="13.25" customWidth="1"/>
    <col min="6" max="6" width="13.875" customWidth="1"/>
    <col min="7" max="7" width="10.5" customWidth="1"/>
    <col min="8" max="8" width="13.625" customWidth="1"/>
    <col min="9" max="9" width="5.125" customWidth="1"/>
    <col min="10" max="10" width="4.625" customWidth="1"/>
    <col min="11" max="11" width="9.5" customWidth="1"/>
    <col min="12" max="26" width="7.625" customWidth="1"/>
  </cols>
  <sheetData>
    <row r="1" spans="1:11" x14ac:dyDescent="0.2">
      <c r="A1" s="106" t="s">
        <v>108</v>
      </c>
      <c r="B1" s="98"/>
      <c r="C1" s="98"/>
      <c r="D1" s="98"/>
      <c r="E1" s="98"/>
      <c r="F1" s="98"/>
      <c r="G1" s="98"/>
      <c r="H1" s="98"/>
      <c r="I1" s="98"/>
      <c r="J1" s="98"/>
      <c r="K1" s="107"/>
    </row>
    <row r="2" spans="1:11" ht="45" x14ac:dyDescent="0.2">
      <c r="A2" s="76" t="s">
        <v>109</v>
      </c>
      <c r="B2" s="76" t="s">
        <v>110</v>
      </c>
      <c r="C2" s="76" t="s">
        <v>111</v>
      </c>
      <c r="D2" s="76" t="s">
        <v>112</v>
      </c>
      <c r="E2" s="76" t="s">
        <v>113</v>
      </c>
      <c r="F2" s="77" t="s">
        <v>114</v>
      </c>
      <c r="G2" s="77" t="s">
        <v>115</v>
      </c>
      <c r="H2" s="76" t="s">
        <v>116</v>
      </c>
      <c r="I2" s="77">
        <v>1</v>
      </c>
      <c r="J2" s="76" t="s">
        <v>117</v>
      </c>
      <c r="K2" s="77" t="s">
        <v>83</v>
      </c>
    </row>
    <row r="3" spans="1:11" x14ac:dyDescent="0.25">
      <c r="F3" s="75"/>
    </row>
    <row r="4" spans="1:11" x14ac:dyDescent="0.25">
      <c r="F4" s="75"/>
    </row>
    <row r="5" spans="1:11" x14ac:dyDescent="0.25">
      <c r="F5" s="75"/>
    </row>
    <row r="6" spans="1:11" x14ac:dyDescent="0.25">
      <c r="F6" s="75"/>
    </row>
    <row r="7" spans="1:11" x14ac:dyDescent="0.25">
      <c r="F7" s="75"/>
    </row>
    <row r="8" spans="1:11" x14ac:dyDescent="0.25">
      <c r="F8" s="75"/>
    </row>
    <row r="9" spans="1:11" x14ac:dyDescent="0.25">
      <c r="F9" s="75"/>
    </row>
    <row r="10" spans="1:11" x14ac:dyDescent="0.25">
      <c r="F10" s="75"/>
    </row>
    <row r="11" spans="1:11" x14ac:dyDescent="0.25">
      <c r="F11" s="75"/>
    </row>
    <row r="12" spans="1:11" x14ac:dyDescent="0.25">
      <c r="F12" s="75"/>
    </row>
    <row r="13" spans="1:11" x14ac:dyDescent="0.25">
      <c r="F13" s="75"/>
    </row>
    <row r="14" spans="1:11" x14ac:dyDescent="0.25">
      <c r="F14" s="75"/>
    </row>
    <row r="15" spans="1:11" x14ac:dyDescent="0.25">
      <c r="F15" s="75"/>
    </row>
    <row r="16" spans="1:11" x14ac:dyDescent="0.25">
      <c r="F16" s="75"/>
    </row>
    <row r="17" spans="6:6" x14ac:dyDescent="0.25">
      <c r="F17" s="75"/>
    </row>
    <row r="18" spans="6:6" x14ac:dyDescent="0.25">
      <c r="F18" s="75"/>
    </row>
    <row r="19" spans="6:6" x14ac:dyDescent="0.25">
      <c r="F19" s="75"/>
    </row>
    <row r="20" spans="6:6" x14ac:dyDescent="0.25">
      <c r="F20" s="75"/>
    </row>
    <row r="21" spans="6:6" ht="15.75" customHeight="1" x14ac:dyDescent="0.25">
      <c r="F21" s="75"/>
    </row>
    <row r="22" spans="6:6" ht="15.75" customHeight="1" x14ac:dyDescent="0.25">
      <c r="F22" s="75"/>
    </row>
    <row r="23" spans="6:6" ht="15.75" customHeight="1" x14ac:dyDescent="0.25">
      <c r="F23" s="75"/>
    </row>
    <row r="24" spans="6:6" ht="15.75" customHeight="1" x14ac:dyDescent="0.25">
      <c r="F24" s="75"/>
    </row>
    <row r="25" spans="6:6" ht="15.75" customHeight="1" x14ac:dyDescent="0.25">
      <c r="F25" s="75"/>
    </row>
    <row r="26" spans="6:6" ht="15.75" customHeight="1" x14ac:dyDescent="0.25">
      <c r="F26" s="75"/>
    </row>
    <row r="27" spans="6:6" ht="15.75" customHeight="1" x14ac:dyDescent="0.25">
      <c r="F27" s="75"/>
    </row>
    <row r="28" spans="6:6" ht="15.75" customHeight="1" x14ac:dyDescent="0.25">
      <c r="F28" s="75"/>
    </row>
    <row r="29" spans="6:6" ht="15.75" customHeight="1" x14ac:dyDescent="0.25">
      <c r="F29" s="75"/>
    </row>
    <row r="30" spans="6:6" ht="15.75" customHeight="1" x14ac:dyDescent="0.25">
      <c r="F30" s="75"/>
    </row>
    <row r="31" spans="6:6" ht="15.75" customHeight="1" x14ac:dyDescent="0.25">
      <c r="F31" s="75"/>
    </row>
    <row r="32" spans="6:6" ht="15.75" customHeight="1" x14ac:dyDescent="0.25">
      <c r="F32" s="75"/>
    </row>
    <row r="33" spans="6:6" ht="15.75" customHeight="1" x14ac:dyDescent="0.25">
      <c r="F33" s="75"/>
    </row>
    <row r="34" spans="6:6" ht="15.75" customHeight="1" x14ac:dyDescent="0.25">
      <c r="F34" s="75"/>
    </row>
    <row r="35" spans="6:6" ht="15.75" customHeight="1" x14ac:dyDescent="0.25">
      <c r="F35" s="75"/>
    </row>
    <row r="36" spans="6:6" ht="15.75" customHeight="1" x14ac:dyDescent="0.25">
      <c r="F36" s="75"/>
    </row>
    <row r="37" spans="6:6" ht="15.75" customHeight="1" x14ac:dyDescent="0.25">
      <c r="F37" s="75"/>
    </row>
    <row r="38" spans="6:6" ht="15.75" customHeight="1" x14ac:dyDescent="0.25">
      <c r="F38" s="75"/>
    </row>
    <row r="39" spans="6:6" ht="15.75" customHeight="1" x14ac:dyDescent="0.25">
      <c r="F39" s="75"/>
    </row>
    <row r="40" spans="6:6" ht="15.75" customHeight="1" x14ac:dyDescent="0.25">
      <c r="F40" s="75"/>
    </row>
    <row r="41" spans="6:6" ht="15.75" customHeight="1" x14ac:dyDescent="0.25">
      <c r="F41" s="75"/>
    </row>
    <row r="42" spans="6:6" ht="15.75" customHeight="1" x14ac:dyDescent="0.25">
      <c r="F42" s="75"/>
    </row>
    <row r="43" spans="6:6" ht="15.75" customHeight="1" x14ac:dyDescent="0.25">
      <c r="F43" s="75"/>
    </row>
    <row r="44" spans="6:6" ht="15.75" customHeight="1" x14ac:dyDescent="0.25">
      <c r="F44" s="75"/>
    </row>
    <row r="45" spans="6:6" ht="15.75" customHeight="1" x14ac:dyDescent="0.25">
      <c r="F45" s="75"/>
    </row>
    <row r="46" spans="6:6" ht="15.75" customHeight="1" x14ac:dyDescent="0.25">
      <c r="F46" s="75"/>
    </row>
    <row r="47" spans="6:6" ht="15.75" customHeight="1" x14ac:dyDescent="0.25">
      <c r="F47" s="75"/>
    </row>
    <row r="48" spans="6:6" ht="15.75" customHeight="1" x14ac:dyDescent="0.25">
      <c r="F48" s="75"/>
    </row>
    <row r="49" spans="6:6" ht="15.75" customHeight="1" x14ac:dyDescent="0.25">
      <c r="F49" s="75"/>
    </row>
    <row r="50" spans="6:6" ht="15.75" customHeight="1" x14ac:dyDescent="0.25">
      <c r="F50" s="75"/>
    </row>
    <row r="51" spans="6:6" ht="15.75" customHeight="1" x14ac:dyDescent="0.25">
      <c r="F51" s="75"/>
    </row>
    <row r="52" spans="6:6" ht="15.75" customHeight="1" x14ac:dyDescent="0.25">
      <c r="F52" s="75"/>
    </row>
    <row r="53" spans="6:6" ht="15.75" customHeight="1" x14ac:dyDescent="0.25">
      <c r="F53" s="75"/>
    </row>
    <row r="54" spans="6:6" ht="15.75" customHeight="1" x14ac:dyDescent="0.25">
      <c r="F54" s="75"/>
    </row>
    <row r="55" spans="6:6" ht="15.75" customHeight="1" x14ac:dyDescent="0.25">
      <c r="F55" s="75"/>
    </row>
    <row r="56" spans="6:6" ht="15.75" customHeight="1" x14ac:dyDescent="0.25">
      <c r="F56" s="75"/>
    </row>
    <row r="57" spans="6:6" ht="15.75" customHeight="1" x14ac:dyDescent="0.25">
      <c r="F57" s="75"/>
    </row>
    <row r="58" spans="6:6" ht="15.75" customHeight="1" x14ac:dyDescent="0.25">
      <c r="F58" s="75"/>
    </row>
    <row r="59" spans="6:6" ht="15.75" customHeight="1" x14ac:dyDescent="0.25">
      <c r="F59" s="75"/>
    </row>
    <row r="60" spans="6:6" ht="15.75" customHeight="1" x14ac:dyDescent="0.25">
      <c r="F60" s="75"/>
    </row>
    <row r="61" spans="6:6" ht="15.75" customHeight="1" x14ac:dyDescent="0.25">
      <c r="F61" s="75"/>
    </row>
    <row r="62" spans="6:6" ht="15.75" customHeight="1" x14ac:dyDescent="0.25">
      <c r="F62" s="75"/>
    </row>
    <row r="63" spans="6:6" ht="15.75" customHeight="1" x14ac:dyDescent="0.25">
      <c r="F63" s="75"/>
    </row>
    <row r="64" spans="6:6" ht="15.75" customHeight="1" x14ac:dyDescent="0.25">
      <c r="F64" s="75"/>
    </row>
    <row r="65" spans="6:6" ht="15.75" customHeight="1" x14ac:dyDescent="0.25">
      <c r="F65" s="75"/>
    </row>
    <row r="66" spans="6:6" ht="15.75" customHeight="1" x14ac:dyDescent="0.25">
      <c r="F66" s="75"/>
    </row>
    <row r="67" spans="6:6" ht="15.75" customHeight="1" x14ac:dyDescent="0.25">
      <c r="F67" s="75"/>
    </row>
    <row r="68" spans="6:6" ht="15.75" customHeight="1" x14ac:dyDescent="0.25">
      <c r="F68" s="75"/>
    </row>
    <row r="69" spans="6:6" ht="15.75" customHeight="1" x14ac:dyDescent="0.25">
      <c r="F69" s="75"/>
    </row>
    <row r="70" spans="6:6" ht="15.75" customHeight="1" x14ac:dyDescent="0.25">
      <c r="F70" s="75"/>
    </row>
    <row r="71" spans="6:6" ht="15.75" customHeight="1" x14ac:dyDescent="0.25">
      <c r="F71" s="75"/>
    </row>
    <row r="72" spans="6:6" ht="15.75" customHeight="1" x14ac:dyDescent="0.25">
      <c r="F72" s="75"/>
    </row>
    <row r="73" spans="6:6" ht="15.75" customHeight="1" x14ac:dyDescent="0.25">
      <c r="F73" s="75"/>
    </row>
    <row r="74" spans="6:6" ht="15.75" customHeight="1" x14ac:dyDescent="0.25">
      <c r="F74" s="75"/>
    </row>
    <row r="75" spans="6:6" ht="15.75" customHeight="1" x14ac:dyDescent="0.25">
      <c r="F75" s="75"/>
    </row>
    <row r="76" spans="6:6" ht="15.75" customHeight="1" x14ac:dyDescent="0.25">
      <c r="F76" s="75"/>
    </row>
    <row r="77" spans="6:6" ht="15.75" customHeight="1" x14ac:dyDescent="0.25">
      <c r="F77" s="75"/>
    </row>
    <row r="78" spans="6:6" ht="15.75" customHeight="1" x14ac:dyDescent="0.25">
      <c r="F78" s="75"/>
    </row>
    <row r="79" spans="6:6" ht="15.75" customHeight="1" x14ac:dyDescent="0.25">
      <c r="F79" s="75"/>
    </row>
    <row r="80" spans="6:6" ht="15.75" customHeight="1" x14ac:dyDescent="0.25">
      <c r="F80" s="75"/>
    </row>
    <row r="81" spans="6:6" ht="15.75" customHeight="1" x14ac:dyDescent="0.25">
      <c r="F81" s="75"/>
    </row>
    <row r="82" spans="6:6" ht="15.75" customHeight="1" x14ac:dyDescent="0.25">
      <c r="F82" s="75"/>
    </row>
    <row r="83" spans="6:6" ht="15.75" customHeight="1" x14ac:dyDescent="0.25">
      <c r="F83" s="75"/>
    </row>
    <row r="84" spans="6:6" ht="15.75" customHeight="1" x14ac:dyDescent="0.25">
      <c r="F84" s="75"/>
    </row>
    <row r="85" spans="6:6" ht="15.75" customHeight="1" x14ac:dyDescent="0.25">
      <c r="F85" s="75"/>
    </row>
    <row r="86" spans="6:6" ht="15.75" customHeight="1" x14ac:dyDescent="0.25">
      <c r="F86" s="75"/>
    </row>
    <row r="87" spans="6:6" ht="15.75" customHeight="1" x14ac:dyDescent="0.25">
      <c r="F87" s="75"/>
    </row>
    <row r="88" spans="6:6" ht="15.75" customHeight="1" x14ac:dyDescent="0.25">
      <c r="F88" s="75"/>
    </row>
    <row r="89" spans="6:6" ht="15.75" customHeight="1" x14ac:dyDescent="0.25">
      <c r="F89" s="75"/>
    </row>
    <row r="90" spans="6:6" ht="15.75" customHeight="1" x14ac:dyDescent="0.25">
      <c r="F90" s="75"/>
    </row>
    <row r="91" spans="6:6" ht="15.75" customHeight="1" x14ac:dyDescent="0.25">
      <c r="F91" s="75"/>
    </row>
    <row r="92" spans="6:6" ht="15.75" customHeight="1" x14ac:dyDescent="0.25">
      <c r="F92" s="75"/>
    </row>
    <row r="93" spans="6:6" ht="15.75" customHeight="1" x14ac:dyDescent="0.25">
      <c r="F93" s="75"/>
    </row>
    <row r="94" spans="6:6" ht="15.75" customHeight="1" x14ac:dyDescent="0.25">
      <c r="F94" s="75"/>
    </row>
    <row r="95" spans="6:6" ht="15.75" customHeight="1" x14ac:dyDescent="0.25">
      <c r="F95" s="75"/>
    </row>
    <row r="96" spans="6:6" ht="15.75" customHeight="1" x14ac:dyDescent="0.25">
      <c r="F96" s="75"/>
    </row>
    <row r="97" spans="6:6" ht="15.75" customHeight="1" x14ac:dyDescent="0.25">
      <c r="F97" s="75"/>
    </row>
    <row r="98" spans="6:6" ht="15.75" customHeight="1" x14ac:dyDescent="0.25">
      <c r="F98" s="75"/>
    </row>
    <row r="99" spans="6:6" ht="15.75" customHeight="1" x14ac:dyDescent="0.25">
      <c r="F99" s="75"/>
    </row>
    <row r="100" spans="6:6" ht="15.75" customHeight="1" x14ac:dyDescent="0.25">
      <c r="F100" s="75"/>
    </row>
    <row r="101" spans="6:6" ht="15.75" customHeight="1" x14ac:dyDescent="0.25">
      <c r="F101" s="75"/>
    </row>
    <row r="102" spans="6:6" ht="15.75" customHeight="1" x14ac:dyDescent="0.25">
      <c r="F102" s="75"/>
    </row>
    <row r="103" spans="6:6" ht="15.75" customHeight="1" x14ac:dyDescent="0.25">
      <c r="F103" s="75"/>
    </row>
    <row r="104" spans="6:6" ht="15.75" customHeight="1" x14ac:dyDescent="0.25">
      <c r="F104" s="75"/>
    </row>
    <row r="105" spans="6:6" ht="15.75" customHeight="1" x14ac:dyDescent="0.25">
      <c r="F105" s="75"/>
    </row>
    <row r="106" spans="6:6" ht="15.75" customHeight="1" x14ac:dyDescent="0.25">
      <c r="F106" s="75"/>
    </row>
    <row r="107" spans="6:6" ht="15.75" customHeight="1" x14ac:dyDescent="0.25">
      <c r="F107" s="75"/>
    </row>
    <row r="108" spans="6:6" ht="15.75" customHeight="1" x14ac:dyDescent="0.25">
      <c r="F108" s="75"/>
    </row>
    <row r="109" spans="6:6" ht="15.75" customHeight="1" x14ac:dyDescent="0.25">
      <c r="F109" s="75"/>
    </row>
    <row r="110" spans="6:6" ht="15.75" customHeight="1" x14ac:dyDescent="0.25">
      <c r="F110" s="75"/>
    </row>
    <row r="111" spans="6:6" ht="15.75" customHeight="1" x14ac:dyDescent="0.25">
      <c r="F111" s="75"/>
    </row>
    <row r="112" spans="6:6" ht="15.75" customHeight="1" x14ac:dyDescent="0.25">
      <c r="F112" s="75"/>
    </row>
    <row r="113" spans="6:6" ht="15.75" customHeight="1" x14ac:dyDescent="0.25">
      <c r="F113" s="75"/>
    </row>
    <row r="114" spans="6:6" ht="15.75" customHeight="1" x14ac:dyDescent="0.25">
      <c r="F114" s="75"/>
    </row>
    <row r="115" spans="6:6" ht="15.75" customHeight="1" x14ac:dyDescent="0.25">
      <c r="F115" s="75"/>
    </row>
    <row r="116" spans="6:6" ht="15.75" customHeight="1" x14ac:dyDescent="0.25">
      <c r="F116" s="75"/>
    </row>
    <row r="117" spans="6:6" ht="15.75" customHeight="1" x14ac:dyDescent="0.25">
      <c r="F117" s="75"/>
    </row>
    <row r="118" spans="6:6" ht="15.75" customHeight="1" x14ac:dyDescent="0.25">
      <c r="F118" s="75"/>
    </row>
    <row r="119" spans="6:6" ht="15.75" customHeight="1" x14ac:dyDescent="0.25">
      <c r="F119" s="75"/>
    </row>
    <row r="120" spans="6:6" ht="15.75" customHeight="1" x14ac:dyDescent="0.25">
      <c r="F120" s="75"/>
    </row>
    <row r="121" spans="6:6" ht="15.75" customHeight="1" x14ac:dyDescent="0.25">
      <c r="F121" s="75"/>
    </row>
    <row r="122" spans="6:6" ht="15.75" customHeight="1" x14ac:dyDescent="0.25">
      <c r="F122" s="75"/>
    </row>
    <row r="123" spans="6:6" ht="15.75" customHeight="1" x14ac:dyDescent="0.25">
      <c r="F123" s="75"/>
    </row>
    <row r="124" spans="6:6" ht="15.75" customHeight="1" x14ac:dyDescent="0.25">
      <c r="F124" s="75"/>
    </row>
    <row r="125" spans="6:6" ht="15.75" customHeight="1" x14ac:dyDescent="0.25">
      <c r="F125" s="75"/>
    </row>
    <row r="126" spans="6:6" ht="15.75" customHeight="1" x14ac:dyDescent="0.25">
      <c r="F126" s="75"/>
    </row>
    <row r="127" spans="6:6" ht="15.75" customHeight="1" x14ac:dyDescent="0.25">
      <c r="F127" s="75"/>
    </row>
    <row r="128" spans="6:6" ht="15.75" customHeight="1" x14ac:dyDescent="0.25">
      <c r="F128" s="75"/>
    </row>
    <row r="129" spans="6:6" ht="15.75" customHeight="1" x14ac:dyDescent="0.25">
      <c r="F129" s="75"/>
    </row>
    <row r="130" spans="6:6" ht="15.75" customHeight="1" x14ac:dyDescent="0.25">
      <c r="F130" s="75"/>
    </row>
    <row r="131" spans="6:6" ht="15.75" customHeight="1" x14ac:dyDescent="0.25">
      <c r="F131" s="75"/>
    </row>
    <row r="132" spans="6:6" ht="15.75" customHeight="1" x14ac:dyDescent="0.25">
      <c r="F132" s="75"/>
    </row>
    <row r="133" spans="6:6" ht="15.75" customHeight="1" x14ac:dyDescent="0.25">
      <c r="F133" s="75"/>
    </row>
    <row r="134" spans="6:6" ht="15.75" customHeight="1" x14ac:dyDescent="0.25">
      <c r="F134" s="75"/>
    </row>
    <row r="135" spans="6:6" ht="15.75" customHeight="1" x14ac:dyDescent="0.25">
      <c r="F135" s="75"/>
    </row>
    <row r="136" spans="6:6" ht="15.75" customHeight="1" x14ac:dyDescent="0.25">
      <c r="F136" s="75"/>
    </row>
    <row r="137" spans="6:6" ht="15.75" customHeight="1" x14ac:dyDescent="0.25">
      <c r="F137" s="75"/>
    </row>
    <row r="138" spans="6:6" ht="15.75" customHeight="1" x14ac:dyDescent="0.25">
      <c r="F138" s="75"/>
    </row>
    <row r="139" spans="6:6" ht="15.75" customHeight="1" x14ac:dyDescent="0.25">
      <c r="F139" s="75"/>
    </row>
    <row r="140" spans="6:6" ht="15.75" customHeight="1" x14ac:dyDescent="0.25">
      <c r="F140" s="75"/>
    </row>
    <row r="141" spans="6:6" ht="15.75" customHeight="1" x14ac:dyDescent="0.25">
      <c r="F141" s="75"/>
    </row>
    <row r="142" spans="6:6" ht="15.75" customHeight="1" x14ac:dyDescent="0.25">
      <c r="F142" s="75"/>
    </row>
    <row r="143" spans="6:6" ht="15.75" customHeight="1" x14ac:dyDescent="0.25">
      <c r="F143" s="75"/>
    </row>
    <row r="144" spans="6:6" ht="15.75" customHeight="1" x14ac:dyDescent="0.25">
      <c r="F144" s="75"/>
    </row>
    <row r="145" spans="6:6" ht="15.75" customHeight="1" x14ac:dyDescent="0.25">
      <c r="F145" s="75"/>
    </row>
    <row r="146" spans="6:6" ht="15.75" customHeight="1" x14ac:dyDescent="0.25">
      <c r="F146" s="75"/>
    </row>
    <row r="147" spans="6:6" ht="15.75" customHeight="1" x14ac:dyDescent="0.25">
      <c r="F147" s="75"/>
    </row>
    <row r="148" spans="6:6" ht="15.75" customHeight="1" x14ac:dyDescent="0.25">
      <c r="F148" s="75"/>
    </row>
    <row r="149" spans="6:6" ht="15.75" customHeight="1" x14ac:dyDescent="0.25">
      <c r="F149" s="75"/>
    </row>
    <row r="150" spans="6:6" ht="15.75" customHeight="1" x14ac:dyDescent="0.25">
      <c r="F150" s="75"/>
    </row>
    <row r="151" spans="6:6" ht="15.75" customHeight="1" x14ac:dyDescent="0.25">
      <c r="F151" s="75"/>
    </row>
    <row r="152" spans="6:6" ht="15.75" customHeight="1" x14ac:dyDescent="0.25">
      <c r="F152" s="75"/>
    </row>
    <row r="153" spans="6:6" ht="15.75" customHeight="1" x14ac:dyDescent="0.25">
      <c r="F153" s="75"/>
    </row>
    <row r="154" spans="6:6" ht="15.75" customHeight="1" x14ac:dyDescent="0.25">
      <c r="F154" s="75"/>
    </row>
    <row r="155" spans="6:6" ht="15.75" customHeight="1" x14ac:dyDescent="0.25">
      <c r="F155" s="75"/>
    </row>
    <row r="156" spans="6:6" ht="15.75" customHeight="1" x14ac:dyDescent="0.25">
      <c r="F156" s="75"/>
    </row>
    <row r="157" spans="6:6" ht="15.75" customHeight="1" x14ac:dyDescent="0.25">
      <c r="F157" s="75"/>
    </row>
    <row r="158" spans="6:6" ht="15.75" customHeight="1" x14ac:dyDescent="0.25">
      <c r="F158" s="75"/>
    </row>
    <row r="159" spans="6:6" ht="15.75" customHeight="1" x14ac:dyDescent="0.25">
      <c r="F159" s="75"/>
    </row>
    <row r="160" spans="6:6" ht="15.75" customHeight="1" x14ac:dyDescent="0.25">
      <c r="F160" s="75"/>
    </row>
    <row r="161" spans="6:6" ht="15.75" customHeight="1" x14ac:dyDescent="0.25">
      <c r="F161" s="75"/>
    </row>
    <row r="162" spans="6:6" ht="15.75" customHeight="1" x14ac:dyDescent="0.25">
      <c r="F162" s="75"/>
    </row>
    <row r="163" spans="6:6" ht="15.75" customHeight="1" x14ac:dyDescent="0.25">
      <c r="F163" s="75"/>
    </row>
    <row r="164" spans="6:6" ht="15.75" customHeight="1" x14ac:dyDescent="0.25">
      <c r="F164" s="75"/>
    </row>
    <row r="165" spans="6:6" ht="15.75" customHeight="1" x14ac:dyDescent="0.25">
      <c r="F165" s="75"/>
    </row>
    <row r="166" spans="6:6" ht="15.75" customHeight="1" x14ac:dyDescent="0.25">
      <c r="F166" s="75"/>
    </row>
    <row r="167" spans="6:6" ht="15.75" customHeight="1" x14ac:dyDescent="0.25">
      <c r="F167" s="75"/>
    </row>
    <row r="168" spans="6:6" ht="15.75" customHeight="1" x14ac:dyDescent="0.25">
      <c r="F168" s="75"/>
    </row>
    <row r="169" spans="6:6" ht="15.75" customHeight="1" x14ac:dyDescent="0.25">
      <c r="F169" s="75"/>
    </row>
    <row r="170" spans="6:6" ht="15.75" customHeight="1" x14ac:dyDescent="0.25">
      <c r="F170" s="75"/>
    </row>
    <row r="171" spans="6:6" ht="15.75" customHeight="1" x14ac:dyDescent="0.25">
      <c r="F171" s="75"/>
    </row>
    <row r="172" spans="6:6" ht="15.75" customHeight="1" x14ac:dyDescent="0.25">
      <c r="F172" s="75"/>
    </row>
    <row r="173" spans="6:6" ht="15.75" customHeight="1" x14ac:dyDescent="0.25">
      <c r="F173" s="75"/>
    </row>
    <row r="174" spans="6:6" ht="15.75" customHeight="1" x14ac:dyDescent="0.25">
      <c r="F174" s="75"/>
    </row>
    <row r="175" spans="6:6" ht="15.75" customHeight="1" x14ac:dyDescent="0.25">
      <c r="F175" s="75"/>
    </row>
    <row r="176" spans="6:6" ht="15.75" customHeight="1" x14ac:dyDescent="0.25">
      <c r="F176" s="75"/>
    </row>
    <row r="177" spans="6:6" ht="15.75" customHeight="1" x14ac:dyDescent="0.25">
      <c r="F177" s="75"/>
    </row>
    <row r="178" spans="6:6" ht="15.75" customHeight="1" x14ac:dyDescent="0.25">
      <c r="F178" s="75"/>
    </row>
    <row r="179" spans="6:6" ht="15.75" customHeight="1" x14ac:dyDescent="0.25">
      <c r="F179" s="75"/>
    </row>
    <row r="180" spans="6:6" ht="15.75" customHeight="1" x14ac:dyDescent="0.25">
      <c r="F180" s="75"/>
    </row>
    <row r="181" spans="6:6" ht="15.75" customHeight="1" x14ac:dyDescent="0.25">
      <c r="F181" s="75"/>
    </row>
    <row r="182" spans="6:6" ht="15.75" customHeight="1" x14ac:dyDescent="0.25">
      <c r="F182" s="75"/>
    </row>
    <row r="183" spans="6:6" ht="15.75" customHeight="1" x14ac:dyDescent="0.25">
      <c r="F183" s="75"/>
    </row>
    <row r="184" spans="6:6" ht="15.75" customHeight="1" x14ac:dyDescent="0.25">
      <c r="F184" s="75"/>
    </row>
    <row r="185" spans="6:6" ht="15.75" customHeight="1" x14ac:dyDescent="0.25">
      <c r="F185" s="75"/>
    </row>
    <row r="186" spans="6:6" ht="15.75" customHeight="1" x14ac:dyDescent="0.25">
      <c r="F186" s="75"/>
    </row>
    <row r="187" spans="6:6" ht="15.75" customHeight="1" x14ac:dyDescent="0.25">
      <c r="F187" s="75"/>
    </row>
    <row r="188" spans="6:6" ht="15.75" customHeight="1" x14ac:dyDescent="0.25">
      <c r="F188" s="75"/>
    </row>
    <row r="189" spans="6:6" ht="15.75" customHeight="1" x14ac:dyDescent="0.25">
      <c r="F189" s="75"/>
    </row>
    <row r="190" spans="6:6" ht="15.75" customHeight="1" x14ac:dyDescent="0.25">
      <c r="F190" s="75"/>
    </row>
    <row r="191" spans="6:6" ht="15.75" customHeight="1" x14ac:dyDescent="0.25">
      <c r="F191" s="75"/>
    </row>
    <row r="192" spans="6:6" ht="15.75" customHeight="1" x14ac:dyDescent="0.25">
      <c r="F192" s="75"/>
    </row>
    <row r="193" spans="6:6" ht="15.75" customHeight="1" x14ac:dyDescent="0.25">
      <c r="F193" s="75"/>
    </row>
    <row r="194" spans="6:6" ht="15.75" customHeight="1" x14ac:dyDescent="0.25">
      <c r="F194" s="75"/>
    </row>
    <row r="195" spans="6:6" ht="15.75" customHeight="1" x14ac:dyDescent="0.25">
      <c r="F195" s="75"/>
    </row>
    <row r="196" spans="6:6" ht="15.75" customHeight="1" x14ac:dyDescent="0.25">
      <c r="F196" s="75"/>
    </row>
    <row r="197" spans="6:6" ht="15.75" customHeight="1" x14ac:dyDescent="0.25">
      <c r="F197" s="75"/>
    </row>
    <row r="198" spans="6:6" ht="15.75" customHeight="1" x14ac:dyDescent="0.25">
      <c r="F198" s="75"/>
    </row>
    <row r="199" spans="6:6" ht="15.75" customHeight="1" x14ac:dyDescent="0.25">
      <c r="F199" s="75"/>
    </row>
    <row r="200" spans="6:6" ht="15.75" customHeight="1" x14ac:dyDescent="0.25">
      <c r="F200" s="75"/>
    </row>
    <row r="201" spans="6:6" ht="15.75" customHeight="1" x14ac:dyDescent="0.25">
      <c r="F201" s="75"/>
    </row>
    <row r="202" spans="6:6" ht="15.75" customHeight="1" x14ac:dyDescent="0.25">
      <c r="F202" s="75"/>
    </row>
    <row r="203" spans="6:6" ht="15.75" customHeight="1" x14ac:dyDescent="0.25">
      <c r="F203" s="75"/>
    </row>
    <row r="204" spans="6:6" ht="15.75" customHeight="1" x14ac:dyDescent="0.25">
      <c r="F204" s="75"/>
    </row>
    <row r="205" spans="6:6" ht="15.75" customHeight="1" x14ac:dyDescent="0.25">
      <c r="F205" s="75"/>
    </row>
    <row r="206" spans="6:6" ht="15.75" customHeight="1" x14ac:dyDescent="0.25">
      <c r="F206" s="75"/>
    </row>
    <row r="207" spans="6:6" ht="15.75" customHeight="1" x14ac:dyDescent="0.25">
      <c r="F207" s="75"/>
    </row>
    <row r="208" spans="6:6" ht="15.75" customHeight="1" x14ac:dyDescent="0.25">
      <c r="F208" s="75"/>
    </row>
    <row r="209" spans="6:6" ht="15.75" customHeight="1" x14ac:dyDescent="0.25">
      <c r="F209" s="75"/>
    </row>
    <row r="210" spans="6:6" ht="15.75" customHeight="1" x14ac:dyDescent="0.25">
      <c r="F210" s="75"/>
    </row>
    <row r="211" spans="6:6" ht="15.75" customHeight="1" x14ac:dyDescent="0.25">
      <c r="F211" s="75"/>
    </row>
    <row r="212" spans="6:6" ht="15.75" customHeight="1" x14ac:dyDescent="0.25">
      <c r="F212" s="75"/>
    </row>
    <row r="213" spans="6:6" ht="15.75" customHeight="1" x14ac:dyDescent="0.25">
      <c r="F213" s="75"/>
    </row>
    <row r="214" spans="6:6" ht="15.75" customHeight="1" x14ac:dyDescent="0.25">
      <c r="F214" s="75"/>
    </row>
    <row r="215" spans="6:6" ht="15.75" customHeight="1" x14ac:dyDescent="0.25">
      <c r="F215" s="75"/>
    </row>
    <row r="216" spans="6:6" ht="15.75" customHeight="1" x14ac:dyDescent="0.25">
      <c r="F216" s="75"/>
    </row>
    <row r="217" spans="6:6" ht="15.75" customHeight="1" x14ac:dyDescent="0.25">
      <c r="F217" s="75"/>
    </row>
    <row r="218" spans="6:6" ht="15.75" customHeight="1" x14ac:dyDescent="0.25">
      <c r="F218" s="75"/>
    </row>
    <row r="219" spans="6:6" ht="15.75" customHeight="1" x14ac:dyDescent="0.25">
      <c r="F219" s="75"/>
    </row>
    <row r="220" spans="6:6" ht="15.75" customHeight="1" x14ac:dyDescent="0.25">
      <c r="F220" s="75"/>
    </row>
    <row r="221" spans="6:6" ht="15.75" customHeight="1" x14ac:dyDescent="0.2"/>
    <row r="222" spans="6:6" ht="15.75" customHeight="1" x14ac:dyDescent="0.2"/>
    <row r="223" spans="6:6" ht="15.75" customHeight="1" x14ac:dyDescent="0.2"/>
    <row r="224" spans="6:6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mergeCells count="1">
    <mergeCell ref="A1:K1"/>
  </mergeCells>
  <pageMargins left="0.511811024" right="0.511811024" top="0.78740157499999996" bottom="0.78740157499999996" header="0" footer="0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2</vt:i4>
      </vt:variant>
    </vt:vector>
  </HeadingPairs>
  <TitlesOfParts>
    <vt:vector size="10" baseType="lpstr">
      <vt:lpstr>CAMPO MINADO ALTERAÇÃO</vt:lpstr>
      <vt:lpstr>CAMPO MINADO CHECK</vt:lpstr>
      <vt:lpstr>SORTEMP</vt:lpstr>
      <vt:lpstr>DIN SORTEMP</vt:lpstr>
      <vt:lpstr>SORTIM</vt:lpstr>
      <vt:lpstr>DIN SORTIM</vt:lpstr>
      <vt:lpstr>Carga_Exclusao</vt:lpstr>
      <vt:lpstr>Carga_Inclusao</vt:lpstr>
      <vt:lpstr>SORTEMP!BD_Sortim_Sortem.accdb</vt:lpstr>
      <vt:lpstr>SORTIM!BD_Sortim_Sortem.accdb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 DE FATIMA GOMES MARIA MOURA</dc:creator>
  <cp:lastModifiedBy>André Zigaib</cp:lastModifiedBy>
  <dcterms:created xsi:type="dcterms:W3CDTF">2019-02-28T21:56:42Z</dcterms:created>
  <dcterms:modified xsi:type="dcterms:W3CDTF">2021-03-26T16:25:29Z</dcterms:modified>
</cp:coreProperties>
</file>