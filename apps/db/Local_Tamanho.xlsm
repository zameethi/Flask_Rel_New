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ython Projetos\Novo_Relatório\temp\excel\"/>
    </mc:Choice>
  </mc:AlternateContent>
  <xr:revisionPtr revIDLastSave="0" documentId="13_ncr:1_{8E4B7887-CB97-467C-8DD3-2AEBCC97E5D0}" xr6:coauthVersionLast="46" xr6:coauthVersionMax="46" xr10:uidLastSave="{00000000-0000-0000-0000-000000000000}"/>
  <bookViews>
    <workbookView xWindow="-5115" yWindow="-16320" windowWidth="38640" windowHeight="15990" tabRatio="868" xr2:uid="{00000000-000D-0000-FFFF-FFFF00000000}"/>
  </bookViews>
  <sheets>
    <sheet name="CAMPO MINADO ALTERAÇÃO" sheetId="3" r:id="rId1"/>
    <sheet name="CAMPO MINADO CHECK" sheetId="5" r:id="rId2"/>
    <sheet name="SORTEMP" sheetId="1" r:id="rId3"/>
    <sheet name="DIN SORTEMP" sheetId="7" r:id="rId4"/>
    <sheet name="SORTIM" sheetId="2" r:id="rId5"/>
    <sheet name="DIN SORTIM" sheetId="4" r:id="rId6"/>
    <sheet name="carga_exclusao" sheetId="8" state="hidden" r:id="rId7"/>
    <sheet name="carga_inclusao" sheetId="9" state="hidden" r:id="rId8"/>
  </sheets>
  <definedNames>
    <definedName name="_xlnm._FilterDatabase" localSheetId="0" hidden="1">'CAMPO MINADO ALTERAÇÃO'!$A$16:$Z$47</definedName>
    <definedName name="_xlnm._FilterDatabase" localSheetId="1" hidden="1">'CAMPO MINADO CHECK'!$A$16:$AA$70</definedName>
    <definedName name="_xlnm._FilterDatabase" localSheetId="6" hidden="1">carga_exclusao!$A$2:$K$2</definedName>
    <definedName name="_xlnm._FilterDatabase" localSheetId="7" hidden="1">carga_inclusao!$A$2:$K$2</definedName>
    <definedName name="BD_Sortim_Sortem.accdb" localSheetId="2" hidden="1">SORTEMP!$A$1:$Z$6151</definedName>
    <definedName name="BD_Sortim_Sortem.accdb" localSheetId="4" hidden="1">SORTIM!$A$1:$W$246</definedName>
  </definedNames>
  <calcPr calcId="181029"/>
  <pivotCaches>
    <pivotCache cacheId="10" r:id="rId9"/>
    <pivotCache cacheId="13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5" l="1"/>
  <c r="F747" i="9" l="1"/>
  <c r="F748" i="9"/>
  <c r="F749" i="9"/>
  <c r="F750" i="9"/>
  <c r="F746" i="9"/>
  <c r="F712" i="9"/>
  <c r="F713" i="9"/>
  <c r="F714" i="9"/>
  <c r="F715" i="9"/>
  <c r="F716" i="9"/>
  <c r="F717" i="9"/>
  <c r="F718" i="9"/>
  <c r="F719" i="9"/>
  <c r="F720" i="9"/>
  <c r="F721" i="9"/>
  <c r="F722" i="9"/>
  <c r="F723" i="9"/>
  <c r="F724" i="9"/>
  <c r="F725" i="9"/>
  <c r="F726" i="9"/>
  <c r="F727" i="9"/>
  <c r="F728" i="9"/>
  <c r="F729" i="9"/>
  <c r="F730" i="9"/>
  <c r="F731" i="9"/>
  <c r="F732" i="9"/>
  <c r="F733" i="9"/>
  <c r="F734" i="9"/>
  <c r="F735" i="9"/>
  <c r="F736" i="9"/>
  <c r="F737" i="9"/>
  <c r="F738" i="9"/>
  <c r="F739" i="9"/>
  <c r="F740" i="9"/>
  <c r="F741" i="9"/>
  <c r="F742" i="9"/>
  <c r="F743" i="9"/>
  <c r="F744" i="9"/>
  <c r="F745" i="9"/>
  <c r="F711" i="9"/>
  <c r="F676" i="9"/>
  <c r="F677" i="9"/>
  <c r="F678" i="9"/>
  <c r="F679" i="9"/>
  <c r="F680" i="9"/>
  <c r="F681" i="9"/>
  <c r="F682" i="9"/>
  <c r="F683" i="9"/>
  <c r="F684" i="9"/>
  <c r="F685" i="9"/>
  <c r="F686" i="9"/>
  <c r="F687" i="9"/>
  <c r="F688" i="9"/>
  <c r="F689" i="9"/>
  <c r="F690" i="9"/>
  <c r="F691" i="9"/>
  <c r="F692" i="9"/>
  <c r="F693" i="9"/>
  <c r="F694" i="9"/>
  <c r="F695" i="9"/>
  <c r="F696" i="9"/>
  <c r="F697" i="9"/>
  <c r="F698" i="9"/>
  <c r="F699" i="9"/>
  <c r="F700" i="9"/>
  <c r="F701" i="9"/>
  <c r="F702" i="9"/>
  <c r="F703" i="9"/>
  <c r="F704" i="9"/>
  <c r="F705" i="9"/>
  <c r="F706" i="9"/>
  <c r="F707" i="9"/>
  <c r="F708" i="9"/>
  <c r="F709" i="9"/>
  <c r="F710" i="9"/>
  <c r="F675" i="9"/>
  <c r="F641" i="9"/>
  <c r="F642" i="9"/>
  <c r="F643" i="9"/>
  <c r="F644" i="9"/>
  <c r="F645" i="9"/>
  <c r="F646" i="9"/>
  <c r="F647" i="9"/>
  <c r="F648" i="9"/>
  <c r="F649" i="9"/>
  <c r="F650" i="9"/>
  <c r="F651" i="9"/>
  <c r="F652" i="9"/>
  <c r="F653" i="9"/>
  <c r="F654" i="9"/>
  <c r="F655" i="9"/>
  <c r="F656" i="9"/>
  <c r="F657" i="9"/>
  <c r="F658" i="9"/>
  <c r="F659" i="9"/>
  <c r="F660" i="9"/>
  <c r="F661" i="9"/>
  <c r="F662" i="9"/>
  <c r="F663" i="9"/>
  <c r="F664" i="9"/>
  <c r="F665" i="9"/>
  <c r="F666" i="9"/>
  <c r="F667" i="9"/>
  <c r="F668" i="9"/>
  <c r="F669" i="9"/>
  <c r="F670" i="9"/>
  <c r="F671" i="9"/>
  <c r="F672" i="9"/>
  <c r="F673" i="9"/>
  <c r="F674" i="9"/>
  <c r="F640" i="9"/>
  <c r="F606" i="9"/>
  <c r="F607" i="9"/>
  <c r="F608" i="9"/>
  <c r="F609" i="9"/>
  <c r="F610" i="9"/>
  <c r="F611" i="9"/>
  <c r="F612" i="9"/>
  <c r="F613" i="9"/>
  <c r="F614" i="9"/>
  <c r="F615" i="9"/>
  <c r="F616" i="9"/>
  <c r="F617" i="9"/>
  <c r="F618" i="9"/>
  <c r="F619" i="9"/>
  <c r="F620" i="9"/>
  <c r="F621" i="9"/>
  <c r="F622" i="9"/>
  <c r="F623" i="9"/>
  <c r="F624" i="9"/>
  <c r="F625" i="9"/>
  <c r="F626" i="9"/>
  <c r="F627" i="9"/>
  <c r="F628" i="9"/>
  <c r="F629" i="9"/>
  <c r="F630" i="9"/>
  <c r="F631" i="9"/>
  <c r="F632" i="9"/>
  <c r="F633" i="9"/>
  <c r="F634" i="9"/>
  <c r="F635" i="9"/>
  <c r="F636" i="9"/>
  <c r="F637" i="9"/>
  <c r="F638" i="9"/>
  <c r="F639" i="9"/>
  <c r="F605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F585" i="9"/>
  <c r="F586" i="9"/>
  <c r="F587" i="9"/>
  <c r="F588" i="9"/>
  <c r="F589" i="9"/>
  <c r="F590" i="9"/>
  <c r="F591" i="9"/>
  <c r="F592" i="9"/>
  <c r="F593" i="9"/>
  <c r="F594" i="9"/>
  <c r="F595" i="9"/>
  <c r="F596" i="9"/>
  <c r="F597" i="9"/>
  <c r="F598" i="9"/>
  <c r="F599" i="9"/>
  <c r="F600" i="9"/>
  <c r="F601" i="9"/>
  <c r="F602" i="9"/>
  <c r="F603" i="9"/>
  <c r="F604" i="9"/>
  <c r="F570" i="9"/>
  <c r="F569" i="9"/>
  <c r="F568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33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498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63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28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393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58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23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288" i="9"/>
  <c r="F284" i="9"/>
  <c r="F285" i="9"/>
  <c r="F286" i="9"/>
  <c r="F287" i="9"/>
  <c r="F283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48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13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178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43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08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73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38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" i="9"/>
  <c r="B15" i="3" l="1"/>
  <c r="C10" i="3" l="1"/>
  <c r="Z16" i="5" l="1"/>
  <c r="Y16" i="5"/>
  <c r="X16" i="5"/>
  <c r="U16" i="5"/>
  <c r="T16" i="5"/>
  <c r="S16" i="5"/>
  <c r="R16" i="5"/>
  <c r="Q16" i="5"/>
  <c r="P16" i="5"/>
  <c r="O16" i="5"/>
  <c r="N16" i="5"/>
  <c r="M16" i="5"/>
  <c r="L16" i="5"/>
  <c r="B15" i="5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Z5" i="3"/>
  <c r="Y5" i="3"/>
  <c r="X5" i="3"/>
  <c r="W5" i="3"/>
  <c r="V5" i="3"/>
  <c r="U5" i="3"/>
  <c r="T5" i="3"/>
  <c r="S5" i="3"/>
  <c r="R5" i="3"/>
  <c r="Q5" i="3"/>
  <c r="P5" i="3"/>
  <c r="O5" i="3"/>
  <c r="N5" i="3"/>
  <c r="M5" i="3"/>
  <c r="L5" i="3"/>
  <c r="C5" i="3" l="1"/>
  <c r="J14" i="3"/>
  <c r="M7" i="3"/>
  <c r="Q7" i="3"/>
  <c r="U7" i="3"/>
  <c r="Y7" i="3"/>
  <c r="O7" i="3"/>
  <c r="S7" i="3"/>
  <c r="W7" i="3"/>
  <c r="L7" i="3"/>
  <c r="P7" i="3"/>
  <c r="T7" i="3"/>
  <c r="X7" i="3"/>
  <c r="N7" i="3"/>
  <c r="R7" i="3"/>
  <c r="V7" i="3"/>
  <c r="Z7" i="3"/>
  <c r="Y5" i="5" l="1"/>
  <c r="Y6" i="5"/>
  <c r="P6" i="5"/>
  <c r="P5" i="5"/>
  <c r="R5" i="5"/>
  <c r="R6" i="5"/>
  <c r="N5" i="5"/>
  <c r="N6" i="5"/>
  <c r="X6" i="5"/>
  <c r="X5" i="5"/>
  <c r="S5" i="5"/>
  <c r="S6" i="5"/>
  <c r="W6" i="5"/>
  <c r="W5" i="5"/>
  <c r="T6" i="5"/>
  <c r="T5" i="5"/>
  <c r="Z5" i="5"/>
  <c r="Z6" i="5"/>
  <c r="Q5" i="5"/>
  <c r="Q6" i="5"/>
  <c r="U5" i="5"/>
  <c r="U6" i="5"/>
  <c r="V6" i="5"/>
  <c r="V5" i="5"/>
  <c r="O5" i="5"/>
  <c r="O6" i="5"/>
  <c r="Y7" i="5" l="1"/>
  <c r="S7" i="5"/>
  <c r="T7" i="5"/>
  <c r="O7" i="5"/>
  <c r="X7" i="5"/>
  <c r="U7" i="5"/>
  <c r="R7" i="5"/>
  <c r="P7" i="5"/>
  <c r="W7" i="5"/>
  <c r="V7" i="5"/>
  <c r="Q7" i="5"/>
  <c r="Z7" i="5"/>
  <c r="N7" i="5"/>
  <c r="M5" i="5" l="1"/>
  <c r="M6" i="5"/>
  <c r="L5" i="5"/>
  <c r="L6" i="5"/>
  <c r="M7" i="5" l="1"/>
  <c r="L7" i="5"/>
  <c r="C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00_BASE_CRUZADA\BD_Sortim_Sortem.accdb" keepAlive="1" name="BD_Sortim_Sortem" type="5" refreshedVersion="5" saveData="1">
    <dbPr connection="Provider=Microsoft.ACE.OLEDB.12.0;User ID=Admin;Data Source=C:\00_BASE_CRUZADA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EMP_x000d__x000a_where [COD SECAO] = 38"/>
  </connection>
  <connection id="2" xr16:uid="{00000000-0015-0000-FFFF-FFFF01000000}" sourceFile="C:\00_BASE_CRUZADA\BD_Sortim_Sortem.accdb" keepAlive="1" name="BD_Sortim_Sortem1" type="5" refreshedVersion="5" background="1" saveData="1">
    <dbPr connection="Provider=Microsoft.ACE.OLEDB.12.0;User ID=Admin;Data Source=C:\00_BASE_CRUZADA\BD_Sortim_Sortem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BASE_SORTIM_x000d__x000a_where [COD SECAO] = 38"/>
  </connection>
</connections>
</file>

<file path=xl/sharedStrings.xml><?xml version="1.0" encoding="utf-8"?>
<sst xmlns="http://schemas.openxmlformats.org/spreadsheetml/2006/main" count="2107" uniqueCount="119">
  <si>
    <t>COD SORTIMENTO</t>
  </si>
  <si>
    <t>COD SECAO</t>
  </si>
  <si>
    <t>DESC SECAO</t>
  </si>
  <si>
    <t>COD TAMANHO</t>
  </si>
  <si>
    <t>DESC TAMANHO</t>
  </si>
  <si>
    <t>COD PUBLICO</t>
  </si>
  <si>
    <t>DESC PUBLICO</t>
  </si>
  <si>
    <t>COD MERCADORIA</t>
  </si>
  <si>
    <t>DESC MERCADORIA</t>
  </si>
  <si>
    <t>MERC / CONJ</t>
  </si>
  <si>
    <t>PRIORIDADE</t>
  </si>
  <si>
    <t>QTDE</t>
  </si>
  <si>
    <t>VOLTAGEM</t>
  </si>
  <si>
    <t>VIGENCIA INICIO</t>
  </si>
  <si>
    <t>VIGENCIA FIM</t>
  </si>
  <si>
    <t>PERFIL</t>
  </si>
  <si>
    <t>BANDEIRA</t>
  </si>
  <si>
    <t>LOCAL</t>
  </si>
  <si>
    <t>TAMANHO</t>
  </si>
  <si>
    <t>REGIÃO</t>
  </si>
  <si>
    <t>MARCA_MERCADORIA</t>
  </si>
  <si>
    <t>ESPECIE_MERCADORIA</t>
  </si>
  <si>
    <t>PERFIL 4</t>
  </si>
  <si>
    <t>CB</t>
  </si>
  <si>
    <t>COMPACTA</t>
  </si>
  <si>
    <t>P</t>
  </si>
  <si>
    <t>PP</t>
  </si>
  <si>
    <t>M</t>
  </si>
  <si>
    <t>PERFIL 1</t>
  </si>
  <si>
    <t>CONVENCIONAL</t>
  </si>
  <si>
    <t>G</t>
  </si>
  <si>
    <t>GG</t>
  </si>
  <si>
    <t>PF</t>
  </si>
  <si>
    <t>PERFIL 2</t>
  </si>
  <si>
    <t>PERFIL 3</t>
  </si>
  <si>
    <t>PERFIL 5</t>
  </si>
  <si>
    <t>DIGITAL</t>
  </si>
  <si>
    <t/>
  </si>
  <si>
    <t>EMPRESA</t>
  </si>
  <si>
    <t>FILIAL</t>
  </si>
  <si>
    <t>TIPO PUBLICO</t>
  </si>
  <si>
    <t>Qte SKU por Cluster:</t>
  </si>
  <si>
    <t>Obrigatório</t>
  </si>
  <si>
    <t>Sugestão</t>
  </si>
  <si>
    <t>Total</t>
  </si>
  <si>
    <t>Número ideal de obrigatórios</t>
  </si>
  <si>
    <t>Alterou?</t>
  </si>
  <si>
    <t>SKU</t>
  </si>
  <si>
    <t>Descrição</t>
  </si>
  <si>
    <t>Voltagem</t>
  </si>
  <si>
    <t>Fornecedor</t>
  </si>
  <si>
    <t>Situação</t>
  </si>
  <si>
    <t>Espécie</t>
  </si>
  <si>
    <t>Obg</t>
  </si>
  <si>
    <t>Sug</t>
  </si>
  <si>
    <t>Rótulos de Coluna</t>
  </si>
  <si>
    <t>(vazio)</t>
  </si>
  <si>
    <t>Total Geral</t>
  </si>
  <si>
    <t>Contagem de FILIAL</t>
  </si>
  <si>
    <t>Seção</t>
  </si>
  <si>
    <t>Média de PRIORIDADE</t>
  </si>
  <si>
    <t>IMPORTACAO DE SORTIMENTOS</t>
  </si>
  <si>
    <t>OPERAÇÃO
(I)nclusão
(E)xclusão</t>
  </si>
  <si>
    <t>SORTIMENTO</t>
  </si>
  <si>
    <t>SEÇÃO</t>
  </si>
  <si>
    <t>* CÓDIGO DA MERCADORIA OU CONJUNTO</t>
  </si>
  <si>
    <t>1=MERCADORIA 2=CONJUNTO</t>
  </si>
  <si>
    <t>INICIO VIGENCIA</t>
  </si>
  <si>
    <t>DATA LIMITE</t>
  </si>
  <si>
    <t>PRIORIDADE
1=OBRIGATÓRIO
3=SUGESTÃO</t>
  </si>
  <si>
    <t>QTD.</t>
  </si>
  <si>
    <t>I</t>
  </si>
  <si>
    <t>CHECK</t>
  </si>
  <si>
    <t>Check</t>
  </si>
  <si>
    <t>QTE LOJAS</t>
  </si>
  <si>
    <t>QUIOSQUE</t>
  </si>
  <si>
    <t>RUA</t>
  </si>
  <si>
    <t>SHOPPING</t>
  </si>
  <si>
    <t>PERFIL 1-CB-RUA</t>
  </si>
  <si>
    <t>PERFIL 1-CB-SHOPPING</t>
  </si>
  <si>
    <t>PERFIL 1-CB-DIGITAL</t>
  </si>
  <si>
    <t>PERFIL 2-CB-RUA</t>
  </si>
  <si>
    <t>PERFIL 2-CB-SHOPPING</t>
  </si>
  <si>
    <t>PERFIL 3-CB-RUA</t>
  </si>
  <si>
    <t>PERFIL 3-CB-SHOPPING</t>
  </si>
  <si>
    <t>PERFIL 4-CB-RUA</t>
  </si>
  <si>
    <t>PERFIL 4-CB-SHOPPING</t>
  </si>
  <si>
    <t>PERFIL 4-CB-COMPACTA</t>
  </si>
  <si>
    <t>PERFIL 1-PF-RUA</t>
  </si>
  <si>
    <t>PERFIL 1-PF-SHOPPING</t>
  </si>
  <si>
    <t>PERFIL 1-PF-QUIOSQUE</t>
  </si>
  <si>
    <t>PERFIL 5-CB-RUA</t>
  </si>
  <si>
    <t>PERFIL 5-CB-SHOPPING</t>
  </si>
  <si>
    <t>LOCAL_NOVO</t>
  </si>
  <si>
    <t>STATUS</t>
  </si>
  <si>
    <t>CONCATENADO</t>
  </si>
  <si>
    <t>CONCATENADO2</t>
  </si>
  <si>
    <t xml:space="preserve">LG             </t>
  </si>
  <si>
    <t>SOLIC#VOLT DIF</t>
  </si>
  <si>
    <t>RUA-PP</t>
  </si>
  <si>
    <t>RUA-P</t>
  </si>
  <si>
    <t>SHOPPING-P</t>
  </si>
  <si>
    <t>SHOPPING-PP</t>
  </si>
  <si>
    <t>SHOPPING-M</t>
  </si>
  <si>
    <t>RUA-M</t>
  </si>
  <si>
    <t>RUA-G</t>
  </si>
  <si>
    <t>SHOPPING-G</t>
  </si>
  <si>
    <t>RUA-GG</t>
  </si>
  <si>
    <t>SHOPPING-GG</t>
  </si>
  <si>
    <t>COMPACTA-PP</t>
  </si>
  <si>
    <t>COMPACTA-P</t>
  </si>
  <si>
    <t>COMPACTA-M</t>
  </si>
  <si>
    <t>COMPACTA-G</t>
  </si>
  <si>
    <t>COMPACTA-GG</t>
  </si>
  <si>
    <t>REGIAO 2</t>
  </si>
  <si>
    <t>CONCATENADO3</t>
  </si>
  <si>
    <t>CONCATENADO4</t>
  </si>
  <si>
    <t>CONCATENADO5</t>
  </si>
  <si>
    <t>CONCATENADO6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</si>
</sst>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5"/>
      <name val="Calibri"/>
      <family val="2"/>
      <scheme val="minor"/>
    </font>
    <font>
      <sz val="18"/>
      <color rgb="FF000000"/>
      <name val="Calibri"/>
      <family val="2"/>
    </font>
    <font>
      <sz val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522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2">
    <xf numFmtId="0" fontId="0" fillId="0" borderId="0"/>
    <xf numFmtId="0" fontId="9" fillId="9" borderId="8" applyNumberFormat="0" applyFont="0" applyAlignment="0" applyProtection="0"/>
  </cellStyleXfs>
  <cellXfs count="122">
    <xf numFmtId="0" fontId="0" fillId="0" borderId="0" xfId="0"/>
    <xf numFmtId="0" fontId="1" fillId="0" borderId="0" xfId="0" applyFont="1" applyFill="1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3" borderId="1" xfId="0" applyNumberFormat="1" applyFont="1" applyFill="1" applyBorder="1" applyAlignme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4" xfId="0" applyFont="1" applyBorder="1" applyAlignment="1">
      <alignment horizontal="right"/>
    </xf>
    <xf numFmtId="0" fontId="3" fillId="0" borderId="0" xfId="0" applyFont="1" applyFill="1" applyBorder="1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1" fillId="0" borderId="6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right"/>
    </xf>
    <xf numFmtId="0" fontId="1" fillId="0" borderId="7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1" fillId="0" borderId="0" xfId="0" applyNumberFormat="1" applyFont="1" applyBorder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NumberFormat="1" applyFont="1" applyAlignment="1">
      <alignment horizontal="center"/>
    </xf>
    <xf numFmtId="0" fontId="6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 applyFill="1" applyAlignment="1">
      <alignment horizontal="center"/>
    </xf>
    <xf numFmtId="0" fontId="1" fillId="0" borderId="0" xfId="0" applyNumberFormat="1" applyFont="1" applyFill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0" borderId="0" xfId="0" applyFont="1" applyAlignment="1">
      <alignment horizontal="left" wrapText="1"/>
    </xf>
    <xf numFmtId="0" fontId="2" fillId="0" borderId="0" xfId="0" applyNumberFormat="1" applyFont="1" applyAlignment="1">
      <alignment horizontal="center" wrapText="1"/>
    </xf>
    <xf numFmtId="0" fontId="2" fillId="2" borderId="5" xfId="0" applyNumberFormat="1" applyFont="1" applyFill="1" applyBorder="1" applyAlignment="1">
      <alignment horizontal="center" wrapText="1"/>
    </xf>
    <xf numFmtId="0" fontId="6" fillId="6" borderId="0" xfId="0" applyNumberFormat="1" applyFont="1" applyFill="1" applyBorder="1" applyAlignment="1">
      <alignment horizontal="center"/>
    </xf>
    <xf numFmtId="0" fontId="7" fillId="6" borderId="0" xfId="0" applyFont="1" applyFill="1" applyAlignment="1">
      <alignment horizontal="center"/>
    </xf>
    <xf numFmtId="0" fontId="7" fillId="6" borderId="0" xfId="0" applyFont="1" applyFill="1" applyAlignment="1">
      <alignment horizontal="left"/>
    </xf>
    <xf numFmtId="0" fontId="6" fillId="6" borderId="0" xfId="0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5" xfId="0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 applyAlignment="1">
      <alignment horizontal="center"/>
    </xf>
    <xf numFmtId="0" fontId="1" fillId="0" borderId="5" xfId="0" applyNumberFormat="1" applyFont="1" applyFill="1" applyBorder="1" applyAlignment="1">
      <alignment horizontal="center"/>
    </xf>
    <xf numFmtId="0" fontId="1" fillId="0" borderId="5" xfId="0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0" fontId="1" fillId="2" borderId="5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Fill="1" applyBorder="1" applyProtection="1">
      <protection locked="0"/>
    </xf>
    <xf numFmtId="0" fontId="1" fillId="0" borderId="0" xfId="0" applyFont="1" applyBorder="1"/>
    <xf numFmtId="0" fontId="0" fillId="0" borderId="0" xfId="0" pivotButton="1"/>
    <xf numFmtId="0" fontId="0" fillId="0" borderId="0" xfId="0" applyNumberFormat="1"/>
    <xf numFmtId="0" fontId="1" fillId="9" borderId="8" xfId="1" applyFont="1" applyAlignment="1">
      <alignment horizontal="left"/>
    </xf>
    <xf numFmtId="0" fontId="10" fillId="11" borderId="5" xfId="0" applyFont="1" applyFill="1" applyBorder="1" applyAlignment="1">
      <alignment horizontal="center" vertical="top" wrapText="1"/>
    </xf>
    <xf numFmtId="0" fontId="10" fillId="11" borderId="5" xfId="0" applyFont="1" applyFill="1" applyBorder="1" applyAlignment="1">
      <alignment horizontal="center" vertical="top"/>
    </xf>
    <xf numFmtId="14" fontId="0" fillId="0" borderId="0" xfId="0" applyNumberFormat="1"/>
    <xf numFmtId="0" fontId="10" fillId="12" borderId="5" xfId="0" applyFont="1" applyFill="1" applyBorder="1" applyAlignment="1">
      <alignment horizontal="center" vertical="top" wrapText="1"/>
    </xf>
    <xf numFmtId="0" fontId="10" fillId="12" borderId="5" xfId="0" applyFont="1" applyFill="1" applyBorder="1" applyAlignment="1">
      <alignment horizontal="center" vertical="top"/>
    </xf>
    <xf numFmtId="0" fontId="1" fillId="0" borderId="0" xfId="0" applyFont="1" applyFill="1" applyAlignment="1">
      <alignment horizontal="center" wrapText="1"/>
    </xf>
    <xf numFmtId="0" fontId="2" fillId="0" borderId="0" xfId="0" applyFont="1" applyFill="1" applyAlignment="1">
      <alignment horizontal="left" wrapText="1"/>
    </xf>
    <xf numFmtId="0" fontId="2" fillId="0" borderId="0" xfId="0" applyNumberFormat="1" applyFont="1" applyFill="1" applyAlignment="1">
      <alignment horizontal="center" wrapText="1"/>
    </xf>
    <xf numFmtId="0" fontId="0" fillId="14" borderId="0" xfId="0" applyFill="1"/>
    <xf numFmtId="0" fontId="0" fillId="15" borderId="0" xfId="0" applyFill="1"/>
    <xf numFmtId="0" fontId="4" fillId="0" borderId="0" xfId="0" applyFont="1" applyFill="1" applyAlignment="1">
      <alignment horizontal="right"/>
    </xf>
    <xf numFmtId="0" fontId="2" fillId="2" borderId="1" xfId="0" applyNumberFormat="1" applyFont="1" applyFill="1" applyBorder="1" applyAlignment="1"/>
    <xf numFmtId="0" fontId="2" fillId="8" borderId="1" xfId="0" applyNumberFormat="1" applyFont="1" applyFill="1" applyBorder="1" applyAlignment="1"/>
    <xf numFmtId="0" fontId="7" fillId="6" borderId="0" xfId="0" applyNumberFormat="1" applyFont="1" applyFill="1" applyBorder="1" applyAlignment="1">
      <alignment horizontal="center"/>
    </xf>
    <xf numFmtId="0" fontId="2" fillId="5" borderId="0" xfId="0" applyFont="1" applyFill="1" applyBorder="1" applyAlignment="1">
      <alignment horizontal="right" vertical="center"/>
    </xf>
    <xf numFmtId="0" fontId="11" fillId="0" borderId="5" xfId="0" applyNumberFormat="1" applyFont="1" applyFill="1" applyBorder="1" applyAlignment="1">
      <alignment horizontal="center"/>
    </xf>
    <xf numFmtId="0" fontId="11" fillId="0" borderId="0" xfId="0" applyNumberFormat="1" applyFont="1" applyBorder="1" applyAlignment="1">
      <alignment horizontal="right"/>
    </xf>
    <xf numFmtId="0" fontId="1" fillId="5" borderId="0" xfId="0" applyFont="1" applyFill="1" applyBorder="1" applyAlignment="1">
      <alignment horizontal="right" vertical="center"/>
    </xf>
    <xf numFmtId="0" fontId="1" fillId="0" borderId="0" xfId="0" applyNumberFormat="1" applyFont="1" applyFill="1" applyBorder="1" applyAlignment="1" applyProtection="1">
      <alignment horizontal="left" wrapText="1"/>
    </xf>
    <xf numFmtId="0" fontId="2" fillId="0" borderId="5" xfId="0" applyNumberFormat="1" applyFont="1" applyFill="1" applyBorder="1" applyAlignment="1">
      <alignment horizontal="center" wrapText="1"/>
    </xf>
    <xf numFmtId="0" fontId="2" fillId="8" borderId="5" xfId="0" applyNumberFormat="1" applyFont="1" applyFill="1" applyBorder="1" applyAlignment="1">
      <alignment horizontal="center" wrapText="1"/>
    </xf>
    <xf numFmtId="0" fontId="2" fillId="16" borderId="1" xfId="0" applyNumberFormat="1" applyFont="1" applyFill="1" applyBorder="1" applyAlignment="1"/>
    <xf numFmtId="0" fontId="2" fillId="4" borderId="5" xfId="0" applyNumberFormat="1" applyFont="1" applyFill="1" applyBorder="1" applyAlignment="1"/>
    <xf numFmtId="0" fontId="2" fillId="4" borderId="5" xfId="0" applyNumberFormat="1" applyFont="1" applyFill="1" applyBorder="1" applyAlignment="1">
      <alignment horizontal="center" wrapText="1"/>
    </xf>
    <xf numFmtId="0" fontId="2" fillId="16" borderId="5" xfId="0" applyNumberFormat="1" applyFont="1" applyFill="1" applyBorder="1" applyAlignment="1">
      <alignment horizontal="center"/>
    </xf>
    <xf numFmtId="0" fontId="2" fillId="3" borderId="5" xfId="0" applyNumberFormat="1" applyFont="1" applyFill="1" applyBorder="1" applyAlignment="1">
      <alignment horizontal="center" wrapText="1"/>
    </xf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6" fillId="0" borderId="0" xfId="0" applyNumberFormat="1" applyFont="1" applyFill="1" applyBorder="1" applyAlignment="1" applyProtection="1">
      <alignment horizontal="left" wrapText="1"/>
    </xf>
    <xf numFmtId="0" fontId="1" fillId="0" borderId="1" xfId="0" applyNumberFormat="1" applyFont="1" applyFill="1" applyBorder="1" applyAlignment="1">
      <alignment horizontal="center"/>
    </xf>
    <xf numFmtId="0" fontId="1" fillId="0" borderId="5" xfId="0" applyFont="1" applyFill="1" applyBorder="1" applyAlignment="1" applyProtection="1">
      <alignment horizontal="center"/>
    </xf>
    <xf numFmtId="0" fontId="1" fillId="0" borderId="5" xfId="0" applyFont="1" applyFill="1" applyBorder="1" applyAlignment="1" applyProtection="1">
      <alignment horizontal="left"/>
    </xf>
    <xf numFmtId="0" fontId="4" fillId="6" borderId="0" xfId="0" applyFont="1" applyFill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5" xfId="0" applyFont="1" applyFill="1" applyBorder="1" applyAlignment="1" applyProtection="1">
      <alignment horizontal="center"/>
      <protection locked="0"/>
    </xf>
    <xf numFmtId="0" fontId="1" fillId="0" borderId="5" xfId="0" applyFont="1" applyFill="1" applyBorder="1" applyAlignment="1" applyProtection="1">
      <alignment horizontal="left"/>
      <protection locked="0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2" fillId="0" borderId="0" xfId="0" applyNumberFormat="1" applyFont="1" applyFill="1" applyBorder="1" applyAlignment="1"/>
    <xf numFmtId="0" fontId="2" fillId="7" borderId="9" xfId="0" applyFont="1" applyFill="1" applyBorder="1" applyAlignment="1">
      <alignment horizontal="center"/>
    </xf>
    <xf numFmtId="0" fontId="1" fillId="9" borderId="10" xfId="1" applyFont="1" applyBorder="1" applyAlignment="1">
      <alignment horizontal="left"/>
    </xf>
    <xf numFmtId="0" fontId="7" fillId="0" borderId="0" xfId="0" applyNumberFormat="1" applyFont="1" applyFill="1" applyBorder="1" applyAlignment="1"/>
    <xf numFmtId="0" fontId="2" fillId="0" borderId="0" xfId="0" applyFont="1" applyFill="1" applyBorder="1" applyAlignment="1">
      <alignment horizontal="left"/>
    </xf>
    <xf numFmtId="0" fontId="2" fillId="0" borderId="0" xfId="0" applyNumberFormat="1" applyFont="1" applyFill="1" applyBorder="1" applyAlignment="1">
      <alignment horizontal="center"/>
    </xf>
    <xf numFmtId="0" fontId="2" fillId="7" borderId="5" xfId="0" applyNumberFormat="1" applyFont="1" applyFill="1" applyBorder="1" applyAlignment="1">
      <alignment horizontal="left"/>
    </xf>
    <xf numFmtId="0" fontId="2" fillId="7" borderId="5" xfId="0" applyNumberFormat="1" applyFont="1" applyFill="1" applyBorder="1" applyAlignment="1">
      <alignment horizontal="center" wrapText="1"/>
    </xf>
    <xf numFmtId="0" fontId="1" fillId="7" borderId="5" xfId="0" applyNumberFormat="1" applyFont="1" applyFill="1" applyBorder="1" applyAlignment="1" applyProtection="1">
      <alignment horizontal="center"/>
      <protection locked="0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center"/>
    </xf>
    <xf numFmtId="0" fontId="2" fillId="7" borderId="2" xfId="0" applyNumberFormat="1" applyFont="1" applyFill="1" applyBorder="1" applyAlignment="1">
      <alignment horizontal="center"/>
    </xf>
    <xf numFmtId="0" fontId="2" fillId="7" borderId="3" xfId="0" applyNumberFormat="1" applyFont="1" applyFill="1" applyBorder="1" applyAlignment="1">
      <alignment horizontal="center"/>
    </xf>
    <xf numFmtId="0" fontId="2" fillId="17" borderId="1" xfId="0" applyNumberFormat="1" applyFont="1" applyFill="1" applyBorder="1" applyAlignment="1">
      <alignment horizontal="center"/>
    </xf>
    <xf numFmtId="0" fontId="2" fillId="17" borderId="2" xfId="0" applyNumberFormat="1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/>
    </xf>
    <xf numFmtId="0" fontId="2" fillId="16" borderId="1" xfId="0" applyNumberFormat="1" applyFont="1" applyFill="1" applyBorder="1" applyAlignment="1">
      <alignment horizontal="center"/>
    </xf>
    <xf numFmtId="0" fontId="2" fillId="16" borderId="2" xfId="0" applyNumberFormat="1" applyFont="1" applyFill="1" applyBorder="1" applyAlignment="1">
      <alignment horizontal="center"/>
    </xf>
    <xf numFmtId="0" fontId="2" fillId="16" borderId="3" xfId="0" applyNumberFormat="1" applyFont="1" applyFill="1" applyBorder="1" applyAlignment="1">
      <alignment horizontal="center"/>
    </xf>
    <xf numFmtId="0" fontId="10" fillId="13" borderId="0" xfId="0" applyFont="1" applyFill="1" applyBorder="1" applyAlignment="1">
      <alignment horizontal="center" vertical="center"/>
    </xf>
    <xf numFmtId="0" fontId="10" fillId="10" borderId="7" xfId="0" applyFont="1" applyFill="1" applyBorder="1" applyAlignment="1">
      <alignment horizontal="center" vertical="center"/>
    </xf>
  </cellXfs>
  <cellStyles count="2">
    <cellStyle name="Normal" xfId="0" builtinId="0"/>
    <cellStyle name="Nota" xfId="1" builtinId="10"/>
  </cellStyles>
  <dxfs count="28">
    <dxf>
      <fill>
        <patternFill patternType="solid">
          <fgColor indexed="64"/>
          <bgColor rgb="FF00B050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theme="4"/>
        </patternFill>
      </fill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theme="4" tint="-0.499984740745262"/>
      </font>
      <fill>
        <patternFill>
          <bgColor theme="4" tint="0.39994506668294322"/>
        </patternFill>
      </fill>
    </dxf>
    <dxf>
      <font>
        <b/>
        <i val="0"/>
        <color theme="7" tint="-0.499984740745262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2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47625</xdr:rowOff>
        </xdr:from>
        <xdr:to>
          <xdr:col>2</xdr:col>
          <xdr:colOff>1581150</xdr:colOff>
          <xdr:row>3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 de Inclusão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1838325</xdr:colOff>
          <xdr:row>1</xdr:row>
          <xdr:rowOff>47625</xdr:rowOff>
        </xdr:from>
        <xdr:to>
          <xdr:col>2</xdr:col>
          <xdr:colOff>3743325</xdr:colOff>
          <xdr:row>3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 de Exclusão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59903356479" createdVersion="5" refreshedVersion="6" minRefreshableVersion="3" recordCount="6151" xr:uid="{00000000-000A-0000-FFFF-FFFF00000000}">
  <cacheSource type="worksheet">
    <worksheetSource ref="A1:Z1048576" sheet="SORTEMP"/>
  </cacheSource>
  <cacheFields count="26">
    <cacheField name="COD SORTIMENT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MERCADORIA" numFmtId="0">
      <sharedItems containsNonDate="0" containsString="0" containsBlank="1" containsNumber="1" containsInteger="1" minValue="507" maxValue="9970070" count="1182">
        <m/>
        <n v="4470" u="1"/>
        <n v="4507401" u="1"/>
        <n v="2293641" u="1"/>
        <n v="4048431" u="1"/>
        <n v="4209150" u="1"/>
        <n v="3745660" u="1"/>
        <n v="5475147" u="1"/>
        <n v="4579852" u="1"/>
        <n v="5475171" u="1"/>
        <n v="4579860" u="1"/>
        <n v="3745678" u="1"/>
        <n v="3084337" u="1"/>
        <n v="3620859" u="1"/>
        <n v="3745686" u="1"/>
        <n v="32638" u="1"/>
        <n v="3084345" u="1"/>
        <n v="3745694" u="1"/>
        <n v="3084353" u="1"/>
        <n v="3084361" u="1"/>
        <n v="3745708" u="1"/>
        <n v="3745716" u="1"/>
        <n v="3951685" u="1"/>
        <n v="3765890" u="1"/>
        <n v="4523709" u="1"/>
        <n v="4523717" u="1"/>
        <n v="9970029" u="1"/>
        <n v="9970037" u="1"/>
        <n v="3148939" u="1"/>
        <n v="4523741" u="1"/>
        <n v="9970045" u="1"/>
        <n v="9970053" u="1"/>
        <n v="9970061" u="1"/>
        <n v="3148947" u="1"/>
        <n v="4048296" u="1"/>
        <n v="2293510" u="1"/>
        <n v="4048300" u="1"/>
        <n v="419109" u="1"/>
        <n v="3148955" u="1"/>
        <n v="4161491" u="1"/>
        <n v="4088883" u="1"/>
        <n v="3148963" u="1"/>
        <n v="4507428" u="1"/>
        <n v="4088891" u="1"/>
        <n v="4507436" u="1"/>
        <n v="4507444" u="1"/>
        <n v="1511" u="1"/>
        <n v="3765946" u="1"/>
        <n v="4161513" u="1"/>
        <n v="4507452" u="1"/>
        <n v="4088905" u="1"/>
        <n v="4507460" u="1"/>
        <n v="3765954" u="1"/>
        <n v="4161521" u="1"/>
        <n v="4088913" u="1"/>
        <n v="3765962" u="1"/>
        <n v="4088921" u="1"/>
        <n v="4475453" u="1"/>
        <n v="4523628" u="1"/>
        <n v="3765970" u="1"/>
        <n v="4048350" u="1"/>
        <n v="4579879" u="1"/>
        <n v="4523636" u="1"/>
        <n v="4579887" u="1"/>
        <n v="4523644" u="1"/>
        <n v="4579895" u="1"/>
        <n v="4523652" u="1"/>
        <n v="3455599" u="1"/>
        <n v="3620760" u="1"/>
        <n v="4523660" u="1"/>
        <n v="4539796" u="1"/>
        <n v="9953345" u="1"/>
        <n v="3620778" u="1"/>
        <n v="3766004" u="1"/>
        <n v="4612922" u="1"/>
        <n v="3620786" u="1"/>
        <n v="3766012" u="1"/>
        <n v="4612930" u="1"/>
        <n v="3620794" u="1"/>
        <n v="3620808" u="1"/>
        <n v="3891321" u="1"/>
        <n v="4523768" u="1"/>
        <n v="3620816" u="1"/>
        <n v="4612990" u="1"/>
        <n v="3620824" u="1"/>
        <n v="3620832" u="1"/>
        <n v="4048440" u="1"/>
        <n v="3620840" u="1"/>
        <n v="4209168" u="1"/>
        <n v="9953159" u="1"/>
        <n v="9952942" u="1"/>
        <n v="9970010" u="1"/>
        <n v="4507479" u="1"/>
        <n v="4613058" u="1"/>
        <n v="4048458" u="1"/>
        <n v="4378628" u="1"/>
        <n v="4378636" u="1"/>
        <n v="4507495" u="1"/>
        <n v="4048466" u="1"/>
        <n v="4524330" u="1"/>
        <n v="4173759" u="1"/>
        <n v="2293919" u="1"/>
        <n v="4173767" u="1"/>
        <n v="2293927" u="1"/>
        <n v="3846784" u="1"/>
        <n v="4225163" u="1"/>
        <n v="4523679" u="1"/>
        <n v="3891399" u="1"/>
        <n v="4225171" u="1"/>
        <n v="4523687" u="1"/>
        <n v="4523695" u="1"/>
        <n v="3846806" u="1"/>
        <n v="3846814" u="1"/>
        <n v="4612949" u="1"/>
        <n v="3455530" u="1"/>
        <n v="3891437" u="1"/>
        <n v="4612981" u="1"/>
        <n v="4539923" u="1"/>
        <n v="3455548" u="1"/>
        <n v="3737934" u="1"/>
        <n v="3455556" u="1"/>
        <n v="3984010" u="1"/>
        <n v="3455564" u="1"/>
        <n v="524026" u="1"/>
        <n v="3455572" u="1"/>
        <n v="3455580" u="1"/>
        <n v="4443420" u="1"/>
        <n v="4088930" u="1"/>
        <n v="4161548" u="1"/>
        <n v="4524357" u="1"/>
        <n v="4524365" u="1"/>
        <n v="3984060" u="1"/>
        <n v="4524381" u="1"/>
        <n v="2293820" u="1"/>
        <n v="603449" u="1"/>
        <n v="3955842" u="1"/>
        <n v="4121473" u="1"/>
        <n v="3955850" u="1"/>
        <n v="4467957" u="1"/>
        <n v="4467965" u="1"/>
        <n v="4467973" u="1"/>
        <n v="4467981" u="1"/>
        <n v="7324057" u="1"/>
        <n v="4093259" u="1"/>
        <n v="8954780" u="1"/>
        <n v="3891348" u="1"/>
        <n v="4173732" u="1"/>
        <n v="4613040" u="1"/>
        <n v="3891356" u="1"/>
        <n v="4173740" u="1"/>
        <n v="3891372" u="1"/>
        <n v="9970070" u="1"/>
        <n v="1198" u="1"/>
        <n v="9841946" u="1"/>
        <n v="3891623" u="1"/>
        <n v="4613112" u="1"/>
        <n v="3891631" u="1"/>
        <n v="3891402" u="1"/>
        <n v="3891410" u="1"/>
        <n v="4121368" u="1"/>
        <n v="4605128" u="1"/>
        <n v="4605136" u="1"/>
        <n v="4121376" u="1"/>
        <n v="4605144" u="1"/>
        <n v="8954690" u="1"/>
        <n v="2293978" u="1"/>
        <n v="4605152" u="1"/>
        <n v="4121384" u="1"/>
        <n v="4379489" u="1"/>
        <n v="4605160" u="1"/>
        <n v="4379497" u="1"/>
        <n v="4613007" u="1"/>
        <n v="4121392" u="1"/>
        <n v="4613244" u="1"/>
        <n v="2293994" u="1"/>
        <n v="4613252" u="1"/>
        <n v="4613260" u="1"/>
        <n v="4468040" u="1"/>
        <n v="2298279" u="1"/>
        <n v="2298287" u="1"/>
        <n v="4702530" u="1"/>
        <n v="4173880" u="1"/>
        <n v="4565398" u="1"/>
        <n v="4565410" u="1"/>
        <n v="4613139" u="1"/>
        <n v="4173902" u="1"/>
        <n v="4613147" u="1"/>
        <n v="4613171" u="1"/>
        <n v="3891542" u="1"/>
        <n v="4101545" u="1"/>
        <n v="4101553" u="1"/>
        <n v="907073" u="1"/>
        <n v="4101561" u="1"/>
        <n v="4428358" u="1"/>
        <n v="4468236" u="1"/>
        <n v="4314948" u="1"/>
        <n v="4428366" u="1"/>
        <n v="4379500" u="1"/>
        <n v="1074" u="1"/>
        <n v="4468023" u="1"/>
        <n v="4468252" u="1"/>
        <n v="4605179" u="1"/>
        <n v="4468031" u="1"/>
        <n v="4605187" u="1"/>
        <n v="4194128" u="1"/>
        <n v="524859" u="1"/>
        <n v="4613279" u="1"/>
        <n v="907081" u="1"/>
        <n v="4613287" u="1"/>
        <n v="8188106" u="1"/>
        <n v="9843477" u="1"/>
        <n v="3456161" u="1"/>
        <n v="524867" u="1"/>
        <n v="4565401" u="1"/>
        <n v="907090" u="1"/>
        <n v="3875725" u="1"/>
        <n v="4089294" u="1"/>
        <n v="8954518" u="1"/>
        <n v="4428269" u="1"/>
        <n v="4468147" u="1"/>
        <n v="6413005" u="1"/>
        <n v="4355440" u="1"/>
        <n v="4428285" u="1"/>
        <n v="4468163" u="1"/>
        <n v="6413013" u="1"/>
        <n v="3875741" u="1"/>
        <n v="4387716" u="1"/>
        <n v="4428293" u="1"/>
        <n v="4093348" u="1"/>
        <n v="524875" u="1"/>
        <n v="4093356" u="1"/>
        <n v="2294427" u="1"/>
        <n v="2294435" u="1"/>
        <n v="2298236" u="1"/>
        <n v="4093372" u="1"/>
        <n v="6412840" u="1"/>
        <n v="2298244" u="1"/>
        <n v="907103" u="1"/>
        <n v="4093380" u="1"/>
        <n v="2294451" u="1"/>
        <n v="2298252" u="1"/>
        <n v="524883" u="1"/>
        <n v="3782999" u="1"/>
        <n v="4444043" u="1"/>
        <n v="4444051" u="1"/>
        <n v="2298260" u="1"/>
        <n v="3851583" u="1"/>
        <n v="4379519" u="1"/>
        <n v="2298503" u="1"/>
        <n v="4020790" u="1"/>
        <n v="6413366" u="1"/>
        <n v="6413137" u="1"/>
        <n v="2298511" u="1"/>
        <n v="3456269" u="1"/>
        <n v="6413145" u="1"/>
        <n v="4053303" u="1"/>
        <n v="9843949" u="1"/>
        <n v="6413390" u="1"/>
        <n v="3456277" u="1"/>
        <n v="4020804" u="1"/>
        <n v="9940090" u="1"/>
        <n v="4053311" u="1"/>
        <n v="9843981" u="1"/>
        <n v="4020812" u="1"/>
        <n v="3782808" u="1"/>
        <n v="9940138" u="1"/>
        <n v="3621685" u="1"/>
        <n v="3783049" u="1"/>
        <n v="3621693" u="1"/>
        <n v="8188165" u="1"/>
        <n v="8188173" u="1"/>
        <n v="4355423" u="1"/>
        <n v="4355431" u="1"/>
        <n v="4565428" u="1"/>
        <n v="1210" u="1"/>
        <n v="4605772" u="1"/>
        <n v="4565436" u="1"/>
        <n v="4605780" u="1"/>
        <n v="3621715" u="1"/>
        <n v="4565444" u="1"/>
        <n v="9940049" u="1"/>
        <n v="9052577" u="1"/>
        <n v="9940057" u="1"/>
        <n v="3621723" u="1"/>
        <n v="9940065" u="1"/>
        <n v="9940073" u="1"/>
        <n v="9940081" u="1"/>
        <n v="3952517" u="1"/>
        <n v="9053565" u="1"/>
        <n v="9053581" u="1"/>
        <n v="4428340" u="1"/>
        <n v="4387775" u="1"/>
        <n v="4053389" u="1"/>
        <n v="2298368" u="1"/>
        <n v="4101570" u="1"/>
        <n v="524913" u="1"/>
        <n v="4053397" u="1"/>
        <n v="2298376" u="1"/>
        <n v="4093739" u="1"/>
        <n v="4428617" u="1"/>
        <n v="2298384" u="1"/>
        <n v="4093747" u="1"/>
        <n v="8188092" u="1"/>
        <n v="1082" u="1"/>
        <n v="2298392" u="1"/>
        <n v="4053419" u="1"/>
        <n v="4388550" u="1"/>
        <n v="4093763" u="1"/>
        <n v="4053427" u="1"/>
        <n v="4436970" u="1"/>
        <n v="524921" u="1"/>
        <n v="4093771" u="1"/>
        <n v="9940120" u="1"/>
        <n v="3456170" u="1"/>
        <n v="4053435" u="1"/>
        <n v="1750011" u="1"/>
        <n v="907146" u="1"/>
        <n v="4053443" u="1"/>
        <n v="4053451" u="1"/>
        <n v="4101863" u="1"/>
        <n v="1750020" u="1"/>
        <n v="4093801" u="1"/>
        <n v="9843191" u="1"/>
        <n v="524930" u="1"/>
        <n v="9843930" u="1"/>
        <n v="907154" u="1"/>
        <n v="7324944" u="1"/>
        <n v="4428307" u="1"/>
        <n v="4428315" u="1"/>
        <n v="9052607" u="1"/>
        <n v="4428323" u="1"/>
        <n v="9940103" u="1"/>
        <n v="4428331" u="1"/>
        <n v="8188718" u="1"/>
        <n v="8188726" u="1"/>
        <n v="3742881" u="1"/>
        <n v="9843809" u="1"/>
        <n v="9843825" u="1"/>
        <n v="1750046" u="1"/>
        <n v="4122089" u="1"/>
        <n v="3621642" u="1"/>
        <n v="3875784" u="1"/>
        <n v="6413340" u="1"/>
        <n v="3783006" u="1"/>
        <n v="92924" u="1"/>
        <n v="3621650" u="1"/>
        <n v="9940014" u="1"/>
        <n v="9940022" u="1"/>
        <n v="3783014" u="1"/>
        <n v="9940030" u="1"/>
        <n v="1750054" u="1"/>
        <n v="4702719" u="1"/>
        <n v="4702727" u="1"/>
        <n v="4740" u="1"/>
        <n v="3783022" u="1"/>
        <n v="4501730" u="1"/>
        <n v="4702735" u="1"/>
        <n v="524948" u="1"/>
        <n v="1750062" u="1"/>
        <n v="2298520" u="1"/>
        <n v="2298759" u="1"/>
        <n v="4053320" u="1"/>
        <n v="2298767" u="1"/>
        <n v="1750070" u="1"/>
        <n v="4053559" u="1"/>
        <n v="2298538" u="1"/>
        <n v="6768890" u="1"/>
        <n v="4053567" u="1"/>
        <n v="4053338" u="1"/>
        <n v="4517938" u="1"/>
        <n v="4283970" u="1"/>
        <n v="4053575" u="1"/>
        <n v="4093682" u="1"/>
        <n v="4267605" u="1"/>
        <n v="4053346" u="1"/>
        <n v="4267613" u="1"/>
        <n v="4517962" u="1"/>
        <n v="4053354" u="1"/>
        <n v="4053362" u="1"/>
        <n v="4488" u="1"/>
        <n v="1750089" u="1"/>
        <n v="4093704" u="1"/>
        <n v="4614348" u="1"/>
        <n v="4053370" u="1"/>
        <n v="4614585" u="1"/>
        <n v="4093712" u="1"/>
        <n v="4614356" u="1"/>
        <n v="4614593" u="1"/>
        <n v="8683140" u="1"/>
        <n v="4614372" u="1"/>
        <n v="9843566" u="1"/>
        <n v="6413315" u="1"/>
        <n v="4429290" u="1"/>
        <n v="6413323" u="1"/>
        <n v="6413331" u="1"/>
        <n v="4053400" u="1"/>
        <n v="4267524" u="1"/>
        <n v="4267532" u="1"/>
        <n v="8683573" u="1"/>
        <n v="4496" u="1"/>
        <n v="4267540" u="1"/>
        <n v="1090" u="1"/>
        <n v="6768865" u="1"/>
        <n v="6768873" u="1"/>
        <n v="4693" u="1"/>
        <n v="6768881" u="1"/>
        <n v="4437004" u="1"/>
        <n v="4283953" u="1"/>
        <n v="4437012" u="1"/>
        <n v="4283961" u="1"/>
        <n v="4093798" u="1"/>
        <n v="8683476" u="1"/>
        <n v="4053460" u="1"/>
        <n v="4388640" u="1"/>
        <n v="4093810" u="1"/>
        <n v="4219686" u="1"/>
        <n v="8188688" u="1"/>
        <n v="4053478" u="1"/>
        <n v="4517989" u="1"/>
        <n v="6760660" u="1"/>
        <n v="8188696" u="1"/>
        <n v="9053760" u="1"/>
        <n v="1287" u="1"/>
        <n v="4053486" u="1"/>
        <n v="4081730" u="1"/>
        <n v="4122070" u="1"/>
        <n v="4429265" u="1"/>
        <n v="4053494" u="1"/>
        <n v="3843963" u="1"/>
        <n v="4429281" u="1"/>
        <n v="3843971" u="1"/>
        <n v="906212" u="1"/>
        <n v="3742890" u="1"/>
        <n v="4614399" u="1"/>
        <n v="6769250" u="1"/>
        <n v="8683700" u="1"/>
        <n v="906220" u="1"/>
        <n v="3735087" u="1"/>
        <n v="4053540" u="1"/>
        <n v="3735095" u="1"/>
        <n v="8683603" u="1"/>
        <n v="4267559" u="1"/>
        <n v="8683611" u="1"/>
        <n v="3537200" u="1"/>
        <n v="4267567" u="1"/>
        <n v="4267575" u="1"/>
        <n v="4267583" u="1"/>
        <n v="4267591" u="1"/>
        <n v="6768920" u="1"/>
        <n v="4558529" u="1"/>
        <n v="6760635" u="1"/>
        <n v="6760643" u="1"/>
        <n v="6760651" u="1"/>
        <n v="4558553" u="1"/>
        <n v="4405498" u="1"/>
        <n v="3985024" u="1"/>
        <n v="4340990" u="1"/>
        <n v="4614607" u="1"/>
        <n v="4614615" u="1"/>
        <n v="6769470" u="1"/>
        <n v="4614623" u="1"/>
        <n v="8683425" u="1"/>
        <n v="4614631" u="1"/>
        <n v="4421035" u="1"/>
        <n v="4341058" u="1"/>
        <n v="4421043" u="1"/>
        <n v="1228" u="1"/>
        <n v="6769349" u="1"/>
        <n v="6769357" u="1"/>
        <n v="6769594" u="1"/>
        <n v="6768903" u="1"/>
        <n v="6769365" u="1"/>
        <n v="6768911" u="1"/>
        <n v="6769373" u="1"/>
        <n v="6769381" u="1"/>
        <n v="8683247" u="1"/>
        <n v="6769152" u="1"/>
        <n v="8683255" u="1"/>
        <n v="2295105" u="1"/>
        <n v="8684669" u="1"/>
        <n v="8684677" u="1"/>
        <n v="8684685" u="1"/>
        <n v="2295113" u="1"/>
        <n v="4340981" u="1"/>
        <n v="8683158" u="1"/>
        <n v="6769489" u="1"/>
        <n v="3735060" u="1"/>
        <n v="6769497" u="1"/>
        <n v="6769268" u="1"/>
        <n v="4324439" u="1"/>
        <n v="4477960" u="1"/>
        <n v="6769276" u="1"/>
        <n v="6769284" u="1"/>
        <n v="6761690" u="1"/>
        <n v="6769292" u="1"/>
        <n v="3924688" u="1"/>
        <n v="3924696" u="1"/>
        <n v="3924700" u="1"/>
        <n v="8684804" u="1"/>
        <n v="8684820" u="1"/>
        <n v="3924718" u="1"/>
        <n v="8683719" u="1"/>
        <n v="2294990" u="1"/>
        <n v="8683743" u="1"/>
        <n v="4623312" u="1"/>
        <n v="8684707" u="1"/>
        <n v="4013719" u="1"/>
        <n v="8684715" u="1"/>
        <n v="2295237" u="1"/>
        <n v="8684723" u="1"/>
        <n v="4013727" u="1"/>
        <n v="4631420" u="1"/>
        <n v="4013735" u="1"/>
        <n v="2295253" u="1"/>
        <n v="2295024" u="1"/>
        <n v="524182" u="1"/>
        <n v="4013743" u="1"/>
        <n v="8683670" u="1"/>
        <n v="4013751" u="1"/>
        <n v="1104" u="1"/>
        <n v="2295040" u="1"/>
        <n v="6769500" u="1"/>
        <n v="8684642" u="1"/>
        <n v="8796670" u="1"/>
        <n v="8684650" u="1"/>
        <n v="4341040" u="1"/>
        <n v="4477979" u="1"/>
        <n v="4021851" u="1"/>
        <n v="6761950" u="1"/>
        <n v="8189757" u="1"/>
        <n v="4632010" u="1"/>
        <n v="8189765" u="1"/>
        <n v="8797730" u="1"/>
        <n v="4631323" u="1"/>
        <n v="3618471" u="1"/>
        <n v="4041810" u="1"/>
        <n v="524190" u="1"/>
        <n v="1236" u="1"/>
        <n v="6769608" u="1"/>
        <n v="6769616" u="1"/>
        <n v="6769624" u="1"/>
        <n v="4041828" u="1"/>
        <n v="6769632" u="1"/>
        <n v="6762034" u="1"/>
        <n v="4041836" u="1"/>
        <n v="4623789" u="1"/>
        <n v="4623797" u="1"/>
        <n v="8798605" u="1"/>
        <n v="4042077" u="1"/>
        <n v="8798613" u="1"/>
        <n v="9960180" u="1"/>
        <n v="2295130" u="1"/>
        <n v="4042085" u="1"/>
        <n v="4616006" u="1"/>
        <n v="4078403" u="1"/>
        <n v="4341007" u="1"/>
        <n v="4341015" u="1"/>
        <n v="4341023" u="1"/>
        <n v="4341031" u="1"/>
        <n v="4098358" u="1"/>
        <n v="2295164" u="1"/>
        <n v="6769519" u="1"/>
        <n v="4042123" u="1"/>
        <n v="6769527" u="1"/>
        <n v="9960139" u="1"/>
        <n v="9960147" u="1"/>
        <n v="4042131" u="1"/>
        <n v="6761933" u="1"/>
        <n v="9960155" u="1"/>
        <n v="9960163" u="1"/>
        <n v="2295180" u="1"/>
        <n v="9960171" u="1"/>
        <n v="4021738" u="1"/>
        <n v="4632001" u="1"/>
        <n v="3618340" u="1"/>
        <n v="4021746" u="1"/>
        <n v="524204" u="1"/>
        <n v="4021754" u="1"/>
        <n v="3618358" u="1"/>
        <n v="4021762" u="1"/>
        <n v="4502728" u="1"/>
        <n v="9960058" u="1"/>
        <n v="9960066" u="1"/>
        <n v="4502736" u="1"/>
        <n v="9960074" u="1"/>
        <n v="4013700" u="1"/>
        <n v="9960082" u="1"/>
        <n v="4021770" u="1"/>
        <n v="9960090" u="1"/>
        <n v="4511069" u="1"/>
        <n v="4607660" u="1"/>
        <n v="4623800" u="1"/>
        <n v="4438477" u="1"/>
        <n v="6761852" u="1"/>
        <n v="6761860" u="1"/>
        <n v="8878897" u="1"/>
        <n v="8684839" u="1"/>
        <n v="524212" u="1"/>
        <n v="4041992" u="1"/>
        <n v="4042000" u="1"/>
        <n v="4616049" u="1"/>
        <n v="4042018" u="1"/>
        <n v="5769809" u="1"/>
        <n v="9201777" u="1"/>
        <n v="4042026" u="1"/>
        <n v="8684774" u="1"/>
        <n v="4021860" u="1"/>
        <n v="8684782" u="1"/>
        <n v="8798192" u="1"/>
        <n v="6761968" u="1"/>
        <n v="4632028" u="1"/>
        <n v="9960040" u="1"/>
        <n v="4599543" u="1"/>
        <n v="4632044" u="1"/>
        <n v="4021878" u="1"/>
        <n v="4599551" u="1"/>
        <n v="524220" u="1"/>
        <n v="9960104" u="1"/>
        <n v="4607643" u="1"/>
        <n v="8798320" u="1"/>
        <n v="9960112" u="1"/>
        <n v="9960120" u="1"/>
        <n v="1244" u="1"/>
        <n v="8799075" u="1"/>
        <n v="4021908" u="1"/>
        <n v="4623819" u="1"/>
        <n v="4623827" u="1"/>
        <n v="3989879" u="1"/>
        <n v="9960015" u="1"/>
        <n v="3989887" u="1"/>
        <n v="9960023" u="1"/>
        <n v="9960031" u="1"/>
        <n v="3885011" u="1"/>
        <n v="3989895" u="1"/>
        <n v="6761887" u="1"/>
        <n v="8798729" u="1"/>
        <n v="6761895" u="1"/>
        <n v="4196970" u="1"/>
        <n v="8798753" u="1"/>
        <n v="8798761" u="1"/>
        <n v="3989909" u="1"/>
        <n v="9203109" u="1"/>
        <n v="4229258" u="1"/>
        <n v="9203125" u="1"/>
        <n v="3989917" u="1"/>
        <n v="3989925" u="1"/>
        <n v="4615859" u="1"/>
        <n v="6762409" u="1"/>
        <n v="6762417" u="1"/>
        <n v="3989933" u="1"/>
        <n v="6762425" u="1"/>
        <n v="3989941" u="1"/>
        <n v="9203036" u="1"/>
        <n v="9203052" u="1"/>
        <n v="4042166" u="1"/>
        <n v="4042174" u="1"/>
        <n v="4213238" u="1"/>
        <n v="4446780" u="1"/>
        <n v="9960198" u="1"/>
        <n v="3990001" u="1"/>
        <n v="32654" u="1"/>
        <n v="6762344" u="1"/>
        <n v="6762352" u="1"/>
        <n v="6762360" u="1"/>
        <n v="8879672" u="1"/>
        <n v="4374517" u="1"/>
        <n v="4624858" u="1"/>
        <n v="4221478" u="1"/>
        <n v="9202994" u="1"/>
        <n v="630098" u="1"/>
        <n v="4382609" u="1"/>
        <n v="4221486" u="1"/>
        <n v="9202560" u="1"/>
        <n v="4511255" u="1"/>
        <n v="4382641" u="1"/>
        <n v="4269934" u="1"/>
        <n v="4269942" u="1"/>
        <n v="9202897" u="1"/>
        <n v="4446771" u="1"/>
        <n v="1252" u="1"/>
        <n v="3469719" u="1"/>
        <n v="3469727" u="1"/>
        <n v="4576586" u="1"/>
        <n v="3469735" u="1"/>
        <n v="4463650" u="1"/>
        <n v="3469743" u="1"/>
        <n v="4229240" u="1"/>
        <n v="4758" u="1"/>
        <n v="3469751" u="1"/>
        <n v="3885020" u="1"/>
        <n v="4196988" u="1"/>
        <n v="4382552" u="1"/>
        <n v="4269837" u="1"/>
        <n v="4196996" u="1"/>
        <n v="4382560" u="1"/>
        <n v="4463706" u="1"/>
        <n v="4269845" u="1"/>
        <n v="6762395" u="1"/>
        <n v="4463714" u="1"/>
        <n v="4269853" u="1"/>
        <n v="4463722" u="1"/>
        <n v="4463730" u="1"/>
        <n v="9202960" u="1"/>
        <n v="4439538" u="1"/>
        <n v="3989950" u="1"/>
        <n v="4205618" u="1"/>
        <n v="2550059" u="1"/>
        <n v="3989968" u="1"/>
        <n v="2550067" u="1"/>
        <n v="3989976" u="1"/>
        <n v="9202919" u="1"/>
        <n v="9202927" u="1"/>
        <n v="2550075" u="1"/>
        <n v="9202935" u="1"/>
        <n v="9202943" u="1"/>
        <n v="3989984" u="1"/>
        <n v="9202951" u="1"/>
        <n v="523763" u="1"/>
        <n v="2550083" u="1"/>
        <n v="3989992" u="1"/>
        <n v="4463641" u="1"/>
        <n v="5746469" u="1"/>
        <n v="9203079" u="1"/>
        <n v="4197003" u="1"/>
        <n v="3957764" u="1"/>
        <n v="3957772" u="1"/>
        <n v="4221460" u="1"/>
        <n v="4463749" u="1"/>
        <n v="601918" u="1"/>
        <n v="4463757" u="1"/>
        <n v="4014499" u="1"/>
        <n v="3957810" u="1"/>
        <n v="3469700" u="1"/>
        <n v="2295822" u="1"/>
        <n v="4197380" u="1"/>
        <n v="4601246" u="1"/>
        <n v="2295830" u="1"/>
        <n v="4205693" u="1"/>
        <n v="1260" u="1"/>
        <n v="4617410" u="1"/>
        <n v="4213319" u="1"/>
        <n v="4213327" u="1"/>
        <n v="4463668" u="1"/>
        <n v="4463676" u="1"/>
        <n v="4463684" u="1"/>
        <n v="4463692" u="1"/>
        <n v="9802029" u="1"/>
        <n v="3990150" u="1"/>
        <n v="3982084" u="1"/>
        <n v="9802045" u="1"/>
        <n v="2550016" u="1"/>
        <n v="4221451" u="1"/>
        <n v="6021077" u="1"/>
        <n v="9802061" u="1"/>
        <n v="4439520" u="1"/>
        <n v="4552717" u="1"/>
        <n v="6020631" u="1"/>
        <n v="8963037" u="1"/>
        <n v="2550032" u="1"/>
        <n v="2550040" u="1"/>
        <n v="3913767" u="1"/>
        <n v="4205600" u="1"/>
        <n v="4206070" u="1"/>
        <n v="3727980" u="1"/>
        <n v="3957926" u="1"/>
        <n v="3727998" u="1"/>
        <n v="3957942" u="1"/>
        <n v="9801618" u="1"/>
        <n v="9801626" u="1"/>
        <n v="9801634" u="1"/>
        <n v="9801642" u="1"/>
        <n v="4197399" u="1"/>
        <n v="6763260" u="1"/>
        <n v="9801979" u="1"/>
        <n v="4222342" u="1"/>
        <n v="5746728" u="1"/>
        <n v="9801987" u="1"/>
        <n v="9801995" u="1"/>
        <n v="4222350" u="1"/>
        <n v="5746744" u="1"/>
        <n v="5746523" u="1"/>
        <n v="4439511" u="1"/>
        <n v="4014480" u="1"/>
        <n v="1201" u="1"/>
        <n v="9802002" u="1"/>
        <n v="9802010" u="1"/>
        <n v="3703908" u="1"/>
        <n v="4042999" u="1"/>
        <n v="4222024" u="1"/>
        <n v="6763910" u="1"/>
        <n v="4222032" u="1"/>
        <n v="9801600" u="1"/>
        <n v="4222040" u="1"/>
        <n v="6763235" u="1"/>
        <n v="5746671" u="1"/>
        <n v="6763243" u="1"/>
        <n v="6763251" u="1"/>
        <n v="4205707" u="1"/>
        <n v="523810" u="1"/>
        <n v="4617428" u="1"/>
        <n v="3921794" u="1"/>
        <n v="603007" u="1"/>
        <n v="4222369" u="1"/>
        <n v="3151549" u="1"/>
        <n v="4222377" u="1"/>
        <n v="6021344" u="1"/>
        <n v="6764070" u="1"/>
        <n v="603015" u="1"/>
        <n v="9801928" u="1"/>
        <n v="9801936" u="1"/>
        <n v="9801944" u="1"/>
        <n v="3151581" u="1"/>
        <n v="9801952" u="1"/>
        <n v="9801960" u="1"/>
        <n v="4206088" u="1"/>
        <n v="4206096" u="1"/>
        <n v="603023" u="1"/>
        <n v="3151611" u="1"/>
        <n v="8963932" u="1"/>
        <n v="9802088" u="1"/>
        <n v="4222059" u="1"/>
        <n v="4222067" u="1"/>
        <n v="4222075" u="1"/>
        <n v="3913848" u="1"/>
        <n v="3913856" u="1"/>
        <n v="6764258" u="1"/>
        <n v="6764266" u="1"/>
        <n v="3913864" u="1"/>
        <n v="3954439" u="1"/>
        <n v="6763812" u="1"/>
        <n v="6763820" u="1"/>
        <n v="3913872" u="1"/>
        <n v="3151450" u="1"/>
        <n v="9801910" u="1"/>
        <n v="3700313" u="1"/>
        <n v="3151697" u="1"/>
        <n v="3700321" u="1"/>
        <n v="4042980" u="1"/>
        <n v="4529502" u="1"/>
        <n v="4529510" u="1"/>
        <n v="3151476" u="1"/>
        <n v="9803629" u="1"/>
        <n v="9803637" u="1"/>
        <n v="2292238" u="1"/>
        <n v="9803645" u="1"/>
        <n v="9803653" u="1"/>
        <n v="9803661" u="1"/>
        <n v="2292246" u="1"/>
        <n v="4043006" u="1"/>
        <n v="9802070" u="1"/>
        <n v="3151727" u="1"/>
        <n v="523836" u="1"/>
        <n v="4043014" u="1"/>
        <n v="3151735" u="1"/>
        <n v="4529570" u="1"/>
        <n v="5787483" u="1"/>
        <n v="600032" u="1"/>
        <n v="4043022" u="1"/>
        <n v="4561155" u="1"/>
        <n v="3151743" u="1"/>
        <n v="6763952" u="1"/>
        <n v="4561163" u="1"/>
        <n v="9803548" u="1"/>
        <n v="4043030" u="1"/>
        <n v="9803556" u="1"/>
        <n v="3151751" u="1"/>
        <n v="9803564" u="1"/>
        <n v="9803572" u="1"/>
        <n v="9803580" u="1"/>
        <n v="4529618" u="1"/>
        <n v="4529626" u="1"/>
        <n v="4529634" u="1"/>
        <n v="9803700" u="1"/>
        <n v="8963495" u="1"/>
        <n v="3853713" u="1"/>
        <n v="4222644" u="1"/>
        <n v="4634578" u="1"/>
        <n v="6763839" u="1"/>
        <n v="4222652" u="1"/>
        <n v="4634586" u="1"/>
        <n v="9804005" u="1"/>
        <n v="6763847" u="1"/>
        <n v="9804013" u="1"/>
        <n v="4634594" u="1"/>
        <n v="9804021" u="1"/>
        <n v="207683" u="1"/>
        <n v="6764088" u="1"/>
        <n v="4553934" u="1"/>
        <n v="4553942" u="1"/>
        <n v="3151590" u="1"/>
        <n v="4553950" u="1"/>
        <n v="4602358" u="1"/>
        <n v="4602366" u="1"/>
        <n v="4529529" u="1"/>
        <n v="2244187" u="1"/>
        <n v="4529537" u="1"/>
        <n v="4043120" u="1"/>
        <n v="4529545" u="1"/>
        <n v="2243962" u="1"/>
        <n v="4529553" u="1"/>
        <n v="3462234" u="1"/>
        <n v="4529561" u="1"/>
        <n v="9803980" u="1"/>
        <n v="3462242" u="1"/>
        <n v="3954390" u="1"/>
        <n v="4043138" u="1"/>
        <n v="3151859" u="1"/>
        <n v="3462250" u="1"/>
        <n v="3954404" u="1"/>
        <n v="4043154" u="1"/>
        <n v="6763987" u="1"/>
        <n v="9803602" u="1"/>
        <n v="3954412" u="1"/>
        <n v="6763995" u="1"/>
        <n v="3954420" u="1"/>
        <n v="6764240" u="1"/>
        <n v="2244020" u="1"/>
        <n v="3151905" u="1"/>
        <n v="9803963" u="1"/>
        <n v="8963975" u="1"/>
        <n v="9803971" u="1"/>
        <n v="3151913" u="1"/>
        <n v="3151700" u="1"/>
        <n v="207691" u="1"/>
        <n v="507" u="1"/>
        <n v="3865959" u="1"/>
        <n v="8963878" u="1"/>
        <n v="8963894" u="1"/>
        <n v="4553969" u="1"/>
        <n v="4473558" u="1"/>
        <n v="31496" u="1"/>
        <n v="4473566" u="1"/>
        <n v="4553780" u="1"/>
        <n v="6764878" u="1"/>
        <n v="6764886" u="1"/>
        <n v="9803769" u="1"/>
        <n v="4529588" u="1"/>
        <n v="9803777" u="1"/>
        <n v="4529596" u="1"/>
        <n v="4529600" u="1"/>
        <n v="6764215" u="1"/>
        <n v="2244110" u="1"/>
        <n v="3151760" u="1"/>
        <n v="6764223" u="1"/>
        <n v="6764231" u="1"/>
        <n v="3151778" u="1"/>
        <n v="3995119" u="1"/>
        <n v="4206940" u="1"/>
        <n v="9803688" u="1"/>
        <n v="9803696" u="1"/>
        <n v="3151786" u="1"/>
        <n v="3995127" u="1"/>
        <n v="905682" u="1"/>
        <n v="4634608" u="1"/>
        <n v="4513592" u="1"/>
        <n v="4529499" u="1"/>
        <n v="9803599" u="1"/>
        <n v="4634616" u="1"/>
        <n v="4473493" u="1"/>
        <n v="4272030" u="1"/>
        <n v="4634624" u="1"/>
        <n v="3151824" u="1"/>
        <n v="4634632" u="1"/>
        <n v="4634640" u="1"/>
        <n v="3151832" u="1"/>
        <n v="905690" u="1"/>
        <n v="3151840" u="1"/>
        <n v="4553799" u="1"/>
        <n v="9804048" u="1"/>
        <n v="9804056" u="1"/>
        <n v="9013440" u="1"/>
        <n v="3954889" u="1"/>
        <n v="9803670" u="1"/>
        <n v="3954897" u="1"/>
        <n v="9803718" u="1"/>
        <n v="3865924" u="1"/>
        <n v="4206959" u="1"/>
        <n v="9803726" u="1"/>
        <n v="9803734" u="1"/>
        <n v="9803742" u="1"/>
        <n v="9803750" u="1"/>
        <n v="3865932" u="1"/>
        <n v="3958949" u="1"/>
        <n v="3954919" u="1"/>
        <n v="3865940" u="1"/>
        <n v="3958957" u="1"/>
        <n v="5474370" u="1"/>
        <n v="4116054" u="1"/>
        <n v="207705" u="1"/>
        <n v="2292688" u="1"/>
        <n v="4287924" u="1"/>
        <n v="3958981" u="1"/>
        <n v="3716945" u="1"/>
        <n v="3712680" u="1"/>
        <n v="4634659" u="1"/>
        <n v="4634667" u="1"/>
        <n v="908746" u="1"/>
        <n v="4651502" u="1"/>
        <n v="4634675" u="1"/>
        <n v="4651510" u="1"/>
        <n v="9691464" u="1"/>
        <n v="4634683" u="1"/>
        <n v="9691472" u="1"/>
        <n v="9803998" u="1"/>
        <n v="9014748" u="1"/>
        <n v="9804030" u="1"/>
        <n v="9160221" u="1"/>
        <n v="6764908" u="1"/>
        <n v="908754" u="1"/>
        <n v="6764916" u="1"/>
        <n v="6764924" u="1"/>
        <n v="6765157" u="1"/>
        <n v="3959031" u="1"/>
        <n v="4393406" u="1"/>
        <n v="6764932" u="1"/>
        <n v="6765165" u="1"/>
        <n v="4393414" u="1"/>
        <n v="6764940" u="1"/>
        <n v="4393422" u="1"/>
        <n v="2180049" u="1"/>
        <n v="2180057" u="1"/>
        <n v="3902579" u="1"/>
        <n v="5789214" u="1"/>
        <n v="2180065" u="1"/>
        <n v="4619366" u="1"/>
        <n v="4619374" u="1"/>
        <n v="9870172" u="1"/>
        <n v="4619382" u="1"/>
        <n v="3902595" u="1"/>
        <n v="4619390" u="1"/>
        <n v="9015221" u="1"/>
        <n v="419524" u="1"/>
        <n v="3829758" u="1"/>
        <n v="4223624" u="1"/>
        <n v="4473507" u="1"/>
        <n v="9015108" u="1"/>
        <n v="9692860" u="1"/>
        <n v="4393112" u="1"/>
        <n v="4651529" u="1"/>
        <n v="5474019" u="1"/>
        <n v="5474248" u="1"/>
        <n v="5789141" u="1"/>
        <n v="3962938" u="1"/>
        <n v="4618823" u="1"/>
        <n v="4618831" u="1"/>
        <n v="9870709" u="1"/>
        <n v="9160299" u="1"/>
        <n v="4092279" u="1"/>
        <n v="6764959" u="1"/>
        <n v="4092287" u="1"/>
        <n v="6764967" u="1"/>
        <n v="9692835" u="1"/>
        <n v="3954900" u="1"/>
        <n v="9692843" u="1"/>
        <n v="6764975" u="1"/>
        <n v="9692851" u="1"/>
        <n v="4092295" u="1"/>
        <n v="6764983" u="1"/>
        <n v="6764991" u="1"/>
        <n v="523917" u="1"/>
        <n v="2180189" u="1"/>
        <n v="4092309" u="1"/>
        <n v="2180197" u="1"/>
        <n v="9015701" u="1"/>
        <n v="4092317" u="1"/>
        <n v="908797" u="1"/>
        <n v="8950024" u="1"/>
        <n v="908800" u="1"/>
        <n v="2180219" u="1"/>
        <n v="2180227" u="1"/>
        <n v="603228" u="1"/>
        <n v="3958990" u="1"/>
        <n v="2180014" u="1"/>
        <n v="4393392" u="1"/>
        <n v="9870016" u="1"/>
        <n v="5789397" u="1"/>
        <n v="9015515" u="1"/>
        <n v="3902560" u="1"/>
        <n v="5474990" u="1"/>
        <n v="2292998" u="1"/>
        <n v="3959040" u="1"/>
        <n v="5789192" u="1"/>
        <n v="9160329" u="1"/>
        <n v="9160337" u="1"/>
        <n v="3712974" u="1"/>
        <n v="9160345" u="1"/>
        <n v="9870610" u="1"/>
        <n v="5474809" u="1"/>
        <n v="5474817" u="1"/>
        <n v="9015434" u="1"/>
        <n v="4084357" u="1"/>
        <n v="5475058" u="1"/>
        <n v="4619404" u="1"/>
        <n v="5475082" u="1"/>
        <n v="4052099" u="1"/>
        <n v="4619412" u="1"/>
        <n v="9160256" u="1"/>
        <n v="5475090" u="1"/>
        <n v="9160264" u="1"/>
        <n v="9160272" u="1"/>
        <n v="9160280" u="1"/>
        <n v="9015795" u="1"/>
        <n v="2293293" u="1"/>
        <n v="3031284" u="1"/>
        <n v="9015345" u="1"/>
        <n v="4651499" u="1"/>
        <n v="9015353" u="1"/>
        <n v="4199928" u="1"/>
        <n v="4052129" u="1"/>
        <n v="4199936" u="1"/>
        <n v="4199944" u="1"/>
        <n v="3919013" u="1"/>
        <n v="4092244" u="1"/>
        <n v="4199952" u="1"/>
        <n v="4199960" u="1"/>
        <n v="4092252" u="1"/>
        <n v="2180138" u="1"/>
        <n v="4092260" u="1"/>
        <n v="2180146" u="1"/>
        <n v="5474965" u="1"/>
        <n v="9015256" u="1"/>
        <n v="2180154" u="1"/>
        <n v="5474981" u="1"/>
        <n v="9870504" u="1"/>
        <n v="2180162" u="1"/>
        <n v="2180170" u="1"/>
        <n v="4157079" u="1"/>
        <n v="9160230" u="1"/>
        <n v="603279" u="1"/>
        <n v="2180200" u="1"/>
        <n v="9160310" u="1"/>
        <n v="3745651" u="1"/>
        <n v="5474892" u="1"/>
        <n v="9015817" u="1"/>
        <n v="9015833" u="1"/>
        <n v="3963276" u="1"/>
        <n v="9694099" u="1"/>
        <n v="4199979" u="1"/>
        <n v="4048237" u="1"/>
        <n v="4048008" u="1"/>
        <n v="4048245" u="1"/>
        <n v="4048016" u="1"/>
        <n v="4048253" u="1"/>
        <n v="4048024" u="1"/>
        <n v="5474779" u="1"/>
        <n v="4048261" u="1"/>
        <n v="4048032" u="1"/>
        <n v="4256760" u="1"/>
        <n v="9015639" u="1"/>
        <n v="9015647" u="1"/>
        <n v="4052080" u="1"/>
        <n v="4523261" u="1"/>
        <n v="515" u="1"/>
        <n v="4507410" u="1"/>
        <n v="4052110" u="1"/>
        <n v="1503" u="1"/>
        <n v="9015566" u="1"/>
        <n v="3745767" u="1"/>
        <n v="3745775" u="1"/>
        <n v="4475178" u="1"/>
        <n v="4157028" u="1"/>
        <n v="4157036" u="1"/>
        <n v="3745805" u="1"/>
        <n v="9694145" u="1"/>
        <n v="9694153" u="1"/>
        <n v="4157052" u="1"/>
        <n v="3765989" u="1"/>
        <n v="4048369" u="1"/>
        <n v="5475236" u="1"/>
        <n v="4157060" u="1"/>
        <n v="3765997" u="1"/>
        <n v="4048377" u="1"/>
        <n v="4256751" u="1"/>
        <n v="4539826" u="1"/>
        <n v="4539834" u="1"/>
        <n v="4048385" u="1"/>
        <n v="4539842" u="1"/>
        <n v="4539850" u="1"/>
        <n v="4048393" u="1"/>
        <n v="9694080" u="1"/>
        <n v="4048407" u="1"/>
        <n v="4523750" u="1"/>
      </sharedItems>
    </cacheField>
    <cacheField name="DESC MERCADORIA" numFmtId="0">
      <sharedItems containsNonDate="0" containsBlank="1" count="1608">
        <m/>
        <s v="CEL. DESB. MULTILASER VITA P9089 + BASE RECAR .   " u="1"/>
        <s v="CEL.DESB.IPHONE 11 PRO MAX 256GB GOLD MWHL2BZ/A   " u="1"/>
        <s v="CEL.DESB.APPLE IPHONE 6S GOLD 128GB DR MKQV2BR    " u="1"/>
        <s v="CARRO BEBE CONF TRAVEL SYS VOYAGE RS/PT CAX00331  " u="1"/>
        <s v="REF FF 454L ELETROLUX DB53X BOTTOM 110V INX       " u="1"/>
        <s v="REF FF 454L ELETROLUX DB53X BOTTOM 220V INX       " u="1"/>
        <s v="CEL. DESB. MOTO. XT1563 MOTO X PLAY 32GB PT CA    " u="1"/>
        <s v="CEL. DESB. MOTO. XT1572 MOTO X STYLE 32G PT CA    " u="1"/>
        <s v="CEL. DESB. MOTO. XT1640 MOTO G PLUS 32GB PT CA    " u="1"/>
        <s v="CEL. DESB. POSITIVO QUATTRO X435 2 CHIPS PT CA    " u="1"/>
        <s v="CEL. DESB. SAMS. G318ML GALAXY ACE 4 NEO PT CA    " u="1"/>
        <s v="CEL. DESB. SAMS. G355 GALAXY CORE 2 DUOS PT CA    " u="1"/>
        <s v="CEL. DESB. SAMS. GALAXY S7 EDGE 32GB PT G935F     " u="1"/>
        <s v="CEL. DESB. MOTO G6 PLUS 64GB INDIGO ED LIM XT1926." u="1"/>
        <s v="CEL.DESB.IPHONE XS MAX SPACE GRAY 64GB MT502BZ/A. " u="1"/>
        <s v="CEL DESB. ASUS ZENFONE 4  64GB PRETO ZE554KL      " u="1"/>
        <s v="CEL DESB. ASUS ZENFONE 4 MAX 32GB DR ZC554KL      " u="1"/>
        <s v="CEL DESB. ASUS ZENFONE 4 MAX 32GB PT ZC554KL      " u="1"/>
        <s v="CEL.DESB.SAMSUNG GALAXY NOTE 10 LITE PRETO        " u="1"/>
        <s v="CARRO PASSEIO TUTTI BABY MAGNI 3900.54 CZ/RS      " u="1"/>
        <s v="CEL.DESB.APPLE IPHONE 5S SPACE 32GB CZ ME435BR    " u="1"/>
        <s v="CARRO BEBE CONF TRAVEL SYS VOYAGE AZ PT CAX00330  " u="1"/>
        <s v="CEL. DESB. MOTO XT1556 MOTO G 16GB TURBO BC.      " u="1"/>
        <s v="AP IDEN MOTOROLA I485 PT CAM                      " u="1"/>
        <s v="AP IDEN MOTOROLA I485W BC CAM                     " u="1"/>
        <s v="AP IDEN MOTOROLA XT621 VM CAM                     " u="1"/>
        <s v="AP IDEN MOTOROLA XT627 PTA CAM                    " u="1"/>
        <s v="CEL DESB. ASUS ZENFONE 3 MAX 16GB CZ ZC520TL      " u="1"/>
        <s v="CEL DESB. ASUS ZENFONE 3 MAX 16GB DR ZC520TL      " u="1"/>
        <s v="CEL. DESB. SAMS. G360 GALAXY WIN 2 DUOS TV BC     " u="1"/>
        <s v="TRIPLO CHIP VIVO 4G UNIVERSAL 2/3/4 PRE/CONTROLE  " u="1"/>
        <s v="CEL. DESB. MOTO Z2 NEWSOUND ED OURO XT1710        " u="1"/>
        <s v="CEL. DESB. MOTO Z2 NEWSOUND ED PLAT XT1710        " u="1"/>
        <s v="CEL. DESB. SAMS. GALAXY A7 64GB COBRE A750        " u="1"/>
        <s v="CEL. DESB. SAMS. GALAXY J6 PLUS PRATA J610        " u="1"/>
        <s v="CEL. DESB. SAMS. GALAXY J6 PLUS PRETO J610        " u="1"/>
        <s v="CEL. DESB. SAMS. GALAXY J8 64GB PRATA J810        " u="1"/>
        <s v="CEL. DESB. SAMS. GALAXY J8 64GB PRETO J810        " u="1"/>
        <s v="CEL. DESB. SAMS. GALAXY NOTE 9 PRETO N9600        " u="1"/>
        <s v="CEL.DESB.SAMSUNG GALAXY J4 CORE COBRE J410        " u="1"/>
        <s v="FRIGOBAR  68L PHILCO PH85 110V BC                 " u="1"/>
        <s v="FRIGOBAR  68L PHILCO PH85 220V BC                 " u="1"/>
        <s v="CEL.DESB.IPHONE 7 PLUS 256GB ROSE GOLD MN502BZ    " u="1"/>
        <s v="CEL.DESB.IPHONE XS MAX SPACE GRAY 64GB MT502BZ    " u="1"/>
        <s v="CEL. CLARO ALCATEL OT1041 2CHIPS PT CAM SP        " u="1"/>
        <s v="CEL. CLARO SAMS. J200 J2 4G DUOS PT CAM SP        " u="1"/>
        <s v="CEL. VIVO SAM.I9300 GAL.S3 16GB GFT CAM SP        " u="1"/>
        <s v="CEL. VIVO SAM.I9505 GALAXY S4 4G PT CAM SP        " u="1"/>
        <s v="CEL.DESB.APPLE IPHONE 6 PLUS 16GB PTA MG9N2BZ/    " u="1"/>
        <s v="CEL.DESB.APPLE IPHONE 5S SPACE 16GB CZ ME432BZ    " u="1"/>
        <s v="CEL.DESB.IPHONE 7 PLUS 256GB JET BLACK MN512BZ    " u="1"/>
        <s v="REF FF 564L F.DOOR SAMS. RF56K9040SR 110V INX     " u="1"/>
        <s v="REF FF 579L ELECT. DM84X FRENCH DOOR 110V INX     " u="1"/>
        <s v="REF FF 579L ELECT. DM84X FRENCH DOOR 220V INX     " u="1"/>
        <s v="REF FF 614L F. DOOR SAMSUNG RFG28MESL 110 INX     " u="1"/>
        <s v="REF FF 665L F.DOOR SAMS. RF28HDEDBSR 110V INX     " u="1"/>
        <s v="CEL MOTOROLA ONE VISION 128GB BRONZE XT1970       " u="1"/>
        <s v="CEL. DESB. MOTO. XT1068 MOTO G 8GB COLORS PT C    " u="1"/>
        <s v="CEL. DESB. MOTO. XT1078 MOTOG 16GB COLORS PT C    " u="1"/>
        <s v="CEL. DESB. SAMS. A510 GALAXY A5 2016 DUOS PT C    " u="1"/>
        <s v="CEL. DESB. SAMS. A710 GALAXY A7 2016 DUOS PT C    " u="1"/>
        <s v="CEL. DESB. SAMS. G928 GALAXY S6 EDGE PLUS PT C    " u="1"/>
        <s v="CEL. DESB. SAMS. J110L GALAXY J1 ACE DUOS PT C    " u="1"/>
        <s v="CEL. DESB. SAMS. J710 GALAXY J7METAL DUOS PT C    " u="1"/>
        <s v="CEL. DESB. SAMS.G920I GALAXY S6 FLAT 32GB PT C    " u="1"/>
        <s v="CEL. DESB. SAMS.G925I GALAXY S6 EDGE 32GB PT C    " u="1"/>
        <s v="CEL. DESB. SONY E5563 XPERIA C5 ULTRA DUAL PT .   " u="1"/>
        <s v="CEL. DESB. SONY XPERIA XA F3216 ULTRA DUAL PT .   " u="1"/>
        <s v="CEL. DESB. SAMS. GALAXY J7 NEO TV PTO J701        " u="1"/>
        <s v="CEL. DESB. SAMS. GALAXY J7 PRIME 2 DR G611        " u="1"/>
        <s v="CEL. CLARO ALCATEL OT4009E PIX 3 DUOS CAM PT S    " u="1"/>
        <s v="CEL. DESB. MOTO XT1650 Z POWER ED 64GB PT/GR .    " u="1"/>
        <s v="CEL. DESB. SAMS. GALAXY J2 PRO 16GB PRETO J250    " u="1"/>
        <s v="CEL CLARO SAMSUNG J7 GALAXY DUOS PT RJ            " u="1"/>
        <s v="CEL DESB ALCATEL 4034EL PTO                       " u="1"/>
        <s v="CEL DESB ALCATEL 5046 A3 5 4G PT CAM              " u="1"/>
        <s v="CEL DESB ASUS ZENFONE 5 64GB PTO ZE620KL          " u="1"/>
        <s v="CEL DESB ASUS ZENFONE 5 64GB PTO ZE620KL.         " u="1"/>
        <s v="CEL DESB GALAXY A50 128GB AZUL                    " u="1"/>
        <s v="CEL DESB GALAXY A50 128GB BRANCO                  " u="1"/>
        <s v="CEL DESB GALAXY NOTE 10+ PRETO                    " u="1"/>
        <s v="CEL DESB IPHONE 7 32GB BLACK MN8X2BR/A            " u="1"/>
        <s v="CEL DESB IPHONE 7 32GB GOLD MN902BR/A             " u="1"/>
        <s v="CEL DESB IPHONE 7 32GB GOLD MN902BR/A.            " u="1"/>
        <s v="CEL DESB LG H736P G4 BEAT DUAL TN/PTA CAM         " u="1"/>
        <s v="CEL DESB LG K10 DUAL TV DOURADO K430              " u="1"/>
        <s v="CEL DESB LG K12 MAX AZUL3 32GB 20BMWABRAB         " u="1"/>
        <s v="CEL DESB LG K430 K10 DUAL TV BC CAM               " u="1"/>
        <s v="CEL DESB MOTO E5 16GB OURO XT1944                 " u="1"/>
        <s v="CEL DESB MOTO E5 16GB PLATINUM XT1944             " u="1"/>
        <s v="CEL DESB MOTO G6 PLAY OURO XT1922                 " u="1"/>
        <s v="CEL DESB SAMS GALAXY A10 AZUL A105                " u="1"/>
        <s v="CEL DESB SAMS GALAXY A10 PTO A105                 " u="1"/>
        <s v="CEL DESB SAMS GALAXY A20 PRETO A205               " u="1"/>
        <s v="CEL DESB SAMS GALAXY A50 AZUL A505                " u="1"/>
        <s v="CEL DESB SAMS GALAXY J2 CORE PT J260              " u="1"/>
        <s v="CEL DESB SAMS GALAXY J4 CORE AZUL J410            " u="1"/>
        <s v="CEL DESB SAMS GALAXY S10 128GB AZ                 " u="1"/>
        <s v="CEL DESB SAMS GALAXY S10 128GB BR                 " u="1"/>
        <s v="CEL DESB SAMS GALAXY S10 128GB PT                 " u="1"/>
        <s v="CEL DESB SAMS GALAXY S10 128GB PTO                " u="1"/>
        <s v="CEL DESB SAMS GALAXY S10 E 128GB AM               " u="1"/>
        <s v="CEL DESB SAMS GALAXY S10 E 128GB AZ.              " u="1"/>
        <s v="CEL DESB SAMS GALAXY S10 E 128GB BR               " u="1"/>
        <s v="CEL DESB SAMS GALAXY S10 E 128GB PT.              " u="1"/>
        <s v="CEL DESB SAMS GALAXY S10 PLUS 128GB AZ            " u="1"/>
        <s v="CEL DESB SAMS GALAXY S10 PLUS 128GB BR            " u="1"/>
        <s v="CEL DESB SAMS GALAXY S10 PLUS 128GB PT            " u="1"/>
        <s v="CEL DESB. ASUS ZENFONE 3 PRETO ZE520KL            " u="1"/>
        <s v="CEL DESB. ASUS ZENFONE GO BRANCO ZB500KG          " u="1"/>
        <s v="CEL DESB. ASUS ZENFONE GO DOURADO ZB500KG         " u="1"/>
        <s v="CEL DESB. ASUS ZENFONE GO PRATA ZB500KG           " u="1"/>
        <s v="CEL DESB. ASUS ZENFONE GO PRETO ZB500KG           " u="1"/>
        <s v="CEL DESB. ASUS ZENFONE ZOOM PRETO ZX551ML         " u="1"/>
        <s v="CEL DESB. LENOVO VIBE K6 32GB DR CAM              " u="1"/>
        <s v="CEL DESB. LENOVO VIBE K6 32GB GFT CAM             " u="1"/>
        <s v="CEL DESB.LENOVO VIBE K6 PLUS 32GB DR CAM          " u="1"/>
        <s v="CEL MOTOROLA ONE BRANCO XT1941                    " u="1"/>
        <s v="CEL MOTOROLA ONE PRETO XT1941                     " u="1"/>
        <s v="CEL MOTOROLA ONE ZOOM BRONZE XT2010               " u="1"/>
        <s v="CEL MOTOROLA ONE ZOOM BRONZE XT2010.              " u="1"/>
        <s v="CEL MOTOROLA ONE ZOOM TITANIUM XT2010             " u="1"/>
        <s v="CEL TIM SAMS GALAXY S3 SLIM PTO CAM SP            " u="1"/>
        <s v="CEL.DESB.APPLE IPHONE 6S PLUS 16GB PTA MKU22BZ    " u="1"/>
        <s v="CEL.DESB.APPLE IPHONE 6S PLUS 128GB PTA MKUE2B    " u="1"/>
        <s v="CEL. DESB. MOTO G7 PLAY 32GB INDIGO XT1952        " u="1"/>
        <s v="CEL DESB.ZENFONE MAX PRO 4 64GB PRETO ZB602KL     " u="1"/>
        <s v="CEL. DESB. MOTO G7 POWER 32GB AZUL NAVY XT1955    " u="1"/>
        <s v="CEL. DESB. MOTO G7 POWER 64GB AZUL NAVY XT1955    " u="1"/>
        <s v="CEL. DESB. ALCATEL 9008N A3 XL MAX 32GB DR        " u="1"/>
        <s v="CEL.DESB.IPHONE 6S 32GB SPACE GRAY MN0W2BR        " u="1"/>
        <s v="CEL.DESB.IPHONE 7 128 GB GOLD MN942BZ/A DR        " u="1"/>
        <s v="CADEIRA AUTO NANIA KALLE ACCES FONCE 9/36KG.      " u="1"/>
        <s v="FANO CHIP PRE-PAGO CLARO ODA CO                   " u="1"/>
        <s v="CEL. CLARO SAMS.G530/G531 GRAN PRIME DUOS BC M    " u="1"/>
        <s v="CEL. DESB. MOTO G8 PLAY 32GB PRETO ONIX XT2015.   " u="1"/>
        <s v="REF FDR 3P CD 536L SAMSUNG RF23HCEDBSR/AZ TWIN COO" u="1"/>
        <s v="REF FDR 3P CD 536L SAMSUNG RF23HCEDBSR/BZ TWIN COO" u="1"/>
        <s v="CEL. DESB. LG H502 L PRIME PLUS DUAL TV TN CAM    " u="1"/>
        <s v="CEL. DESB. SAMS. I8552 GAL. WIN DUOS 2CHIPS BC    " u="1"/>
        <s v="CEL. DESB. LG K12 MAX AZUL3/32GB 20BMWABRAB .     " u="1"/>
        <s v="CEL DESB IPHONE 7 32GB ROSE GOLD MN912BR/A        " u="1"/>
        <s v="CEL DESB IPHONE 8 PLUS 64GB GOLD MQ8N2BR/A        " u="1"/>
        <s v="CEL DESB. IPHONE 8 PLUS 128GB GOLD MX262BR/A      " u="1"/>
        <s v="CEL. CLARO LG H342F DUAL CHIP LEON 4G TN CAM M    " u="1"/>
        <s v="CEL.DESB.APPLE IPHONE 6S PLUS 16GB R/G MKU52BZ    " u="1"/>
        <s v="CEL. DESB. SAMS. GALAXY J2 PRIME TV 16GB DR G532  " u="1"/>
        <s v="CEL. DESB. MULTILASER FLIP VITA P9020 AZUL.       " u="1"/>
        <s v="CEL. DESB. POSITIVO TWIST M S520 DUOS AZUL.       " u="1"/>
        <s v="CEL. DESB. ASUS ZENFONE GO LIVE DOURADO ZB551KL.  " u="1"/>
        <s v="CADEIRA AUTO FISCHER-PRICE (0-I-II-III) PT 0-36KG " u="1"/>
        <s v="CEL.DESB.SAMSUNG GALAXY NOTE 10 LITE VERMELHO     " u="1"/>
        <s v="CEL. DESB. SONY E5563 XPERIA C5 ULTRA DUAL BC .   " u="1"/>
        <s v="CEL. DESB. SONY XPERIA XA F3216 ULTRA DUAL BC .   " u="1"/>
        <s v="CEL. DESB.SONY XPERIA XA1 PLUS D BLACK G3426 .    " u="1"/>
        <s v="CEL.DESB.APPLE IPHONE 6 PLUS 128GB CZ MG9Q2BZ/    " u="1"/>
        <s v="CEL. DESB. LG K12 PRIME PRETO 3/64GB 25BAW ABRABK." u="1"/>
        <s v="CEL.DESB. ASUS ZENFONE 5 SELFIE 64GB PTO ZC600KL ." u="1"/>
        <s v="CEL. DESB. LG G7 DUAL PRETO LMG710EMWABRABK.      " u="1"/>
        <s v="CEL.DESB. LG Q6 PLUS LGM700TV.A4RABK PRETO CAM    " u="1"/>
        <s v="CEL. DESB. LG K9 TV DUAL DOURADO LMX210BMWABRAKG ." u="1"/>
        <s v="CEL.DESB.IPHONE 7 PLUS ROSE GOLD 32GB MNQQ2BZ/A   " u="1"/>
        <s v="CEL.DESB.APPLE IPHONE 6S PLUS 64GB PTA MKU72BZ    " u="1"/>
        <s v="CEL.DESB. LG Q6 LGM700TVABRAKG ROSE GOLD CAM .    " u="1"/>
        <s v="CEL. DESB. SAMS GALAXY J4 32GB VIOLETA J400.      " u="1"/>
        <s v="CEL. DESB. SAMS GALAXY J6 32GB VIOLETA J600.      " u="1"/>
        <s v="CEL. DESB. SAMS GALAXY J6 64GB VIOLETA J600.      " u="1"/>
        <s v="CEL. CLARO ALCATEL ONETOUCH 4007 2CHIP PT CAM SP  " u="1"/>
        <s v="CEL. DESB. POSITIVO FLIP P40 2CHIPS PT CAM.       " u="1"/>
        <s v="CEL. DESB. POSITIVO YPY S450 2CHIPS PT CAM.       " u="1"/>
        <s v="CEL. DESB. POSITIVO YPY S460 2CHIPS PT CAM.       " u="1"/>
        <s v="CEL. DESB. SONY 5343 XPERIA C4 DUAL BC CAM.       " u="1"/>
        <s v="CEL. DESB. SONY 5343 XPERIA C4 DUAL PT CAM.       " u="1"/>
        <s v="CEL. DESB. SONY D5322 XPERIA T2DUAL BC CAM.       " u="1"/>
        <s v="CEL. DESB. SONY XPERIA X F5122 DUAL BC CAM.       " u="1"/>
        <s v="CEL. DESB.L.ENOVO VIBE K6 PLUS 32GB DR CAM.       " u="1"/>
        <s v="CEL. DESB. LG K9 TV DUAL PRETO LMX210BMWABRABK .  " u="1"/>
        <s v="CEL. DESB.SAMS.G530/G531GAL.GRAN PRIME DUO TV BC  " u="1"/>
        <s v="NANO CHIP POS- PAGO CLARO SP                      " u="1"/>
        <s v="NANO CHIP POS-PAGO CLARO BA                       " u="1"/>
        <s v="NANO CHIP POS-PAGO OI 3G NE (71)(81)              " u="1"/>
        <s v="NANO CHIP POS-PAGO OI 3G NE (85)                  " u="1"/>
        <s v="NANO CHIP POS-PAGO OI 3G RJ (21)                  " u="1"/>
        <s v="NANO CHIP POS-PAGO OI 3G SP (11)                  " u="1"/>
        <s v="NANO CHIP POS-PAGO TIM NE (81)                    " u="1"/>
        <s v="NANO CHIP POS-PAGO TIM SP (11)                    " u="1"/>
        <s v="NANO CHIP PRE PAGO CLARO ODA RJ                   " u="1"/>
        <s v="NANO CHIP PRE- PAGO CLARO ODA NE                  " u="1"/>
        <s v="NANO CHIP PRE- PAGO CLARO ODA RJ                  " u="1"/>
        <s v="NANO CHIP PRE-PAGO CLARO ODA SP                   " u="1"/>
        <s v="NANO CHIP PRE-PAGO CLARO ODA SUL                  " u="1"/>
        <s v="NANO CHIP TIM  PRE-PAGO ODA SP                    " u="1"/>
        <s v="NANO CHIP TIM PRE-PAGO ODA BA                     " u="1"/>
        <s v="NANO CHIP TIM PRE-PAGO ODA CO                     " u="1"/>
        <s v="NANO CHIP TIM PRE-PAGO ODA MG                     " u="1"/>
        <s v="NANO CHIP TIM PRE-PAGO ODA RJ                     " u="1"/>
        <s v="NANO CHIP TIM PRE-PAGO ODA SUL                    " u="1"/>
        <s v="NANO CHIP VIVO PRE/POS PAGO 4G CO                 " u="1"/>
        <s v="NANO CHIP VIVO PRE/POS PAGO 4G MG                 " u="1"/>
        <s v="NANO CHIP VIVO PRE/POS PAGO 4G SUL                " u="1"/>
        <s v="NANO CHIP VIVO PRE/POS- PAGO 4G NE                " u="1"/>
        <s v="NANO CHIP VIVO PRE/POS-PAGO 4G RJ                 " u="1"/>
        <s v="NANO CHIP VIVO PRE/POS-PAGO 4G SP                 " u="1"/>
        <s v="BEBE CONFORTO VOYAGE AZ PR CAX00328 0 A 13KG      " u="1"/>
        <s v="BEBE CONFORTO VOYAGE RS PT CAX00329 0 A 13KG      " u="1"/>
        <s v="CEL. ZENFONE MAX SHOT4GB 64GB 4A006BR BLACK.      " u="1"/>
        <s v="CEL. CLARO LG H522 DUAL PRIME PLUS C90 TN CAM NE  " u="1"/>
        <s v="CEL. DESB. MOTO G7 PLUS 64GB INDIGO XT1965        " u="1"/>
        <s v="CEL. DESB. MOTO G7 POWER 32GB LILAC XT1955        " u="1"/>
        <s v="CEL. DESB. MOTO G7 POWER 64GB LILAC XT1955        " u="1"/>
        <s v="CEL. DESB. SAMS. GALAXY J4 PLUS COBRE J415        " u="1"/>
        <s v="CEL.DESB.APPLE IPHONE 6S PLUS 64GB ROSE MKU92B    " u="1"/>
        <s v="CEL.DESB.APPLE IPHONE 6S PLUS 16GB DR MKU32BZ/    " u="1"/>
        <s v="CEL.DESB.IPHONE 7 PLUS 32GB ROSE GOLD MNQQ2BZ     " u="1"/>
        <s v="CEL. CLARO LG H342F DUAL CHIP LEON 4G TN CAM N    " u="1"/>
        <s v="CEL. DESB. SAMS GALAXY J8 64GB VIOLETA J810.      " u="1"/>
        <s v="CERVEJEIRA CZD12AT TITANIUM 110V FF CONSUL        " u="1"/>
        <s v="CERVEJEIRA CZD12AT TITANIUM 220V FF CONSUL        " u="1"/>
        <s v="CARRO VOYAGE  REVERSIVEL AZ/PT IMP01382 15KG      " u="1"/>
        <s v="CARRO PASSEIO TUTTI BABY MAGNI 3900.53 CZ/AZ      " u="1"/>
        <s v="CEL. DESB. SONY D5833 XPERIA Z3 COMPACT BC CAM.   " u="1"/>
        <s v="CEL. DESB. SONY E2124 XPERIA E4 DUAL TV BC CAM.   " u="1"/>
        <s v="NANO CHIP POS PAGO ODA HRL (81/85) CLARO NE       " u="1"/>
        <s v="CEL MOTOROLA ONE ACTION 128GB AZUL DENIM XT2013   " u="1"/>
        <s v="CEL. DESB.ASUS ZENFONE 4 SELFIE 64GB DR ZD553KL.  " u="1"/>
        <s v="CEL. DESB.ASUS ZENFONE 4 SELFIE 64GB PT ZD553KL.  " u="1"/>
        <s v="REF DID 552L LG GR-GR-X248LKZ1 MONA 4 220V PTA    " u="1"/>
        <s v="REF DID 601L LG GC-X247CSA1 NEW LANCA 220V PTA    " u="1"/>
        <s v="REF DID 601L LG GC-X247CSAV NEW LANCA 110V PTA    " u="1"/>
        <s v="REF DID 716L LG GM86SDDB P-ND IN DOOR 110V PTA    " u="1"/>
        <s v="REF DID 716L LG GM86SDDB1P-ND IN DOOR 220V PTA    " u="1"/>
        <s v="REF FF 441L F.DOOR SAMS. RF62HERS1/AZ 110V INX    " u="1"/>
        <s v="REF FF 441L F.DOOR SAMS. RF62HERS1/BZ 220V INX    " u="1"/>
        <s v="CEL.DESB.IPHONE 7 PLUS 32GB ROSE GOLD MNQQ2BZ/A . " u="1"/>
        <s v="REF 540L BRAST BRO80AK SIDE INVERSE 110V PLAT     " u="1"/>
        <s v="REF 540L BRAST BRO80AK SIDE INVERSE 220V PLAT     " u="1"/>
        <s v="CARRO CHICCO LITE WAY BASIC 3 JET BLACK 15KG.     " u="1"/>
        <s v="CEL. DESB. LG K12 MAX PRETO3/32GB 20BMWABRAB .    " u="1"/>
        <s v="CEL. DESB. LG K9 TV DUAL PRETO LMX210BMW.ABRABK   " u="1"/>
        <s v="CEL. DESB. MULTILASER UP PLAY P9077 BRANCO.       " u="1"/>
        <s v="MOISES DREAMY GREY SAFETY 1ST                     " u="1"/>
        <s v="MOISES DREAMY GREY SAFETY 1ST..                   " u="1"/>
        <s v="CEL. DESB. MOTO G6 PLUS 64GB INDIGO ED LIM XT1926 " u="1"/>
        <s v="CEL. DESB. MOTO G7 PLAY 32GB ED ESPECIAL INDIGO   " u="1"/>
        <s v="CEL.DESB.APPLE IPHONE 6 PLUS 128GB DR MG9T2BZ/    " u="1"/>
        <s v="CEL. DESB. SAMS GALAXY A6 PLUS 64GB DR A605.      " u="1"/>
        <s v="CEL. DESB. SAMS GALAXY A6 PLUS 64GB PT A605.      " u="1"/>
        <s v="CEL. DESB. SAMS GALAXY J6 PLUS VERMELHO J610 .    " u="1"/>
        <s v="CEL. DESB. LG G7 DUAL PRETO LMG710EMW.ABRABK      " u="1"/>
        <s v="CEL DESB. ASUS ZENFONE GO LIVE BRANCO ZB551KL     " u="1"/>
        <s v="CEL. DESB. POSITIVO SELFIE S455 2 CHIPS DR CAM    " u="1"/>
        <s v="CEL. DESB. MOTO Z2 NEWSOUND ED OURO XT1710.       " u="1"/>
        <s v="CEL. DESB. MOTO Z2 NEWSOUND ED PLAT XT1710.       " u="1"/>
        <s v="CEL.DESB.SAMSUNG GALAXY J4 CORE COBRE J410.       " u="1"/>
        <s v="CEL. DESB.SAMS.G532 GALAXY J2 PRIME DUOS TV DR    " u="1"/>
        <s v="CEL.DESB.IPHONE 8 PLUS 256GB SPACE GRAY MQ8P2B    " u="1"/>
        <s v="CEL. DESB. MOTO Z2 POWER ED OURO XT1710-07        " u="1"/>
        <s v="CEL. DESB. SAMS GALAXY A8 PLUS 64GB DR A730.      " u="1"/>
        <s v="CEL. DESB. SAMS GALAXY A8 PLUS 64GB PT A730.      " u="1"/>
        <s v="CEL. DESB. MOTO. XT1556 MOTO G 16GB TURBO BC      " u="1"/>
        <s v="CEL. DESB. SAMS. I9300 GALAXY S3 NEO DUOS BC      " u="1"/>
        <s v="CADEIRA AUTO EVOLVE  G123 VM 9/36 KG              " u="1"/>
        <s v="CADEIRA AUTO SIMPLE SAFE  PRT/CI 0/25KG           " u="1"/>
        <s v="CADEIRA AUTO STATUS 0 A 25 KG PTO                 " u="1"/>
        <s v="CADEIRINHA ALFA VOYAGE PRETO VOYAGE               " u="1"/>
        <s v="CADEIRINHA ALFA VOYAGE PRETO VOYAGE ...           " u="1"/>
        <s v="CEL. DESB. ALCATEL 4034 LITE PIXI 4&quot; PT CAM       " u="1"/>
        <s v="CEL. DESB. ALCATEL OT4028 PIXI3 4.5&quot; PT CAM       " u="1"/>
        <s v="CEL. DESB. ALCATEL OT6039 IDOL 3 CZ/PT  CAM       " u="1"/>
        <s v="CEL. DESB. LG H540 G4 STYLUS DUAL TV BC CAM       " u="1"/>
        <s v="CEL. DESB. LG H540 G4 STYLUS DUAL TV TN CAM       " u="1"/>
        <s v="CEL. DESB. LG H736P G4 BEAT DUAL TN/PTA CAM       " u="1"/>
        <s v="CEL. DESB. MOTO. XT1600 G4 PLAY 16GB PT CAM       " u="1"/>
        <s v="CEL. DESB. MOTO. XT1626 MOTO G4 16GB PT CAM       " u="1"/>
        <s v="CEL. DESB. POSITIVO ONE S420 2 CHIPS DR CAM       " u="1"/>
        <s v="CEL. DESB. POSITIVO ONE S420 2 CHIPS PT CAM       " u="1"/>
        <s v="CEL. DESB. POSITIVO ONE S420 2 CHIPS RS CAM       " u="1"/>
        <s v="CEL. DESB. MOTO XT1635 Z PLAY SOUND ED32GB PT/    " u="1"/>
        <s v="CEL.DESB.APPLE IPHONE 6 PLUS 16GB CZ MG9M2BZ/A    " u="1"/>
        <s v="CEL.DESB.APPLE IPHONE 6 PLUS 16GB DR MG9P2BZ/A    " u="1"/>
        <s v="CEL.DESB.APPLE IPHONE 6S PLUS 16GB CZMKU12BZ/A    " u="1"/>
        <s v="CEL.DESB.IPHONE 11 PRO MAX 64GB GOLD MWHG2BZ/A    " u="1"/>
        <s v="CEL.DESB. LG Q6 PLUS LGM700TVA4RABK PRETO CAM.    " u="1"/>
        <s v="CEL. DESB. LG K10 POWER DUAL TV DOURADO M320      " u="1"/>
        <s v="CEL. DESB. ALCATEL 4034E PIXI4 4&quot; COLORS CAM      " u="1"/>
        <s v="CEL. DESB. ALCATEL 5010 LITE PIXI4 5&quot; PT CAM      " u="1"/>
        <s v="CEL. DESB. ALCATEL 5010E PIXI4 5&quot; COLORS CAM      " u="1"/>
        <s v="CEL. DESB. ALCATEL OT4009E PIXI3 3.5&quot; PT CAM      " u="1"/>
        <s v="CEL. DESB. LG D227 L50 SPORTY DUAL TV PT CAM      " u="1"/>
        <s v="CEL. DESB. MOTO XT1683 G5 PLUS AZ SAFIRA CAM      " u="1"/>
        <s v="CEL. DESB. SAMS. GALAXY J4 32GB VIOLETA J400      " u="1"/>
        <s v="CEL. DESB. SAMS. J3 GALAXY DUOS J320M DR CAM      " u="1"/>
        <s v="CEL. DESB. SAMS. J3 GALAXY DUOS J320M PT CAM      " u="1"/>
        <s v="CEL. DESB. SAMS. J700M GALAXY J7 DUOS BC CAM      " u="1"/>
        <s v="CEL. DESB. SAMS. J700M GALAXY J7 DUOS DR CAM      " u="1"/>
        <s v="TRIPLO CHIP CLARO POS PAGO 4G DDD 21 22 24.       " u="1"/>
        <s v="CEL. DESB. SAMS GALAXY J4 32GB VIOLETA J400       " u="1"/>
        <s v="CEL. DESB. SAMS GALAXY J6 32GB VIOLETA J600       " u="1"/>
        <s v="CEL. DESB. SAMS GALAXY J6 64GB VIOLETA J600       " u="1"/>
        <s v="CEL. DESB. ASUS ZENFONE MAX PLUS 32GB PRETO ZB570." u="1"/>
        <s v="CEL. CLARO SAMSUNG GALAXY J1 DUOS 4G CAM PT NE    " u="1"/>
        <s v="CEL. ZENFONE MAX SHOT4GB 64GB 4J009BR SILVER .    " u="1"/>
        <s v="CEL. DESB. SAMS. GALAXY S9 PLUS U.VIOLETA G9650   " u="1"/>
        <s v="CEL. DESB. ALCATEL 4034 LITE PIXI 4&quot; PT CAM .     " u="1"/>
        <s v="CEL. DESB. LG H540 G4 STYLUS DUAL TV BC CAM .     " u="1"/>
        <s v="CEL. DESB. LG H540 G4 STYLUS DUAL TV TN CAM .     " u="1"/>
        <s v="CEL. DESB. NOKIA ASHA 501 2CHIPS 4GB BC CAM .     " u="1"/>
        <s v="CEL. DESB. POSITIVO ONE S420 2 CHIPS DR CAM .     " u="1"/>
        <s v="CEL. DESB. POSITIVO ONE S420 2 CHIPS PT CAM .     " u="1"/>
        <s v="CEL. DESB. POSITIVO ONE S420 2 CHIPS RS CAM .     " u="1"/>
        <s v="CEL. DESB. SONY D6633 XPERIA Z3 DUAL BC CAM .     " u="1"/>
        <s v="CEL.DESB. SONY E2363 XPERIA M4 AQUA PTA CAM .     " u="1"/>
        <s v="CEL DESB.ASUS ZENFONE 4 SELFIE 64GB DR ZD553KL    " u="1"/>
        <s v="CEL DESB.ASUS ZENFONE 4 SELFIE 64GB PT ZD553KL    " u="1"/>
        <s v="CEL. DESB. XIAOMI REDMI NOTE 8 CX287BRA BRANCO    " u="1"/>
        <s v="CEL. DESB. MOTO G7 PLAY 32GB ED ESPECIAL INDIGO . " u="1"/>
        <s v="CEL. DESB. HUAWEI P30 LITE 128GB MIDNIGHT BLACK   " u="1"/>
        <s v="CEL. DESB. SONY XPERIA XA F3116 DUAL PT/GF CAM.   " u="1"/>
        <s v="CEL. CLARO ALCATEL OT4009E PIX 3 DUOS CAM PT RJ   " u="1"/>
        <s v="CEL. DESB. LG K10 POWER DUAL TV DOURADO M320.     " u="1"/>
        <s v="CEL. DESB. LENOXX CX905 PT/VM                    ." u="1"/>
        <s v="CEL. DESB. ALCATEL 4034E PIXI4 4&quot; COLORS CAM.     " u="1"/>
        <s v="CEL. DESB. ALCATEL 5010 LITE PIXI4 5&quot; PT CAM.     " u="1"/>
        <s v="CEL. DESB. ALCATEL 5010E PIXI4 5&quot; COLORS CAM.     " u="1"/>
        <s v="CEL. DESB. LG D227 L50 SPORTY DUAL TV PT CAM.     " u="1"/>
        <s v="CEL.DESB.APPLE IPHONE 6 PLUS 64GB PTA MG9V2BZ/    " u="1"/>
        <s v="CEL. DESB. MOTO E6 PLAY 32GB CINZA METALICO XT2029" u="1"/>
        <s v="CEL. DESB. MOTO. XT1544 MOTO G TV COLORS BC CA    " u="1"/>
        <s v="CEL. DESB. MOTO. XT1640 MOTO G PLUS 32GB BC CA    " u="1"/>
        <s v="CEL. DESB. SAMS. G318ML GALAXY ACE 4 NEO BC CA    " u="1"/>
        <s v="CEL. DESB. SAMS. G355 GALAXY CORE 2 DUOS BC CA    " u="1"/>
        <s v="MICRO CHIP POS PAGO D. CORTE HRL(81/85) CLARO     " u="1"/>
        <s v="REF 540L BRAST BRO80AB SIDE INVERSE 110V BC       " u="1"/>
        <s v="REF 540L BRAST BRO80AB SIDE INVERSE 220V BC       " u="1"/>
        <s v="CEL DESB. ASUS ZENFONE GO LIVE DOURADO ZB551KL    " u="1"/>
        <s v="CEL. DESB. HUAWEI P30 LITE 128GB PEACOCK BLUE.    " u="1"/>
        <s v="CEL. DESB. POSITIVO SELFIE S455 2 CHIPS PT CAM    " u="1"/>
        <s v="CEL.DESB. MOTO. XT1544 MOTO G TV COLORS PT CAM    " u="1"/>
        <s v="CEL. DESB. MOTO Z2 POWER ED PLATINUM XT1710       " u="1"/>
        <s v="CEL. DESB. SAMS GALAXY J8 64GB VIOLETA J810       " u="1"/>
        <s v="CEL. DESB. MOTO G7 PLAY 32GB INDIGO XT1952.       " u="1"/>
        <s v="CEL. CLARO ALCATEL OT4013 PIX 4 DUOS CAM PT SU    " u="1"/>
        <s v="CEL. CLARO SAMSUNG GALAXY J1 DUOS 4G CAM PT SU    " u="1"/>
        <s v="CEL. DESB. MOTO. XT1543 MOTO G COLORS 16GB PT     " u="1"/>
        <s v="CEL. DESB. SAMS. G925I GALAXY S6 EDGE 64GB PT     " u="1"/>
        <s v="CEL. CLARO SAMS.G530/G531 GRAN PRIME DUOS BC NE   " u="1"/>
        <s v="CEL. DESB.SONY XPERIA XA1 PLUS D GOLD G3426.      " u="1"/>
        <s v="CEL. DESB. SAMS GALAXY NOTE 8 128GB PT N950.      " u="1"/>
        <s v="CEL. DESB. MOTO G4 PLAY TV COLORS PT XT1603       " u="1"/>
        <s v="CEL.DESB.IPHONE 11 PRO 64GB MIDNIGHT GREEN MWC62BZ" u="1"/>
        <s v="CEL. DESB. ALCATEL 9008N A3 XL MAX 32GB DR.       " u="1"/>
        <s v="CEL. DESB. LG K12 PRIME AZUL 3/64GB 25BAW ABRABL. " u="1"/>
        <s v="CEL. DESB. SAMS. G800 GALAXY S5 MINI DUOS PT CAM  " u="1"/>
        <s v="CEL. DESB. SAMS.G110 GALAXY POCKET 2 DUOS PT CAM  " u="1"/>
        <s v="CEL. DESB. MOTO Z2 POWER ED PLATINUM XT1710 .     " u="1"/>
        <s v="CEL. DESB. SAMS GALAXY S9 ULTRAVIOLETA G9600      " u="1"/>
        <s v="CEL. DESB. SAMS. GALAXY J6 32GB VIOLETA J600      " u="1"/>
        <s v="CEL. DESB. SAMS. GALAXY J6 64GB VIOLETA J600      " u="1"/>
        <s v="CHIP POS-PAGO CLARO BA                            " u="1"/>
        <s v="CHIP PRE PAGO OI MSN NE (86).                     " u="1"/>
        <s v="CHIP PRE PAGO OI MSN NE (98).                     " u="1"/>
        <s v="CHIP PRE-PAGO CLARO DADOS CO                      " u="1"/>
        <s v="CHIP PRE-PAGO CLARO DADOS MG                      " u="1"/>
        <s v="CHIP PRE-PAGO CLARO DADOS RJ                      " u="1"/>
        <s v="CHIP PRE-PAGO CLARO DADOS SP                      " u="1"/>
        <s v="CHIP PRE-PAGO CLARO DADOS SUL                     " u="1"/>
        <s v="CHIP PRE-PAGO CLARO ODA CO                        " u="1"/>
        <s v="CHIP PRE-PAGO CLARO ODA NE                        " u="1"/>
        <s v="CHIP PRE-PAGO CLARO ODA RJ                        " u="1"/>
        <s v="CHIP PRE-PAGO CLARO ODA SP.                       " u="1"/>
        <s v="CHIP PRE-PAGO CLARO ODA SUL                       " u="1"/>
        <s v="CHIP PRE-PAGO OI MSN BA (71).                     " u="1"/>
        <s v="CHIP PRE-PAGO OI MSN BA (73).                     " u="1"/>
        <s v="CHIP PRE-PAGO OI MSN BA (74).                     " u="1"/>
        <s v="CHIP PRE-PAGO OI MSN BA (75).                     " u="1"/>
        <s v="CHIP PRE-PAGO OI MSN BA (77).                     " u="1"/>
        <s v="CHIP PRE-PAGO OI MSN CE (85).                     " u="1"/>
        <s v="CHIP PRE-PAGO OI MSN DF (61).                     " u="1"/>
        <s v="CHIP PRE-PAGO OI MSN GO (62).                     " u="1"/>
        <s v="CHIP PRE-PAGO OI MSN GO (64).                     " u="1"/>
        <s v="CHIP PRE-PAGO OI MSN MG (31)                      " u="1"/>
        <s v="CHIP PRE-PAGO OI MSN MG (31).                     " u="1"/>
        <s v="CHIP PRE-PAGO OI MSN MG (32).                     " u="1"/>
        <s v="CHIP PRE-PAGO OI MSN MG (33).                     " u="1"/>
        <s v="CHIP PRE-PAGO OI MSN MG (34).                     " u="1"/>
        <s v="CHIP PRE-PAGO OI MSN MG (35).                     " u="1"/>
        <s v="CHIP PRE-PAGO OI MSN MG (37).                     " u="1"/>
        <s v="CHIP PRE-PAGO OI MSN MG (38).                     " u="1"/>
        <s v="CHIP PRE-PAGO OI MSN MS (67).                     " u="1"/>
        <s v="CHIP PRE-PAGO OI MSN MT (65).                     " u="1"/>
        <s v="CHIP PRE-PAGO OI MSN MT (66).                     " u="1"/>
        <s v="CHIP PRE-PAGO OI MSN NE (81)                      " u="1"/>
        <s v="CHIP PRE-PAGO OI MSN NE (81).                     " u="1"/>
        <s v="CHIP PRE-PAGO OI MSN NE (82).                     " u="1"/>
        <s v="CHIP PRE-PAGO OI MSN NE (83)                      " u="1"/>
        <s v="CHIP PRE-PAGO OI MSN NE (83).                     " u="1"/>
        <s v="CHIP PRE-PAGO OI MSN NE (88).                     " u="1"/>
        <s v="CHIP PRE-PAGO OI MSN PE (87).                     " u="1"/>
        <s v="CHIP PRE-PAGO OI MSN PR (41)                      " u="1"/>
        <s v="CHIP PRE-PAGO OI MSN PR (41).                     " u="1"/>
        <s v="CHIP PRE-PAGO OI MSN PR (42).                     " u="1"/>
        <s v="CHIP PRE-PAGO OI MSN PR (43).                     " u="1"/>
        <s v="CHIP PRE-PAGO OI MSN PR (44).                     " u="1"/>
        <s v="CHIP PRE-PAGO OI MSN PR (45).                     " u="1"/>
        <s v="CHIP PRE-PAGO OI MSN RJ (21).                     " u="1"/>
        <s v="CHIP PRE-PAGO OI MSN RJ/INT (22).                 " u="1"/>
        <s v="CHIP PRE-PAGO OI MSN RJ/INT (24).                 " u="1"/>
        <s v="CHIP PRE-PAGO OI MSN RJ/INT (27).                 " u="1"/>
        <s v="CHIP PRE-PAGO OI MSN RJ/INT (28).                 " u="1"/>
        <s v="CHIP PRE-PAGO OI MSN RS (51).                     " u="1"/>
        <s v="CHIP PRE-PAGO OI MSN RS (53).                     " u="1"/>
        <s v="CHIP PRE-PAGO OI MSN RS (54).                     " u="1"/>
        <s v="CHIP PRE-PAGO OI MSN RS (55).                     " u="1"/>
        <s v="CHIP PRE-PAGO OI MSN SC (47).                     " u="1"/>
        <s v="CHIP PRE-PAGO OI MSN SC (48).                     " u="1"/>
        <s v="CHIP PRE-PAGO OI MSN SC (49).                     " u="1"/>
        <s v="CHIP PRE-PAGO OI MSN SE (79).                     " u="1"/>
        <s v="CHIP PRE-PAGO OI MSN SP (11) .                    " u="1"/>
        <s v="CHIP PRE-PAGO OI MSN SP/INT (12).                 " u="1"/>
        <s v="CHIP PRE-PAGO OI MSN SP/INT (13).                 " u="1"/>
        <s v="CHIP PRE-PAGO OI MSN SP/INT (14).                 " u="1"/>
        <s v="CHIP PRE-PAGO OI MSN SP/INT (15).                 " u="1"/>
        <s v="CHIP PRE-PAGO OI MSN SP/INT (16).                 " u="1"/>
        <s v="CHIP PRE-PAGO OI MSN SP/INT (17).                 " u="1"/>
        <s v="CHIP PRE-PAGO OI MSN SP/INT (18).                 " u="1"/>
        <s v="CHIP PRE-PAGO OI MSN SP/INT (19).                 " u="1"/>
        <s v="CHIP PRE-PAGO OI MSN TO (63).                     " u="1"/>
        <s v="CHIP PRE-PAGO OI RN (84).                         " u="1"/>
        <s v="CHIP PRE-PAGO TIM DF (61)                         " u="1"/>
        <s v="CHIP PRE-PAGO TIM ODA CO                          " u="1"/>
        <s v="CHIP PRE-PAGO TIM ODA SUL                         " u="1"/>
        <s v="CHIP PRE-PAGO TIM RS (51) .                       " u="1"/>
        <s v="CHIP PRE-PAGO TIM RS (54) .                       " u="1"/>
        <s v="CHIP PRE-PAGO VIVO ODA CO                         " u="1"/>
        <s v="CHIP PRE-PAGO VIVO ODA SUL                        " u="1"/>
        <s v="CEL.MOTOROLA ONE HYPER 128GB VERMELHO AMBAR       " u="1"/>
        <s v="CEL. DESB. XIAOMI REDMI NOTE 8 CX287PRE PRETO     " u="1"/>
        <s v="CEL.DESB.APPLE IPHONE 6S PLUS 64GB DR MKU82BZ/    " u="1"/>
        <s v="CEL. DESB. MOTO G4 PLAY TV COLORS PT XT1603 .     " u="1"/>
        <s v="REF SBS 575L SAMSUNG RH58K6567SL/AZ 110V INX LK   " u="1"/>
        <s v="CEL. DESB. SAMS GALAXY A6 PLUS 64GB DR A605       " u="1"/>
        <s v="CEL. DESB. SAMS GALAXY A6 PLUS 64GB PT A605       " u="1"/>
        <s v="TRIPLO CHIP CLARO ODA 4G UNIVERSAL PRE/CONTROLE . " u="1"/>
        <s v="CEL. CLARO ALCATEL OT3000H 3CHIPS PT CAM CO       " u="1"/>
        <s v="CEL. CLARO LG D125 L30 2 CHIPS PT/VM CAM CO       " u="1"/>
        <s v="CEL. DESB. ALCATEL 9008N A3 XL MAX 32GB CZ        " u="1"/>
        <s v="CEL.DESB.APPLE IPHONE SE 16GB GOLD MLXM2BZ        " u="1"/>
        <s v="CEL.DESB.APPLE IPHONE SE 64GB GOLD MLXP2BZ        " u="1"/>
        <s v="CEL.DESB.IPHONE 6S 128GB ROSE GOLD MKQW2BZ        " u="1"/>
        <s v="CEL.DESB.IPHONE 7 PLUS 128GB BLACK MN4M2BZ        " u="1"/>
        <s v="CEL. DESB. LG K9 TV DUAL DOURADO LMX210BMWABRAKG  " u="1"/>
        <s v="CEL. DESB. ALCATEL 4009I PIXI3 3,5&quot; PT/PK CAM     " u="1"/>
        <s v="CEL. DESB. ALCATEL 4009I PIXI3 3-5&quot; PT/PK CAM     " u="1"/>
        <s v="CEL. DESB. ALCATEL 4034E PIXI4 4&quot; METALIC CAM     " u="1"/>
        <s v="CEL. DESB. MOTO. XT1514 MOTOE 16GB COL BC CAM     " u="1"/>
        <s v="CEL. DESB. MOTO. XT1523 MOTO E 16GB TV BC CAM     " u="1"/>
        <s v="CEL. DESB. MOTO. XT1523 MOTO E 16GB TV PT CAM     " u="1"/>
        <s v="CEL. DESB. SAMS G130 GALAXY YOUNG 2 TV BC CAM     " u="1"/>
        <s v="CEL. DESB. SAMS. G900MD GALAXY S5 DUOS PT CAM     " u="1"/>
        <s v="CEL. DESB. SAMS. S7582 GALAXY S DUOS 2 BC CAM     " u="1"/>
        <s v="CEL.DESB. LG Q6 LGM700TV.ABRAKG ROSE GOLD CAM     " u="1"/>
        <s v="CEL. DESB. SAMS GALAXY J2 PRO 16GB PRETO J250.    " u="1"/>
        <s v="CEL. DESB. POSITIVO TWIST MINI S430 DOURADO       " u="1"/>
        <s v="CEL. DESB. SONY XPERIA XZ PREMIUM G8141 PT.       " u="1"/>
        <s v="CEL.DESB.APPLE IPHONE 6S PLUS 128GB DR MKUF2BZ    " u="1"/>
        <s v="CEL. DESB. SAMS. G903 GAL. S5 NEW EDITON PT CAM   " u="1"/>
        <s v="CEL. DESB. MOTO. XT1543 MOTO G COLORS 16GB BC     " u="1"/>
        <s v="CEL. DESB. SAMS. G925I GALAXY S6 EDGE 64GB BC     " u="1"/>
        <s v="CEL. DESB.SAMS.G532 GALAXY J2 PRIME DUOS TV PT    " u="1"/>
        <s v="CEL. DESB. MOTO G7 PLUS 64GB INDIGO XT1965.       " u="1"/>
        <s v="CEL. DESB. SAMS. G925I GALAXY S6 EDGE 64GB DR     " u="1"/>
        <s v="CEL. CLARO SONY E2306 XPERIA M4 AQUA BC CAM SP    " u="1"/>
        <s v="CEL. TIM SAMS. GRAN PRIME G530H DUOS CZ CAM SP    " u="1"/>
        <s v="REF FF 435L PANASONIC NR-BT50BD3XA 110V INOX      " u="1"/>
        <s v="REF FF 435L PANASONIC NR-BT50BD3XB 220V INOX      " u="1"/>
        <s v="CEL. DESB. SAMS. GALAXY A8 PLUS 64GB DR A730      " u="1"/>
        <s v="CEL. DESB. SAMS. GALAXY A8 PLUS 64GB PT A730      " u="1"/>
        <s v="CEL. DESB. SAMS. GALAXY J8 64GB VIOLETA J810      " u="1"/>
        <s v="CEL. DESB. POSITIVO TWIST MINI S430 DOURADO .     " u="1"/>
        <s v="CEL. CLARO ALCATEL ONETOUCH 4007 2CHIP PTCAM SUL  " u="1"/>
        <s v="CEL. DESB. LG K9 TV DUAL DOURADO LMX210BMW.ABRAKG " u="1"/>
        <s v="CEL.DESB.IPHONE 11 PRO MAX 64GB SPACE GREY MWHD2BZ" u="1"/>
        <s v="CEL. DESB. MOTO Z3 PLAY POWER DTV INDIGO XT1929   " u="1"/>
        <s v="MICRO CHIP POS-PAGO DUPLO CORTE TIM NE (71) .     " u="1"/>
        <s v="MICRO CHIP POS-PAGO DUPLO CORTE TIM NE (81) .     " u="1"/>
        <s v="MICRO CHIP POS-PAGO DUPLO CORTE TIM RJ (21) .     " u="1"/>
        <s v="CEL. DESB. SAMS.G920I GALAXY S6 FLAT 32GB BCCA    " u="1"/>
        <s v="REF FF 573L BRASTEMP BRE80AB INVERSE 110V BC      " u="1"/>
        <s v="REF FF 573L BRASTEMP BRE80AB INVERSE 220V BC      " u="1"/>
        <s v="CEL.DESB.APPLE IPHONE 6S 64GB ROSE GOLD MKQR2B    " u="1"/>
        <s v="CEL. DESB. LG K9 TV DUAL AZUL LMX210BMWABRABL     " u="1"/>
        <s v="CEL.DESB.IPHONE 6S PLUS 128GB SPACE GRAY MKUBZ    " u="1"/>
        <s v="TRIPLO CHIP PRE PAGO VIVO ODA SP                  " u="1"/>
        <s v="TRIPLO CHIP PRE-PAGO CLARO ODA BA .               " u="1"/>
        <s v="TRIPLO CHIP PRE-PAGO CLARO ODA CO .               " u="1"/>
        <s v="TRIPLO CHIP PRE-PAGO CLARO ODA MG .               " u="1"/>
        <s v="TRIPLO CHIP PRE-PAGO CLARO ODA RJ .               " u="1"/>
        <s v="TRIPLO CHIP PRE-PAGO CLARO ODA SP .               " u="1"/>
        <s v="TRIPLO CHIP PRE-PAGO CLARO ODA SUL.               " u="1"/>
        <s v="TRIPLO CHIP PRE-PAGO OI ODA MG .                  " u="1"/>
        <s v="TRIPLO CHIP PRE-PAGO OI ODA NE (I) .              " u="1"/>
        <s v="TRIPLO CHIP PRE-PAGO OI ODA NE (II) .             " u="1"/>
        <s v="TRIPLO CHIP PRE-PAGO OI ODA RJ                    " u="1"/>
        <s v="TRIPLO CHIP PRE-PAGO OI ODA RJ .                  " u="1"/>
        <s v="TRIPLO CHIP PRE-PAGO OI ODA SP .                  " u="1"/>
        <s v="TRIPLO CHIP PRE-PAGO OI ODA SUL/CO                " u="1"/>
        <s v="TRIPLO CHIP PRE-PAGO OI ODA SUL/CO.               " u="1"/>
        <s v="TRIPLO CHIP PRE-PAGO TIM ODA CO .                 " u="1"/>
        <s v="TRIPLO CHIP PRE-PAGO TIM ODA MG .                 " u="1"/>
        <s v="TRIPLO CHIP PRE-PAGO TIM ODA NE .                 " u="1"/>
        <s v="TRIPLO CHIP PRE-PAGO TIM ODA RJ .                 " u="1"/>
        <s v="TRIPLO CHIP PRE-PAGO TIM ODA SP .                 " u="1"/>
        <s v="TRIPLO CHIP PRE-PAGO TIM ODA SUL.                 " u="1"/>
        <s v="TRIPLO CHIP PRE-PAGO VIVO ODA CO.                 " u="1"/>
        <s v="TRIPLO CHIP PRE-PAGO VIVO ODA MG.                 " u="1"/>
        <s v="TRIPLO CHIP PRE-PAGO VIVO ODA NE .                " u="1"/>
        <s v="TRIPLO CHIP PRE-PAGO VIVO ODA RJ.                 " u="1"/>
        <s v="TRIPLO CHIP PRE-PAGO VIVO ODA SUL .               " u="1"/>
        <s v="CEL.DESB.IPHONE 11 PRO 64GB SPACE GREY MWC22BZ/A  " u="1"/>
        <s v="CEL. DESB. SAMS. GALAXY J2 PRO 16GB DR J250       " u="1"/>
        <s v="CEL. DESB. SAMS. GALAXY NOTE 8 64GB PT N950       " u="1"/>
        <s v="CEL. DESB. SAMS. GALAXY S9 PLUS CINZA G9650       " u="1"/>
        <s v="CEL. DESB. SAMS. GALAXY S9 PLUS PRETO G9650       " u="1"/>
        <s v="CEL. DESB.SONY XPERIA XA1 DUAL BLACK G3116.       " u="1"/>
        <s v="SEF FF 435L PANASONIC NR-BT47BD2X 220V ACO/ESC    " u="1"/>
        <s v="CEL. DESB. POSITIVO QUATTRO X435 2 CHIPS PT CA.   " u="1"/>
        <s v="CEL.DESB.APPLE IPHONE 5S 16GB PTA ME433BZ/A IM    " u="1"/>
        <s v="CEL.DESB.APPLE IPHONE 5S 32GB PTA ME436BZ/A IM    " u="1"/>
        <s v="CEL DESB MOTO Z3 PLAY PROJETOR INDIGO XT1929      " u="1"/>
        <s v="CEL. DESB. ASUS ZENFONE 464GB PRETO ZE554KL.      " u="1"/>
        <s v="CEL.DESB.IPHONE 8 PLUS 64GB GOLD MQ8N2BZ/A .      " u="1"/>
        <s v="CEL. DESB. LG K9 TV DUAL AZUL LMX210BMW.ABRABL    " u="1"/>
        <s v="REF FF 573L BRASTEMP BRE80AK INVERSE 110V EVOX    " u="1"/>
        <s v="REF FF 573L BRASTEMP BRE80AK INVERSE 220V EVOX    " u="1"/>
        <s v="REF FF 460L BRASTEMP BRE59AKB  220V - EVOX        " u="1"/>
        <s v="REF FF 606L F.DOOR SAMSUNG RF28HM 110V INX        " u="1"/>
        <s v="REF FF 606L F.DOOR SAMSUNG RF28HM 220V INX        " u="1"/>
        <s v="CEL. DESB. MOTO Z2 POWER ED OURO XT1710-07.       " u="1"/>
        <s v="CEL DESB. ASUS ZENFONE ZOOM BRANCO ZX551ML        " u="1"/>
        <s v="CEL. DESB. MOTO Z3 PLAY POWER DTV INDIGO XT1929 . " u="1"/>
        <s v="CEL. DESB. LG K11 PLUS DUAL PRETO LMX410BCW       " u="1"/>
        <s v="CEL. DESB. SAMS. J105 GALAXY J1 MINI DUOS BC C    " u="1"/>
        <s v="CEL. DESB. SAMS. J110L GALAXY J1 ACE DUOS BC C    " u="1"/>
        <s v="CEL. DESB. SAMS.G531 GAL. GRAN PRIME DUOS BC C    " u="1"/>
        <s v="CEL. DESB. SAMS.G925I GALAXY S6 EDGE 32GB BC C    " u="1"/>
        <s v="TRIPLO CHIP VIVO 4G UNIVERSAL PRE/CONTROLE .      " u="1"/>
        <s v="CEL. DESB. SONY E2363 XPERIA M4 AQUA DUAL PT C.   " u="1"/>
        <s v="CEL. DESB. SONY E6533 XPERIA Z3 PLUS DUAL PT C.   " u="1"/>
        <s v="CEL. DESB. SAMS. GALAXY J7 PRIME 2 PRETO G611     " u="1"/>
        <s v="CEL.DESB.IPHONE 6S 128GB SPACE GRAY MKQT2BZ       " u="1"/>
        <s v="CEL. DESB. LG K12 PLUS DUAL PRETO LMX420BMW.ABRABK" u="1"/>
        <s v="CEL.DESB.IPHONE 7 PLUS ROSE GOLD 128GB MN4U2BZ/A  " u="1"/>
        <s v="CEL. DESB. SAMS. G130 GALAXY YOUNG 2 TV CZ CAM    " u="1"/>
        <s v="CEL.DESB.APPLE IPHONE SE 16GB SPACE GRAY MLLN2    " u="1"/>
        <s v="CEL MOTOROLA ONE MACRO 64GB AZUL ESPACIAL XT2016 ." u="1"/>
        <s v="CEL.DESB.APPLE IPHONE 5S 16GB PTA ME433BR/A       " u="1"/>
        <s v="CEL.DESB.APPLE IPHONE 5S 32GB PTA ME436BR/A       " u="1"/>
        <s v="CEL.DESB.APPLE IPHONE 6 128GB PTA MG3F2BR/A       " u="1"/>
        <s v="CEL.DESB.APPLE IPHONE 6S 16GB PTA MKQK2BR/A       " u="1"/>
        <s v="CEL.DESB.APPLE IPHONE 6S 64GB PTA MKQP2BZ/A       " u="1"/>
        <s v="CEL.DESB.IPHONE 6S 32GB ROSE GOLD MN122BR/A       " u="1"/>
        <s v="CEL.DESB.IPHONE 6S ROSE GOLD 32GB MN122BR/A       " u="1"/>
        <s v="CEL.DESB.IPHONE 7 128GB JET BLACK MN962BR/A       " u="1"/>
        <s v="CEL.DESB.IPHONE 7 128GB ROSE GOLD MN952BR/A       " u="1"/>
        <s v="CEL.DESB.IPHONE 7 PLUS BLACK 32GB MNQM2BZ/A       " u="1"/>
        <s v="CEL.DESB.IPHONE 8 64GB SPACE GRAY MQ6G2BR/A       " u="1"/>
        <s v="CEL.DESB.IPHONE 8 64GB SPACE GRAY MQ6G2BZ/A       " u="1"/>
        <s v="CEL.DESB.IPHONE 8 PLUS 256GB GOLD MQ8R2BR/A       " u="1"/>
        <s v="CEL.DESB.IPHONE 8 PLUS 256GB GOLD MQ8R2BZ/A       " u="1"/>
        <s v="CEL.DESB.IPHONE 8 SPACE GRAY 64GB MQ6G2BR/A       " u="1"/>
        <s v="CEL.DESB.IPHONE SE 32GB ROSE GOLD MP852BR/A       " u="1"/>
        <s v="CEL.DESB.IPHONE X SPACE GRAY 64GB MQAC2BZ/A       " u="1"/>
        <s v="CEL. DESB. LG K11 PLUS DUAL PRETO LMX410BCW .     " u="1"/>
        <s v="CEL. DESB. LG K12 MAX PLATINUM3/32GB 20BMWABRAB.  " u="1"/>
        <s v="CEL. DESB. SAMS. GALAXY NOTE 8 128GB PT N950      " u="1"/>
        <s v="CEL. DESB. ASUS ZENFONE ZOOM BRANCO ZX551ML.      " u="1"/>
        <s v="REF SBS 765L SAMSUNG RH77H90507H 110V INX LK      " u="1"/>
        <s v="CEL. DESB. MOTO G7 PLAY 32GB ED ESPECIAL OURO     " u="1"/>
        <s v="CEL.DESB.MOTO XT1710-07 SOUND ED Z2 PLAY OURO     " u="1"/>
        <s v="REF FF 425L PANASONIC NR-BB53PV3XA 110V ACO       " u="1"/>
        <s v="REF FF 425L PANASONIC NR-BB53PV3XB 220V ACO       " u="1"/>
        <s v="CEL. DESB. ASUS ZENFONE GO LIVE BRANCO ZB551KL .  " u="1"/>
        <s v="CEL. CLARO SAMSUNG J7 GALAXY DUOS PT SP           " u="1"/>
        <s v="CEL. DESB  GALAXY NOTE 10+ PRATA                  " u="1"/>
        <s v="CEL. DESB GALAXY A50 128GB PRETO.                 " u="1"/>
        <s v="CEL. DESB. ALCATEL 1C 5033 PT                     " u="1"/>
        <s v="CEL. DESB. ALCATEL 1C 5033 PT .                   " u="1"/>
        <s v="CEL. DESB. ALCATEL 3C 5026 PT                     " u="1"/>
        <s v="CEL. DESB. ALCATEL 3C 5026 PT .                   " u="1"/>
        <s v="CEL. DESB. ALCATEL 4009I PIXI3 3.                 " u="1"/>
        <s v="CEL. DESB. ALCATEL 4017F PIXI4 3.                 " u="1"/>
        <s v="CEL. DESB. ALCATEL 4034EL PT                      " u="1"/>
        <s v="CEL. DESB. ALCATEL 5016J POP3 5&quot; PTA CAM          " u="1"/>
        <s v="CEL. DESB. ALCATEL 5016J POP3 5&quot; PTA CAM.         " u="1"/>
        <s v="CEL. DESB. ALCATEL 5016J POP3.                    " u="1"/>
        <s v="CEL. DESB. ALCATEL 5046 A3 5 4G PT CAM.           " u="1"/>
        <s v="CEL. DESB. ALCATEL 5051 POP4,5&quot; BC CAM            " u="1"/>
        <s v="CEL. DESB. ALCATEL 5051 POP4.                     " u="1"/>
        <s v="CEL. DESB. ALCATEL 5085J A5 LED 16GB PTA          " u="1"/>
        <s v="CEL. DESB. ALCATEL 5085J A5 LED 16GB PTA.         " u="1"/>
        <s v="CEL. DESB. ALCATEL 5085N A5 MAX 32GB PT           " u="1"/>
        <s v="CEL. DESB. ALCATEL 5085N A5 MAX 32GB PT .         " u="1"/>
        <s v="CEL. DESB. ALCATEL 8050 PIXI4 6&quot; PT CAM           " u="1"/>
        <s v="CEL. DESB. ALCATEL 8050 PIXI4 6&quot; PT CAM .         " u="1"/>
        <s v="CEL. DESB. ALCATEL 8050E PIXI4,6&quot; PT CAM          " u="1"/>
        <s v="CEL. DESB. ALCATEL 8050E PIXI4.                   " u="1"/>
        <s v="CEL. DESB. ALCATEL 9008 A3 XL CZ CAM              " u="1"/>
        <s v="CEL. DESB. ALCATEL 9008 A3 XL CZ CAM.             " u="1"/>
        <s v="CEL. DESB. ALCATEL 9008 A3 XL DR CAM              " u="1"/>
        <s v="CEL. DESB. ALCATEL 9008 A3 XL DR CAM.             " u="1"/>
        <s v="CEL. DESB. ALCATEL OT3000 TRIBE 3CHIPS PT         " u="1"/>
        <s v="CEL. DESB. ALCATEL OT7040 C7 DUAL BC CAM          " u="1"/>
        <s v="CEL. DESB. ALCATEL OT7040 C7 DUAL BC CAM.         " u="1"/>
        <s v="CEL. DESB. ASUS ZENFONE 3 PRETO ZE520KL.          " u="1"/>
        <s v="CEL. DESB. GALAXY A30S PRETO                      " u="1"/>
        <s v="CEL. DESB. GALAXY A80 128GB PRETO SAMSUNG         " u="1"/>
        <s v="CEL. DESB. GALAXY A80 128GB ROSE SAMSUNG          " u="1"/>
        <s v="CEL. DESB. HUAWEI P30 PRO 256GB AURORA.           " u="1"/>
        <s v="CEL. DESB. HUAWEI P30 PRO 256GB BLACK.            " u="1"/>
        <s v="CEL. DESB. LENOVO VIBE A7010 32G PT CAM           " u="1"/>
        <s v="CEL. DESB. LENOVO VIBE B 8GB PT                   " u="1"/>
        <s v="CEL. DESB. LENOVO VIBE C2 16GB PT CAM             " u="1"/>
        <s v="CEL. DESB. LENOVO VIBE K5 16GB DR CAM             " u="1"/>
        <s v="CEL. DESB. LENOVO VIBE K5 16GB DR CAM .           " u="1"/>
        <s v="CEL. DESB. LENOVO VIBE K5 16GB GFT CAM            " u="1"/>
        <s v="CEL. DESB. LENOVO VIBE K5 16GB GFT CAM.           " u="1"/>
        <s v="CEL. DESB. LENOXX CX903 BC/LL                     " u="1"/>
        <s v="CEL. DESB. LENOXX CX903 PT/VM                     " u="1"/>
        <s v="CEL. DESB. LENOXX CX904 BC/LILAS                  " u="1"/>
        <s v="CEL. DESB. LENOXX CX904 BC/LILAS.                 " u="1"/>
        <s v="CEL. DESB. LENOXX CX904 PT/VM                     " u="1"/>
        <s v="CEL. DESB. LENOXX CX904 PT/VM.                    " u="1"/>
        <s v="CEL. DESB. LENOXX CX906 PRETO                     " u="1"/>
        <s v="CEL. DESB. LENOXX CX906 PRETO .                   " u="1"/>
        <s v="CEL. DESB. LENOXX CX908 PT                        " u="1"/>
        <s v="CEL. DESB. LENOXX CX908 PT .                      " u="1"/>
        <s v="CEL. DESB. LG A395 QUAD CHIP PT CAM               " u="1"/>
        <s v="CEL. DESB. LG A395 QUAD CHIP PT CAM .             " u="1"/>
        <s v="CEL. DESB. LG B220 2CHIPS PT                      " u="1"/>
        <s v="CEL. DESB. LG B220 2CHIPS PT.                     " u="1"/>
        <s v="CEL. DESB. LG B525 T200 2CHIPS PTA CAM            " u="1"/>
        <s v="CEL. DESB. LG B525 T200 2CHIPS PTA CAM.           " u="1"/>
        <s v="CEL. DESB. LG C299 4CHIPS PT CAM                  " u="1"/>
        <s v="CEL. DESB. LG C299 4CHIPS PT CAM.                 " u="1"/>
        <s v="CEL. DESB. LG D107 L20 3CHIPS PT/VM CAM           " u="1"/>
        <s v="CEL. DESB. LG D107 L20 3CHIPS PT/VM CAM .         " u="1"/>
        <s v="CEL. DESB. LG D175 L40 DUAL TV BC                 " u="1"/>
        <s v="CEL. DESB. LG D175 L40 DUAL TV BC .               " u="1"/>
        <s v="CEL. DESB. LG D285 L65 DUAL BC CAM                " u="1"/>
        <s v="CEL. DESB. LG D285 L65 DUAL BC CAM.               " u="1"/>
        <s v="CEL. DESB. LG D337 L PRIME DUAL TV PT CAM         " u="1"/>
        <s v="CEL. DESB. LG D410 L90 DUAL BC CAM                " u="1"/>
        <s v="CEL. DESB. LG D410 L90 DUAL BC CAM.               " u="1"/>
        <s v="CEL. DESB. LG D805 OPTIMUS G2 BC CAM              " u="1"/>
        <s v="CEL. DESB. LG D805 OPTIMUS G2 BC CAM.             " u="1"/>
        <s v="CEL. DESB. LG D855P G3 BC CAM                     " u="1"/>
        <s v="CEL. DESB. LG D855P G3 BC CAM .                   " u="1"/>
        <s v="CEL. DESB. LG D855P G3 TN CAM                     " u="1"/>
        <s v="CEL. DESB. LG D855P G3 TN CAM .                   " u="1"/>
        <s v="CEL. DESB. LG E475F L1 3CHIPS BC CAM              " u="1"/>
        <s v="CEL. DESB. LG E475F L1 3CHIPS BC CAM.             " u="1"/>
        <s v="CEL. DESB. LG E977 OPTIMUS G PT CAM               " u="1"/>
        <s v="CEL. DESB. LG E977 OPTIMUS G PT CAM .             " u="1"/>
        <s v="CEL. DESB. LG G6 64GB PLATINUM H870I              " u="1"/>
        <s v="CEL. DESB. LG G6 64GB PLATINUM H870I.             " u="1"/>
        <s v="CEL. DESB. LG G6 64GB PRETO H870I                 " u="1"/>
        <s v="CEL. DESB. LG G6 64GB PRETO H870I .               " u="1"/>
        <s v="CEL. DESB. LG G6 PLATINUM H870                    " u="1"/>
        <s v="CEL. DESB. LG G6 PLATINUM H870.                   " u="1"/>
        <s v="CEL. DESB. LG G6 PRETO H870                       " u="1"/>
        <s v="CEL. DESB. LG G6 PRETO H870 .                     " u="1"/>
        <s v="CEL. DESB. LG G8S6GB/128GB PRETO.                 " u="1"/>
        <s v="CEL. DESB. LG H222F JOY DUAL AZ CAM               " u="1"/>
        <s v="CEL. DESB. LG H222F JOY DUAL AZ CAM .             " u="1"/>
        <s v="CEL. DESB. LG H222F JOY DUAL BC CAM               " u="1"/>
        <s v="CEL. DESB. LG H222F JOY DUAL BC CAM .             " u="1"/>
        <s v="CEL. DESB. LG H222F JOY DUAL PT CAM               " u="1"/>
        <s v="CEL. DESB. LG H222F JOY DUAL PT CAM .             " u="1"/>
        <s v="CEL. DESB. LG H326 LEON DUAL TV BC CAM            " u="1"/>
        <s v="CEL. DESB. LG H326 LEON DUAL TV BC CAM.           " u="1"/>
        <s v="CEL. DESB. LG H342F LEON 4G DUAL TN CAM           " u="1"/>
        <s v="CEL. DESB. LG H342F LEON 4G DUAL TN CAM .         " u="1"/>
        <s v="CEL. DESB. LG H422 VOLT DUAL TV BC CAM            " u="1"/>
        <s v="CEL. DESB. LG H422 VOLT DUAL TV BC CAM.           " u="1"/>
        <s v="CEL. DESB. LG H422 VOLT DUAL TV TN CAM            " u="1"/>
        <s v="CEL. DESB. LG H422 VOLT DUAL TV TN CAM.           " u="1"/>
        <s v="CEL. DESB. LG H442F VOLT 4G DUAL TN CAM           " u="1"/>
        <s v="CEL. DESB. LG H502F PRIME PLUS BC CAM             " u="1"/>
        <s v="CEL. DESB. LG H502F PRIME PLUS BC CAM .           " u="1"/>
        <s v="CEL. DESB. LG H502F PRIME PLUS TN CAM             " u="1"/>
        <s v="CEL. DESB. LG H502F PRIME PLUS TN CAM .           " u="1"/>
        <s v="CEL. DESB. LG H522F PRIME PLUS 4G BC CAM          " u="1"/>
        <s v="CEL. DESB. LG H522F PRIME PLUS 4G TN CAM          " u="1"/>
        <s v="CEL. DESB. LG H736P G4 BEAT DUAL BC CAM           " u="1"/>
        <s v="CEL. DESB. LG H736P G4 BEAT DUAL BC CAM .         " u="1"/>
        <s v="CEL. DESB. LG H736P G4 BEAT DUAL DR CAM           " u="1"/>
        <s v="CEL. DESB. LG H736P G4 BEAT DUAL DR CAM .         " u="1"/>
        <s v="CEL. DESB. LG H815 G4 COURO MR CAM                " u="1"/>
        <s v="CEL. DESB. LG H815 G4 COURO MR CAM.               " u="1"/>
        <s v="CEL. DESB. LG H818P G4 DUAL COURO PT CAM          " u="1"/>
        <s v="CEL. DESB. LG H818P G4 DUAL COURO PT CAM.         " u="1"/>
        <s v="CEL. DESB. LG H818P G4 DUAL DR CAM                " u="1"/>
        <s v="CEL. DESB. LG H818P G4 DUAL DR CAM.               " u="1"/>
        <s v="CEL. DESB. LG H818P G4 DUAL TN CAM                " u="1"/>
        <s v="CEL. DESB. LG H818P G4 DUAL TN CAM.               " u="1"/>
        <s v="CEL. DESB. LG H840 G5 SE DR CAM                   " u="1"/>
        <s v="CEL. DESB. LG H840 G5 SE DR CAM .                 " u="1"/>
        <s v="CEL. DESB. LG K10 DUAL DOURADO M250               " u="1"/>
        <s v="CEL. DESB. LG K10 DUAL DOURADO M250 .             " u="1"/>
        <s v="CEL. DESB. LG K10 DUAL PT M250                    " u="1"/>
        <s v="CEL. DESB. LG K10 DUAL PT M250.                   " u="1"/>
        <s v="CEL. DESB. LG K10 DUAL TV AZUL K430               " u="1"/>
        <s v="CEL. DESB. LG K10 DUAL TV AZUL K430 .             " u="1"/>
        <s v="CEL. DESB. LG K10 DUAL TV DOURADO K430            " u="1"/>
        <s v="CEL. DESB. LG K10 POWER DUAL TV AZUL M320         " u="1"/>
        <s v="CEL. DESB. LG K130F K4 DUAL AZ CAM                " u="1"/>
        <s v="CEL. DESB. LG K130F K4 DUAL AZ CAM.               " u="1"/>
        <s v="CEL. DESB. LG K130F K4 DUAL BC CAM                " u="1"/>
        <s v="CEL. DESB. LG K130F K4 DUAL BC CAM.               " u="1"/>
        <s v="CEL. DESB. LG K200 X STYLE DR CAM                 " u="1"/>
        <s v="CEL. DESB. LG K200 X STYLE DR CAM .               " u="1"/>
        <s v="CEL. DESB. LG K200 X STYLE TN CAM                 " u="1"/>
        <s v="CEL. DESB. LG K200 X STYLE TN CAM .               " u="1"/>
        <s v="CEL. DESB. LG K220 X POWER DR CAM                 " u="1"/>
        <s v="CEL. DESB. LG K220 X POWER DR CAM .               " u="1"/>
        <s v="CEL. DESB. LG K220 X POWER PT/AZ CAM              " u="1"/>
        <s v="CEL. DESB. LG K220 X POWER PT/AZ CAM.             " u="1"/>
        <s v="CEL. DESB. LG K350DS K8 DUAL AZ CAM               " u="1"/>
        <s v="CEL. DESB. LG K350DS K8 DUAL AZ CAM .             " u="1"/>
        <s v="CEL. DESB. LG K350DS K8 DUAL DR CAM               " u="1"/>
        <s v="CEL. DESB. LG K350DS K8 DUAL DR CAM .             " u="1"/>
        <s v="CEL. DESB. LG K4 DUAL CHOCOLATE X230              " u="1"/>
        <s v="CEL. DESB. LG K4 DUAL CHOCOLATE X230.             " u="1"/>
        <s v="CEL. DESB. LG K4 DUAL TITAN X230                  " u="1"/>
        <s v="CEL. DESB. LG K4 DUAL TITAN X230 .                " u="1"/>
        <s v="CEL. DESB. LG K4 LITE DUAL DOURADO X230           " u="1"/>
        <s v="CEL. DESB. LG K4 LITE DUAL DOURADO X230 .         " u="1"/>
        <s v="CEL. DESB. LG K4 LITE DUAL PRETO X230             " u="1"/>
        <s v="CEL. DESB. LG K4 LITE DUAL PRETO X230 .           " u="1"/>
        <s v="CEL. DESB. LG K40S 3GB/32GB PRETO.                " u="1"/>
        <s v="CEL. DESB. LG K430 K10 DUAL TV BC CAM             " u="1"/>
        <s v="CEL. DESB. LG K500 X SCREEN PTO CAM               " u="1"/>
        <s v="CEL. DESB. LG K500 X SCREEN PTO CAM .             " u="1"/>
        <s v="CEL. DESB. LG K500 X SCREEN RS/DR CAM             " u="1"/>
        <s v="CEL. DESB. LG K500 X SCREEN RS/DR CAM .           " u="1"/>
        <s v="CEL. DESB. LG K50S 3GB/32GB AZUL                  " u="1"/>
        <s v="CEL. DESB. LG K50S 3GB/32GB PRETO                 " u="1"/>
        <s v="CEL. DESB. LG K580 X CAM DR CAM                   " u="1"/>
        <s v="CEL. DESB. LG K580 X CAM ROSE CAM                 " u="1"/>
        <s v="CEL. DESB. LG K580 X CAM ROSE CAM .               " u="1"/>
        <s v="CEL. DESB. LG K580 X CAM TN CAM                   " u="1"/>
        <s v="CEL. DESB. LG K580 X CAM TN CAM .                 " u="1"/>
        <s v="CEL. DESB. LG X240 K8 DUAL AZ CAM                 " u="1"/>
        <s v="CEL. DESB. LG X240 K8 DUAL AZ CAM .               " u="1"/>
        <s v="CEL. DESB. LG X240 K8 DUAL DR CAM                 " u="1"/>
        <s v="CEL. DESB. LG X240 K8 DUAL DR CAM .               " u="1"/>
        <s v="CEL. DESB. LGG8S 6GB/128GB BRANCO                 " u="1"/>
        <s v="CEL. DESB. LUMIA 530 R DUAL BC CAM.               " u="1"/>
        <s v="CEL. DESB. LUMIA 530 R DUAL PT CAM.               " u="1"/>
        <s v="CEL. DESB. LUMIA 630 2CHIP TV BC CAM.             " u="1"/>
        <s v="CEL. DESB. LUMIA 630 2CHIP TV PT CAM.             " u="1"/>
        <s v="CEL. DESB. MOTO C PLUS OURO 16GB XT1726           " u="1"/>
        <s v="CEL. DESB. MOTO C PLUS OURO 8GB XT1726            " u="1"/>
        <s v="CEL. DESB. MOTO C PLUS PRETO 16GB XT1726          " u="1"/>
        <s v="CEL. DESB. MOTO C PLUS PRETO 8GB XT1726           " u="1"/>
        <s v="CEL. DESB. MOTO E4 AZ SAFIRA XT1763               " u="1"/>
        <s v="CEL. DESB. MOTO E4 OURO ROSE NEW XT1763           " u="1"/>
        <s v="CEL. DESB. MOTO E4 OURO RS XT1763                 " u="1"/>
        <s v="CEL. DESB. MOTO E4 PLUS OURO XT1773               " u="1"/>
        <s v="CEL. DESB. MOTO E4 PLUS TITANIUM XT1773           " u="1"/>
        <s v="CEL. DESB. MOTO E4 PLUS TITANIUM XT1773 .         " u="1"/>
        <s v="CEL. DESB. MOTO E4 TITANIUM XT1763                " u="1"/>
        <s v="CEL. DESB. MOTO E4 TITANIUM XT1763.               " u="1"/>
        <s v="CEL. DESB. MOTO E5 16GB OURO XT1944               " u="1"/>
        <s v="CEL. DESB. MOTO E5 16GB OURO XT1944 .             " u="1"/>
        <s v="CEL. DESB. MOTO E5 16GB PLATINUM XT1944           " u="1"/>
        <s v="CEL. DESB. MOTO E5 32GB OURO XT1944               " u="1"/>
        <s v="CEL. DESB. MOTO E5 32GB OURO XT1944 .             " u="1"/>
        <s v="CEL. DESB. MOTO E5 32GB PLATINUM XT1944           " u="1"/>
        <s v="CEL. DESB. MOTO E5 OURO XT1944                    " u="1"/>
        <s v="CEL. DESB. MOTO E5 PLATINUM XT1944                " u="1"/>
        <s v="CEL. DESB. MOTO E5 PLAY OURO XT1920               " u="1"/>
        <s v="CEL. DESB. MOTO E5 PLAY OURO XT1920 .             " u="1"/>
        <s v="CEL. DESB. MOTO E5 PLAY PRETO XT1920              " u="1"/>
        <s v="CEL. DESB. MOTO E5 PLAY PRETO XT1920.             " u="1"/>
        <s v="CEL. DESB. MOTO E5 PLUS GRAFITE XT1924            " u="1"/>
        <s v="CEL. DESB. MOTO E5 PLUS OURO XT1924               " u="1"/>
        <s v="CEL. DESB. MOTO E6 PLUS 32GB RUBI XT2025          " u="1"/>
        <s v="CEL. DESB. MOTO E6 PLUS 32GB RUBI XT2025.         " u="1"/>
        <s v="CEL. DESB. MOTO E6 PLUS 64GB RUBI XT2025          " u="1"/>
        <s v="CEL. DESB. MOTO G5 OURO XT1672                    " u="1"/>
        <s v="CEL. DESB. MOTO G5 PLATINUM  XT1672               " u="1"/>
        <s v="CEL. DESB. MOTO G5 PLUS OURO XT1683               " u="1"/>
        <s v="CEL. DESB. MOTO G5 PLUS PLATINUM XT1683           " u="1"/>
        <s v="CEL. DESB. MOTO G5S OURO XT1792                   " u="1"/>
        <s v="CEL. DESB. MOTO G5S OURO XT1792 .                 " u="1"/>
        <s v="CEL. DESB. MOTO G5S PLATINUM XT1792               " u="1"/>
        <s v="CEL. DESB. MOTO G5S PLATINUM XT1792 .             " u="1"/>
        <s v="CEL. DESB. MOTO G5S PLUS OURO ROSE XT1802         " u="1"/>
        <s v="CEL. DESB. MOTO G5S PLUS PLATINUM XT1802          " u="1"/>
        <s v="CEL. DESB. MOTO G5S PLUS PLATINUM XT1802.         " u="1"/>
        <s v="CEL. DESB. MOTO G5S SILVER XT1792                 " u="1"/>
        <s v="CEL. DESB. MOTO G6 32GB INDIGO XT1925             " u="1"/>
        <s v="CEL. DESB. MOTO G6 32GB INDIGO XT1925 .           " u="1"/>
        <s v="CEL. DESB. MOTO G6 64GB OURO ROSE XT1925          " u="1"/>
        <s v="CEL. DESB. MOTO G6 64GB OURO ROSE XT1925.         " u="1"/>
        <s v="CEL. DESB. MOTO G6 64GB PRETO XT1925              " u="1"/>
        <s v="CEL. DESB. MOTO G6 64GB PRETO XT1925.             " u="1"/>
        <s v="CEL. DESB. MOTO G6 PLAY INDIGO XT1922             " u="1"/>
        <s v="CEL. DESB. MOTO G6 PLAY INDIGO XT1922 .           " u="1"/>
        <s v="CEL. DESB. MOTO G6 PLAY OURO XT1922               " u="1"/>
        <s v="CEL. DESB. MOTO G6 PLUS INDIGO XT1926             " u="1"/>
        <s v="CEL. DESB. MOTO G6 PLUS INDIGO XT1926 .           " u="1"/>
        <s v="CEL. DESB. MOTO G6 PLUS TOPAZIO XT1926            " u="1"/>
        <s v="CEL. DESB. MOTO G7 64GB ONIX XT1962               " u="1"/>
        <s v="CEL. DESB. MOTO G7 64GB ONIX XT1962.              " u="1"/>
        <s v="CEL. DESB. MOTO G7 64GB POLAR XT1962              " u="1"/>
        <s v="CEL. DESB. MOTO G7 64GB POLAR XT1962.             " u="1"/>
        <s v="CEL. DESB. MOTO G7 PLAY 32GB OURO XT1952          " u="1"/>
        <s v="CEL. DESB. MOTO G7 PLUS 64GB RUBI XT1965          " u="1"/>
        <s v="CEL. DESB. MOTO G7 PLUS 64GB RUBI XT1965.         " u="1"/>
        <s v="CEL. DESB. MOTO X4 PRETO XT1900                   " u="1"/>
        <s v="CEL. DESB. MOTO X4 PRETO XT1900 .                 " u="1"/>
        <s v="CEL. DESB. MOTO XT1225 MOTO MAXX PT CAM.          " u="1"/>
        <s v="CEL. DESB. MOTO XT1603 G4 PLAY TV DR/BC           " u="1"/>
        <s v="CEL. DESB. MOTO XT1603 G4 PLAY TV DR/BC .         " u="1"/>
        <s v="CEL. DESB. MOTO XT1635 Z  PLAY 32GB PT/PR         " u="1"/>
        <s v="CEL. DESB. MOTO XT1635 ZPLAY 32GB PT/PR .         " u="1"/>
        <s v="CEL. DESB. MOTO XT1640 G4 PLUS BAMBOO CAM         " u="1"/>
        <s v="CEL. DESB. MOTO Z2 PLAY AZUL TOPAZ XT1710         " u="1"/>
        <s v="CEL. DESB. MOTO Z2 PLAY OURO XT1710               " u="1"/>
        <s v="CEL. DESB. MOTO Z2 PLAY OURO XT1710 .             " u="1"/>
        <s v="CEL. DESB. MOTO Z2 PLAY PLATINUM XT1710           " u="1"/>
        <s v="CEL. DESB. MOTO Z3 PLAY INDIGO XT1929             " u="1"/>
        <s v="CEL. DESB. MOTO Z3 PLAY INDIGO XT1929 .           " u="1"/>
        <s v="CEL. DESB. MOTO. XT1068 MOTO G 8GB PT CAM         " u="1"/>
        <s v="CEL. DESB. MOTO. XT1097 MOTO X BM CAM             " u="1"/>
        <s v="CEL. DESB. MOTO. XT1097 MOTO X PT CAM             " u="1"/>
        <s v="CEL. DESB. MOTO. XT1225 MOTO MAXX PT CAM          " u="1"/>
        <s v="CEL. DESB. MOTO. XT1514 MOTO E 8GB PT CAM         " u="1"/>
        <s v="CEL. DESB. MOTOROLA ONE BRANCO XT1941             " u="1"/>
        <s v="CEL. DESB. MOTOROLA ONE PRETO XT1941              " u="1"/>
        <s v="CEL. DESB. MULTILASER MS50L CINZA.                " u="1"/>
        <s v="CEL. DESB. POSITIVO NEXT X500 PT CAM              " u="1"/>
        <s v="CEL. DESB. POSITIVO NEXT X500 PT CAM.             " u="1"/>
        <s v="CEL. DESB. POSITIVO P20 PT                        " u="1"/>
        <s v="CEL. DESB. POSITIVO P20 PT.                       " u="1"/>
        <s v="CEL. DESB. POSITIVO P25 2CHIPS PT CAM             " u="1"/>
        <s v="CEL. DESB. POSITIVO P25 2CHIPS PT CAM .           " u="1"/>
        <s v="CEL. DESB. POSITIVO P26 PT                        " u="1"/>
        <s v="CEL. DESB. POSITIVO P28 2 CHIPS PT CAM            " u="1"/>
        <s v="CEL. DESB. POSITIVO P28 2 CHIPS PT CAM.           " u="1"/>
        <s v="CEL. DESB. POSITIVO P50 3CHIPS PT CAM             " u="1"/>
        <s v="CEL. DESB. POSITIVO P50 3CHIPS PT CAM .           " u="1"/>
        <s v="CEL. DESB. POSITIVO P65 2CHIPS PT CAM             " u="1"/>
        <s v="CEL. DESB. POSITIVO P65 2CHIPS PT CAM .           " u="1"/>
        <s v="CEL. DESB. POSITIVO P70S 2 CHIPS PTKAIOS.         " u="1"/>
        <s v="CEL. DESB. POSITIVO S440 2CHIPS PT CAM            " u="1"/>
        <s v="CEL. DESB. POSITIVO S440 2CHIPS PT CAM.           " u="1"/>
        <s v="CEL. DESB. POSITIVO S550 BC CAM                   " u="1"/>
        <s v="CEL. DESB. POSITIVO S550 BC CAM .                 " u="1"/>
        <s v="CEL. DESB. POSITIVO TWIST 2 GO S541 PRETO         " u="1"/>
        <s v="CEL. DESB. POSITIVO TWIST 2018 S511 CINZA         " u="1"/>
        <s v="CEL. DESB. POSITIVO TWIST 2018 S511 ROSA          " u="1"/>
        <s v="CEL. DESB. POSITIVO TWIST 2018 S511 ROSA.         " u="1"/>
        <s v="CEL. DESB. POSITIVO TWIST S555 XL CZ CAM          " u="1"/>
        <s v="CEL. DESB. POSITIVO TWIST S555 XL CZ CAM.         " u="1"/>
        <s v="CEL. DESB. POSITIVO TWIST S555 XL RS CAM          " u="1"/>
        <s v="CEL. DESB. POSITIVO TWIST S555 XL RS CAM.         " u="1"/>
        <s v="CEL. DESB. POSITIVO X400 PT CAM                   " u="1"/>
        <s v="CEL. DESB. POSITIVO X400 PT CAM .                 " u="1"/>
        <s v="CEL. DESB. POSITIVO X800 BC CAM                   " u="1"/>
        <s v="CEL. DESB. POSITIVO X800 BC CAM .                 " u="1"/>
        <s v="CEL. DESB. POSITIVO X800 DR CAM                   " u="1"/>
        <s v="CEL. DESB. POSITIVO X800 DR CAM .                 " u="1"/>
        <s v="CEL. DESB. POSITIVO X800 PT CAM                   " u="1"/>
        <s v="CEL. DESB. POSITIVO X800 PT CAM .                 " u="1"/>
        <s v="CEL. DESB. QUANTUM MUV AZ CAM .                   " u="1"/>
        <s v="CEL. DESB. QUANTUM MUV GOLD CAM .                 " u="1"/>
        <s v="CEL. DESB. QUANTUM MUV PRO AZ CAM .               " u="1"/>
        <s v="CEL. DESB. QUANTUM MUV PRO GOLD CAM .             " u="1"/>
        <s v="CEL. DESB. QUANTUM MUV PRO ROSE GOLD CAM.         " u="1"/>
        <s v="CEL. DESB. SAMS GALAXY A20 AZUL A205              " u="1"/>
        <s v="CEL. DESB. SAMS GALAXY A20 AZUL A205 .            " u="1"/>
        <s v="CEL. DESB. SAMS GALAXY A20 VERMELHO A205          " u="1"/>
        <s v="CEL. DESB. SAMS GALAXY A30 AZUL A305 .            " u="1"/>
        <s v="CEL. DESB. SAMS GALAXY A30 BRANCO A305 .          " u="1"/>
        <s v="CEL. DESB. SAMS GALAXY A30 PRETO A305.            " u="1"/>
        <s v="CEL. DESB. SAMS GALAXY A50 BRANCO A505 .          " u="1"/>
        <s v="CEL. DESB. SAMS GALAXY A50 PRETO A505.            " u="1"/>
        <s v="CEL. DESB. SAMS GALAXY A7 64GB AZ A750 .          " u="1"/>
        <s v="CEL. DESB. SAMS GALAXY A7 64GB PT A750 .          " u="1"/>
        <s v="CEL. DESB. SAMS GALAXY A70 AZUL A705 .            " u="1"/>
        <s v="CEL. DESB. SAMS GALAXY A70 BRANCO A705.           " u="1"/>
        <s v="CEL. DESB. SAMS GALAXY A70 PRETO A705.            " u="1"/>
        <s v="CEL. DESB. SAMS GALAXY A8 64GB DR A530 .          " u="1"/>
        <s v="CEL. DESB. SAMS GALAXY A8 64GB PT A530 .          " u="1"/>
        <s v="CEL. DESB. SAMS GALAXY A9 AZUL A920.              " u="1"/>
        <s v="CEL. DESB. SAMS GALAXY A9 PT A920.                " u="1"/>
        <s v="CEL. DESB. SAMS GALAXY A9 ROSA A920.              " u="1"/>
        <s v="CEL. DESB. SAMS GALAXY J1 MINI DR J105.           " u="1"/>
        <s v="CEL. DESB. SAMS GALAXY J1 MINI PT J105 .          " u="1"/>
        <s v="CEL. DESB. SAMS GALAXY J2 CORE PTA J260           " u="1"/>
        <s v="CEL. DESB. SAMS GALAXY J4 16GB PT J400            " u="1"/>
        <s v="CEL. DESB. SAMS GALAXY J4 16GB PT J400 .          " u="1"/>
        <s v="CEL. DESB. SAMS GALAXY J4 32GB DR J400            " u="1"/>
        <s v="CEL. DESB. SAMS GALAXY J4 32GB DR J400 .          " u="1"/>
        <s v="CEL. DESB. SAMS GALAXY J4 32GB PT J400            " u="1"/>
        <s v="CEL. DESB. SAMS GALAXY J4 32GB PT J400 .          " u="1"/>
        <s v="CEL. DESB. SAMS GALAXY J4 32GB PTA J400           " u="1"/>
        <s v="CEL. DESB. SAMS GALAXY J4 32GB PTA J400.          " u="1"/>
        <s v="CEL. DESB. SAMS GALAXY J4 CORE PT J410 .          " u="1"/>
        <s v="CEL. DESB. SAMS GALAXY J4 PLUS PT J415 .          " u="1"/>
        <s v="CEL. DESB. SAMS GALAXY J5 PRIME DR G570.          " u="1"/>
        <s v="CEL. DESB. SAMS GALAXY J5 PRO DR J530             " u="1"/>
        <s v="CEL. DESB. SAMS GALAXY J5 PRO DR J530.            " u="1"/>
        <s v="CEL. DESB. SAMS GALAXY J5 PRO PT J530             " u="1"/>
        <s v="CEL. DESB. SAMS GALAXY J5 PRO PT J530.            " u="1"/>
        <s v="CEL. DESB. SAMS GALAXY J6 32GB DR J600            " u="1"/>
        <s v="CEL. DESB. SAMS GALAXY J6 32GB DR J600 .          " u="1"/>
        <s v="CEL. DESB. SAMS GALAXY J6 32GB PT J600            " u="1"/>
        <s v="CEL. DESB. SAMS GALAXY J6 32GB PT J600 .          " u="1"/>
        <s v="CEL. DESB. SAMS GALAXY J6 32GB PTA J600           " u="1"/>
        <s v="CEL. DESB. SAMS GALAXY J6 32GB PTA J600.          " u="1"/>
        <s v="CEL. DESB. SAMS GALAXY J6 64GB PT J600            " u="1"/>
        <s v="CEL. DESB. SAMS GALAXY J6 64GB PT J600 .          " u="1"/>
        <s v="CEL. DESB. SAMS GALAXY J6 64GB PTA J600           " u="1"/>
        <s v="CEL. DESB. SAMS GALAXY J6 64GB PTA J600.          " u="1"/>
        <s v="CEL. DESB. SAMS GALAXY J7 PRO AZ J730.            " u="1"/>
        <s v="CEL. DESB. SAMS GALAXY J7 PRO DR J730.            " u="1"/>
        <s v="CEL. DESB. SAMS GALAXY J7 PRO PT J730.            " u="1"/>
        <s v="CEL. DESB. SAMS GALAXY J8 64GB PRATA J810         " u="1"/>
        <s v="CEL. DESB. SAMS GALAXY J8 64GB PRETO J810         " u="1"/>
        <s v="CEL. DESB. SAMS GALAXY S10 128GB AZ .             " u="1"/>
        <s v="CEL. DESB. SAMS GALAXY S10 128GB BR .             " u="1"/>
        <s v="CEL. DESB. SAMS GALAXY S10 E 128GB AM .           " u="1"/>
        <s v="CEL. DESB. SAMS GALAXY S10 E 128GB AZ.            " u="1"/>
        <s v="CEL. DESB. SAMS GALAXY S10 E 128GB BR .           " u="1"/>
        <s v="CEL. DESB. SAMS GALAXY S10 E 128GB PT             " u="1"/>
        <s v="CEL. DESB. SAMS GALAXY S10 E 128GB PT.            " u="1"/>
        <s v="CEL. DESB. SAMS GALAXY S10 PLUS 128GB AZ.         " u="1"/>
        <s v="CEL. DESB. SAMS GALAXY S10 PLUS 128GB BR.         " u="1"/>
        <s v="CEL. DESB. SAMS GALAXY S10 PLUS 128GB PT.         " u="1"/>
        <s v="CEL. DESB. SAMS GALAXY S8 AME G950F.              " u="1"/>
        <s v="CEL. DESB. SAMS GALAXY S8 PLUS PT G955F.          " u="1"/>
        <s v="CEL. DESB. SAMS GALAXY S8 PLUS PTA G955F.         " u="1"/>
        <s v="CEL. DESB. SAMS GALAXY S8 PT G950F                " u="1"/>
        <s v="CEL. DESB. SAMS GALAXY S8 PT G950F .              " u="1"/>
        <s v="CEL. DESB. SAMS GALAXY S8 PTA G950F               " u="1"/>
        <s v="CEL. DESB. SAMS GALAXY S8 PTA G950F.              " u="1"/>
        <s v="CEL. DESB. SAMS GALAXY S9 CINZA G9600             " u="1"/>
        <s v="CEL. DESB. SAMS GALAXY S9 PRETO G9600             " u="1"/>
        <s v="CEL. DESB. SAMS. A3 2016 GALAXY A310M DR          " u="1"/>
        <s v="CEL. DESB. SAMS. A3 2016 GALAXY A310M PT          " u="1"/>
        <s v="CEL. DESB. SAMS. A300 GAL. A3 DUOS BC CAM         " u="1"/>
        <s v="CEL. DESB. SAMS. A300 GAL. A3 DUOS PT CAM         " u="1"/>
        <s v="CEL. DESB. SAMS. A500 GAL. A5 DUOS BC CAM         " u="1"/>
        <s v="CEL. DESB. SAMS. A500 GAL. A5 DUOS DR CAM         " u="1"/>
        <s v="CEL. DESB. SAMS. A500 GAL. A5 DUOS PT CAM         " u="1"/>
        <s v="CEL. DESB. SAMS. A9 GALAXY A910F DR               " u="1"/>
        <s v="CEL. DESB. SAMS. G900 GALAXY S5 BC CAM            " u="1"/>
        <s v="CEL. DESB. SAMS. G900 GALAXY S5 PT CAM            " u="1"/>
        <s v="CEL. DESB. SAMS. GALAXY A10 AZUL A105             " u="1"/>
        <s v="CEL. DESB. SAMS. GALAXY A10 PRETO A105            " u="1"/>
        <s v="CEL. DESB. SAMS. GALAXY A10 VERMELHO A105         " u="1"/>
        <s v="CEL. DESB. SAMS. GALAXY A20 AZUL A205             " u="1"/>
        <s v="CEL. DESB. SAMS. GALAXY A20 PRETO A205            " u="1"/>
        <s v="CEL. DESB. SAMS. GALAXY A20 VERMELHO A205         " u="1"/>
        <s v="CEL. DESB. SAMS. GALAXY A30 AZUL A305             " u="1"/>
        <s v="CEL. DESB. SAMS. GALAXY A30 BRANCO A305           " u="1"/>
        <s v="CEL. DESB. SAMS. GALAXY A30 PRETO A305            " u="1"/>
        <s v="CEL. DESB. SAMS. GALAXY A5 64GB DR A520           " u="1"/>
        <s v="CEL. DESB. SAMS. GALAXY A5 64GB PT A520           " u="1"/>
        <s v="CEL. DESB. SAMS. GALAXY A50 AZUL A505             " u="1"/>
        <s v="CEL. DESB. SAMS. GALAXY A50 BRANCO A505           " u="1"/>
        <s v="CEL. DESB. SAMS. GALAXY A50 PRETO A505            " u="1"/>
        <s v="CEL. DESB. SAMS. GALAXY A7 64GB AZ A750           " u="1"/>
        <s v="CEL. DESB. SAMS. GALAXY A7 64GB DR A720           " u="1"/>
        <s v="CEL. DESB. SAMS. GALAXY A7 64GB PT A720           " u="1"/>
        <s v="CEL. DESB. SAMS. GALAXY A7 64GB PT A750           " u="1"/>
        <s v="CEL. DESB. SAMS. GALAXY A8 64GB DR A530           " u="1"/>
        <s v="CEL. DESB. SAMS. GALAXY A8 64GB PT A530           " u="1"/>
        <s v="CEL. DESB. SAMS. GALAXY A9 AZUL A920              " u="1"/>
        <s v="CEL. DESB. SAMS. GALAXY A9 PT A920                " u="1"/>
        <s v="CEL. DESB. SAMS. GALAXY A9 ROSA A920              " u="1"/>
        <s v="CEL. DESB. SAMS. GALAXY J1 2016 BC J120H          " u="1"/>
        <s v="CEL. DESB. SAMS. GALAXY J1 2016 DR J120H          " u="1"/>
        <s v="CEL. DESB. SAMS. GALAXY J1 2016 PT J120H          " u="1"/>
        <s v="CEL. DESB. SAMS. GALAXY J1 MINI DR J105.          " u="1"/>
        <s v="CEL. DESB. SAMS. GALAXY J1 MINI PT J105           " u="1"/>
        <s v="CEL. DESB. SAMS. GALAXY J2 CORE PT J260           " u="1"/>
        <s v="CEL. DESB. SAMS. GALAXY J2 CORE PTA J260          " u="1"/>
        <s v="CEL. DESB. SAMS. GALAXY J4 16GB PT J400           " u="1"/>
        <s v="CEL. DESB. SAMS. GALAXY J4 32GB DR J400           " u="1"/>
        <s v="CEL. DESB. SAMS. GALAXY J4 32GB PT J400           " u="1"/>
        <s v="CEL. DESB. SAMS. GALAXY J4 32GB PTA J400          " u="1"/>
        <s v="CEL. DESB. SAMS. GALAXY J4 CORE AZUL J410         " u="1"/>
        <s v="CEL. DESB. SAMS. GALAXY J4 CORE PT J410           " u="1"/>
        <s v="CEL. DESB. SAMS. GALAXY J4 PLUS PT J415           " u="1"/>
        <s v="CEL. DESB. SAMS. GALAXY J4 PLUS ROSA J415         " u="1"/>
        <s v="CEL. DESB. SAMS. GALAXY J5 DUOS DR J500           " u="1"/>
        <s v="CEL. DESB. SAMS. GALAXY J5 DUOS PT J500           " u="1"/>
        <s v="CEL. DESB. SAMS. GALAXY J5 METAL DR J510          " u="1"/>
        <s v="CEL. DESB. SAMS. GALAXY J5 METAL PT J510          " u="1"/>
        <s v="CEL. DESB. SAMS. GALAXY J5 PRIME DR G570          " u="1"/>
        <s v="CEL. DESB. SAMS. GALAXY J5 PRIME PTO G570         " u="1"/>
        <s v="CEL. DESB. SAMS. GALAXY J5 PRIME RS G570          " u="1"/>
        <s v="CEL. DESB. SAMS. GALAXY J5 PRO DR J530            " u="1"/>
        <s v="CEL. DESB. SAMS. GALAXY J5 PRO PT J530            " u="1"/>
        <s v="CEL. DESB. SAMS. GALAXY J6 32GB DR J600           " u="1"/>
        <s v="CEL. DESB. SAMS. GALAXY J6 32GB PT J600           " u="1"/>
        <s v="CEL. DESB. SAMS. GALAXY J6 32GB PTA J600          " u="1"/>
        <s v="CEL. DESB. SAMS. GALAXY J6 64GB PT J600           " u="1"/>
        <s v="CEL. DESB. SAMS. GALAXY J6 64GB PTA J600          " u="1"/>
        <s v="CEL. DESB. SAMS. GALAXY J7 DUOS PT J700M          " u="1"/>
        <s v="CEL. DESB. SAMS. GALAXY J7 NEO TV DR J701         " u="1"/>
        <s v="CEL. DESB. SAMS. GALAXY J7 PRIME DR G610          " u="1"/>
        <s v="CEL. DESB. SAMS. GALAXY J7 PRIME PT G610          " u="1"/>
        <s v="CEL. DESB. SAMS. GALAXY J7 PRIME RS G610          " u="1"/>
        <s v="CEL. DESB. SAMS. GALAXY J7 PRO AZ J730            " u="1"/>
        <s v="CEL. DESB. SAMS. GALAXY J7 PRO DR J730            " u="1"/>
        <s v="CEL. DESB. SAMS. GALAXY J7 PRO PT J730            " u="1"/>
        <s v="CEL. DESB. SAMS. GALAXY S8 AME G950F              " u="1"/>
        <s v="CEL. DESB. SAMS. GALAXY S8 PLUS AME G955F         " u="1"/>
        <s v="CEL. DESB. SAMS. GALAXY S8 PLUS PT G955F          " u="1"/>
        <s v="CEL. DESB. SAMS. GALAXY S8 PT G950F               " u="1"/>
        <s v="CEL. DESB. SAMS. GALAXY S8 PTA G950F              " u="1"/>
        <s v="CEL. DESB. SAMS. GALAXY S9 CINZA G9600            " u="1"/>
        <s v="CEL. DESB. SAMS. GALAXY S9 PRETO G9600            " u="1"/>
        <s v="CEL. DESB. SAMS. I8200 S3 MINI BC CAM             " u="1"/>
        <s v="CEL. DESB. SAMS. I8200 S3 MINI CZ CAM             " u="1"/>
        <s v="CEL. DESB. SAMSUNG GALAXY A51 AZUL                " u="1"/>
        <s v="CEL. DESB. SAMSUNG GALAXY A51 BRANCO              " u="1"/>
        <s v="CEL. DESB. SAMSUNG GALAXY A71 AZUL                " u="1"/>
        <s v="CEL. DESB. SAMSUNG GALAXY A71 PRATA.              " u="1"/>
        <s v="CEL. DESB. SAMSUNG GALAXY A71 PRETO               " u="1"/>
        <s v="CEL. DESB. SAMSUNG GALAXY S10 LITE AZUL           " u="1"/>
        <s v="CEL. DESB. SAMSUNG GALAXY S10 LITE BRANCO         " u="1"/>
        <s v="CEL. DESB. SAMSUNG GALAXY S10 LITE PRETO          " u="1"/>
        <s v="CEL. DESB. SONY D6543 XPERIA Z2 BC CAM.           " u="1"/>
        <s v="CEL. DESB. SONY E5643 XPERIA M5 DR CAM.           " u="1"/>
        <s v="CEL. DESB. SONY E5643 XPERIA M5 PT CAM.           " u="1"/>
        <s v="CEL. DESB. SONY E6603 XPERIA Z5 PT CAM.           " u="1"/>
        <s v="CEL. DESB. SONY XPERIA E3 D2212 PT CAM.           " u="1"/>
        <s v="CEL. DESB. SONY XPERIA E5 F3313 BC CAM.           " u="1"/>
        <s v="CEL. DESB. SONY XPERIA E5 F3313 PT CAM.           " u="1"/>
        <s v="CEL. DESB. SONY XPERIA XA DUAL BC F3116 .         " u="1"/>
        <s v="CEL. DESB. SONY XPERIA XZ F8331 AZ CAM.           " u="1"/>
        <s v="CEL. DESB.SONY XPERIA XZ1 BLACK G8341 .           " u="1"/>
        <s v="CEL. DESB.SONY XPERIA XZ1 ROSE G8341.             " u="1"/>
        <s v="CEL. TIM ALCATEL 10-11 2CHIPS PT CO               " u="1"/>
        <s v="CEL. TIM ALCATEL 10-11 2CHIPS PT RJ               " u="1"/>
        <s v="CEL. TIM ALCATEL 10-11 2CHIPS PT SP               " u="1"/>
        <s v="CEL. TIM ALCATEL OT228 2CHIPS BC SP               " u="1"/>
        <s v="CEL. TIM ALCATEL POP C3 PT CAM SP                 " u="1"/>
        <s v="CEL. TIM LG A275 2CHIPS PT SP                     " u="1"/>
        <s v="CEL. TIM LG A275 2CHIPS PT SP .                   " u="1"/>
        <s v="CEL. TIM MOTOROLA MOTO E 4G DUAL CAM SP           " u="1"/>
        <s v="CEL. TIM MOTOROLA MOTO E 4G DUAL CAM SP .         " u="1"/>
        <s v="CEL. TIM POSITIVO P30  PT CAM SP                  " u="1"/>
        <s v="CEL. TIM POSITIVO P30PT CAM SP.                   " u="1"/>
        <s v="CEL. TIM SAMS. GALAXY S3 SLIM PT CAM SP           " u="1"/>
        <s v="CEL. VIVO LG D300 FIREFOX PT CAM MG               " u="1"/>
        <s v="CEL. VIVO SAM.I8190 GAL.S3 MINI GF CAM SP         " u="1"/>
        <s v="CEL. VIVO SONY XPERIA L C2104 PT CAM SP .         " u="1"/>
        <s v="CEL.DESB ASUS ZENFONE 5 64GB PTO ZE620KL          " u="1"/>
        <s v="CEL.DESB GALAXY NOTE 10 PRATA.                    " u="1"/>
        <s v="CEL.DESB GALAXY NOTE 10 PRETO                     " u="1"/>
        <s v="CEL.DESB GALAXY NOTE 10 PRETO.                    " u="1"/>
        <s v="CEL.DESB. GALAXY A30S VIOLETA                     " u="1"/>
        <s v="CEL.DESB. IPHONE 11 64GB RED MWLV2BZ/A            " u="1"/>
        <s v="CEL.DESB. IPHONE 8 256GB GOLD MQ7E2BR/A           " u="1"/>
        <s v="CEL.DESB. IPHONE 8 64GB GOLD MQ6J2BR/A            " u="1"/>
        <s v="CEL.DESB. LG K40S 3GB/32GB AZUL.                  " u="1"/>
        <s v="CEL.DESB. LG Q6 LGM700TV.ABRABK PRETO CAM         " u="1"/>
        <s v="CEL.DESB. MOTO E4 PLUS AZ SAFIRA XT1773           " u="1"/>
        <s v="CEL.DESB.APPLE IPHONE 6 16GB DR MG3D2BR/A         " u="1"/>
        <s v="CEL.DESB.APPLE IPHONE 6 64GB DR MG3L2BR/A         " u="1"/>
        <s v="CEL.DESB.GALAXY A30S BRANCO                       " u="1"/>
        <s v="CEL.DESB.IPHONE 11 128GB BLACK MWM02BZ/A          " u="1"/>
        <s v="CEL.DESB.IPHONE 11 128GB BLACK MWM02BZ/A.         " u="1"/>
        <s v="CEL.DESB.IPHONE 11 128GB RED MWM32BZ/A            " u="1"/>
        <s v="CEL.DESB.IPHONE 11 128GB WHITE MWM22BZ/A          " u="1"/>
        <s v="CEL.DESB.IPHONE 11 256GB BLACK MWM72BZ/A          " u="1"/>
        <s v="CEL.DESB.IPHONE 11 256GB WHITE MWM82BZ/A          " u="1"/>
        <s v="CEL.DESB.IPHONE 11 64GB BLACK MWLT2BZ/A           " u="1"/>
        <s v="CEL.DESB.IPHONE 11 64GB BLACK MWLT2BZ/A.          " u="1"/>
        <s v="CEL.DESB.IPHONE 11 64GB WHITE MWLU2BZ/A           " u="1"/>
        <s v="CEL.DESB.IPHONE 6S 32GB GOLD MN112BR/A            " u="1"/>
        <s v="CEL.DESB.IPHONE 6S 32GB GOLD MN112BR/A.           " u="1"/>
        <s v="CEL.DESB.IPHONE 6S 32GB GOLD MN112BZ/A            " u="1"/>
        <s v="CEL.DESB.IPHONE 6S GOLD 32GB MN112BR/A            " u="1"/>
        <s v="CEL.DESB.IPHONE 7 128GB BLACK MN922BR/A           " u="1"/>
        <s v="CEL.DESB.IPHONE 7 128GB GOLD MN942BR/A            " u="1"/>
        <s v="CEL.DESB.IPHONE 7 128GB MN922BZ/A PTO             " u="1"/>
        <s v="CEL.DESB.IPHONE 7 128GB MN952BZ/A DR RS           " u="1"/>
        <s v="CEL.DESB.IPHONE 7 128GB RED MPRL2BR/A             " u="1"/>
        <s v="CEL.DESB.IPHONE 7 128GB RED MPRL2BZ/A             " u="1"/>
        <s v="CEL.DESB.IPHONE 7 256GB MN972BZ/A PTO             " u="1"/>
        <s v="CEL.DESB.IPHONE 7 256GB MN9A2BZ/A DR RS           " u="1"/>
        <s v="CEL.DESB.IPHONE 7 32GB BLACK MN8X2BR/A            " u="1"/>
        <s v="CEL.DESB.IPHONE 7 32GB GOLD MN902BR/A             " u="1"/>
        <s v="CEL.DESB.IPHONE 7 32GB MN8X2BZ/A PTO              " u="1"/>
        <s v="CEL.DESB.IPHONE 7 32GB MN912BZ/A DR RS            " u="1"/>
        <s v="CEL.DESB.IPHONE 7 BLACK 32GB MN8X2BR/A            " u="1"/>
        <s v="CEL.DESB.IPHONE 7 GOLD 32GB MN902BR/A             " u="1"/>
        <s v="CEL.DESB.IPHONE 7 JET 128GB MN962BZ PTO           " u="1"/>
        <s v="CEL.DESB.IPHONE 7 JET 256GB MN9C2BZ PTO           " u="1"/>
        <s v="CEL.DESB.IPHONE 7 PLUS 128GB GOLD MN4Q2BZ         " u="1"/>
        <s v="CEL.DESB.IPHONE 7 PLUS 32GB BLACK MNQM2BZ         " u="1"/>
        <s v="CEL.DESB.IPHONE 7 PLUS 32GB GOLD MNQP2BZ          " u="1"/>
        <s v="CEL.DESB.IPHONE 8 256GB GOLD MQ7E2BR/A.           " u="1"/>
        <s v="CEL.DESB.IPHONE 8 256GB GOLD MQ7E2BZ/A            " u="1"/>
        <s v="CEL.DESB.IPHONE 8 256GB RED MRRN2BZ/A             " u="1"/>
        <s v="CEL.DESB.IPHONE 8 64GB GOLD MQ6J2BR/A .           " u="1"/>
        <s v="CEL.DESB.IPHONE 8 64GB GOLD MQ6J2BZ/A             " u="1"/>
        <s v="CEL.DESB.IPHONE 8 64GB RED MRRM2BZ/A              " u="1"/>
        <s v="CEL.DESB.IPHONE 8 GOLD 256GB MQ7E2BR/A            " u="1"/>
        <s v="CEL.DESB.IPHONE 8 GOLD 64GB MQ6J2BR/A             " u="1"/>
        <s v="CEL.DESB.IPHONE 8 PLUS 64GB RED MRT92BZ/A         " u="1"/>
        <s v="CEL.DESB.IPHONE SE 32GB GOLD MP842BR/A            " u="1"/>
        <s v="CEL.DESB.IPHONE X SILVER 256GB MQAG2BZ/A          " u="1"/>
        <s v="CEL.DESB.IPHONE X SILVER 64GB MQAD2BZ/A           " u="1"/>
        <s v="CEL.DESB.IPHONE XR BLACK 128GB MRY92BR/A          " u="1"/>
        <s v="CEL.DESB.IPHONE XR BLACK 128GB MRY92BR/A.         " u="1"/>
        <s v="CEL.DESB.IPHONE XR BLACK 128GB MRY92BZ/A          " u="1"/>
        <s v="CEL.DESB.IPHONE XR BLACK 64GB MRY42BR/A           " u="1"/>
        <s v="CEL.DESB.IPHONE XR BLACK 64GB MRY42BR/A .         " u="1"/>
        <s v="CEL.DESB.IPHONE XR BLACK 64GB MRY42BZ/A           " u="1"/>
        <s v="CEL.DESB.IPHONE XR RED 128GB MRYE2BR/A            " u="1"/>
        <s v="CEL.DESB.IPHONE XR RED 128GB MRYE2BZ/A            " u="1"/>
        <s v="CEL.DESB.IPHONE XR RED 64GB MRY62BR/A             " u="1"/>
        <s v="CEL.DESB.IPHONE XR RED 64GB MRY62BR/A .           " u="1"/>
        <s v="CEL.DESB.IPHONE XR RED 64GB MRY62BZ/A             " u="1"/>
        <s v="CEL.DESB.IPHONE XR WHITE 128GB MRYD2BR/A          " u="1"/>
        <s v="CEL.DESB.IPHONE XR WHITE 128GB MRYD2BR/A.         " u="1"/>
        <s v="CEL.DESB.IPHONE XR WHITE 128GB MRYD2BZ/A          " u="1"/>
        <s v="CEL.DESB.IPHONE XR WHITE 64GB MRY52BR/A           " u="1"/>
        <s v="CEL.DESB.IPHONE XR WHITE 64GB MRY52BR/A .         " u="1"/>
        <s v="CEL.DESB.IPHONE XR WHITE 64GB MRY52BZ/A           " u="1"/>
        <s v="CEL.DESB.IPHONE XS GOLD 64GB MT9G2BZ/A            " u="1"/>
        <s v="CEL.DESB.MOTO XT1710-07 SOUND ED Z2 PLAY          " u="1"/>
        <s v="CEL.DESB.QUANTUM MUV ROSE GOLD CAM.               " u="1"/>
        <s v="CEL.DESB.SAMS.GALAXY A10S AZUL                    " u="1"/>
        <s v="CEL.DESB.SAMS.GALAXY A10S PRETO                   " u="1"/>
        <s v="CEL.DESB.SAMS.GALAXY A10S VERMELHO.               " u="1"/>
        <s v="CEL.DESB.SAMS.GALAXY A20S AZUL.                   " u="1"/>
        <s v="CEL.DESB.SAMS.GALAXY A20S PRETO                   " u="1"/>
        <s v="CEL.DESB.SAMS.GALAXY A20S VERMELHO                " u="1"/>
        <s v="CEL.DESB.SAMSUNG GALAXY A51 PRETO                 " u="1"/>
        <s v="CEL. DESB. POSITIVO TWIST MINI S430 DUOS CZ       " u="1"/>
        <s v="CEL. DESB. SAMS. G3502 GAL CORE PLUS DUOS TV PT   " u="1"/>
        <s v="CEL.DESB.APPLE IPHONE 5S SPACE 32GB CZ ME435BZ    " u="1"/>
        <s v="CEL DESB IPHONE 8 PLUS 64GB SPACE GRAY MQ8L2BR/A  " u="1"/>
        <s v="CEL. DESB. MOTO G8 PLUS 64GB CEREJA XT2019.       " u="1"/>
        <s v="CEL.DESB.IPHONE 6S 32GB ROSE GOLD MN122BR/A .     " u="1"/>
        <s v="CEL.DESB.IPHONE 7 PLUS 32GB BLACK MNQM2BZ/A .     " u="1"/>
        <s v="CEL. DESB. MOTO G7 POWER 32GB AZUL NAVY XT1955.   " u="1"/>
        <s v="CEL. DESB. MOTO G7 POWER 64GB AZUL NAVY XT1955.   " u="1"/>
        <s v="CEL. MOTOROLA ONE VISION 128GB BRONZE XT1970      " u="1"/>
        <s v="CEL.DESB. IPHONE 11 PRO 256GB SPACE GREY MWC72BZ/A" u="1"/>
        <s v="CEL. DESB. MOTO E6 PLUS 32GB CINZA METAL XT2025.  " u="1"/>
        <s v="CEL. DESB. MOTO E6 PLUS 64GB AZUL NETUNO XT2025.  " u="1"/>
        <s v="CEL.DESB.APPLE IPHONE 5S 16GB SPACE CZ ME432BR    " u="1"/>
        <s v="CEL. DESB. SAMS. GALAXY J2 PRIME TV 16GB PT G532  " u="1"/>
        <s v="CEL. DESB. LG H502 L PRIME PLUS DUAL TV TN CAM.   " u="1"/>
        <s v="CEL.DESB. IPHONE 11 PRO MAX 64GB MIDNIGHT GREEN   " u="1"/>
        <s v="MICRO CHIP POS-PAGO DUPLO CORTE TIM NE (85) .     " u="1"/>
        <s v="CEL. CLARO ALCATEL OT3000G SINGLE PT CAM MG       " u="1"/>
        <s v="CEL. DESB. POSITIVO TWIST MINI S430 DUOS CZ .     " u="1"/>
        <s v="CEL. DESB. SAMS. GALAXY S7 FLAT 32GB DR G930F     " u="1"/>
        <s v="CEL. DESB. SAMS. GALAXY S7 FLAT 32GB PT G930F     " u="1"/>
        <s v="CEL. DESB. SAMS. GALAXY S9 ULTRAVIOLETA G9600     " u="1"/>
        <s v="CEL.DESB.IPHONE 8 PLUS 64GB SPACE GRAY MQ8L2BZ    " u="1"/>
        <s v="CEL. DESB. MULTILASER VITA P9089 + BASE RECAR     " u="1"/>
        <s v="CEL. DESB. SAMS. G360 GALAXY WIN 2 DUOS TV CZ     " u="1"/>
        <s v="CEL. DESB. POSITIVO TWIST 2 FIT S509 CINZA        " u="1"/>
        <s v="CEL.DESB. IPHONE 8 64GB SPACE GRAY MQ6G2BR/A      " u="1"/>
        <s v="CEL.DESB.APPLE IPHONE 5S 16GB DR ME434BR/A        " u="1"/>
        <s v="CEL.DESB.APPLE IPHONE 6 128GB DR MG3G2BR/A        " u="1"/>
        <s v="CEL.DESB.APPLE IPHONE 6 16GB PTA MG3C2BR/A        " u="1"/>
        <s v="CEL.DESB.APPLE IPHONE 6 64GB PTA MG3K2BR/A        " u="1"/>
        <s v="CEL.DESB.APPLE IPHONE 6S 64GB DR MKQQ2BZ/A        " u="1"/>
        <s v="CEL.DESB.IPHONE 11 PRO 64GB GOLD MWC52BZ/A        " u="1"/>
        <s v="CEL.DESB.IPHONE 6S SPACE GRAY 32GB MN0W2BR/A      " u="1"/>
        <s v="CEL.DESB.IPHONE 7 32GB ROSE GOLD MN912BR/A        " u="1"/>
        <s v="CEL.DESB.IPHONE 7 PLUS 128GB RED MPQW2BZ/A        " u="1"/>
        <s v="CEL.DESB.IPHONE 7 PLUS GOLD 32GB MNQP2BZ/A        " u="1"/>
        <s v="CEL.DESB.IPHONE 7 ROSE GOLD 32GB MN912BR/A        " u="1"/>
        <s v="CEL.DESB.IPHONE 8 PLUS 256GB RED MRTA2BZ/A        " u="1"/>
        <s v="CEL.DESB.IPHONE 8 PLUS 64GB GOLD MQ8N2BR/A        " u="1"/>
        <s v="CEL.DESB.IPHONE 8 PLUS 64GB GOLD MQ8N2BZ/A        " u="1"/>
        <s v="CEL.DESB.IPHONE 8 PLUS GOLD 64GB MQ8N2BR/A        " u="1"/>
        <s v="CEL.DESB.IPHONE 8 SPACE GRAY 256GB MQ7C2BR/A      " u="1"/>
        <s v="CEL.DESB.IPHONE SE 128GB ROSE GOLD MP892BR/A      " u="1"/>
        <s v="CEL.DESB.IPHONE SE 32GB SPACE GRAY MP822BR/A      " u="1"/>
        <s v="CEL.DESB.IPHONE XS MAX GOLD 64GB MT522BZ/A        " u="1"/>
        <s v="CEL.DESB.IPHONE 6S PLUS 32GB ROSE GOLD MN2Y2BZ    " u="1"/>
        <s v="CEL.DESB.IPHONE 7 PLUS 128GB ROSE GOLD MN4U2BZ    " u="1"/>
        <s v="CEL. DESB. ASUS ZENFONE GO LIVE CINZA ZB551KL.    " u="1"/>
        <s v="CEL. DESB. ASUS ZENFONE GO LIVE PRETO ZB551KL.    " u="1"/>
        <s v="CEL. DESB. ALCATEL 9008N A3 XL MAX 32GB CZ.       " u="1"/>
        <s v="CEL.DESB.IPHONE 6S 128GB ROSE GOLD MKQW2BZ.       " u="1"/>
        <s v="CEL.DESB.L.G K12PLUS DUAL PLATINUM LMX420BMWAPL.  " u="1"/>
        <s v="CEL MOTOROLA ONE VISION 128GB AZUL SAFIRA XT1970  " u="1"/>
        <s v="CEL. DESB. SAMS. I8552 GAL. WIN DUOS 2CHIPS CZ    " u="1"/>
        <s v="CEL. DESB. SAMS. GALAXY J6 PLUS VERMELHO J610     " u="1"/>
        <s v="CEL. DESB. MOTO. XT1543 MOTO G 3 COLORS 16GB P    " u="1"/>
        <s v="CEL.DESB.IPHONE 7 PLUS 128GB JET BLACK MN4V2BZ    " u="1"/>
        <s v="CEL. DESB. SAMS. GALAXY J2 PRIME TV 16GB RS G532  " u="1"/>
        <s v="CEL.DESB.APPLE IPHONE SE 16GB ROSE GOLD MLXN2B    " u="1"/>
        <s v="CEL. DESB. POSITIVO QUATTRO X435 2 CHIPS DR CA    " u="1"/>
        <s v="CEL.DESB.IPHONE 6S 32GB SPACE GRAY MN0W2BR/A.     " u="1"/>
        <s v="CEL.DESB.IPHONE 8 256GB SPACE GRAY MQ7C2BR/A.     " u="1"/>
        <s v="CEL. DESB .SAMSUNG GALAXY NOTE 10 LITE PRATA      " u="1"/>
        <s v="CEL ZENFONE MAX SHOT  4GB 64GB 4J009BR SILVER     " u="1"/>
        <s v="CEL. DESB. MOTO G8 PLUS 64GB AZUL SAFIRA XT2019.  " u="1"/>
        <s v="CEL. DESB. ASUS ZENFONE 3 MAX 32GB CZ ZC553KL.    " u="1"/>
        <s v="CEL. DESB. ASUS ZENFONE 3 MAX 32GB DR ZC553KL.    " u="1"/>
        <s v="TRAVEL SYSTEM DELTA PRETO VOYAGE                  " u="1"/>
        <s v="TRAVEL SYSTEM DELTA PRETO VOYAGE .                " u="1"/>
        <s v="TRAVEL SYSTEM MOBI GREY DENIM SILVER              " u="1"/>
        <s v="CEL.DESB.APPLE IPHONE 6 16GB SPACE CZ MG3A2BR/    " u="1"/>
        <s v="CEL. DESB. ASUS ZENFONE 4 MAX 32GB DR ZC554KL.    " u="1"/>
        <s v="CEL. DESB. ASUS ZENFONE 4 MAX 32GB PT ZC554KL.    " u="1"/>
        <s v="CEL MOTOROLA ONE VISION 128GB AZUL SAFIRA XT1970. " u="1"/>
        <s v="TRIPLO CHIP CLARO POS PAGO 4G DDD 31 A 38 .       " u="1"/>
        <s v="TRIPLO CHIP CLARO POS PAGO 4G DDD 41 A 49 .       " u="1"/>
        <s v="TRIPLO CHIP CLARO POS PAGO 4G DDD 51 A 55 .       " u="1"/>
        <s v="TRIPLO CHIP CLARO POS PAGO 4G DDD 61 A 69 .       " u="1"/>
        <s v="TRIPLO CHIP CLARO POS PAGO 4G DDD 71 A 79 .       " u="1"/>
        <s v="TRIPLO CHIP CLARO POS PAGO 4G DDD 81 A 89 .       " u="1"/>
        <s v="TRIPLO CHIP CLARO POS PAGO 4G DDD 98 A 99 .       " u="1"/>
        <s v="CEL. CLARO SAMS.G530/G531 GRAN PRIME DUOS CZ NE   " u="1"/>
        <s v="CEL. DESB. ASUS ZENFONE GO DOURADO ZB500KG .      " u="1"/>
        <s v="ASSENTO P BOOSTER ELEVA VOYAGE PT 15 A 36KG       " u="1"/>
        <s v="CARRO CHICCO LONDON UP C B PROT MATRIX 15KG       " u="1"/>
        <s v="CARRO VOYAGE REVERSIVEL RS PT IMP01383 15KG       " u="1"/>
        <s v="CEL ZENFONE MAX PLUS M2 3GB 32GB 4A001BR PRETO    " u="1"/>
        <s v="CEL.DESB.APPLE IPHONE SE 64GB ROSEGOLD MLXQ2BZ    " u="1"/>
        <s v="CEL. DESB. SAMS. A520 GALAXY A5 2017 DUOS DR      " u="1"/>
        <s v="CEL. DESB. SAMS. A720 GALAXY A7 2017 DUOS DR      " u="1"/>
        <s v="CEL. DESB. SAMS. J710 GALAXY J7METAL DUOS DR      " u="1"/>
        <s v="CEL. DESB. MOTO XT1650 Z POWER ED. 64GB BC/DR     " u="1"/>
        <s v="CEL. ZENFONE MAX PLUS M2 3GB 32GB 4A001BR PRETO   " u="1"/>
        <s v="CEL.DESB.IPHONE 8 PLUS 256GB SPACE GREY MQ8P2BR/A " u="1"/>
        <s v="CEL. DESB. LG K12 PLUS DUAL PRETO LMX420BMWABRABK." u="1"/>
        <s v="CEL. DESB. POSITIVO SELFIE S455 2 CHIPS DR CAM.   " u="1"/>
        <s v="CEL.DESB.LG K12PLUS DUAL PLATINUM LMX420BMW.ABRAPL" u="1"/>
        <s v="CEL. DESB.SAMSG530/G531GALGRAN PRIME DUO TV DR.   " u="1"/>
        <s v="CEL. DESB. MOTO XT1650 Z POWER ED. 64GB PT/GR     " u="1"/>
        <s v="CEL. DESB. SAMS GALAXY A6 PLUS 64GB PTA A605 .    " u="1"/>
        <s v="REF FF 445L LG CG-B559BSB BF UNIVERSE 110V ACO    " u="1"/>
        <s v="REF FF 445L LG CG-B559BSB BF UNIVERSE 220V ACO    " u="1"/>
        <s v="REF SBS 601L LG GS65SDN NEW LANCASTER 110V ACO    " u="1"/>
        <s v="REF SBS 601L LG GS65SDN NEW LANCASTER 220V ACO    " u="1"/>
        <s v="CEL DESB. ASUS ZENFONE MAX PLUS 32GB GOLD ZB570   " u="1"/>
        <s v="CEL.DESB.APPLE IPHONE 6 PLUS 128GB PTA MG9R2BZ    " u="1"/>
        <s v="CEL. DESB. SAMS. G360 WIN 2 DUOS TV 16GB BC CAM   " u="1"/>
        <s v="CEL.DESB. LG Q6 PLUS LGM700TV.A4RAPL PLATINUM     " u="1"/>
        <s v="CEL. CLARO LG H522 DUAL PRIME PLUS C90 TN CAM CO  " u="1"/>
        <s v="BERCO MINI PLAY NET BLUE SAFETY 1ST               " u="1"/>
        <s v="BERCO PORTATIL LIGHT AZUL VOYAGE                  " u="1"/>
        <s v="BERCO PORTATIL LIGHT CINZA VOYAGE                 " u="1"/>
        <s v="BERCO PORTATIL LIGHT ROSA VOYAGE                  " u="1"/>
        <s v="CARRINHO TRIP CINZA MESCLA VOYAGE                 " u="1"/>
        <s v="CARRO CHICCO ECHO C B PROT STONE 15KG             " u="1"/>
        <s v="CARRO CHICCO OHLALA BLACK NIGHT 15KG              " u="1"/>
        <s v="CARRO INFANT SHIFT CHERRY PT RS 15KG              " u="1"/>
        <s v="CARRO VOYAGE QUICK  UMBRELLA AZ 15KG              " u="1"/>
        <s v="CARRO VOYAGE QUICK  UMBRELLA RS 15KG              " u="1"/>
        <s v="REF 240L ELECTROLUX RE31 110V BC                  " u="1"/>
        <s v="REF 240L ELECTROLUX RE31 220V BC                  " u="1"/>
        <s v="REF 261L CONSUL CRA30F 110V BC                    " u="1"/>
        <s v="REF 261L CONSUL CRA30F 220V BC                    " u="1"/>
        <s v="REF DUP 260L ELECTROLUX DC35A 110V BC             " u="1"/>
        <s v="REF DUP 260L ELECTROLUX DC35A 220V BC             " u="1"/>
        <s v="REF DUP 334L CONSUL CRD36GB 110V BC               " u="1"/>
        <s v="REF DUP 334L CONSUL CRD36GB 220V BC               " u="1"/>
        <s v="REF DUP 334L CONSUL CRD37 110V BC                 " u="1"/>
        <s v="REF DUP 334L CONSUL CRD37 220V BC                 " u="1"/>
        <s v="REF DUP 362L ELECTROLUX DC44 110V BC              " u="1"/>
        <s v="REF DUP 362L ELECTROLUX DC44 220V BC              " u="1"/>
        <s v="REF DUP 450L CONSUL CRD49 110V BC                 " u="1"/>
        <s v="REF DUP 450L CONSUL CRD49 220V BC                 " u="1"/>
        <s v="REF DUP 462L ELECTROLUX DC49A 110V BC             " u="1"/>
        <s v="REF DUP 462L ELECTROLUX DC49A 220V BC             " u="1"/>
        <s v="REF FDR 3P 547L IBACI LOOK 110V INOX              " u="1"/>
        <s v="REF FF 261L ELECTROLUX DF35A 110V BC              " u="1"/>
        <s v="REF FF 261L ELECTROLUX DF35A 220V BC              " u="1"/>
        <s v="REF FF 275L CONSUL CRM35 110V BC                  " u="1"/>
        <s v="REF FF 275L CONSUL CRM35 110V EVOX                " u="1"/>
        <s v="REF FF 275L CONSUL CRM35 220V BC                  " u="1"/>
        <s v="REF FF 275L CONSUL CRM35 220V EVOX                " u="1"/>
        <s v="REF FF 300L CONSUL CRB36A 1P 110V BC              " u="1"/>
        <s v="REF FF 300L CONSUL CRB36A 1P 220V BC              " u="1"/>
        <s v="REF FF 322L ELECTROLUX RFE39 1P 110V BC           " u="1"/>
        <s v="REF FF 322L ELECTROLUX RFE39 1P 220V BC           " u="1"/>
        <s v="REF FF 342L CONSUL CRB39AK 110V EVX               " u="1"/>
        <s v="REF FF 342L CONSUL CRB39AK 220V EVX               " u="1"/>
        <s v="REF FF 352L BRASTEMP BRM39EK EVOX 110V            " u="1"/>
        <s v="REF FF 352L BRASTEMP BRM39EK EVOX 220V            " u="1"/>
        <s v="REF FF 371L ELECTROLUX DFN41 110V BC              " u="1"/>
        <s v="REF FF 371L ELECTROLUX DFN41 220V BC              " u="1"/>
        <s v="REF FF 371L ELECTROLUX DFX41 110V INX             " u="1"/>
        <s v="REF FF 371L ELECTROLUX DFX41 220V INX             " u="1"/>
        <s v="REF FF 375L BRASTEMP BRM44HB 110V BC              " u="1"/>
        <s v="REF FF 375L BRASTEMP BRM44HB 220V BC              " u="1"/>
        <s v="REF FF 375L BRASTEMP BRM44HK 110V EVOX            " u="1"/>
        <s v="REF FF 375L BRASTEMP BRM44HK 220V EVOX            " u="1"/>
        <s v="REF FF 386L CONSUL CRM43 110V BC                  " u="1"/>
        <s v="REF FF 386L CONSUL CRM43 110V EVOX                " u="1"/>
        <s v="REF FF 386L CONSUL CRM43 220V BC                  " u="1"/>
        <s v="REF FF 386L CONSUL CRM43 220V EVOX                " u="1"/>
        <s v="REF FF 400L BRASTEMP BRM53HBA 110V BC             " u="1"/>
        <s v="REF FF 400L BRASTEMP BRM53HBB 220V BC             " u="1"/>
        <s v="REF FF 400L BRASTEMP BRM53HKA 110V- EVOX          " u="1"/>
        <s v="REF FF 400L BRASTEMP BRM53HKB 220V - EVOX         " u="1"/>
        <s v="REF FF 407L CONSUL CRM45BB 110V BC                " u="1"/>
        <s v="REF FF 407L CONSUL CRM45BB 220V BC                " u="1"/>
        <s v="REF FF 433L ELECTROLUX TF51 110V BC               " u="1"/>
        <s v="REF FF 433L ELECTROLUX TF51 220V BC               " u="1"/>
        <s v="REF FF 433L ELECTROLUX TF51X 110V INX             " u="1"/>
        <s v="REF FF 433L ELECTROLUX TF51X 220V INX             " u="1"/>
        <s v="REF FF 435L PANASONIC NR-BT47BD2W 110V BC         " u="1"/>
        <s v="REF FF 435L PANASONIC NR-BT47BD2W 220V BC         " u="1"/>
        <s v="REF FF 441L CONSUL CRM54 110V BC                  " u="1"/>
        <s v="REF FF 441L CONSUL CRM54 220V BC                  " u="1"/>
        <s v="REF FF 441L CONSUL CRM54BK 110V EVOX              " u="1"/>
        <s v="REF FF 441L CONSUL CRM54BK 220V EVOX              " u="1"/>
        <s v="REF FF 443L BRASTEMP BRE57ABA 110V - BC           " u="1"/>
        <s v="REF FF 443L BRASTEMP BRE57ABB 220V - BC           " u="1"/>
        <s v="REF FF 443L BRASTEMP BRE57AKA 110V - EVOX         " u="1"/>
        <s v="REF FF 443L BRASTEMP BRE57AKB 220V - EVOX         " u="1"/>
        <s v="REF FF 459L ELECTROLUX DF54 110V BC               " u="1"/>
        <s v="REF FF 459L ELECTROLUX DF54 220V BC               " u="1"/>
        <s v="REF FF 459L ELECTROLUX DF54X 110V INX             " u="1"/>
        <s v="REF FF 459L ELECTROLUX DF54X 220V INX             " u="1"/>
        <s v="REF FF 460L BRASTEMP BRE59ABA 110V - BC           " u="1"/>
        <s v="REF FF 460L BRASTEMP BRE59ABB 220V - BC           " u="1"/>
        <s v="REF FF 460L BRASTEMP BRE59AKA 110V - EVOX         " u="1"/>
        <s v="REF FF 462L BRASTEMP BRM56ABA 110V - BC           " u="1"/>
        <s v="REF FF 462L BRASTEMP BRM56ABB 220V - BC           " u="1"/>
        <s v="REF FF 462L BRASTEMP BRM56AKA 110V - EVOX         " u="1"/>
        <s v="REF FF 462L BRASTEMP BRM56AKB 220V - EVOX         " u="1"/>
        <s v="REF FF 478L BRASTEMP BRM59ABA 110V - BC           " u="1"/>
        <s v="REF FF 478L BRASTEMP BRM59ABB 220V - BC           " u="1"/>
        <s v="REF FF 478L BRASTEMP BRM59AKA 110V - EVOX         " u="1"/>
        <s v="REF FF 478L BRASTEMP BRM59AKB 220V - EVOX         " u="1"/>
        <s v="REF FF 500L BRASTEMP BRM57ABA 110V - BC           " u="1"/>
        <s v="REF FF 500L BRASTEMP BRM57ABB 220V - BC           " u="1"/>
        <s v="REF FF 500L BRASTEMP BRM57AKA 110V - EVOX         " u="1"/>
        <s v="REF FF 500L BRASTEMP BRM57AKB 220V - EVOX         " u="1"/>
        <s v="REF FF 553L ELECTROLUX DF82 110V BC               " u="1"/>
        <s v="REF FF 553L ELECTROLUX DF82 220V BC               " u="1"/>
        <s v="REF FF 553L ELECTROLUX DF82X 110V INX             " u="1"/>
        <s v="REF FF 553L ELECTROLUX DF82X 220V INX             " u="1"/>
        <s v="REF SBS 504L ELECTROLUX SS72X 110V INX            " u="1"/>
        <s v="REF SBS 504L ELECTROLUX SS72X 220V INX            " u="1"/>
        <s v="REF TOP FF 453L RT46K6261BS/AZ 110V PRETO         " u="1"/>
        <s v="CEL.DESB.APPLE IPHONE 6S PLUS 64GB MKU62BZ CZ     " u="1"/>
        <s v="CEL DESB. SAMS. GALAXY S7 EDGE 32GB DR G935F      " u="1"/>
        <s v="TIM CHIP PLANO NAKED 4G .                         " u="1"/>
        <s v="CEL. DESB. MOTO XT1635 Z PLAY SOUND ED32GB PT/.   " u="1"/>
        <s v="CEL. CLARO SAMS. J200 J2 4G DUOS BC CAM NE        " u="1"/>
        <s v="CEL. DESB. ZENFONE MAX PRO 4 64GB PRATA ZB602KL.  " u="1"/>
        <s v="CEL. DESB. MOTO. XT1543 MOTO G 3 COLORS 16GB B    " u="1"/>
        <s v="CADEIRA AUTO NANIA TRIO ACCES FONCE 0/25KG.       " u="1"/>
        <s v="MICRO CHIP POS PAGO DUPLO CORTE TIM NE 71         " u="1"/>
        <s v="MICRO CHIP POS-PAGO CLARO BA                      " u="1"/>
        <s v="MICRO CHIP POS-PAGO CLARO RJ                      " u="1"/>
        <s v="MICRO CHIP POS-PAGO OI 3G NE (71)(81)             " u="1"/>
        <s v="MICRO CHIP POS-PAGO OI 3G NE (85)                 " u="1"/>
        <s v="MICRO CHIP POS-PAGO OI 3G RJ (21)                 " u="1"/>
        <s v="MICRO CHIP POS-PAGO OI 3G SP (11)                 " u="1"/>
        <s v="CEL. DESB.SAMSG530/G531GALGRAN PRIME DUO TV BC.   " u="1"/>
        <s v="CEL. DESB. MOTO Z3 PLAY ST SPEAKER INDIGO XT1929  " u="1"/>
        <s v="CEL. CLARO SAMS.G530/G531 GRAN PRIME DUOS BC RJ   " u="1"/>
        <s v="CEL. DESB.SONY XPERIA XA1 ULTRA DUAL DR G3226 .   " u="1"/>
        <s v="CEL. DESB. MOTO XT1580 MOTO X FORCE 64GB PT.      " u="1"/>
        <s v="CEL. DESB. SAMS GALAXY J7 PRIME 2 PRETO G611 .    " u="1"/>
        <s v="ZENFONE MAX SHOT 3GB 32GB ZB634KL 4A010BR BLACK   " u="1"/>
        <s v="CEL MOTOROLA ONE MACRO 64GB ULTRAVIOLET XT2016.   " u="1"/>
        <s v="BEBE CONFORTO GAMA PRETO VOYAGE ..                " u="1"/>
        <s v="BEBE CONFORTO GAMA PRETO VOYAGE ....              " u="1"/>
        <s v="BEBE CONFORTO GAMA PRETO VOYAGE.                  " u="1"/>
        <s v="BEBE STATUS CONFORTO 0 A 13KG PTO                 " u="1"/>
        <s v="CEL. TIM SAMS. S5312 POCKET NEO DUAL PTA CAM RJ   " u="1"/>
        <s v="CEL. DESB. ALCATEL OT3000 TRIBE 3CHIPS PT .       " u="1"/>
        <s v="CEL. DESB. ALCATEL OT6039 IDOL 3 CZ/PTCAM .       " u="1"/>
        <s v="CEL. DESB. LG D337 L PRIME DUAL TV PT CAM .       " u="1"/>
        <s v="CEL. DESB. LG K10 POWER DUAL TV AZUL M320 .       " u="1"/>
        <s v="CEL. DESB. MICROSOFT LUMIA 435 DUAL TV BC .       " u="1"/>
        <s v="CEL. DESB. MOTO G5S PLUS OURO ROSE XT1802 .       " u="1"/>
        <s v="CEL. DESB. MOTO XT1640 G4 PLUS BAMBOO CAM .       " u="1"/>
        <s v="CEL. DESB. MULTILASER UP PLAY P9076 PRETO .       " u="1"/>
        <s v="CEL. DESB. POSITIVO SELFIE S455 2 CHIPS PT CAM.   " u="1"/>
        <s v="CEL. DESB. POSITIVO TWIST 2 GO S541 PRETO .       " u="1"/>
        <s v="CEL. DESB. POSITIVO TWIST 2018 S511 CINZA .       " u="1"/>
        <s v="CEL. DESB. SAMS. GALAXY S8 PLUS PTA G955F .       " u="1"/>
        <s v="CEL. DESB. SONY D5833 XPERIA Z3 COMPACT PT CAM.   " u="1"/>
        <s v="CEL. DESB. SONY E2124 XPERIA E4 DUAL TV PT CAM.   " u="1"/>
        <s v="CEL. DESB. SONY XPERIA XA DUAL ROSE F3116 .       " u="1"/>
        <s v="CEL. DESB.SONY XPERIA XA1 DUAL GOLD G3116 .       " u="1"/>
        <s v="CEL. DESB. POSITIVO TWIST MINI S431 GRAFITE       " u="1"/>
        <s v="ZENFONE MAX SHOT 3GB 32GB ZB634KL 4J002BR SILVER  " u="1"/>
        <s v="CEL. DESB. SAMS. GALAXY J2 PRIME 16GB DR 2018     " u="1"/>
        <s v="CEL. DESB. SAMS. GALAXY J2 PRIME 16GB PT 2018     " u="1"/>
        <s v="CEL. DESB. SAMS. GALAXY J2 PRIME 16GB RS 2018     " u="1"/>
        <s v="CEL. MOTOROLA ONE VISION 128GB AZUL SAFIRA XT1970 " u="1"/>
        <s v="CEL DESB. ZENFONE MAX PRO 4 64GB PRATA ZB602KL    " u="1"/>
        <s v="CADEIRA AUTO FISCHER-PRICE (0-I-II-III) CZ 9-36KG " u="1"/>
        <s v="CEL. DESB. SAMS. G800 GALAXY S5 MINI DUOS BC CAM  " u="1"/>
        <s v="CEL. DESB. SAMS.G110 GALAXY POCKET 2 DUOS BC CAM  " u="1"/>
        <s v="CEL. DESB. LG K11 PLUS DUAL DOURADO LMX410BCW.    " u="1"/>
        <s v="CEL. DESB.SONY XPERIA XA1 ULTRA DUAL PTO G3226.   " u="1"/>
        <s v="CEL. DESB SAMS. I9063 GAL.GRAN NEO DUOS BC CAM    " u="1"/>
        <s v="CEL. DESB. POSITIVO TWIST MINI S431 GRAFITE .     " u="1"/>
        <s v="CEL. DESB. MOTO E6 PLUS 32GB AZUL NETUNO XT2025   " u="1"/>
        <s v="CEL. DESB. MOTO E6 PLUS 64GB AZUL NETUNO XT2025   " u="1"/>
        <s v="CEL. DESB. MOTO E6 PLUS 64GB CINZA METAL XT2025   " u="1"/>
        <s v="CEL. DESB. MOTO Z3 PLAY ST SPEAKER INDIGO XT1929. " u="1"/>
        <s v="CEL. DESB. MOTO Z3 PLAY PROJETOR INDIGO XT1929.   " u="1"/>
        <s v="CEL. DESB. POSITIVO TWIST 2 FIT S509 CINZA.       " u="1"/>
        <s v="CEL.DESB.IPHONE 7 PLUS 32GB GOLD MNQP2BZ/A.       " u="1"/>
        <s v="CEL.DESB.IPHONE 8 PLUS 64GB GOLD MQ8N2BR/A.       " u="1"/>
        <s v="CEL.DESB.IPHONE 8 PLUS 64GB GOLD MQ8N2BZ/A.       " u="1"/>
        <s v="CEL.DESB.APPLE IPHONE 6 SPACE 128GB CZ MG3E2BR    " u="1"/>
        <s v="CEL. DESB. LG K12 PLUS DUAL AZUL LMX420BMWABRABL ." u="1"/>
        <s v="CEL. DESB. SAMS GALAXY A6 PLUS 64GB PTA A605      " u="1"/>
        <s v="CEL. DESB. SAMS. GALAXY A6 PLUS 64GB DR A605      " u="1"/>
        <s v="CEL. DESB. SAMS. GALAXY A6 PLUS 64GB PT A605      " u="1"/>
        <s v="CEL MOTOROLA ONE HYPER 128GB  AZUL OCEANO XT2027. " u="1"/>
        <s v="CEL. DESB.  XIAOMI REDMI NOTE 8PRO CX289CIN CINZA " u="1"/>
        <s v="REF FF 387L PANASONIC NR-BT40BD1WA 110V BC        " u="1"/>
        <s v="REF FF 387L PANASONIC NR-BT40BD1WB 220V BC        " u="1"/>
        <s v="REF FF 435L PANASONIC NR-BT50BD3WA 110V BC        " u="1"/>
        <s v="REF FF 435L PANASONIC NR-BT50BD3WB 220V BC        " u="1"/>
        <s v="REF FF 454L ELECTROLUX DB53 BOTTOM 110V BC        " u="1"/>
        <s v="REF FF 454L ELECTROLUX DB53 BOTTOM 220V BC        " u="1"/>
        <s v="CEL. DESB. SONY E2363 XPERIA M4 AQUA DUAL CORA.   " u="1"/>
        <s v="CEL. DESB. ASUS ZENFONE ZOOM PRETO ZX551ML .      " u="1"/>
        <s v="CEL. DESB. MULTILASER FLIP VITA P9020 AZUL .      " u="1"/>
        <s v="CEL. DESB. SAMS.G531 GAL. GRAN PRIME DUOS CZ C    " u="1"/>
        <s v="CEL. DESB. MOTO Z2 PLAY POWER DTV OURO XT1710     " u="1"/>
        <s v="CEL. DESB. MOTO Z2 PLAY POWER DTV PLAT XT1710     " u="1"/>
        <s v="CEL. DESB. ALCATEL 4034E PIXI4 4&quot; METALIC CAM .   " u="1"/>
        <s v="CEL. DESB. MICROSOFT LUMIA 532 DUAL TV BC CAM .   " u="1"/>
        <s v="CEL. DESB. MICROSOFT LUMIA 532 DUAL TV PT CAM .   " u="1"/>
        <s v="CEL. DESB. MICROSOFT LUMIA 640 DUAL TV BC CAM .   " u="1"/>
        <s v="CEL. DESB. MICROSOFT LUMIA 640 DUAL TV PT CAM .   " u="1"/>
        <s v="CEL. DESB. MICROSOFT LUMIA 640 XL DUAL BC CAM .   " u="1"/>
        <s v="CEL. DESB. SONY XPERIA X F5122 DUAL PT/GF CAM .   " u="1"/>
        <s v="REF FF 425L PANASONIC NR-BB53GV BLACK GLASS 110V  " u="1"/>
        <s v="CEL ZENFONE MAX SHOT  4GB 64GB 4A006BR BLACK      " u="1"/>
        <s v="CEL. DESB. ASUS ZENFONE MAX PLUS 32GB GOLD ZB570 ." u="1"/>
        <s v="CEL.DESB. IPHONE 8 256GB SPACE GRAY MQ7C2BR/A     " u="1"/>
        <s v="CEL.DESB.APPLE IPHONE 6S 16GB SPACE CZ MKQJ2BR    " u="1"/>
        <s v="CEL.DESB. LG Q6 PLUS LGM700TVA4RAPL PLATINUM .    " u="1"/>
        <s v="CEL. DESB. XIAOMI REDMI NOTE 8 CX287AZU AZUL      " u="1"/>
        <s v="CEL. DESB. SAMS. GALAXY A6 PLUS 64GB PTA A605     " u="1"/>
        <s v="CADEIRA AUTO DISNEY TRIO MINNIE M. PARIS 0/25KG   " u="1"/>
        <s v="CEL. CLARO SAMS.G530/G531 GRAN PRIME DUOS CZ S    " u="1"/>
        <s v="CEL. DESB.SAMS.G530/G531GAL.GRAN PRIME DUO TV CZ  " u="1"/>
        <s v="CEL. DESB. SAMS. G316M GALAXY ACE 4 PLUS DUOS CZ  " u="1"/>
        <s v="CEL.DESB.APPLE IPHONE 6S 128GB PTA MKQU2BZ/A      " u="1"/>
        <s v="CEL.DESB.IPHONE 11 PRO 64GB SILVER MWC32BZ/A      " u="1"/>
        <s v="CEL.DESB.IPHONE 6S 32GB SPACE GRAY MN0W2BZ/A      " u="1"/>
        <s v="CEL.DESB.IPHONE 7 PLUS BLACK 128GB MN4M2BZ/A      " u="1"/>
        <s v="CEL.DESB.IPHONE 8 256GB SPACE GRAY MQ7C2BZ/A      " u="1"/>
        <s v="CEL.DESB.IPHONE X SPACE GRAY 256GB MQAF2BZ/A      " u="1"/>
        <s v="CEL.DESB.IPHONE XS SPACE GRAY 64GB MT9E2BZ/A      " u="1"/>
        <s v="REF FF 453L SAMSUNG RT46K6261S8/AZ 110V INX LK    " u="1"/>
        <s v="REF FF 453L SAMSUNG RT46K6261S8/BZ 220V INX LK    " u="1"/>
        <s v="REF FF 453L SAMSUNG RT46K6361SL/AZ 110V INX LK    " u="1"/>
        <s v="REF FF 453L SAMSUNG RT46K6361SL/BZ 220V INX LK    " u="1"/>
        <s v="CEL. DESB. LG K9 TV DUAL PRETO LMX210BMWABRABK.   " u="1"/>
        <s v="CEL DESB MULTILASER FLIP VITA P9043 DOURADO.      " u="1"/>
        <s v="CEL. DESB. SAMS. A510 GALAXY A5 2016 DUOS DRCA    " u="1"/>
        <s v="CEL. DESB. MOTO. XT1556 MOTO G 16GB TURBO PT      " u="1"/>
        <s v="CEL. DESB. MOTO. XT1580 MOTO X FORCE 64GB PT      " u="1"/>
        <s v="CEL. DESB. SAMS. A520 GALAXY A5 2017 DUOS PT      " u="1"/>
        <s v="CEL. DESB. SAMS. A720 GALAXY A7 2017 DUOS PT      " u="1"/>
        <s v="CEL. DESB. ALCATEL OT4028 PIXI3 45&quot; PT CAM .      " u="1"/>
        <s v="CEL.DESB.APPLE IPHONE 6 64GB SPACE CZ MG3H2BR/    " u="1"/>
        <s v="REF DID 552L LG GR-X248LKZM MONA 4 110V PTA       " u="1"/>
        <s v="CEL. DESB. SAMS. I9192 S4 MINI DUOS 2CHIPS PT     " u="1"/>
        <s v="CEL.DESB.IPHONE XS SPACE GRAY 64GB MT9E2BZ/A.     " u="1"/>
        <s v="CEL. CLARO ALCATEL OT1041 2CHIPS PT CAM RJ        " u="1"/>
        <s v="CEL. CLARO SAMS. J200 J2 4G DUOS BC CAM RJ        " u="1"/>
        <s v="CEL. DESB. SAMS. A710 GALAXY A7 2016 DUOS ROSE    " u="1"/>
        <s v="CEL. DESB. SAMS GALAXY J2 PRIME TV 16GB DR G532.  " u="1"/>
        <s v="CEL DESB MOTO Z2 PLAY POWER DTV OURO XT1710       " u="1"/>
        <s v="CEL DESB MOTO Z2 PLAY POWER DTV PLAT XT1710       " u="1"/>
        <s v="TRIPLO CHIP CLARO POS PAGO 4G DDD 11 A 19.        " u="1"/>
        <s v="CEL. DESB. SAMS. A510 GAL.A5 2016 DUOS ROSE CA    " u="1"/>
        <s v="CEL. DESB. MOTO E6 PLAY 32GB AZUL METALICO XT2029." u="1"/>
        <s v="CEL. DESB. LG K11 PLUS DUAL DOURADO LMX410BCW     " u="1"/>
        <s v="REF FF 425L PANASONIC NR-BB53GV BLACK GLASS 220V  " u="1"/>
        <s v="CEL DESB. IPHONE 8 PLUS 128GB SPACE GRAY MX242BR/A" u="1"/>
        <s v="CEL. CLARO ALCATEL OT3000H 3CHIPS PT CAM SP       " u="1"/>
        <s v="CEL. CLARO LG D125 L30 2 CHIPS BC/RS CAM SP       " u="1"/>
        <s v="CEL. CLARO MOTOR XT1040 MOTO G 4G PT CAM SP       " u="1"/>
        <s v="CEL. TIM LG OPTIMUS L4 II DUAL TV BC CAM SP       " u="1"/>
        <s v="CEL. TIM LG OPTIMUS L4 II DUAL TV PT CAM SP       " u="1"/>
        <s v="CEL. TIM SAMSUNG CORE PLUS 2CHIPS PT CAM SP       " u="1"/>
        <s v="CEL. VIVO ALCATEL C7 OT7040E DUOS BC CAM SP       " u="1"/>
        <s v="CEL. DESB. POSITIVO TWIST 4G S520 DUOS AZUL       " u="1"/>
        <s v="CEL. DESB. SAMS. A710 GALAXY A7 2016 DUOS DR C    " u="1"/>
        <s v="CEL. DESB. SAMS. G928 GALAXY S6 EDGE PLUS DR C    " u="1"/>
        <s v="CEL. DESB. SAMS.G531 GAL. GRAN PRIME DUOS DR C    " u="1"/>
        <s v="CEL. DESB. SAMS.G920I GALAXY S6 FLAT 32GB DR C    " u="1"/>
        <s v="CEL. DESB. SAMS.G925I GALAXY S6 EDGE 32GB DR C    " u="1"/>
        <s v="CEL. CLARO ALCATEL OT4009E PIX 3 DUOS CAM PT MG   " u="1"/>
        <s v="CEL. DESB. ASUS ZENFONE 3 MAX 16GB CZ ZC520TL.    " u="1"/>
        <s v="CEL. DESB. ASUS ZENFONE 3 MAX 16GB DR ZC520TL.    " u="1"/>
        <s v="CEL. CLARO ALCATEL OT4009E PIX 3 DUOS CAM PT NE   " u="1"/>
        <s v="CEL. DESB. POSITIVO TWIST MINI S430 DUOS RS       " u="1"/>
        <s v="CEL. DESB. SAMS GALAXY J2 PRIME TV 16GB RS G532.  " u="1"/>
        <s v="CEL MOTOROLA ONE ACTION 128GB POLAR XT2013.       " u="1"/>
        <s v="CADEIRA AUTO DISNEY TRIO MICKEY M. VITE 0/25KG    " u="1"/>
        <s v="CEL. CLARO MOTOR XT1040 MOTO G 4G PT CAM SP .     " u="1"/>
        <s v="CEL. TIM LG OPTIMUS L4 II DUAL TV BC CAM SP .     " u="1"/>
        <s v="CEL. TIM LG OPTIMUS L4 II DUAL TV PT CAM SP .     " u="1"/>
        <s v="CEL. DESB. POSITIVO TWIST 4G S520 DUOS AZUL .     " u="1"/>
        <s v="CEL. DESB. SONY E2363 XPERIA M4 AQUA DUAL BC C.   " u="1"/>
        <s v="CEL. DESB. SONY E6533 XPERIA Z3 PLUS DUAL BC C.   " u="1"/>
        <s v="CEL. CLARO SAMS. S5310 POCKET NEO PTA CAM SP      " u="1"/>
        <s v="CEL. CLARO SAMSUNG GALAXY YOUNG TV BC CAM SP      " u="1"/>
        <s v="CEL. TIM MOTO G XT1068 2 CHIPS 8GB PT CAM SP      " u="1"/>
        <s v="CEL. VIVO SAMSUNG S5830 GALAXY ACE PT CAM SP      " u="1"/>
        <s v="CEL. DESB. SAMS. I9300 GALAXY S3 NEO DUOS GFT     " u="1"/>
        <s v="CEL. DESB. SAMS GALAXY J2 PRO 16GB DR J250 .      " u="1"/>
        <s v="CEL. DESB. SAMS GALAXY NOTE 8 64GB PT N950 .      " u="1"/>
        <s v="CEL. DESB. MOTO Z2 ONIX FORCE EDITION XT1789      " u="1"/>
        <s v="CEL.DESB.IPHONE 6S PLUS 128GB ROSE GOLD MKUG2     " u="1"/>
        <s v="CEL DESB. ASUS ZENFONE GO LIVE CINZA ZB551KL      " u="1"/>
        <s v="CEL DESB. ASUS ZENFONE GO LIVE PRETO ZB551KL      " u="1"/>
        <s v="CEL. DESB. POSITIVO TWIST M S520 DUOS AZUL        " u="1"/>
        <s v="CEL. DESB. POSITIVO TWIST MINI S430 DUOS RS .     " u="1"/>
        <s v="REF FF  592L PANASONIC NR-CB74PV1XA 110V INOX     " u="1"/>
        <s v="REF FF  592L PANASONIC NR-CB74PV1XB 220V INOX     " u="1"/>
        <s v="REF SBS 501L SAMSUNG RS50N3413S8/AZ 110V INOX     " u="1"/>
        <s v="REF SBS 501L SAMSUNG RS50N3413S8/BZ 220V INOX     " u="1"/>
        <s v="BERCO VOYAGE PORTATIL POA IMP91520 BG 15KG        " u="1"/>
        <s v="CEL. DESB. SAMS GALAXY J2 PRIME TV 16GB PT G532.  " u="1"/>
        <s v="REF FF 435L PANASONIC NR-BT47BD2X 110V ACO/ESC    " u="1"/>
        <s v="CEL. VIVO SAMS. G110B POCKET 2 DUAL BC CAM SUL    " u="1"/>
        <s v="CEL. DESB. MOTO G8 PLAY 32GB VERMELHO MAGENTA.    " u="1"/>
        <s v="CEL. DESB. SAMS. GALAXY S7 FLAT 32GB PTA G930F    " u="1"/>
        <s v="CEL. DESB. SAMS. I9192 S4 MINI DUOS 2CHIPS BC     " u="1"/>
        <s v="CEL. ZENF MAX PLUS M2 3GB 32GB 4J005BR SILVER.    " u="1"/>
        <s v="CEL DESB. ASUS ZENFONE MAX PLUS 32GB PRETO ZB570  " u="1"/>
        <s v="CEL. TIM MOTO G XT1068 2 CHIPS 8GB PT CAM SP.     " u="1"/>
        <s v="CEL. DESB. SAMS. GALAXY S7 EDGE 32GB PTA G935F    " u="1"/>
        <s v="CEL DESB MULTILASER FLIP VITA P9043 DOURADO       " u="1"/>
        <s v="CEL. DESB. MOTO G7 PLAY 32GB ED ESPECIAL OURO .   " u="1"/>
        <s v="CEL. DESB. MOTO Z2 ONIX FORCE EDITION XT1789.     " u="1"/>
        <s v="CEL.DESB.APPLE IPHONE SE 64GB SPACE GRAY MLM62    " u="1"/>
        <s v="CEL. DESB. ALCATEL 4009I PIXI3 3,5&quot; PT CAM        " u="1"/>
        <s v="CEL. DESB. ALCATEL 4017F PIXI4 3,5&quot; PT CAM        " u="1"/>
        <s v="CEL. DESB. ALCATEL 5016J POP3,5&quot; TV PT CAM        " u="1"/>
        <s v="CEL. DESB. POSITIVO FLIP P40 2CHIPS PT CAM        " u="1"/>
        <s v="CEL. DESB. POSITIVO YPY S450 2CHIPS PT CAM        " u="1"/>
        <s v="CEL. DESB. POSITIVO YPY S460 2CHIPS PT CAM        " u="1"/>
        <s v="CEL. DESB. SAMS E700 GALAXY E7 DUOS BC CAM        " u="1"/>
        <s v="CEL. DESB. SAMS. J200 J2 4G DUOS TV BC CAM        " u="1"/>
        <s v="CEL. DESB. SAMS. J200 J2 4G DUOS TV DR CAM        " u="1"/>
        <s v="CEL. DESB. SAMS. J200 J2 4G DUOS TV PT CAM        " u="1"/>
        <s v="CEL ZENF MAX PLUS M2 3GB 32GB 4J005BR SILVER      " u="1"/>
        <s v="CEL.DESB ASUS ZENFONE 5 SELFIE 64GB PTO ZC600KL   " u="1"/>
        <s v="CEL.DESB.IPHONE XS MAX SPACE GRAY 64GB MT502BZ/A  " u="1"/>
        <s v="CEL.DESB.APPLE IPHONE 6S 16GB ROSE GOLD MKQM2B    " u="1"/>
        <s v="CEL. DESB. ASUS ZENFONE GO BRANCO ZB500KG.        " u="1"/>
        <s v="CEL. DESB. ASUS ZENFONE GO PRATA ZB500KG .        " u="1"/>
        <s v="CEL. DESB. ASUS ZENFONE GO PRETO ZB500KG .        " u="1"/>
        <s v="CEL. DESB. SAMS GALAXY A10 VERMELHO A105 .        " u="1"/>
        <s v="CEL. DESB. SAMS GALAXY A20 VERMELHO A205 .        " u="1"/>
        <s v="CEL. DESB. SAMS GALAXY A7 64GB COBRE A750.        " u="1"/>
        <s v="CEL. DESB. SAMS GALAXY J4 PLUS COBRE J415.        " u="1"/>
        <s v="CEL. DESB. SAMS GALAXY J4 PLUS ROSA J415 .        " u="1"/>
        <s v="CEL. DESB. SAMS GALAXY J5 PRIME PTO G570 .        " u="1"/>
        <s v="CEL. DESB. SAMS GALAXY J6 PLUS PRATA J610.        " u="1"/>
        <s v="CEL. DESB. SAMS GALAXY J6 PLUS PRETO J610.        " u="1"/>
        <s v="CEL. DESB. SAMS GALAXY J7 NEO TV DR J701 .        " u="1"/>
        <s v="CEL. DESB. SAMS GALAXY J7 NEO TV PTO J701.        " u="1"/>
        <s v="CEL. DESB. SAMS GALAXY J7 PRIME 2 DR G611.        " u="1"/>
        <s v="CEL. DESB. SAMS GALAXY J8 64GB PRATA J810.        " u="1"/>
        <s v="CEL. DESB. SAMS GALAXY J8 64GB PRETO J810.        " u="1"/>
        <s v="CEL. DESB. SAMS GALAXY NOTE 9 PRETO N9600.        " u="1"/>
        <s v="CEL. DESB. SAMS GALAXY S8 PLUS AME G955F .        " u="1"/>
        <s v="CEL.DESB. LG Q6 LGM700TVABRABK PRETO CAM .        " u="1"/>
        <s v="CEL. DESB.ZENFONE MAX PRO 4 64GB PRETO ZB602KL .  " u="1"/>
        <s v="CEL.DESB.APPLE IPHONE 6S GOLD 16GB DR MKQL2BR/    " u="1"/>
        <s v="CAD P AUTO MULTIFIX BLACK URBAN SAFETY 1ST 0/36KG " u="1"/>
        <s v="CEL MOTOROLA ONE ACTION 128GB AZUL DENIM XT2013.  " u="1"/>
        <s v="CEL.DESB.IPHONE 8 PLUS 64GB SPACE GREY MQ8L2BR/A  " u="1"/>
        <s v="CEL.DESB.IPHONE 8 PLUS SPACE GRAY 64GB MQ8L2BR/A  " u="1"/>
        <s v="CEL. DESB. SAMS. G903 GAL. S5 NEW EDITON DR CAM   " u="1"/>
        <s v="CEL DESB. ASUS ZENFONE 3 MAX 32GB CZ ZC553KL      " u="1"/>
        <s v="CEL DESB. ASUS ZENFONE 3 MAX 32GB DR ZC553KL      " u="1"/>
        <s v="CEL. DESB. SAMS GALAXY J2 PRIME 16GB DR 2018 .    " u="1"/>
        <s v="CEL. DESB. SAMS GALAXY J2 PRIME 16GB PT 2018 .    " u="1"/>
        <s v="CEL. DESB. SAMS GALAXY J2 PRIME 16GB RS 2018 .    " u="1"/>
        <s v="CEL. CLARO LG H342F DUAL CHIP LEON 4G TN CAM SP   " u="1"/>
        <s v="CEL. DESB.SAMS.G530/G531GAL.GRAN PRIME DUO TV DR  " u="1"/>
        <s v="CEL. TIM SAMS. G800 GAL. S5 MINI DUOS PT CAM SP   " u="1"/>
      </sharedItems>
    </cacheField>
    <cacheField name="MERC / CONJ" numFmtId="0">
      <sharedItems containsNonDate="0" containsString="0" containsBlank="1"/>
    </cacheField>
    <cacheField name="PRIORIDADE" numFmtId="0">
      <sharedItems containsNonDate="0" containsString="0" containsBlank="1"/>
    </cacheField>
    <cacheField name="QTDE" numFmtId="0">
      <sharedItems containsNonDate="0" containsString="0" containsBlank="1"/>
    </cacheField>
    <cacheField name="VOLTAGEM" numFmtId="0">
      <sharedItems containsNonDate="0" containsString="0" containsBlank="1"/>
    </cacheField>
    <cacheField name="VIGENCIA INICIO" numFmtId="0">
      <sharedItems containsNonDate="0" containsString="0" containsBlank="1"/>
    </cacheField>
    <cacheField name="VIGENCIA FIM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" numFmtId="0">
      <sharedItems containsNonDate="0" containsBlank="1" count="3">
        <m/>
        <s v="RUA" u="1"/>
        <s v="SHOPPING" u="1"/>
      </sharedItems>
    </cacheField>
    <cacheField name="LOCAL_NOVO" numFmtId="0">
      <sharedItems containsNonDate="0" containsString="0" containsBlank="1"/>
    </cacheField>
    <cacheField name="TAMANHO" numFmtId="0">
      <sharedItems containsNonDate="0" containsBlank="1" count="10">
        <m/>
        <s v=" ATÉ 128GB" u="1"/>
        <s v="M" u="1"/>
        <s v="8" u="1"/>
        <s v="PP" u="1"/>
        <s v="GG" u="1"/>
        <s v="G" u="1"/>
        <s v="P" u="1"/>
        <s v=" 7 E 8" u="1"/>
        <s v="MEGA" u="1"/>
      </sharedItems>
    </cacheField>
    <cacheField name="REGIÃO" numFmtId="0">
      <sharedItems containsNonDate="0" containsString="0" containsBlank="1"/>
    </cacheField>
    <cacheField name="STATUS" numFmtId="0">
      <sharedItems containsNonDate="0" containsBlank="1" count="4">
        <m/>
        <s v="A" u="1"/>
        <s v="F" u="1"/>
        <s v="S" u="1"/>
      </sharedItems>
    </cacheField>
    <cacheField name="MARCA_MERCADORIA" numFmtId="0">
      <sharedItems containsNonDate="0" containsBlank="1" count="66">
        <m/>
        <s v="CLARO          " u="1"/>
        <s v="TIM GSM SUL    " u="1"/>
        <s v="HUAWEI         " u="1"/>
        <s v="APPLE          " u="1"/>
        <s v="FUTURO FORA DE LINHA" u="1"/>
        <s v="PANASONIC" u="1"/>
        <s v="TEL.CEL.TIM S.PAULO/INTERIOR" u="1"/>
        <e v="#N/A" u="1"/>
        <s v="TELESP         " u="1"/>
        <s v="TNL - OI SP    " u="1"/>
        <s v="VIVO           " u="1"/>
        <s v="TIM SP         " u="1"/>
        <s v="FISCHER        " u="1"/>
        <s v="ARTSANA BRASIL " u="1"/>
        <s v="GLOBAL         " u="1"/>
        <s v="BRASTEMP" u="1"/>
        <s v="BRITANIA" u="1"/>
        <s v="OI - RJ        " u="1"/>
        <s v="TEL.CEL.DESB.ASUS GSM" u="1"/>
        <s v="CLARO DIVERSOS " u="1"/>
        <s v="VIVO BA        " u="1"/>
        <s v="FORA DE LINHA" u="1"/>
        <s v="TIM BA         " u="1"/>
        <s v="TNL - OI - MG  " u="1"/>
        <s v="SAMSUNG        " u="1"/>
        <s v="TEL.CEL.CLARO MINAS GERAIS" u="1"/>
        <s v="OI CENTRO OESTE" u="1"/>
        <s v="NOKIA          " u="1"/>
        <s v="TEL.CEL.DESBLOQ.LG GSM" u="1"/>
        <s v="LENOX" u="1"/>
        <s v="ALCATEL DESB.  " u="1"/>
        <s v="TNL - OI SUL   " u="1"/>
        <s v="POSITIVO " u="1"/>
        <s v="MULTILASER     " u="1"/>
        <s v="CLARO CO       " u="1"/>
        <s v="SONY ERICSSON  " u="1"/>
        <s v="CLARO SPO (11) " u="1"/>
        <s v="EM LINHA" u="1"/>
        <s v="MOTOROLA " u="1"/>
        <s v="VIVO RJ        " u="1"/>
        <s v="TELEMIG/VIVO   " u="1"/>
        <s v="CONSUL" u="1"/>
        <s v="TIM CO         " u="1"/>
        <s v="POSITIVO       " u="1"/>
        <s v="TUTTI BABY     " u="1"/>
        <s v="LG             " u="1"/>
        <s v="ASUS" u="1"/>
        <s v="ASUS           " u="1"/>
        <s v="DOREL          " u="1"/>
        <s v="CLARO BA       " u="1"/>
        <s v="TEL.CEL. DESBLOQ. POSITIVO GSM" u="1"/>
        <s v="LENOVO" u="1"/>
        <s v="APPLE" u="1"/>
        <s v="MOTOROLA       " u="1"/>
        <s v="SAMSUNG" u="1"/>
        <s v="TEAM TEX BRASIL" u="1"/>
        <s v="CLARO MG       " u="1"/>
        <s v="TIM - RJ       " u="1"/>
        <s v="CLARO SUL      " u="1"/>
        <s v="TNL - OI NE    " u="1"/>
        <s v="LENOXX         " u="1"/>
        <s v="TIM MG         " u="1"/>
        <s v="DL             " u="1"/>
        <s v="ELECTROLUX" u="1"/>
        <s v="LG" u="1"/>
      </sharedItems>
    </cacheField>
    <cacheField name="ESPECIE_MERCADORIA" numFmtId="0">
      <sharedItems containsNonDate="0" containsBlank="1" count="53">
        <m/>
        <s v="CADEIRA P/AUTO E BEBE CONFORTO" u="1"/>
        <s v="TEL.CEL.VIVO S.PAULO/INTERIOR" u="1"/>
        <s v="TEL.CEL.TIM S.PAULO/INTERIOR" u="1"/>
        <e v="#N/A" u="1"/>
        <s v="REFRIGERADOR SIDE BY SIDE / FD" u="1"/>
        <s v="FRIGOBAR" u="1"/>
        <s v="CHIP CLARO AVULSO             " u="1"/>
        <s v="CHIP OI AVULSO                " u="1"/>
        <s v="CHIP TIM AVULSO               " u="1"/>
        <s v="CHIP VIVO AVULSO              " u="1"/>
        <s v="TEL.CEL.CLARO S.PAULO/INTERIOR" u="1"/>
        <s v="TEL.CEL.DESB.ASUS GSM" u="1"/>
        <s v="TEL.CEL.VIVO MINAS GERAIS     " u="1"/>
        <s v="REFRIGERADOR 2P CD MENOR 410L" u="1"/>
        <s v="REFRIGERADOR 2P FF MENOR 410L" u="1"/>
        <s v="TEL.CEL.CLARO MINAS GERAIS" u="1"/>
        <s v="CERVEJEIRAS" u="1"/>
        <s v="TEL.CEL.DESBLOQ.LG GSM" u="1"/>
        <s v="BERÇO PORTATIL                " u="1"/>
        <s v="ALCATEL DESB." u="1"/>
        <s v="TEL.CEL.TIM S.PAULO/INTERIOR  " u="1"/>
        <s v="CERCADO / GRADE               " u="1"/>
        <s v="TEL. CEL. DESB. LENOXX" u="1"/>
        <s v="BERÃ‡O PORTATIL                " u="1"/>
        <s v="TEL.CEL.DESB.HUAWEI GSM       " u="1"/>
        <s v="TEL.CEL.DESB.SONY MOBILE GSM  " u="1"/>
        <s v="ALCATEL DESB.                 " u="1"/>
        <s v="TEL.CEL.DESB.ASUS GSM         " u="1"/>
        <s v="TEL.CEL.DESB.DL GSM           " u="1"/>
        <s v="PASSEIO                       " u="1"/>
        <s v="TEL.CEL.DESBLOQ.SAMSUNG GSM" u="1"/>
        <s v="REFRIGERADOR 1P FF" u="1"/>
        <s v="TEL.CEL.DESB.MULTILASER GSM   " u="1"/>
        <s v="TEL.CEL.DESBLOQ.MOTOROLA GSM  " u="1"/>
        <s v="CARRO BERÇO/PASSEIO           " u="1"/>
        <s v="TEL.CEL. DESBLOQ. POSITIVO GSM" u="1"/>
        <s v="TEL.CEL.DESBLOQ.MOTOROLA GSM" u="1"/>
        <s v="TEL.CEL.CLARO NORDESTE        " u="1"/>
        <s v="TEL.CEL.TIM RIO DE JANEIRO    " u="1"/>
        <s v="TEL.CEL.CLARO MINAS GERAIS    " u="1"/>
        <s v="TEL.CEL.VIVO S.PAULO/INTERIOR " u="1"/>
        <s v="TEL.CEL.DESBLOQ.SAMSUNG GSM   " u="1"/>
        <s v="TEL.CEL.DESB.APPLE GSM        " u="1"/>
        <s v="TEL.CEL.DESBLOQ.LG GSM        " u="1"/>
        <s v="TEL.CEL.DESB.APPLE GSM" u="1"/>
        <s v="TEL. CEL. DESB. LENOXX        " u="1"/>
        <s v="AP IDEN (NEXTEL).............." u="1"/>
        <s v="REFRIGERADOR 1P" u="1"/>
        <s v="REFRIGERADOR 2P CD MAIOR 410L" u="1"/>
        <s v="REFRIGERADOR 2P FF MAIOR 410L" u="1"/>
        <s v="TEL.CEL.DESBLOQ.MICROSOFT     " u="1"/>
        <s v="TEL.CEL.CLARO CENTRO OESTE    " u="1"/>
      </sharedItems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ndré Zigaib" refreshedDate="44281.559903472225" createdVersion="6" refreshedVersion="6" minRefreshableVersion="3" recordCount="246" xr:uid="{00000000-000A-0000-FFFF-FFFF01000000}">
  <cacheSource type="worksheet">
    <worksheetSource ref="A1:W1048576" sheet="SORTIM"/>
  </cacheSource>
  <cacheFields count="23">
    <cacheField name="COD PUBLICO" numFmtId="0">
      <sharedItems containsNonDate="0" containsString="0" containsBlank="1"/>
    </cacheField>
    <cacheField name="DESC PUBLICO" numFmtId="0">
      <sharedItems containsNonDate="0" containsString="0" containsBlank="1"/>
    </cacheField>
    <cacheField name="COD SECAO" numFmtId="0">
      <sharedItems containsNonDate="0" containsString="0" containsBlank="1"/>
    </cacheField>
    <cacheField name="DESC SECAO" numFmtId="0">
      <sharedItems containsNonDate="0" containsString="0" containsBlank="1"/>
    </cacheField>
    <cacheField name="COD SORTIMENTO" numFmtId="0">
      <sharedItems containsNonDate="0" containsString="0" containsBlank="1"/>
    </cacheField>
    <cacheField name="COD TAMANHO" numFmtId="0">
      <sharedItems containsNonDate="0" containsString="0" containsBlank="1"/>
    </cacheField>
    <cacheField name="DESC TAMANHO" numFmtId="0">
      <sharedItems containsNonDate="0" containsString="0" containsBlank="1"/>
    </cacheField>
    <cacheField name="PERFIL" numFmtId="0">
      <sharedItems containsNonDate="0" containsString="0" containsBlank="1"/>
    </cacheField>
    <cacheField name="BANDEIRA" numFmtId="0">
      <sharedItems containsNonDate="0" containsString="0" containsBlank="1"/>
    </cacheField>
    <cacheField name="LOCAL_NOVO" numFmtId="0">
      <sharedItems containsNonDate="0" containsString="0" containsBlank="1"/>
    </cacheField>
    <cacheField name="LOCAL" numFmtId="0">
      <sharedItems containsNonDate="0" containsString="0" containsBlank="1"/>
    </cacheField>
    <cacheField name="TAMANHO" numFmtId="0">
      <sharedItems containsNonDate="0" containsString="0" containsBlank="1"/>
    </cacheField>
    <cacheField name="REGIÃO" numFmtId="0">
      <sharedItems containsNonDate="0" containsString="0" containsBlank="1"/>
    </cacheField>
    <cacheField name="REGIAO 2" numFmtId="0">
      <sharedItems containsNonDate="0" containsString="0" containsBlank="1"/>
    </cacheField>
    <cacheField name="CONCATENADO" numFmtId="0">
      <sharedItems containsNonDate="0" containsString="0" containsBlank="1"/>
    </cacheField>
    <cacheField name="CONCATENADO2" numFmtId="0">
      <sharedItems containsNonDate="0" containsString="0" containsBlank="1"/>
    </cacheField>
    <cacheField name="CONCATENADO3" numFmtId="0">
      <sharedItems containsNonDate="0" containsString="0" containsBlank="1"/>
    </cacheField>
    <cacheField name="CONCATENADO4" numFmtId="0">
      <sharedItems containsNonDate="0" containsString="0" containsBlank="1" count="1">
        <m/>
      </sharedItems>
    </cacheField>
    <cacheField name="CONCATENADO5" numFmtId="0">
      <sharedItems containsNonDate="0" containsString="0" containsBlank="1"/>
    </cacheField>
    <cacheField name="CONCATENADO6" numFmtId="0">
      <sharedItems containsNonDate="0" containsString="0" containsBlank="1"/>
    </cacheField>
    <cacheField name="EMPRESA" numFmtId="0">
      <sharedItems containsNonDate="0" containsString="0" containsBlank="1"/>
    </cacheField>
    <cacheField name="FILIAL" numFmtId="0">
      <sharedItems containsNonDate="0" containsString="0" containsBlank="1"/>
    </cacheField>
    <cacheField name="TIPO PUBLIC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51"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  <r>
    <m/>
    <m/>
    <m/>
    <m/>
    <m/>
    <m/>
    <m/>
    <x v="0"/>
    <x v="0"/>
    <m/>
    <m/>
    <m/>
    <m/>
    <m/>
    <m/>
    <m/>
    <m/>
    <x v="0"/>
    <m/>
    <x v="0"/>
    <m/>
    <x v="0"/>
    <x v="0"/>
    <x v="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  <r>
    <m/>
    <m/>
    <m/>
    <m/>
    <m/>
    <m/>
    <m/>
    <m/>
    <m/>
    <m/>
    <m/>
    <m/>
    <m/>
    <m/>
    <m/>
    <m/>
    <m/>
    <x v="0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ela dinâmica1" cacheId="1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G7" firstHeaderRow="1" firstDataRow="3" firstDataCol="5"/>
  <pivotFields count="2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82">
        <item m="1" x="152"/>
        <item m="1" x="783"/>
        <item m="1" x="274"/>
        <item m="1" x="466"/>
        <item m="1" x="537"/>
        <item m="1" x="622"/>
        <item m="1" x="679"/>
        <item m="1" x="738"/>
        <item m="1" x="930"/>
        <item m="1" x="15"/>
        <item m="1" x="660"/>
        <item m="1" x="952"/>
        <item m="1" x="965"/>
        <item m="1" x="431"/>
        <item m="1" x="436"/>
        <item m="1" x="191"/>
        <item m="1" x="207"/>
        <item m="1" x="214"/>
        <item m="1" x="237"/>
        <item m="1" x="316"/>
        <item m="1" x="325"/>
        <item m="1" x="996"/>
        <item m="1" x="1008"/>
        <item m="1" x="1065"/>
        <item m="1" x="1067"/>
        <item m="1" x="898"/>
        <item m="1" x="916"/>
        <item m="1" x="941"/>
        <item m="1" x="894"/>
        <item m="1" x="12"/>
        <item m="1" x="16"/>
        <item m="1" x="18"/>
        <item m="1" x="19"/>
        <item m="1" x="266"/>
        <item m="1" x="268"/>
        <item m="1" x="278"/>
        <item m="1" x="283"/>
        <item m="1" x="763"/>
        <item m="1" x="765"/>
        <item m="1" x="428"/>
        <item m="1" x="430"/>
        <item m="1" x="1052"/>
        <item m="1" x="983"/>
        <item m="1" x="764"/>
        <item m="1" x="766"/>
        <item m="1" x="782"/>
        <item m="1" x="730"/>
        <item m="1" x="562"/>
        <item m="1" x="566"/>
        <item m="1" x="654"/>
        <item m="1" x="655"/>
        <item m="1" x="1138"/>
        <item m="1" x="1140"/>
        <item m="1" x="1142"/>
        <item m="1" x="1145"/>
        <item m="1" x="34"/>
        <item m="1" x="36"/>
        <item m="1" x="60"/>
        <item m="1" x="1167"/>
        <item m="1" x="1171"/>
        <item m="1" x="1175"/>
        <item m="1" x="1178"/>
        <item m="1" x="1180"/>
        <item m="1" x="4"/>
        <item m="1" x="86"/>
        <item m="1" x="94"/>
        <item m="1" x="98"/>
        <item m="1" x="255"/>
        <item m="1" x="261"/>
        <item m="1" x="361"/>
        <item m="1" x="368"/>
        <item m="1" x="374"/>
        <item m="1" x="377"/>
        <item m="1" x="378"/>
        <item m="1" x="383"/>
        <item m="1" x="292"/>
        <item m="1" x="296"/>
        <item m="1" x="395"/>
        <item m="1" x="305"/>
        <item m="1" x="308"/>
        <item m="1" x="314"/>
        <item m="1" x="317"/>
        <item m="1" x="318"/>
        <item m="1" x="412"/>
        <item m="1" x="417"/>
        <item m="1" x="423"/>
        <item m="1" x="427"/>
        <item m="1" x="438"/>
        <item m="1" x="364"/>
        <item m="1" x="367"/>
        <item m="1" x="371"/>
        <item m="1" x="40"/>
        <item m="1" x="43"/>
        <item m="1" x="50"/>
        <item m="1" x="54"/>
        <item m="1" x="56"/>
        <item m="1" x="127"/>
        <item m="1" x="559"/>
        <item m="1" x="159"/>
        <item m="1" x="162"/>
        <item m="1" x="167"/>
        <item m="1" x="172"/>
        <item m="1" x="637"/>
        <item m="1" x="690"/>
        <item m="1" x="693"/>
        <item m="1" x="723"/>
        <item m="1" x="788"/>
        <item m="1" x="790"/>
        <item m="1" x="792"/>
        <item m="1" x="820"/>
        <item m="1" x="821"/>
        <item m="1" x="822"/>
        <item m="1" x="774"/>
        <item m="1" x="778"/>
        <item m="1" x="802"/>
        <item m="1" x="804"/>
        <item m="1" x="105"/>
        <item m="1" x="108"/>
        <item m="1" x="1073"/>
        <item m="1" x="1013"/>
        <item m="1" x="1016"/>
        <item m="1" x="1018"/>
        <item m="1" x="243"/>
        <item m="1" x="244"/>
        <item m="1" x="1159"/>
        <item m="1" x="490"/>
        <item m="1" x="526"/>
        <item m="1" x="97"/>
        <item m="1" x="602"/>
        <item m="1" x="302"/>
        <item m="1" x="209"/>
        <item m="1" x="269"/>
        <item m="1" x="270"/>
        <item m="1" x="416"/>
        <item m="1" x="420"/>
        <item m="1" x="333"/>
        <item m="1" x="334"/>
        <item m="1" x="529"/>
        <item m="1" x="531"/>
        <item m="1" x="1000"/>
        <item m="1" x="1002"/>
        <item m="1" x="1051"/>
        <item m="1" x="1053"/>
        <item m="1" x="1055"/>
        <item m="1" x="1036"/>
        <item m="1" x="1179"/>
        <item m="1" x="1136"/>
        <item m="1" x="1163"/>
        <item m="1" x="1164"/>
        <item x="0"/>
        <item m="1" x="924"/>
        <item m="1" x="1152"/>
        <item m="1" x="422"/>
        <item m="1" x="717"/>
        <item m="1" x="798"/>
        <item m="1" x="851"/>
        <item m="1" x="1059"/>
        <item m="1" x="123"/>
        <item m="1" x="515"/>
        <item m="1" x="536"/>
        <item m="1" x="576"/>
        <item m="1" x="597"/>
        <item m="1" x="616"/>
        <item m="1" x="205"/>
        <item m="1" x="212"/>
        <item m="1" x="229"/>
        <item m="1" x="241"/>
        <item m="1" x="295"/>
        <item m="1" x="310"/>
        <item m="1" x="323"/>
        <item m="1" x="357"/>
        <item m="1" x="843"/>
        <item m="1" x="847"/>
        <item m="1" x="989"/>
        <item m="1" x="1079"/>
        <item m="1" x="1102"/>
        <item m="1" x="35"/>
        <item m="1" x="3"/>
        <item m="1" x="133"/>
        <item m="1" x="101"/>
        <item m="1" x="103"/>
        <item m="1" x="165"/>
        <item m="1" x="174"/>
        <item m="1" x="231"/>
        <item m="1" x="232"/>
        <item m="1" x="239"/>
        <item m="1" x="502"/>
        <item m="1" x="514"/>
        <item m="1" x="520"/>
        <item m="1" x="478"/>
        <item m="1" x="482"/>
        <item m="1" x="551"/>
        <item m="1" x="560"/>
        <item m="1" x="570"/>
        <item m="1" x="508"/>
        <item m="1" x="513"/>
        <item m="1" x="733"/>
        <item m="1" x="736"/>
        <item m="1" x="233"/>
        <item m="1" x="236"/>
        <item m="1" x="240"/>
        <item m="1" x="245"/>
        <item m="1" x="178"/>
        <item m="1" x="179"/>
        <item m="1" x="293"/>
        <item m="1" x="297"/>
        <item m="1" x="300"/>
        <item m="1" x="304"/>
        <item m="1" x="248"/>
        <item m="1" x="252"/>
        <item m="1" x="359"/>
        <item m="1" x="365"/>
        <item m="1" x="360"/>
        <item m="1" x="362"/>
        <item m="1" x="1103"/>
        <item m="1" x="114"/>
        <item m="1" x="118"/>
        <item m="1" x="120"/>
        <item m="1" x="122"/>
        <item m="1" x="124"/>
        <item m="1" x="125"/>
        <item m="1" x="67"/>
        <item m="1" x="253"/>
        <item m="1" x="258"/>
        <item m="1" x="340"/>
        <item m="1" x="345"/>
        <item m="1" x="786"/>
        <item m="1" x="246"/>
        <item m="1" x="874"/>
        <item m="1" x="215"/>
        <item m="1" x="225"/>
        <item m="1" x="341"/>
        <item m="1" x="632"/>
        <item m="1" x="689"/>
        <item m="1" x="80"/>
        <item m="1" x="145"/>
        <item m="1" x="148"/>
        <item m="1" x="150"/>
        <item m="1" x="107"/>
        <item m="1" x="157"/>
        <item m="1" x="158"/>
        <item m="1" x="115"/>
        <item m="1" x="188"/>
        <item m="1" x="154"/>
        <item m="1" x="156"/>
        <item m="1" x="1077"/>
        <item m="1" x="1021"/>
        <item m="1" x="1028"/>
        <item m="1" x="760"/>
        <item m="1" x="823"/>
        <item m="1" x="824"/>
        <item m="1" x="827"/>
        <item m="1" x="831"/>
        <item m="1" x="1111"/>
        <item m="1" x="800"/>
        <item m="1" x="971"/>
        <item m="1" x="973"/>
        <item m="1" x="1042"/>
        <item m="1" x="1135"/>
        <item m="1" x="544"/>
        <item m="1" x="1139"/>
        <item m="1" x="1141"/>
        <item m="1" x="1143"/>
        <item m="1" x="1146"/>
        <item m="1" x="143"/>
        <item m="1" x="228"/>
        <item m="1" x="230"/>
        <item m="1" x="234"/>
        <item m="1" x="238"/>
        <item m="1" x="321"/>
        <item m="1" x="414"/>
        <item m="1" x="146"/>
        <item m="1" x="149"/>
        <item m="1" x="100"/>
        <item m="1" x="102"/>
        <item m="1" x="762"/>
        <item m="1" x="814"/>
        <item m="1" x="815"/>
        <item m="1" x="656"/>
        <item m="1" x="415"/>
        <item m="1" x="875"/>
        <item m="1" x="878"/>
        <item m="1" x="990"/>
        <item m="1" x="195"/>
        <item m="1" x="306"/>
        <item m="1" x="413"/>
        <item m="1" x="138"/>
        <item m="1" x="958"/>
        <item m="1" x="1034"/>
        <item m="1" x="57"/>
        <item m="1" x="673"/>
        <item m="1" x="954"/>
        <item m="1" x="369"/>
        <item m="1" x="376"/>
        <item m="1" x="418"/>
        <item m="1" x="1151"/>
        <item m="1" x="29"/>
        <item m="1" x="81"/>
        <item m="1" x="1040"/>
        <item m="1" x="1087"/>
        <item m="1" x="1088"/>
        <item m="1" x="9"/>
        <item m="1" x="927"/>
        <item m="1" x="1076"/>
        <item m="1" x="1063"/>
        <item m="1" x="668"/>
        <item m="1" x="653"/>
        <item m="1" x="1123"/>
        <item m="1" x="1045"/>
        <item m="1" x="89"/>
        <item m="1" x="1"/>
        <item m="1" x="379"/>
        <item m="1" x="399"/>
        <item m="1" x="856"/>
        <item m="1" x="801"/>
        <item m="1" x="807"/>
        <item m="1" x="816"/>
        <item m="1" x="134"/>
        <item m="1" x="1072"/>
        <item m="1" x="1019"/>
        <item m="1" x="1020"/>
        <item m="1" x="1023"/>
        <item m="1" x="1116"/>
        <item m="1" x="1118"/>
        <item m="1" x="1121"/>
        <item m="1" x="1124"/>
        <item m="1" x="1125"/>
        <item m="1" x="1060"/>
        <item m="1" x="1062"/>
        <item m="1" x="1129"/>
        <item m="1" x="1068"/>
        <item m="1" x="1069"/>
        <item m="1" x="28"/>
        <item m="1" x="33"/>
        <item m="1" x="38"/>
        <item m="1" x="41"/>
        <item m="1" x="900"/>
        <item m="1" x="903"/>
        <item m="1" x="907"/>
        <item m="1" x="443"/>
        <item m="1" x="574"/>
        <item m="1" x="578"/>
        <item m="1" x="834"/>
        <item m="1" x="836"/>
        <item m="1" x="1162"/>
        <item m="1" x="975"/>
        <item m="1" x="981"/>
        <item m="1" x="984"/>
        <item m="1" x="925"/>
        <item m="1" x="287"/>
        <item m="1" x="904"/>
        <item m="1" x="908"/>
        <item m="1" x="912"/>
        <item m="1" x="914"/>
        <item m="1" x="828"/>
        <item m="1" x="135"/>
        <item m="1" x="137"/>
        <item m="1" x="731"/>
        <item m="1" x="982"/>
        <item m="1" x="985"/>
        <item m="1" x="991"/>
        <item m="1" x="1071"/>
        <item m="1" x="1012"/>
        <item m="1" x="1080"/>
        <item m="1" x="748"/>
        <item m="1" x="121"/>
        <item m="1" x="131"/>
        <item m="1" x="455"/>
        <item m="1" x="572"/>
        <item m="1" x="575"/>
        <item m="1" x="577"/>
        <item m="1" x="579"/>
        <item m="1" x="587"/>
        <item m="1" x="598"/>
        <item m="1" x="599"/>
        <item m="1" x="601"/>
        <item m="1" x="604"/>
        <item m="1" x="548"/>
        <item m="1" x="552"/>
        <item m="1" x="216"/>
        <item m="1" x="1112"/>
        <item m="1" x="1115"/>
        <item m="1" x="1117"/>
        <item m="1" x="1047"/>
        <item m="1" x="39"/>
        <item m="1" x="48"/>
        <item m="1" x="53"/>
        <item m="1" x="128"/>
        <item m="1" x="181"/>
        <item m="1" x="185"/>
        <item m="1" x="1107"/>
        <item m="1" x="1109"/>
        <item m="1" x="1110"/>
        <item m="1" x="1113"/>
        <item m="1" x="1114"/>
        <item m="1" x="1137"/>
        <item m="1" x="737"/>
        <item m="1" x="797"/>
        <item m="1" x="740"/>
        <item m="1" x="741"/>
        <item m="1" x="396"/>
        <item m="1" x="397"/>
        <item m="1" x="400"/>
        <item m="1" x="441"/>
        <item m="1" x="444"/>
        <item m="1" x="445"/>
        <item m="1" x="446"/>
        <item m="1" x="447"/>
        <item m="1" x="373"/>
        <item m="1" x="375"/>
        <item m="1" x="483"/>
        <item m="1" x="456"/>
        <item m="1" x="555"/>
        <item m="1" x="556"/>
        <item m="1" x="557"/>
        <item m="1" x="558"/>
        <item m="1" x="525"/>
        <item m="1" x="464"/>
        <item m="1" x="271"/>
        <item m="1" x="272"/>
        <item m="1" x="221"/>
        <item m="1" x="1037"/>
        <item m="1" x="309"/>
        <item m="1" x="406"/>
        <item m="1" x="408"/>
        <item m="1" x="720"/>
        <item m="1" x="684"/>
        <item m="1" x="742"/>
        <item m="1" x="743"/>
        <item m="1" x="744"/>
        <item m="1" x="745"/>
        <item m="1" x="695"/>
        <item m="1" x="698"/>
        <item m="1" x="700"/>
        <item m="1" x="701"/>
        <item m="1" x="727"/>
        <item m="1" x="729"/>
        <item m="1" x="580"/>
        <item m="1" x="583"/>
        <item m="1" x="58"/>
        <item m="1" x="62"/>
        <item m="1" x="64"/>
        <item m="1" x="66"/>
        <item m="1" x="69"/>
        <item m="1" x="106"/>
        <item m="1" x="109"/>
        <item m="1" x="110"/>
        <item m="1" x="24"/>
        <item m="1" x="25"/>
        <item m="1" x="955"/>
        <item m="1" x="838"/>
        <item m="1" x="839"/>
        <item m="1" x="893"/>
        <item m="1" x="895"/>
        <item m="1" x="897"/>
        <item m="1" x="899"/>
        <item m="1" x="901"/>
        <item m="1" x="854"/>
        <item m="1" x="936"/>
        <item m="1" x="938"/>
        <item m="1" x="939"/>
        <item m="1" x="986"/>
        <item m="1" x="1144"/>
        <item m="1" x="1132"/>
        <item m="1" x="1119"/>
        <item m="1" x="1122"/>
        <item m="1" x="1091"/>
        <item m="1" x="7"/>
        <item m="1" x="721"/>
        <item m="1" x="794"/>
        <item m="1" x="1041"/>
        <item m="1" x="450"/>
        <item m="1" x="451"/>
        <item m="1" x="452"/>
        <item m="1" x="419"/>
        <item m="1" x="493"/>
        <item m="1" x="593"/>
        <item m="1" x="594"/>
        <item m="1" x="634"/>
        <item m="1" x="636"/>
        <item m="1" x="567"/>
        <item m="1" x="528"/>
        <item m="1" x="609"/>
        <item m="1" x="543"/>
        <item m="1" x="661"/>
        <item m="1" x="662"/>
        <item m="1" x="663"/>
        <item m="1" x="697"/>
        <item m="1" x="647"/>
        <item m="1" x="648"/>
        <item m="1" x="650"/>
        <item m="1" x="793"/>
        <item m="1" x="795"/>
        <item m="1" x="796"/>
        <item m="1" x="772"/>
        <item m="1" x="829"/>
        <item m="1" x="830"/>
        <item m="1" x="877"/>
        <item m="1" x="881"/>
        <item m="1" x="789"/>
        <item m="1" x="860"/>
        <item m="1" x="910"/>
        <item m="1" x="913"/>
        <item m="1" x="806"/>
        <item m="1" x="886"/>
        <item m="1" x="940"/>
        <item m="1" x="943"/>
        <item m="1" x="944"/>
        <item m="1" x="915"/>
        <item m="1" x="825"/>
        <item m="1" x="826"/>
        <item m="1" x="933"/>
        <item m="1" x="934"/>
        <item m="1" x="1007"/>
        <item m="1" x="1009"/>
        <item m="1" x="1010"/>
        <item m="1" x="1014"/>
        <item m="1" x="1017"/>
        <item m="1" x="1048"/>
        <item m="1" x="1050"/>
        <item m="1" x="1054"/>
        <item m="1" x="1057"/>
        <item m="1" x="1058"/>
        <item m="1" x="1011"/>
        <item m="1" x="1015"/>
        <item m="1" x="402"/>
        <item m="1" x="403"/>
        <item m="1" x="405"/>
        <item m="1" x="366"/>
        <item m="1" x="470"/>
        <item m="1" x="472"/>
        <item m="1" x="448"/>
        <item m="1" x="476"/>
        <item m="1" x="434"/>
        <item m="1" x="488"/>
        <item m="1" x="491"/>
        <item m="1" x="492"/>
        <item m="1" x="494"/>
        <item m="1" x="467"/>
        <item m="1" x="468"/>
        <item m="1" x="471"/>
        <item m="1" x="473"/>
        <item m="1" x="474"/>
        <item m="1" x="459"/>
        <item m="1" x="485"/>
        <item m="1" x="487"/>
        <item m="1" x="521"/>
        <item m="1" x="561"/>
        <item m="1" x="563"/>
        <item m="1" x="469"/>
        <item m="1" x="538"/>
        <item m="1" x="539"/>
        <item m="1" x="540"/>
        <item m="1" x="542"/>
        <item m="1" x="619"/>
        <item m="1" x="635"/>
        <item m="1" x="638"/>
        <item m="1" x="639"/>
        <item m="1" x="623"/>
        <item m="1" x="164"/>
        <item m="1" x="926"/>
        <item m="1" x="818"/>
        <item m="1" x="919"/>
        <item m="1" x="1035"/>
        <item m="1" x="1120"/>
        <item m="1" x="1104"/>
        <item m="1" x="1106"/>
        <item m="1" x="1089"/>
        <item m="1" x="1101"/>
        <item m="1" x="1134"/>
        <item m="1" x="677"/>
        <item m="1" x="652"/>
        <item m="1" x="722"/>
        <item m="1" x="641"/>
        <item m="1" x="643"/>
        <item m="1" x="390"/>
        <item m="1" x="336"/>
        <item m="1" x="324"/>
        <item m="1" x="256"/>
        <item m="1" x="262"/>
        <item m="1" x="1074"/>
        <item m="1" x="198"/>
        <item m="1" x="303"/>
        <item m="1" x="401"/>
        <item m="1" x="519"/>
        <item m="1" x="1155"/>
        <item m="1" x="46"/>
        <item m="1" x="404"/>
        <item m="1" x="353"/>
        <item m="1" x="687"/>
        <item m="1" x="885"/>
        <item m="1" x="923"/>
        <item m="1" x="988"/>
        <item m="1" x="211"/>
        <item m="1" x="313"/>
        <item m="1" x="534"/>
        <item m="1" x="992"/>
        <item m="1" x="486"/>
        <item m="1" x="437"/>
        <item m="1" x="439"/>
        <item m="1" x="119"/>
        <item m="1" x="335"/>
        <item m="1" x="432"/>
        <item m="1" x="1131"/>
        <item m="1" x="6"/>
        <item m="1" x="11"/>
        <item m="1" x="14"/>
        <item m="1" x="17"/>
        <item m="1" x="20"/>
        <item m="1" x="21"/>
        <item m="1" x="1157"/>
        <item m="1" x="1158"/>
        <item m="1" x="23"/>
        <item m="1" x="47"/>
        <item m="1" x="52"/>
        <item m="1" x="55"/>
        <item m="1" x="59"/>
        <item m="1" x="1166"/>
        <item m="1" x="1170"/>
        <item m="1" x="73"/>
        <item m="1" x="76"/>
        <item m="1" x="1032"/>
        <item m="1" x="104"/>
        <item m="1" x="111"/>
        <item m="1" x="112"/>
        <item m="1" x="495"/>
        <item m="1" x="496"/>
        <item m="1" x="497"/>
        <item m="1" x="500"/>
        <item m="1" x="724"/>
        <item m="1" x="725"/>
        <item m="1" x="627"/>
        <item m="1" x="629"/>
        <item m="1" x="633"/>
        <item m="1" x="640"/>
        <item m="1" x="644"/>
        <item m="1" x="645"/>
        <item m="1" x="649"/>
        <item m="1" x="651"/>
        <item m="1" x="704"/>
        <item m="1" x="707"/>
        <item m="1" x="709"/>
        <item m="1" x="715"/>
        <item m="1" x="719"/>
        <item m="1" x="659"/>
        <item m="1" x="747"/>
        <item m="1" x="585"/>
        <item m="1" x="506"/>
        <item m="1" x="510"/>
        <item m="1" x="512"/>
        <item m="1" x="516"/>
        <item m="1" x="518"/>
        <item m="1" x="249"/>
        <item m="1" x="259"/>
        <item m="1" x="263"/>
        <item m="1" x="527"/>
        <item m="1" x="606"/>
        <item m="1" x="614"/>
        <item m="1" x="624"/>
        <item m="1" x="535"/>
        <item m="1" x="541"/>
        <item m="1" x="1150"/>
        <item m="1" x="1094"/>
        <item m="1" x="1154"/>
        <item m="1" x="1108"/>
        <item m="1" x="424"/>
        <item m="1" x="1090"/>
        <item m="1" x="372"/>
        <item m="1" x="381"/>
        <item m="1" x="385"/>
        <item m="1" x="298"/>
        <item m="1" x="301"/>
        <item m="1" x="307"/>
        <item m="1" x="311"/>
        <item m="1" x="410"/>
        <item m="1" x="189"/>
        <item m="1" x="190"/>
        <item m="1" x="192"/>
        <item m="1" x="294"/>
        <item m="1" x="319"/>
        <item m="1" x="136"/>
        <item m="1" x="1160"/>
        <item m="1" x="1161"/>
        <item m="1" x="734"/>
        <item m="1" x="771"/>
        <item m="1" x="761"/>
        <item m="1" x="705"/>
        <item m="1" x="947"/>
        <item m="1" x="976"/>
        <item m="1" x="5"/>
        <item m="1" x="88"/>
        <item m="1" x="751"/>
        <item m="1" x="726"/>
        <item m="1" x="667"/>
        <item m="1" x="671"/>
        <item m="1" x="686"/>
        <item m="1" x="642"/>
        <item m="1" x="692"/>
        <item m="1" x="696"/>
        <item m="1" x="699"/>
        <item m="1" x="675"/>
        <item m="1" x="676"/>
        <item m="1" x="959"/>
        <item m="1" x="407"/>
        <item m="1" x="409"/>
        <item m="1" x="370"/>
        <item m="1" x="489"/>
        <item m="1" x="665"/>
        <item m="1" x="95"/>
        <item m="1" x="96"/>
        <item m="1" x="168"/>
        <item m="1" x="170"/>
        <item m="1" x="197"/>
        <item m="1" x="247"/>
        <item m="1" x="454"/>
        <item m="1" x="463"/>
        <item m="1" x="465"/>
        <item m="1" x="139"/>
        <item m="1" x="140"/>
        <item m="1" x="141"/>
        <item m="1" x="199"/>
        <item m="1" x="202"/>
        <item m="1" x="177"/>
        <item m="1" x="219"/>
        <item m="1" x="223"/>
        <item m="1" x="194"/>
        <item m="1" x="200"/>
        <item m="1" x="929"/>
        <item m="1" x="931"/>
        <item m="1" x="2"/>
        <item m="1" x="1153"/>
        <item m="1" x="42"/>
        <item m="1" x="44"/>
        <item m="1" x="45"/>
        <item m="1" x="49"/>
        <item m="1" x="51"/>
        <item m="1" x="92"/>
        <item m="1" x="589"/>
        <item m="1" x="99"/>
        <item m="1" x="129"/>
        <item m="1" x="130"/>
        <item m="1" x="132"/>
        <item m="1" x="1078"/>
        <item m="1" x="1168"/>
        <item m="1" x="388"/>
        <item m="1" x="484"/>
        <item m="1" x="475"/>
        <item m="1" x="477"/>
        <item m="1" x="461"/>
        <item m="1" x="411"/>
        <item m="1" x="398"/>
        <item m="1" x="440"/>
        <item m="1" x="442"/>
        <item m="1" x="517"/>
        <item m="1" x="435"/>
        <item m="1" x="501"/>
        <item m="1" x="503"/>
        <item m="1" x="522"/>
        <item m="1" x="524"/>
        <item m="1" x="479"/>
        <item m="1" x="480"/>
        <item m="1" x="481"/>
        <item m="1" x="505"/>
        <item m="1" x="507"/>
        <item m="1" x="509"/>
        <item m="1" x="605"/>
        <item m="1" x="607"/>
        <item m="1" x="498"/>
        <item m="1" x="499"/>
        <item m="1" x="596"/>
        <item m="1" x="1156"/>
        <item m="1" x="791"/>
        <item m="1" x="767"/>
        <item m="1" x="768"/>
        <item m="1" x="769"/>
        <item m="1" x="770"/>
        <item m="1" x="833"/>
        <item m="1" x="808"/>
        <item m="1" x="809"/>
        <item m="1" x="810"/>
        <item m="1" x="812"/>
        <item m="1" x="813"/>
        <item m="1" x="773"/>
        <item m="1" x="776"/>
        <item m="1" x="777"/>
        <item m="1" x="784"/>
        <item m="1" x="785"/>
        <item m="1" x="746"/>
        <item m="1" x="749"/>
        <item m="1" x="753"/>
        <item m="1" x="849"/>
        <item m="1" x="819"/>
        <item m="1" x="862"/>
        <item m="1" x="864"/>
        <item m="1" x="866"/>
        <item m="1" x="867"/>
        <item m="1" x="868"/>
        <item m="1" x="956"/>
        <item m="1" x="911"/>
        <item m="1" x="841"/>
        <item m="1" x="842"/>
        <item m="1" x="844"/>
        <item m="1" x="845"/>
        <item m="1" x="846"/>
        <item m="1" x="972"/>
        <item m="1" x="948"/>
        <item m="1" x="949"/>
        <item m="1" x="872"/>
        <item m="1" x="974"/>
        <item m="1" x="977"/>
        <item m="1" x="978"/>
        <item m="1" x="979"/>
        <item m="1" x="980"/>
        <item m="1" x="935"/>
        <item m="1" x="937"/>
        <item m="1" x="918"/>
        <item m="1" x="920"/>
        <item m="1" x="902"/>
        <item m="1" x="1003"/>
        <item m="1" x="880"/>
        <item m="1" x="882"/>
        <item m="1" x="884"/>
        <item m="1" x="1005"/>
        <item m="1" x="968"/>
        <item m="1" x="969"/>
        <item m="1" x="70"/>
        <item m="1" x="117"/>
        <item m="1" x="755"/>
        <item m="1" x="858"/>
        <item m="1" x="861"/>
        <item m="1" x="182"/>
        <item m="1" x="213"/>
        <item m="1" x="183"/>
        <item m="1" x="273"/>
        <item m="1" x="276"/>
        <item m="1" x="279"/>
        <item m="1" x="37"/>
        <item m="1" x="1031"/>
        <item m="1" x="728"/>
        <item m="1" x="1070"/>
        <item m="1" x="1128"/>
        <item m="1" x="315"/>
        <item m="1" x="320"/>
        <item m="1" x="338"/>
        <item m="1" x="350"/>
        <item m="1" x="358"/>
        <item m="1" x="363"/>
        <item m="1" x="380"/>
        <item m="1" x="750"/>
        <item m="1" x="758"/>
        <item m="1" x="759"/>
        <item m="1" x="706"/>
        <item m="1" x="708"/>
        <item m="1" x="712"/>
        <item m="1" x="718"/>
        <item m="1" x="832"/>
        <item m="1" x="840"/>
        <item m="1" x="803"/>
        <item m="1" x="811"/>
        <item m="1" x="889"/>
        <item m="1" x="817"/>
        <item m="1" x="835"/>
        <item m="1" x="922"/>
        <item m="1" x="850"/>
        <item m="1" x="853"/>
        <item m="1" x="859"/>
        <item m="1" x="865"/>
        <item m="1" x="942"/>
        <item m="1" x="945"/>
        <item m="1" x="950"/>
        <item m="1" x="961"/>
        <item m="1" x="964"/>
        <item m="1" x="966"/>
        <item m="1" x="906"/>
        <item m="1" x="917"/>
        <item m="1" x="921"/>
        <item m="1" x="732"/>
        <item m="1" x="680"/>
        <item m="1" x="681"/>
        <item m="1" x="683"/>
        <item m="1" x="685"/>
        <item m="1" x="688"/>
        <item m="1" x="68"/>
        <item m="1" x="72"/>
        <item m="1" x="75"/>
        <item m="1" x="78"/>
        <item m="1" x="79"/>
        <item m="1" x="82"/>
        <item m="1" x="84"/>
        <item m="1" x="85"/>
        <item m="1" x="87"/>
        <item m="1" x="13"/>
        <item m="1" x="993"/>
        <item m="1" x="1084"/>
        <item m="1" x="264"/>
        <item m="1" x="242"/>
        <item m="1" x="343"/>
        <item m="1" x="348"/>
        <item m="1" x="354"/>
        <item m="1" x="267"/>
        <item m="1" x="946"/>
        <item m="1" x="951"/>
        <item m="1" x="837"/>
        <item m="1" x="787"/>
        <item m="1" x="848"/>
        <item m="1" x="852"/>
        <item m="1" x="857"/>
        <item m="1" x="863"/>
        <item m="1" x="896"/>
        <item m="1" x="905"/>
        <item m="1" x="909"/>
        <item m="1" x="1049"/>
        <item m="1" x="1056"/>
        <item m="1" x="1061"/>
        <item m="1" x="1064"/>
        <item m="1" x="204"/>
        <item m="1" x="218"/>
        <item m="1" x="222"/>
        <item m="1" x="227"/>
        <item m="1" x="327"/>
        <item m="1" x="328"/>
        <item m="1" x="330"/>
        <item m="1" x="332"/>
        <item m="1" x="290"/>
        <item m="1" x="193"/>
        <item m="1" x="196"/>
        <item m="1" x="126"/>
        <item m="1" x="355"/>
        <item m="1" x="1181"/>
        <item m="1" x="869"/>
        <item m="1" x="870"/>
        <item m="1" x="871"/>
        <item m="1" x="1173"/>
        <item m="1" x="1174"/>
        <item m="1" x="1176"/>
        <item m="1" x="1177"/>
        <item m="1" x="932"/>
        <item m="1" x="967"/>
        <item m="1" x="887"/>
        <item m="1" x="888"/>
        <item m="1" x="890"/>
        <item m="1" x="928"/>
        <item m="1" x="449"/>
        <item m="1" x="453"/>
        <item m="1" x="682"/>
        <item m="1" x="8"/>
        <item m="1" x="10"/>
        <item m="1" x="61"/>
        <item m="1" x="63"/>
        <item m="1" x="65"/>
        <item m="1" x="612"/>
        <item m="1" x="615"/>
        <item m="1" x="891"/>
        <item m="1" x="892"/>
        <item m="1" x="160"/>
        <item m="1" x="161"/>
        <item m="1" x="163"/>
        <item m="1" x="166"/>
        <item m="1" x="169"/>
        <item m="1" x="201"/>
        <item m="1" x="203"/>
        <item m="1" x="275"/>
        <item m="1" x="277"/>
        <item m="1" x="618"/>
        <item m="1" x="590"/>
        <item m="1" x="74"/>
        <item m="1" x="77"/>
        <item m="1" x="113"/>
        <item m="1" x="116"/>
        <item m="1" x="83"/>
        <item m="1" x="171"/>
        <item m="1" x="147"/>
        <item m="1" x="93"/>
        <item m="1" x="155"/>
        <item m="1" x="184"/>
        <item m="1" x="186"/>
        <item m="1" x="187"/>
        <item m="1" x="173"/>
        <item m="1" x="176"/>
        <item m="1" x="206"/>
        <item m="1" x="208"/>
        <item m="1" x="384"/>
        <item m="1" x="646"/>
        <item m="1" x="553"/>
        <item m="1" x="600"/>
        <item m="1" x="1039"/>
        <item m="1" x="1093"/>
        <item m="1" x="1097"/>
        <item m="1" x="780"/>
        <item m="1" x="775"/>
        <item m="1" x="779"/>
        <item m="1" x="855"/>
        <item m="1" x="1081"/>
        <item m="1" x="1022"/>
        <item m="1" x="1075"/>
        <item m="1" x="756"/>
        <item m="1" x="752"/>
        <item m="1" x="805"/>
        <item m="1" x="235"/>
        <item m="1" x="220"/>
        <item m="1" x="224"/>
        <item m="1" x="251"/>
        <item m="1" x="254"/>
        <item m="1" x="391"/>
        <item m="1" x="393"/>
        <item m="1" x="394"/>
        <item m="1" x="342"/>
        <item m="1" x="250"/>
        <item m="1" x="257"/>
        <item m="1" x="142"/>
        <item m="1" x="326"/>
        <item m="1" x="523"/>
        <item m="1" x="532"/>
        <item m="1" x="608"/>
        <item m="1" x="547"/>
        <item m="1" x="549"/>
        <item m="1" x="595"/>
        <item m="1" x="664"/>
        <item m="1" x="1066"/>
        <item m="1" x="217"/>
        <item m="1" x="144"/>
        <item m="1" x="757"/>
        <item m="1" x="873"/>
        <item m="1" x="970"/>
        <item m="1" x="1004"/>
        <item m="1" x="1030"/>
        <item m="1" x="1148"/>
        <item m="1" x="1149"/>
        <item m="1" x="1133"/>
        <item m="1" x="281"/>
        <item m="1" x="329"/>
        <item m="1" x="288"/>
        <item m="1" x="289"/>
        <item m="1" x="421"/>
        <item m="1" x="1006"/>
        <item m="1" x="1127"/>
        <item m="1" x="1096"/>
        <item m="1" x="1098"/>
        <item m="1" x="1099"/>
        <item m="1" x="1100"/>
        <item m="1" x="1046"/>
        <item m="1" x="1130"/>
        <item m="1" x="1082"/>
        <item m="1" x="1083"/>
        <item m="1" x="1085"/>
        <item m="1" x="603"/>
        <item m="1" x="672"/>
        <item m="1" x="710"/>
        <item m="1" x="711"/>
        <item m="1" x="713"/>
        <item m="1" x="714"/>
        <item m="1" x="716"/>
        <item m="1" x="702"/>
        <item m="1" x="153"/>
        <item m="1" x="322"/>
        <item m="1" x="210"/>
        <item m="1" x="337"/>
        <item m="1" x="1026"/>
        <item m="1" x="1086"/>
        <item m="1" x="346"/>
        <item m="1" x="347"/>
        <item m="1" x="349"/>
        <item m="1" x="280"/>
        <item m="1" x="282"/>
        <item m="1" x="284"/>
        <item m="1" x="285"/>
        <item m="1" x="286"/>
        <item m="1" x="260"/>
        <item m="1" x="331"/>
        <item m="1" x="312"/>
        <item m="1" x="265"/>
        <item m="1" x="90"/>
        <item m="1" x="71"/>
        <item m="1" x="628"/>
        <item m="1" x="630"/>
        <item m="1" x="631"/>
        <item m="1" x="611"/>
        <item m="1" x="581"/>
        <item m="1" x="582"/>
        <item m="1" x="584"/>
        <item m="1" x="586"/>
        <item m="1" x="588"/>
        <item m="1" x="617"/>
        <item m="1" x="620"/>
        <item m="1" x="621"/>
        <item m="1" x="564"/>
        <item m="1" x="565"/>
        <item m="1" x="568"/>
        <item m="1" x="569"/>
        <item m="1" x="571"/>
        <item m="1" x="550"/>
        <item m="1" x="658"/>
        <item m="1" x="91"/>
        <item m="1" x="26"/>
        <item m="1" x="27"/>
        <item m="1" x="30"/>
        <item m="1" x="31"/>
        <item m="1" x="32"/>
        <item m="1" x="151"/>
        <item m="1" x="382"/>
        <item m="1" x="386"/>
        <item m="1" x="389"/>
        <item m="1" x="433"/>
        <item m="1" x="387"/>
        <item m="1" x="457"/>
        <item m="1" x="458"/>
        <item m="1" x="460"/>
        <item m="1" x="462"/>
        <item m="1" x="739"/>
        <item m="1" x="799"/>
        <item m="1" x="1043"/>
        <item m="1" x="1044"/>
        <item m="1" x="1024"/>
        <item m="1" x="1025"/>
        <item m="1" x="1027"/>
        <item m="1" x="1029"/>
        <item m="1" x="1092"/>
        <item m="1" x="1095"/>
        <item m="1" x="504"/>
        <item m="1" x="545"/>
        <item m="1" x="625"/>
        <item m="1" x="666"/>
        <item m="1" x="546"/>
        <item m="1" x="626"/>
        <item m="1" x="533"/>
        <item m="1" x="511"/>
        <item m="1" x="530"/>
        <item m="1" x="610"/>
        <item m="1" x="613"/>
        <item m="1" x="175"/>
        <item m="1" x="591"/>
        <item m="1" x="573"/>
        <item m="1" x="876"/>
        <item m="1" x="879"/>
        <item m="1" x="883"/>
        <item m="1" x="962"/>
        <item m="1" x="963"/>
        <item m="1" x="994"/>
        <item m="1" x="995"/>
        <item m="1" x="998"/>
        <item m="1" x="1001"/>
        <item m="1" x="953"/>
        <item m="1" x="957"/>
        <item m="1" x="960"/>
        <item m="1" x="344"/>
        <item m="1" x="669"/>
        <item m="1" x="22"/>
        <item m="1" x="425"/>
        <item m="1" x="339"/>
        <item m="1" x="1165"/>
        <item m="1" x="1169"/>
        <item m="1" x="1126"/>
        <item m="1" x="1033"/>
        <item m="1" x="1172"/>
        <item m="1" x="1147"/>
        <item m="1" x="691"/>
        <item m="1" x="694"/>
        <item m="1" x="670"/>
        <item m="1" x="674"/>
        <item m="1" x="226"/>
        <item m="1" x="291"/>
        <item m="1" x="299"/>
        <item m="1" x="426"/>
        <item m="1" x="429"/>
        <item m="1" x="392"/>
        <item m="1" x="592"/>
        <item m="1" x="781"/>
        <item m="1" x="754"/>
        <item m="1" x="703"/>
        <item m="1" x="678"/>
        <item m="1" x="657"/>
        <item m="1" x="554"/>
        <item m="1" x="987"/>
        <item m="1" x="735"/>
        <item m="1" x="1105"/>
        <item m="1" x="997"/>
        <item m="1" x="999"/>
        <item m="1" x="1038"/>
        <item m="1" x="351"/>
        <item m="1" x="352"/>
        <item m="1" x="356"/>
        <item m="1" x="1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08">
        <item m="1" x="217"/>
        <item m="1" x="218"/>
        <item m="1" x="41"/>
        <item m="1" x="42"/>
        <item m="1" x="1272"/>
        <item m="1" x="1273"/>
        <item m="1" x="1274"/>
        <item m="1" x="1275"/>
        <item m="1" x="333"/>
        <item m="1" x="334"/>
        <item m="1" x="235"/>
        <item m="1" x="236"/>
        <item m="1" x="227"/>
        <item m="1" x="1486"/>
        <item m="1" x="228"/>
        <item m="1" x="229"/>
        <item m="1" x="230"/>
        <item m="1" x="231"/>
        <item m="1" x="1276"/>
        <item m="1" x="1277"/>
        <item m="1" x="1278"/>
        <item m="1" x="1279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37"/>
        <item m="1" x="138"/>
        <item m="1" x="1541"/>
        <item m="1" x="1542"/>
        <item m="1" x="1289"/>
        <item m="1" x="1290"/>
        <item m="1" x="1291"/>
        <item m="1" x="1292"/>
        <item m="1" x="1293"/>
        <item m="1" x="1294"/>
        <item m="1" x="1295"/>
        <item m="1" x="1296"/>
        <item m="1" x="1297"/>
        <item m="1" x="1298"/>
        <item m="1" x="1299"/>
        <item m="1" x="1300"/>
        <item m="1" x="1301"/>
        <item m="1" x="1302"/>
        <item m="1" x="1303"/>
        <item m="1" x="1304"/>
        <item m="1" x="1305"/>
        <item m="1" x="1306"/>
        <item m="1" x="1307"/>
        <item m="1" x="1308"/>
        <item m="1" x="1309"/>
        <item m="1" x="1310"/>
        <item m="1" x="1311"/>
        <item m="1" x="1312"/>
        <item m="1" x="1313"/>
        <item m="1" x="1314"/>
        <item m="1" x="1435"/>
        <item m="1" x="1436"/>
        <item m="1" x="1315"/>
        <item m="1" x="1316"/>
        <item m="1" x="1317"/>
        <item m="1" x="1318"/>
        <item m="1" x="1319"/>
        <item m="1" x="1320"/>
        <item m="1" x="1454"/>
        <item m="1" x="1499"/>
        <item m="1" x="580"/>
        <item m="1" x="581"/>
        <item m="1" x="1321"/>
        <item m="1" x="1322"/>
        <item m="1" x="1323"/>
        <item m="1" x="1324"/>
        <item m="1" x="1325"/>
        <item m="1" x="1326"/>
        <item m="1" x="1547"/>
        <item m="1" x="1437"/>
        <item m="1" x="1438"/>
        <item m="1" x="474"/>
        <item m="1" x="475"/>
        <item m="1" x="1327"/>
        <item m="1" x="1328"/>
        <item m="1" x="1329"/>
        <item m="1" x="1330"/>
        <item m="1" x="232"/>
        <item m="1" x="233"/>
        <item m="1" x="1331"/>
        <item m="1" x="1332"/>
        <item m="1" x="1333"/>
        <item m="1" x="1334"/>
        <item m="1" x="1253"/>
        <item m="1" x="1254"/>
        <item m="1" x="1473"/>
        <item m="1" x="1474"/>
        <item m="1" x="1475"/>
        <item m="1" x="1476"/>
        <item m="1" x="1439"/>
        <item m="1" x="1440"/>
        <item m="1" x="5"/>
        <item m="1" x="6"/>
        <item m="1" x="1335"/>
        <item m="1" x="1336"/>
        <item m="1" x="1337"/>
        <item m="1" x="1338"/>
        <item m="1" x="1339"/>
        <item m="1" x="1340"/>
        <item m="1" x="1341"/>
        <item m="1" x="535"/>
        <item m="1" x="1342"/>
        <item m="1" x="1343"/>
        <item m="1" x="1344"/>
        <item m="1" x="1345"/>
        <item m="1" x="1346"/>
        <item m="1" x="1347"/>
        <item m="1" x="1348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52"/>
        <item m="1" x="488"/>
        <item m="1" x="489"/>
        <item m="1" x="533"/>
        <item m="1" x="534"/>
        <item m="1" x="53"/>
        <item m="1" x="54"/>
        <item m="1" x="536"/>
        <item m="1" x="537"/>
        <item m="1" x="55"/>
        <item m="1" x="56"/>
        <item m="1" x="1543"/>
        <item m="1" x="1544"/>
        <item m="1" x="1358"/>
        <item m="1" x="1359"/>
        <item m="1" x="440"/>
        <item m="1" x="1255"/>
        <item m="1" x="1256"/>
        <item m="1" x="577"/>
        <item m="1" x="1360"/>
        <item m="1" x="525"/>
        <item x="0"/>
        <item m="1" x="742"/>
        <item m="1" x="744"/>
        <item m="1" x="706"/>
        <item m="1" x="853"/>
        <item m="1" x="1564"/>
        <item m="1" x="1565"/>
        <item m="1" x="858"/>
        <item m="1" x="846"/>
        <item m="1" x="870"/>
        <item m="1" x="860"/>
        <item m="1" x="876"/>
        <item m="1" x="872"/>
        <item m="1" x="874"/>
        <item m="1" x="10"/>
        <item m="1" x="1212"/>
        <item m="1" x="337"/>
        <item m="1" x="251"/>
        <item m="1" x="844"/>
        <item m="1" x="851"/>
        <item m="1" x="276"/>
        <item m="1" x="275"/>
        <item m="1" x="662"/>
        <item m="1" x="637"/>
        <item m="1" x="660"/>
        <item m="1" x="654"/>
        <item m="1" x="643"/>
        <item m="1" x="647"/>
        <item m="1" x="652"/>
        <item m="1" x="649"/>
        <item m="1" x="658"/>
        <item m="1" x="656"/>
        <item m="1" x="645"/>
        <item m="1" x="289"/>
        <item m="1" x="639"/>
        <item m="1" x="641"/>
        <item m="1" x="651"/>
        <item m="1" x="683"/>
        <item m="1" x="679"/>
        <item m="1" x="685"/>
        <item m="1" x="675"/>
        <item m="1" x="677"/>
        <item m="1" x="139"/>
        <item m="1" x="702"/>
        <item m="1" x="698"/>
        <item m="1" x="704"/>
        <item m="1" x="700"/>
        <item m="1" x="270"/>
        <item m="1" x="271"/>
        <item m="1" x="681"/>
        <item m="1" x="687"/>
        <item m="1" x="690"/>
        <item m="1" x="688"/>
        <item m="1" x="693"/>
        <item m="1" x="692"/>
        <item m="1" x="673"/>
        <item m="1" x="696"/>
        <item m="1" x="272"/>
        <item m="1" x="694"/>
        <item m="1" x="712"/>
        <item m="1" x="714"/>
        <item m="1" x="716"/>
        <item m="1" x="718"/>
        <item m="1" x="728"/>
        <item m="1" x="730"/>
        <item m="1" x="741"/>
        <item m="1" x="726"/>
        <item m="1" x="724"/>
        <item m="1" x="748"/>
        <item m="1" x="751"/>
        <item m="1" x="749"/>
        <item m="1" x="722"/>
        <item m="1" x="720"/>
        <item m="1" x="1539"/>
        <item m="1" x="1508"/>
        <item m="1" x="1538"/>
        <item m="1" x="335"/>
        <item m="1" x="277"/>
        <item m="1" x="250"/>
        <item m="1" x="1537"/>
        <item m="1" x="29"/>
        <item m="1" x="28"/>
        <item m="1" x="109"/>
        <item m="1" x="848"/>
        <item m="1" x="855"/>
        <item m="1" x="732"/>
        <item m="1" x="734"/>
        <item m="1" x="755"/>
        <item m="1" x="753"/>
        <item m="1" x="710"/>
        <item m="1" x="708"/>
        <item m="1" x="284"/>
        <item m="1" x="715"/>
        <item m="1" x="113"/>
        <item m="1" x="111"/>
        <item m="1" x="112"/>
        <item m="1" x="110"/>
        <item m="1" x="1151"/>
        <item m="1" x="1518"/>
        <item m="1" x="114"/>
        <item m="1" x="539"/>
        <item m="1" x="1601"/>
        <item m="1" x="463"/>
        <item m="1" x="866"/>
        <item m="1" x="868"/>
        <item m="1" x="670"/>
        <item m="1" x="668"/>
        <item m="1" x="1600"/>
        <item m="1" x="461"/>
        <item m="1" x="1075"/>
        <item m="1" x="160"/>
        <item m="1" x="1260"/>
        <item m="1" x="16"/>
        <item m="1" x="18"/>
        <item m="1" x="17"/>
        <item m="1" x="314"/>
        <item m="1" x="313"/>
        <item m="1" x="863"/>
        <item m="1" x="864"/>
        <item m="1" x="738"/>
        <item m="1" x="736"/>
        <item m="1" x="666"/>
        <item m="1" x="664"/>
        <item m="1" x="239"/>
        <item m="1" x="532"/>
        <item m="1" x="481"/>
        <item m="1" x="1498"/>
        <item m="1" x="1563"/>
        <item m="1" x="1553"/>
        <item m="1" x="1257"/>
        <item m="1" x="249"/>
        <item m="1" x="1066"/>
        <item m="1" x="1571"/>
        <item m="1" x="541"/>
        <item m="1" x="127"/>
        <item m="1" x="1411"/>
        <item m="1" x="1405"/>
        <item m="1" x="1177"/>
        <item m="1" x="862"/>
        <item m="1" x="1455"/>
        <item m="1" x="1570"/>
        <item m="1" x="1239"/>
        <item m="1" x="1216"/>
        <item m="1" x="551"/>
        <item m="1" x="1249"/>
        <item m="1" x="1056"/>
        <item m="1" x="1505"/>
        <item m="1" x="1504"/>
        <item m="1" x="1060"/>
        <item m="1" x="145"/>
        <item m="1" x="1502"/>
        <item m="1" x="1605"/>
        <item m="1" x="215"/>
        <item m="1" x="207"/>
        <item m="1" x="445"/>
        <item m="1" x="1261"/>
        <item m="1" x="1063"/>
        <item m="1" x="985"/>
        <item m="1" x="983"/>
        <item m="1" x="984"/>
        <item m="1" x="1531"/>
        <item m="1" x="1064"/>
        <item m="1" x="47"/>
        <item m="1" x="48"/>
        <item m="1" x="1507"/>
        <item m="1" x="611"/>
        <item m="1" x="612"/>
        <item m="1" x="269"/>
        <item m="1" x="268"/>
        <item m="1" x="593"/>
        <item m="1" x="288"/>
        <item m="1" x="1560"/>
        <item m="1" x="1562"/>
        <item m="1" x="605"/>
        <item m="1" x="452"/>
        <item m="1" x="285"/>
        <item m="1" x="454"/>
        <item m="1" x="1561"/>
        <item m="1" x="287"/>
        <item m="1" x="1003"/>
        <item m="1" x="1004"/>
        <item m="1" x="1243"/>
        <item m="1" x="64"/>
        <item m="1" x="954"/>
        <item m="1" x="953"/>
        <item m="1" x="960"/>
        <item m="1" x="597"/>
        <item m="1" x="469"/>
        <item m="1" x="255"/>
        <item m="1" x="1018"/>
        <item m="1" x="1017"/>
        <item m="1" x="1241"/>
        <item m="1" x="1482"/>
        <item m="1" x="1242"/>
        <item m="1" x="1483"/>
        <item m="1" x="1019"/>
        <item m="1" x="286"/>
        <item m="1" x="603"/>
        <item m="1" x="599"/>
        <item m="1" x="607"/>
        <item m="1" x="609"/>
        <item m="1" x="147"/>
        <item m="1" x="1165"/>
        <item m="1" x="601"/>
        <item m="1" x="1026"/>
        <item m="1" x="1027"/>
        <item m="1" x="1025"/>
        <item m="1" x="1400"/>
        <item m="1" x="1023"/>
        <item m="1" x="1024"/>
        <item m="1" x="76"/>
        <item m="1" x="267"/>
        <item m="1" x="1210"/>
        <item m="1" x="1005"/>
        <item m="1" x="1006"/>
        <item m="1" x="1007"/>
        <item m="1" x="1016"/>
        <item m="1" x="69"/>
        <item m="1" x="972"/>
        <item m="1" x="973"/>
        <item m="1" x="978"/>
        <item m="1" x="979"/>
        <item m="1" x="1008"/>
        <item m="1" x="1009"/>
        <item m="1" x="575"/>
        <item m="1" x="521"/>
        <item m="1" x="1020"/>
        <item m="1" x="1021"/>
        <item m="1" x="1022"/>
        <item m="1" x="982"/>
        <item m="1" x="981"/>
        <item m="1" x="477"/>
        <item m="1" x="476"/>
        <item m="1" x="73"/>
        <item m="1" x="520"/>
        <item m="1" x="1029"/>
        <item m="1" x="1028"/>
        <item m="1" x="1173"/>
        <item m="1" x="523"/>
        <item m="1" x="522"/>
        <item m="1" x="303"/>
        <item m="1" x="70"/>
        <item m="1" x="549"/>
        <item m="1" x="130"/>
        <item m="1" x="446"/>
        <item m="1" x="1431"/>
        <item m="1" x="1432"/>
        <item m="1" x="1461"/>
        <item m="1" x="993"/>
        <item m="1" x="994"/>
        <item m="1" x="995"/>
        <item m="1" x="996"/>
        <item m="1" x="1010"/>
        <item m="1" x="1011"/>
        <item m="1" x="1012"/>
        <item m="1" x="291"/>
        <item m="1" x="357"/>
        <item m="1" x="358"/>
        <item m="1" x="1013"/>
        <item m="1" x="1014"/>
        <item m="1" x="478"/>
        <item m="1" x="38"/>
        <item m="1" x="37"/>
        <item m="1" x="1408"/>
        <item m="1" x="1407"/>
        <item m="1" x="1409"/>
        <item m="1" x="39"/>
        <item m="1" x="592"/>
        <item m="1" x="588"/>
        <item m="1" x="586"/>
        <item m="1" x="998"/>
        <item m="1" x="40"/>
        <item m="1" x="997"/>
        <item m="1" x="999"/>
        <item m="1" x="211"/>
        <item m="1" x="1000"/>
        <item m="1" x="36"/>
        <item m="1" x="35"/>
        <item m="1" x="1207"/>
        <item m="1" x="980"/>
        <item m="1" x="34"/>
        <item m="1" x="977"/>
        <item m="1" x="991"/>
        <item m="1" x="992"/>
        <item m="1" x="103"/>
        <item m="1" x="105"/>
        <item m="1" x="104"/>
        <item m="1" x="102"/>
        <item m="1" x="98"/>
        <item m="1" x="100"/>
        <item m="1" x="99"/>
        <item m="1" x="106"/>
        <item m="1" x="108"/>
        <item m="1" x="107"/>
        <item m="1" x="964"/>
        <item m="1" x="963"/>
        <item m="1" x="965"/>
        <item m="1" x="967"/>
        <item m="1" x="966"/>
        <item m="1" x="968"/>
        <item m="1" x="971"/>
        <item m="1" x="969"/>
        <item m="1" x="970"/>
        <item m="1" x="976"/>
        <item m="1" x="974"/>
        <item m="1" x="975"/>
        <item m="1" x="1054"/>
        <item m="1" x="1053"/>
        <item m="1" x="1062"/>
        <item m="1" x="1055"/>
        <item m="1" x="1607"/>
        <item m="1" x="473"/>
        <item m="1" x="1506"/>
        <item m="1" x="1052"/>
        <item m="1" x="1388"/>
        <item m="1" x="1051"/>
        <item m="1" x="140"/>
        <item m="1" x="1206"/>
        <item m="1" x="1487"/>
        <item m="1" x="1551"/>
        <item m="1" x="1417"/>
        <item m="1" x="1031"/>
        <item m="1" x="1030"/>
        <item m="1" x="1532"/>
        <item m="1" x="261"/>
        <item m="1" x="460"/>
        <item m="1" x="962"/>
        <item m="1" x="961"/>
        <item m="1" x="1152"/>
        <item m="1" x="353"/>
        <item m="1" x="1413"/>
        <item m="1" x="459"/>
        <item m="1" x="12"/>
        <item m="1" x="331"/>
        <item m="1" x="354"/>
        <item m="1" x="1414"/>
        <item m="1" x="553"/>
        <item m="1" x="458"/>
        <item m="1" x="1464"/>
        <item m="1" x="178"/>
        <item m="1" x="959"/>
        <item m="1" x="957"/>
        <item m="1" x="956"/>
        <item m="1" x="955"/>
        <item m="1" x="1566"/>
        <item m="1" x="1465"/>
        <item m="1" x="1176"/>
        <item m="1" x="30"/>
        <item m="1" x="1606"/>
        <item m="1" x="958"/>
        <item m="1" x="65"/>
        <item m="1" x="487"/>
        <item m="1" x="1512"/>
        <item m="1" x="345"/>
        <item m="1" x="468"/>
        <item m="1" x="471"/>
        <item m="1" x="330"/>
        <item m="1" x="11"/>
        <item m="1" x="1259"/>
        <item m="1" x="1002"/>
        <item m="1" x="1001"/>
        <item m="1" x="63"/>
        <item m="1" x="543"/>
        <item m="1" x="1015"/>
        <item m="1" x="294"/>
        <item m="1" x="1513"/>
        <item m="1" x="545"/>
        <item m="1" x="66"/>
        <item m="1" x="62"/>
        <item m="1" x="1510"/>
        <item m="1" x="1569"/>
        <item m="1" x="1567"/>
        <item m="1" x="1568"/>
        <item m="1" x="1599"/>
        <item m="1" x="466"/>
        <item m="1" x="1444"/>
        <item m="1" x="1511"/>
        <item m="1" x="295"/>
        <item m="1" x="1479"/>
        <item m="1" x="60"/>
        <item m="1" x="1509"/>
        <item m="1" x="61"/>
        <item m="1" x="544"/>
        <item m="1" x="986"/>
        <item m="1" x="987"/>
        <item m="1" x="988"/>
        <item m="1" x="292"/>
        <item m="1" x="293"/>
        <item m="1" x="1171"/>
        <item m="1" x="1172"/>
        <item m="1" x="1550"/>
        <item m="1" x="1362"/>
        <item m="1" x="13"/>
        <item m="1" x="1555"/>
        <item m="1" x="990"/>
        <item m="1" x="989"/>
        <item m="1" x="542"/>
        <item m="1" x="1496"/>
        <item m="1" x="1491"/>
        <item m="1" x="1489"/>
        <item m="1" x="1378"/>
        <item m="1" x="319"/>
        <item m="1" x="74"/>
        <item m="1" x="1490"/>
        <item m="1" x="1548"/>
        <item m="1" x="1169"/>
        <item m="1" x="135"/>
        <item m="1" x="1514"/>
        <item m="1" x="1501"/>
        <item m="1" x="1528"/>
        <item m="1" x="168"/>
        <item m="1" x="45"/>
        <item m="1" x="1529"/>
        <item m="1" x="583"/>
        <item m="1" x="46"/>
        <item m="1" x="1234"/>
        <item m="1" x="346"/>
        <item m="1" x="1517"/>
        <item m="1" x="1365"/>
        <item m="1" x="301"/>
        <item m="1" x="480"/>
        <item m="1" x="1463"/>
        <item m="1" x="71"/>
        <item m="1" x="342"/>
        <item m="1" x="343"/>
        <item m="1" x="444"/>
        <item m="1" x="627"/>
        <item m="1" x="628"/>
        <item m="1" x="321"/>
        <item m="1" x="635"/>
        <item m="1" x="625"/>
        <item m="1" x="623"/>
        <item m="1" x="1244"/>
        <item m="1" x="278"/>
        <item m="1" x="827"/>
        <item m="1" x="9"/>
        <item m="1" x="329"/>
        <item m="1" x="274"/>
        <item m="1" x="273"/>
        <item m="1" x="349"/>
        <item m="1" x="1251"/>
        <item m="1" x="829"/>
        <item m="1" x="131"/>
        <item m="1" x="1089"/>
        <item m="1" x="561"/>
        <item m="1" x="1198"/>
        <item m="1" x="622"/>
        <item m="1" x="621"/>
        <item m="1" x="214"/>
        <item m="1" x="1199"/>
        <item m="1" x="43"/>
        <item m="1" x="1209"/>
        <item m="1" x="51"/>
        <item m="1" x="1111"/>
        <item m="1" x="1109"/>
        <item m="1" x="1110"/>
        <item m="1" x="450"/>
        <item m="1" x="132"/>
        <item m="1" x="1103"/>
        <item m="1" x="1095"/>
        <item m="1" x="1099"/>
        <item m="1" x="1104"/>
        <item m="1" x="1096"/>
        <item m="1" x="1100"/>
        <item m="1" x="1107"/>
        <item m="1" x="1108"/>
        <item m="1" x="825"/>
        <item m="1" x="117"/>
        <item m="1" x="115"/>
        <item m="1" x="116"/>
        <item m="1" x="794"/>
        <item m="1" x="793"/>
        <item m="1" x="792"/>
        <item m="1" x="791"/>
        <item m="1" x="1098"/>
        <item m="1" x="1187"/>
        <item m="1" x="763"/>
        <item m="1" x="765"/>
        <item m="1" x="768"/>
        <item m="1" x="772"/>
        <item m="1" x="766"/>
        <item m="1" x="769"/>
        <item m="1" x="770"/>
        <item m="1" x="1076"/>
        <item m="1" x="833"/>
        <item m="1" x="831"/>
        <item m="1" x="830"/>
        <item m="1" x="339"/>
        <item m="1" x="257"/>
        <item m="1" x="1142"/>
        <item m="1" x="579"/>
        <item m="1" x="1102"/>
        <item m="1" x="1101"/>
        <item m="1" x="1186"/>
        <item m="1" x="1093"/>
        <item m="1" x="1097"/>
        <item m="1" x="563"/>
        <item m="1" x="290"/>
        <item m="1" x="33"/>
        <item m="1" x="32"/>
        <item m="1" x="1196"/>
        <item m="1" x="1121"/>
        <item m="1" x="571"/>
        <item m="1" x="1195"/>
        <item m="1" x="1094"/>
        <item m="1" x="564"/>
        <item m="1" x="797"/>
        <item m="1" x="795"/>
        <item m="1" x="800"/>
        <item m="1" x="799"/>
        <item m="1" x="802"/>
        <item m="1" x="822"/>
        <item m="1" x="1174"/>
        <item m="1" x="1427"/>
        <item m="1" x="256"/>
        <item m="1" x="569"/>
        <item m="1" x="567"/>
        <item m="1" x="1116"/>
        <item m="1" x="1470"/>
        <item m="1" x="1113"/>
        <item m="1" x="572"/>
        <item m="1" x="1123"/>
        <item m="1" x="1471"/>
        <item m="1" x="1122"/>
        <item m="1" x="767"/>
        <item m="1" x="1535"/>
        <item m="1" x="764"/>
        <item m="1" x="762"/>
        <item m="1" x="1468"/>
        <item m="1" x="1091"/>
        <item m="1" x="1446"/>
        <item m="1" x="1445"/>
        <item m="1" x="809"/>
        <item m="1" x="811"/>
        <item m="1" x="803"/>
        <item m="1" x="812"/>
        <item m="1" x="1117"/>
        <item m="1" x="1114"/>
        <item m="1" x="1120"/>
        <item m="1" x="1190"/>
        <item m="1" x="781"/>
        <item m="1" x="780"/>
        <item m="1" x="834"/>
        <item m="1" x="1377"/>
        <item m="1" x="483"/>
        <item m="1" x="786"/>
        <item m="1" x="787"/>
        <item m="1" x="807"/>
        <item m="1" x="629"/>
        <item m="1" x="631"/>
        <item m="1" x="633"/>
        <item m="1" x="529"/>
        <item m="1" x="814"/>
        <item m="1" x="784"/>
        <item m="1" x="782"/>
        <item m="1" x="1178"/>
        <item m="1" x="1073"/>
        <item m="1" x="1457"/>
        <item m="1" x="1072"/>
        <item m="1" x="805"/>
        <item m="1" x="842"/>
        <item m="1" x="841"/>
        <item m="1" x="1129"/>
        <item m="1" x="1140"/>
        <item m="1" x="1134"/>
        <item m="1" x="1126"/>
        <item m="1" x="1137"/>
        <item m="1" x="1131"/>
        <item m="1" x="44"/>
        <item m="1" x="1197"/>
        <item m="1" x="1472"/>
        <item m="1" x="1141"/>
        <item m="1" x="779"/>
        <item m="1" x="777"/>
        <item m="1" x="208"/>
        <item m="1" x="820"/>
        <item m="1" x="128"/>
        <item m="1" x="126"/>
        <item m="1" x="819"/>
        <item m="1" x="815"/>
        <item m="1" x="817"/>
        <item m="1" x="209"/>
        <item m="1" x="243"/>
        <item m="1" x="1597"/>
        <item m="1" x="1191"/>
        <item m="1" x="1246"/>
        <item m="1" x="568"/>
        <item m="1" x="1530"/>
        <item m="1" x="1058"/>
        <item m="1" x="24"/>
        <item m="1" x="25"/>
        <item m="1" x="27"/>
        <item m="1" x="26"/>
        <item m="1" x="838"/>
        <item m="1" x="837"/>
        <item m="1" x="839"/>
        <item m="1" x="457"/>
        <item m="1" x="456"/>
        <item m="1" x="58"/>
        <item m="1" x="338"/>
        <item m="1" x="328"/>
        <item m="1" x="7"/>
        <item m="1" x="836"/>
        <item m="1" x="840"/>
        <item m="1" x="59"/>
        <item m="1" x="1480"/>
        <item m="1" x="260"/>
        <item m="1" x="455"/>
        <item m="1" x="467"/>
        <item m="1" x="1481"/>
        <item m="1" x="8"/>
        <item m="1" x="620"/>
        <item m="1" x="344"/>
        <item m="1" x="1208"/>
        <item m="1" x="1367"/>
        <item m="1" x="1503"/>
        <item m="1" x="1164"/>
        <item m="1" x="556"/>
        <item m="1" x="1179"/>
        <item m="1" x="21"/>
        <item m="1" x="557"/>
        <item m="1" x="1223"/>
        <item m="1" x="1181"/>
        <item m="1" x="1077"/>
        <item m="1" x="1485"/>
        <item m="1" x="1182"/>
        <item m="1" x="1078"/>
        <item m="1" x="1428"/>
        <item m="1" x="558"/>
        <item m="1" x="1180"/>
        <item m="1" x="279"/>
        <item m="1" x="49"/>
        <item m="1" x="280"/>
        <item m="1" x="326"/>
        <item m="1" x="156"/>
        <item m="1" x="1258"/>
        <item m="1" x="245"/>
        <item m="1" x="1594"/>
        <item m="1" x="1183"/>
        <item m="1" x="3"/>
        <item m="1" x="559"/>
        <item m="1" x="560"/>
        <item m="1" x="1466"/>
        <item m="1" x="1458"/>
        <item m="1" x="550"/>
        <item m="1" x="1573"/>
        <item m="1" x="490"/>
        <item m="1" x="449"/>
        <item m="1" x="213"/>
        <item m="1" x="438"/>
        <item m="1" x="465"/>
        <item m="1" x="124"/>
        <item m="1" x="163"/>
        <item m="1" x="125"/>
        <item m="1" x="281"/>
        <item m="1" x="1361"/>
        <item m="1" x="492"/>
        <item m="1" x="146"/>
        <item m="1" x="212"/>
        <item m="1" x="1536"/>
        <item m="1" x="50"/>
        <item m="1" x="527"/>
        <item m="1" x="1153"/>
        <item m="1" x="528"/>
        <item m="1" x="1211"/>
        <item m="1" x="447"/>
        <item m="1" x="554"/>
        <item m="1" x="1559"/>
        <item m="1" x="448"/>
        <item m="1" x="1240"/>
        <item m="1" x="1185"/>
        <item m="1" x="1092"/>
        <item m="1" x="562"/>
        <item m="1" x="162"/>
        <item m="1" x="552"/>
        <item m="1" x="1188"/>
        <item m="1" x="565"/>
        <item m="1" x="1469"/>
        <item m="1" x="1106"/>
        <item m="1" x="1105"/>
        <item m="1" x="1189"/>
        <item m="1" x="776"/>
        <item m="1" x="774"/>
        <item m="1" x="570"/>
        <item m="1" x="1119"/>
        <item m="1" x="1194"/>
        <item m="1" x="1118"/>
        <item m="1" x="1572"/>
        <item m="1" x="816"/>
        <item m="1" x="210"/>
        <item m="1" x="1598"/>
        <item m="1" x="1193"/>
        <item m="1" x="578"/>
        <item m="1" x="244"/>
        <item m="1" x="129"/>
        <item m="1" x="1410"/>
        <item m="1" x="1160"/>
        <item m="1" x="1127"/>
        <item m="1" x="1138"/>
        <item m="1" x="1132"/>
        <item m="1" x="1124"/>
        <item m="1" x="1135"/>
        <item m="1" x="1130"/>
        <item m="1" x="743"/>
        <item m="1" x="745"/>
        <item m="1" x="636"/>
        <item m="1" x="707"/>
        <item m="1" x="626"/>
        <item m="1" x="624"/>
        <item m="1" x="900"/>
        <item m="1" x="898"/>
        <item m="1" x="899"/>
        <item m="1" x="1364"/>
        <item m="1" x="828"/>
        <item m="1" x="517"/>
        <item m="1" x="202"/>
        <item m="1" x="854"/>
        <item m="1" x="170"/>
        <item m="1" x="171"/>
        <item m="1" x="859"/>
        <item m="1" x="847"/>
        <item m="1" x="871"/>
        <item m="1" x="861"/>
        <item m="1" x="877"/>
        <item m="1" x="873"/>
        <item m="1" x="875"/>
        <item m="1" x="526"/>
        <item m="1" x="1397"/>
        <item m="1" x="1248"/>
        <item m="1" x="845"/>
        <item m="1" x="852"/>
        <item m="1" x="309"/>
        <item m="1" x="308"/>
        <item m="1" x="493"/>
        <item m="1" x="203"/>
        <item m="1" x="1065"/>
        <item m="1" x="405"/>
        <item m="1" x="406"/>
        <item m="1" x="407"/>
        <item m="1" x="408"/>
        <item m="1" x="409"/>
        <item m="1" x="1374"/>
        <item m="1" x="183"/>
        <item m="1" x="1389"/>
        <item m="1" x="613"/>
        <item m="1" x="1390"/>
        <item m="1" x="1484"/>
        <item m="1" x="594"/>
        <item m="1" x="590"/>
        <item m="1" x="595"/>
        <item m="1" x="606"/>
        <item m="1" x="453"/>
        <item m="1" x="322"/>
        <item m="1" x="1447"/>
        <item m="1" x="591"/>
        <item m="1" x="324"/>
        <item m="1" x="663"/>
        <item m="1" x="638"/>
        <item m="1" x="661"/>
        <item m="1" x="655"/>
        <item m="1" x="644"/>
        <item m="1" x="648"/>
        <item m="1" x="653"/>
        <item m="1" x="650"/>
        <item m="1" x="659"/>
        <item m="1" x="657"/>
        <item m="1" x="646"/>
        <item m="1" x="325"/>
        <item m="1" x="640"/>
        <item m="1" x="642"/>
        <item m="1" x="1391"/>
        <item m="1" x="684"/>
        <item m="1" x="680"/>
        <item m="1" x="686"/>
        <item m="1" x="676"/>
        <item m="1" x="678"/>
        <item m="1" x="1166"/>
        <item m="1" x="703"/>
        <item m="1" x="699"/>
        <item m="1" x="705"/>
        <item m="1" x="701"/>
        <item m="1" x="305"/>
        <item m="1" x="306"/>
        <item m="1" x="682"/>
        <item m="1" x="691"/>
        <item m="1" x="689"/>
        <item m="1" x="674"/>
        <item m="1" x="697"/>
        <item m="1" x="85"/>
        <item m="1" x="695"/>
        <item m="1" x="713"/>
        <item m="1" x="86"/>
        <item m="1" x="717"/>
        <item m="1" x="719"/>
        <item m="1" x="729"/>
        <item m="1" x="731"/>
        <item m="1" x="378"/>
        <item m="1" x="379"/>
        <item m="1" x="380"/>
        <item m="1" x="390"/>
        <item m="1" x="391"/>
        <item m="1" x="389"/>
        <item m="1" x="427"/>
        <item m="1" x="88"/>
        <item m="1" x="174"/>
        <item m="1" x="1040"/>
        <item m="1" x="1044"/>
        <item m="1" x="1401"/>
        <item m="1" x="221"/>
        <item m="1" x="311"/>
        <item m="1" x="222"/>
        <item m="1" x="1402"/>
        <item m="1" x="1526"/>
        <item m="1" x="547"/>
        <item m="1" x="1441"/>
        <item m="1" x="173"/>
        <item m="1" x="172"/>
        <item m="1" x="548"/>
        <item m="1" x="1527"/>
        <item m="1" x="67"/>
        <item m="1" x="153"/>
        <item m="1" x="1042"/>
        <item m="1" x="1043"/>
        <item m="1" x="312"/>
        <item m="1" x="1041"/>
        <item m="1" x="727"/>
        <item m="1" x="725"/>
        <item m="1" x="752"/>
        <item m="1" x="750"/>
        <item m="1" x="723"/>
        <item m="1" x="721"/>
        <item m="1" x="439"/>
        <item m="1" x="149"/>
        <item m="1" x="1525"/>
        <item m="1" x="878"/>
        <item m="1" x="1143"/>
        <item m="1" x="879"/>
        <item m="1" x="880"/>
        <item m="1" x="882"/>
        <item m="1" x="881"/>
        <item m="1" x="598"/>
        <item m="1" x="72"/>
        <item m="1" x="1046"/>
        <item m="1" x="1045"/>
        <item m="1" x="318"/>
        <item m="1" x="1047"/>
        <item m="1" x="1403"/>
        <item m="1" x="68"/>
        <item m="1" x="154"/>
        <item m="1" x="1453"/>
        <item m="1" x="175"/>
        <item m="1" x="1048"/>
        <item m="1" x="1201"/>
        <item m="1" x="150"/>
        <item m="1" x="310"/>
        <item m="1" x="516"/>
        <item m="1" x="201"/>
        <item m="1" x="1395"/>
        <item m="1" x="1213"/>
        <item m="1" x="1090"/>
        <item m="1" x="1156"/>
        <item m="1" x="234"/>
        <item m="1" x="1425"/>
        <item m="1" x="1157"/>
        <item m="1" x="510"/>
        <item m="1" x="485"/>
        <item m="1" x="1168"/>
        <item m="1" x="484"/>
        <item m="1" x="185"/>
        <item m="1" x="193"/>
        <item m="1" x="826"/>
        <item m="1" x="176"/>
        <item m="1" x="582"/>
        <item m="1" x="1200"/>
        <item m="1" x="1516"/>
        <item m="1" x="1515"/>
        <item m="1" x="614"/>
        <item m="1" x="849"/>
        <item m="1" x="856"/>
        <item m="1" x="735"/>
        <item m="1" x="756"/>
        <item m="1" x="754"/>
        <item m="1" x="711"/>
        <item m="1" x="709"/>
        <item m="1" x="733"/>
        <item m="1" x="1392"/>
        <item m="1" x="320"/>
        <item m="1" x="1576"/>
        <item m="1" x="1235"/>
        <item m="1" x="1575"/>
        <item m="1" x="1574"/>
        <item m="1" x="1170"/>
        <item m="1" x="1540"/>
        <item m="1" x="1442"/>
        <item m="1" x="576"/>
        <item m="1" x="1219"/>
        <item m="1" x="479"/>
        <item m="1" x="323"/>
        <item m="1" x="604"/>
        <item m="1" x="600"/>
        <item m="1" x="608"/>
        <item m="1" x="610"/>
        <item m="1" x="867"/>
        <item m="1" x="869"/>
        <item m="1" x="1492"/>
        <item m="1" x="1546"/>
        <item m="1" x="602"/>
        <item m="1" x="948"/>
        <item m="1" x="950"/>
        <item m="1" x="945"/>
        <item m="1" x="946"/>
        <item m="1" x="944"/>
        <item m="1" x="1591"/>
        <item m="1" x="671"/>
        <item m="1" x="669"/>
        <item m="1" x="596"/>
        <item m="1" x="304"/>
        <item m="1" x="1519"/>
        <item m="1" x="773"/>
        <item m="1" x="771"/>
        <item m="1" x="832"/>
        <item m="1" x="355"/>
        <item m="1" x="538"/>
        <item m="1" x="524"/>
        <item m="1" x="1404"/>
        <item m="1" x="83"/>
        <item m="1" x="82"/>
        <item m="1" x="142"/>
        <item m="1" x="253"/>
        <item m="1" x="252"/>
        <item m="1" x="914"/>
        <item m="1" x="1582"/>
        <item m="1" x="1585"/>
        <item m="1" x="1586"/>
        <item m="1" x="1218"/>
        <item m="1" x="916"/>
        <item m="1" x="918"/>
        <item m="1" x="505"/>
        <item m="1" x="504"/>
        <item m="1" x="501"/>
        <item m="1" x="502"/>
        <item m="1" x="500"/>
        <item m="1" x="507"/>
        <item m="1" x="1379"/>
        <item m="1" x="1416"/>
        <item m="1" x="464"/>
        <item m="1" x="164"/>
        <item m="1" x="1592"/>
        <item m="1" x="283"/>
        <item m="1" x="1459"/>
        <item m="1" x="798"/>
        <item m="1" x="796"/>
        <item m="1" x="801"/>
        <item m="1" x="1394"/>
        <item m="1" x="823"/>
        <item m="1" x="348"/>
        <item m="1" x="1534"/>
        <item m="1" x="929"/>
        <item m="1" x="930"/>
        <item m="1" x="931"/>
        <item m="1" x="155"/>
        <item m="1" x="347"/>
        <item m="1" x="1049"/>
        <item m="1" x="1050"/>
        <item m="1" x="530"/>
        <item m="1" x="1225"/>
        <item m="1" x="1224"/>
        <item m="1" x="226"/>
        <item m="1" x="225"/>
        <item m="1" x="531"/>
        <item m="1" x="1399"/>
        <item m="1" x="865"/>
        <item m="1" x="1558"/>
        <item m="1" x="897"/>
        <item m="1" x="896"/>
        <item m="1" x="259"/>
        <item m="1" x="258"/>
        <item m="1" x="739"/>
        <item m="1" x="737"/>
        <item m="1" x="667"/>
        <item m="1" x="665"/>
        <item m="1" x="462"/>
        <item m="1" x="1533"/>
        <item m="1" x="1363"/>
        <item m="1" x="952"/>
        <item m="1" x="951"/>
        <item m="1" x="356"/>
        <item m="1" x="1494"/>
        <item m="1" x="1493"/>
        <item m="1" x="1587"/>
        <item m="1" x="1381"/>
        <item m="1" x="177"/>
        <item m="1" x="491"/>
        <item m="1" x="161"/>
        <item m="1" x="810"/>
        <item m="1" x="91"/>
        <item m="1" x="804"/>
        <item m="1" x="813"/>
        <item m="1" x="1415"/>
        <item m="1" x="351"/>
        <item m="1" x="1202"/>
        <item m="1" x="169"/>
        <item m="1" x="300"/>
        <item m="1" x="1456"/>
        <item m="1" x="90"/>
        <item m="1" x="775"/>
        <item m="1" x="246"/>
        <item m="1" x="247"/>
        <item m="1" x="1252"/>
        <item m="1" x="905"/>
        <item m="1" x="907"/>
        <item m="1" x="909"/>
        <item m="1" x="911"/>
        <item m="1" x="920"/>
        <item m="1" x="922"/>
        <item m="1" x="924"/>
        <item m="1" x="835"/>
        <item m="1" x="1422"/>
        <item m="1" x="540"/>
        <item m="1" x="808"/>
        <item m="1" x="630"/>
        <item m="1" x="632"/>
        <item m="1" x="634"/>
        <item m="1" x="159"/>
        <item m="1" x="1423"/>
        <item m="1" x="165"/>
        <item m="1" x="166"/>
        <item m="1" x="167"/>
        <item m="1" x="926"/>
        <item m="1" x="928"/>
        <item m="1" x="216"/>
        <item m="1" x="1589"/>
        <item m="1" x="1588"/>
        <item m="1" x="1603"/>
        <item m="1" x="1602"/>
        <item m="1" x="1604"/>
        <item m="1" x="785"/>
        <item m="1" x="783"/>
        <item m="1" x="566"/>
        <item m="1" x="1115"/>
        <item m="1" x="1214"/>
        <item m="1" x="1112"/>
        <item m="1" x="77"/>
        <item m="1" x="158"/>
        <item m="1" x="1590"/>
        <item m="1" x="806"/>
        <item m="1" x="119"/>
        <item m="1" x="118"/>
        <item m="1" x="443"/>
        <item m="1" x="1495"/>
        <item m="1" x="296"/>
        <item m="1" x="1227"/>
        <item m="1" x="1228"/>
        <item m="1" x="1230"/>
        <item m="1" x="1231"/>
        <item m="1" x="1229"/>
        <item m="1" x="1232"/>
        <item m="1" x="1233"/>
        <item m="1" x="75"/>
        <item m="1" x="589"/>
        <item m="1" x="587"/>
        <item m="1" x="546"/>
        <item m="1" x="912"/>
        <item m="1" x="254"/>
        <item m="1" x="97"/>
        <item m="1" x="913"/>
        <item m="1" x="1580"/>
        <item m="1" x="1581"/>
        <item m="1" x="1584"/>
        <item m="1" x="1583"/>
        <item m="1" x="248"/>
        <item m="1" x="892"/>
        <item m="1" x="1579"/>
        <item m="1" x="891"/>
        <item m="1" x="573"/>
        <item m="1" x="15"/>
        <item m="1" x="1488"/>
        <item m="1" x="1593"/>
        <item m="1" x="1366"/>
        <item m="1" x="778"/>
        <item m="1" x="1418"/>
        <item m="1" x="1556"/>
        <item m="1" x="96"/>
        <item m="1" x="903"/>
        <item m="1" x="470"/>
        <item m="1" x="821"/>
        <item m="1" x="1158"/>
        <item m="1" x="341"/>
        <item m="1" x="818"/>
        <item m="1" x="14"/>
        <item m="1" x="1424"/>
        <item m="1" x="1398"/>
        <item m="1" x="206"/>
        <item m="1" x="1552"/>
        <item m="1" x="1245"/>
        <item m="1" x="302"/>
        <item m="1" x="937"/>
        <item m="1" x="940"/>
        <item m="1" x="938"/>
        <item m="1" x="936"/>
        <item m="1" x="934"/>
        <item m="1" x="101"/>
        <item m="1" x="935"/>
        <item m="1" x="941"/>
        <item m="1" x="943"/>
        <item m="1" x="942"/>
        <item m="1" x="1247"/>
        <item m="1" x="1429"/>
        <item m="1" x="1204"/>
        <item m="1" x="1154"/>
        <item m="1" x="1426"/>
        <item m="1" x="93"/>
        <item m="1" x="92"/>
        <item m="1" x="1577"/>
        <item m="1" x="94"/>
        <item m="1" x="884"/>
        <item m="1" x="1578"/>
        <item m="1" x="888"/>
        <item m="1" x="886"/>
        <item m="1" x="887"/>
        <item m="1" x="890"/>
        <item m="1" x="95"/>
        <item m="1" x="889"/>
        <item m="1" x="895"/>
        <item m="1" x="893"/>
        <item m="1" x="894"/>
        <item m="1" x="1557"/>
        <item m="1" x="1396"/>
        <item m="1" x="240"/>
        <item m="1" x="1"/>
        <item m="1" x="1443"/>
        <item m="1" x="316"/>
        <item m="1" x="1159"/>
        <item m="1" x="1382"/>
        <item m="1" x="1406"/>
        <item m="1" x="317"/>
        <item m="1" x="336"/>
        <item m="1" x="619"/>
        <item m="1" x="618"/>
        <item m="1" x="617"/>
        <item m="1" x="616"/>
        <item m="1" x="1226"/>
        <item m="1" x="57"/>
        <item m="1" x="1128"/>
        <item m="1" x="1139"/>
        <item m="1" x="1133"/>
        <item m="1" x="1125"/>
        <item m="1" x="1136"/>
        <item m="1" x="857"/>
        <item m="1" x="141"/>
        <item m="1" x="238"/>
        <item m="1" x="574"/>
        <item m="1" x="352"/>
        <item m="1" x="157"/>
        <item m="1" x="672"/>
        <item m="1" x="757"/>
        <item m="1" x="224"/>
        <item m="1" x="1520"/>
        <item m="1" x="1068"/>
        <item m="1" x="1067"/>
        <item m="1" x="81"/>
        <item m="1" x="584"/>
        <item m="1" x="585"/>
        <item m="1" x="79"/>
        <item m="1" x="80"/>
        <item m="1" x="122"/>
        <item m="1" x="120"/>
        <item m="1" x="1162"/>
        <item m="1" x="788"/>
        <item m="1" x="1087"/>
        <item m="1" x="1088"/>
        <item m="1" x="1071"/>
        <item m="1" x="1081"/>
        <item m="1" x="1083"/>
        <item m="1" x="1082"/>
        <item m="1" x="1084"/>
        <item m="1" x="1085"/>
        <item m="1" x="482"/>
        <item m="1" x="282"/>
        <item m="1" x="1167"/>
        <item m="1" x="2"/>
        <item m="1" x="519"/>
        <item m="1" x="1184"/>
        <item m="1" x="350"/>
        <item m="1" x="1161"/>
        <item m="1" x="136"/>
        <item m="1" x="615"/>
        <item m="1" x="1079"/>
        <item m="1" x="1070"/>
        <item m="1" x="512"/>
        <item m="1" x="1057"/>
        <item m="1" x="1524"/>
        <item m="1" x="1523"/>
        <item m="1" x="123"/>
        <item m="1" x="1554"/>
        <item m="1" x="186"/>
        <item m="1" x="192"/>
        <item m="1" x="1061"/>
        <item m="1" x="1059"/>
        <item m="1" x="511"/>
        <item m="1" x="486"/>
        <item m="1" x="196"/>
        <item m="1" x="429"/>
        <item m="1" x="430"/>
        <item m="1" x="508"/>
        <item m="1" x="194"/>
        <item m="1" x="434"/>
        <item m="1" x="514"/>
        <item m="1" x="198"/>
        <item m="1" x="307"/>
        <item m="1" x="761"/>
        <item m="1" x="760"/>
        <item m="1" x="759"/>
        <item m="1" x="758"/>
        <item m="1" x="1449"/>
        <item m="1" x="1448"/>
        <item m="1" x="1451"/>
        <item m="1" x="1450"/>
        <item m="1" x="1452"/>
        <item m="1" x="1393"/>
        <item m="1" x="1376"/>
        <item m="1" x="1250"/>
        <item m="1" x="902"/>
        <item m="1" x="901"/>
        <item m="1" x="509"/>
        <item m="1" x="195"/>
        <item m="1" x="824"/>
        <item m="1" x="23"/>
        <item m="1" x="1380"/>
        <item m="1" x="369"/>
        <item m="1" x="364"/>
        <item m="1" x="497"/>
        <item m="1" x="189"/>
        <item m="1" x="1371"/>
        <item m="1" x="367"/>
        <item m="1" x="362"/>
        <item m="1" x="435"/>
        <item m="1" x="518"/>
        <item m="1" x="200"/>
        <item m="1" x="363"/>
        <item m="1" x="496"/>
        <item m="1" x="370"/>
        <item m="1" x="365"/>
        <item m="1" x="498"/>
        <item m="1" x="1522"/>
        <item m="1" x="190"/>
        <item m="1" x="179"/>
        <item m="1" x="472"/>
        <item m="1" x="432"/>
        <item m="1" x="433"/>
        <item m="1" x="431"/>
        <item m="1" x="513"/>
        <item m="1" x="19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1375"/>
        <item m="1" x="184"/>
        <item m="1" x="368"/>
        <item m="1" x="494"/>
        <item m="1" x="188"/>
        <item m="1" x="180"/>
        <item m="1" x="1370"/>
        <item m="1" x="359"/>
        <item m="1" x="332"/>
        <item m="1" x="223"/>
        <item m="1" x="1203"/>
        <item m="1" x="371"/>
        <item m="1" x="366"/>
        <item m="1" x="499"/>
        <item m="1" x="191"/>
        <item m="1" x="495"/>
        <item m="1" x="134"/>
        <item m="1" x="400"/>
        <item m="1" x="401"/>
        <item m="1" x="402"/>
        <item m="1" x="403"/>
        <item m="1" x="404"/>
        <item m="1" x="410"/>
        <item m="1" x="411"/>
        <item m="1" x="412"/>
        <item m="1" x="414"/>
        <item m="1" x="415"/>
        <item m="1" x="413"/>
        <item m="1" x="416"/>
        <item m="1" x="515"/>
        <item m="1" x="199"/>
        <item m="1" x="372"/>
        <item m="1" x="373"/>
        <item m="1" x="375"/>
        <item m="1" x="376"/>
        <item m="1" x="417"/>
        <item m="1" x="377"/>
        <item m="1" x="374"/>
        <item m="1" x="428"/>
        <item m="1" x="393"/>
        <item m="1" x="398"/>
        <item m="1" x="394"/>
        <item m="1" x="396"/>
        <item m="1" x="397"/>
        <item m="1" x="1372"/>
        <item m="1" x="1373"/>
        <item m="1" x="181"/>
        <item m="1" x="182"/>
        <item m="1" x="360"/>
        <item m="1" x="361"/>
        <item m="1" x="382"/>
        <item m="1" x="383"/>
        <item m="1" x="384"/>
        <item m="1" x="385"/>
        <item m="1" x="386"/>
        <item m="1" x="387"/>
        <item m="1" x="388"/>
        <item m="1" x="947"/>
        <item m="1" x="949"/>
        <item m="1" x="84"/>
        <item m="1" x="915"/>
        <item m="1" x="917"/>
        <item m="1" x="1192"/>
        <item m="1" x="1477"/>
        <item m="1" x="451"/>
        <item m="1" x="441"/>
        <item m="1" x="442"/>
        <item m="1" x="1430"/>
        <item m="1" x="904"/>
        <item m="1" x="906"/>
        <item m="1" x="908"/>
        <item m="1" x="910"/>
        <item m="1" x="919"/>
        <item m="1" x="921"/>
        <item m="1" x="923"/>
        <item m="1" x="297"/>
        <item m="1" x="298"/>
        <item m="1" x="299"/>
        <item m="1" x="925"/>
        <item m="1" x="927"/>
        <item m="1" x="340"/>
        <item m="1" x="933"/>
        <item m="1" x="932"/>
        <item m="1" x="1478"/>
        <item m="1" x="939"/>
        <item m="1" x="143"/>
        <item m="1" x="883"/>
        <item m="1" x="885"/>
        <item m="1" x="1175"/>
        <item m="1" x="148"/>
        <item m="1" x="1205"/>
        <item m="1" x="1596"/>
        <item m="1" x="121"/>
        <item m="1" x="789"/>
        <item m="1" x="1086"/>
        <item m="1" x="1080"/>
        <item m="1" x="1421"/>
        <item m="1" x="1420"/>
        <item m="1" x="790"/>
        <item m="1" x="1419"/>
        <item m="1" x="1549"/>
        <item m="1" x="1217"/>
        <item m="1" x="1155"/>
        <item m="1" x="555"/>
        <item m="1" x="1383"/>
        <item m="1" x="1500"/>
        <item m="1" x="144"/>
        <item m="1" x="327"/>
        <item m="1" x="1497"/>
        <item m="1" x="1145"/>
        <item m="1" x="1144"/>
        <item m="1" x="1146"/>
        <item m="1" x="1148"/>
        <item m="1" x="1147"/>
        <item m="1" x="1149"/>
        <item m="1" x="850"/>
        <item m="1" x="843"/>
        <item m="1" x="740"/>
        <item m="1" x="31"/>
        <item m="1" x="399"/>
        <item m="1" x="392"/>
        <item m="1" x="395"/>
        <item m="1" x="381"/>
        <item m="1" x="503"/>
        <item m="1" x="506"/>
        <item m="1" x="89"/>
        <item m="1" x="78"/>
        <item m="1" x="1069"/>
        <item m="1" x="1163"/>
        <item m="1" x="747"/>
        <item m="1" x="1074"/>
        <item m="1" x="1433"/>
        <item m="1" x="436"/>
        <item m="1" x="315"/>
        <item m="1" x="437"/>
        <item m="1" x="1434"/>
        <item m="1" x="1467"/>
        <item m="1" x="746"/>
        <item m="1" x="1369"/>
        <item m="1" x="87"/>
        <item m="1" x="1460"/>
        <item m="1" x="1150"/>
        <item m="1" x="1033"/>
        <item m="1" x="1032"/>
        <item m="1" x="19"/>
        <item m="1" x="1215"/>
        <item m="1" x="152"/>
        <item m="1" x="1039"/>
        <item m="1" x="1037"/>
        <item m="1" x="1038"/>
        <item m="1" x="187"/>
        <item m="1" x="1036"/>
        <item m="1" x="1035"/>
        <item m="1" x="1034"/>
        <item m="1" x="263"/>
        <item m="1" x="262"/>
        <item m="1" x="219"/>
        <item m="1" x="220"/>
        <item m="1" x="20"/>
        <item m="1" x="1269"/>
        <item m="1" x="1387"/>
        <item m="1" x="264"/>
        <item m="1" x="1236"/>
        <item m="1" x="1270"/>
        <item m="1" x="1271"/>
        <item m="1" x="237"/>
        <item m="1" x="1267"/>
        <item m="1" x="1268"/>
        <item m="1" x="1237"/>
        <item m="1" x="1368"/>
        <item m="1" x="133"/>
        <item m="1" x="1412"/>
        <item m="1" x="151"/>
        <item m="1" x="22"/>
        <item m="1" x="204"/>
        <item m="1" x="1545"/>
        <item m="1" x="1238"/>
        <item m="1" x="4"/>
        <item m="1" x="205"/>
        <item m="1" x="1521"/>
        <item m="1" x="1462"/>
        <item m="1" x="241"/>
        <item m="1" x="1222"/>
        <item m="1" x="1595"/>
        <item m="1" x="1221"/>
        <item m="1" x="1266"/>
        <item m="1" x="1384"/>
        <item m="1" x="265"/>
        <item m="1" x="242"/>
        <item m="1" x="1385"/>
        <item m="1" x="266"/>
        <item m="1" x="1264"/>
        <item m="1" x="1263"/>
        <item m="1" x="1265"/>
        <item m="1" x="1386"/>
        <item m="1" x="1262"/>
        <item m="1" x="12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10">
        <item m="1" x="8"/>
        <item m="1" x="1"/>
        <item m="1" x="3"/>
        <item m="1" x="6"/>
        <item m="1" x="5"/>
        <item m="1" x="2"/>
        <item m="1" x="9"/>
        <item m="1" x="7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1"/>
        <item m="1" x="2"/>
        <item m="1"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6">
        <item m="1" x="16"/>
        <item m="1" x="17"/>
        <item m="1" x="42"/>
        <item m="1" x="64"/>
        <item m="1" x="65"/>
        <item m="1" x="6"/>
        <item m="1" x="55"/>
        <item m="1" x="8"/>
        <item x="0"/>
        <item m="1" x="29"/>
        <item m="1" x="51"/>
        <item m="1" x="19"/>
        <item m="1" x="7"/>
        <item m="1" x="26"/>
        <item m="1" x="33"/>
        <item m="1" x="47"/>
        <item m="1" x="38"/>
        <item m="1" x="22"/>
        <item m="1" x="5"/>
        <item m="1" x="30"/>
        <item m="1" x="52"/>
        <item m="1" x="39"/>
        <item m="1" x="53"/>
        <item m="1" x="61"/>
        <item m="1" x="54"/>
        <item m="1" x="4"/>
        <item m="1" x="46"/>
        <item m="1" x="25"/>
        <item m="1" x="40"/>
        <item m="1" x="44"/>
        <item m="1" x="9"/>
        <item m="1" x="18"/>
        <item m="1" x="31"/>
        <item m="1" x="27"/>
        <item m="1" x="36"/>
        <item m="1" x="48"/>
        <item m="1" x="21"/>
        <item m="1" x="23"/>
        <item m="1" x="10"/>
        <item m="1" x="60"/>
        <item m="1" x="24"/>
        <item m="1" x="12"/>
        <item m="1" x="20"/>
        <item m="1" x="34"/>
        <item m="1" x="3"/>
        <item m="1" x="58"/>
        <item m="1" x="43"/>
        <item m="1" x="11"/>
        <item m="1" x="28"/>
        <item m="1" x="62"/>
        <item m="1" x="1"/>
        <item m="1" x="35"/>
        <item m="1" x="15"/>
        <item m="1" x="57"/>
        <item m="1" x="37"/>
        <item m="1" x="2"/>
        <item m="1" x="50"/>
        <item m="1" x="59"/>
        <item m="1" x="32"/>
        <item m="1" x="41"/>
        <item m="1" x="63"/>
        <item m="1" x="49"/>
        <item m="1" x="45"/>
        <item m="1" x="14"/>
        <item m="1" x="56"/>
        <item m="1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">
        <item m="1" x="17"/>
        <item m="1" x="6"/>
        <item m="1" x="48"/>
        <item m="1" x="32"/>
        <item m="1" x="49"/>
        <item m="1" x="14"/>
        <item m="1" x="50"/>
        <item m="1" x="15"/>
        <item m="1" x="5"/>
        <item m="1" x="4"/>
        <item x="0"/>
        <item m="1" x="18"/>
        <item m="1" x="36"/>
        <item m="1" x="12"/>
        <item m="1" x="3"/>
        <item m="1" x="16"/>
        <item m="1" x="31"/>
        <item m="1" x="2"/>
        <item m="1" x="20"/>
        <item m="1" x="11"/>
        <item m="1" x="23"/>
        <item m="1" x="37"/>
        <item m="1" x="45"/>
        <item m="1" x="46"/>
        <item m="1" x="34"/>
        <item m="1" x="43"/>
        <item m="1" x="47"/>
        <item m="1" x="44"/>
        <item m="1" x="42"/>
        <item m="1" x="10"/>
        <item m="1" x="41"/>
        <item m="1" x="8"/>
        <item m="1" x="27"/>
        <item m="1" x="26"/>
        <item m="1" x="28"/>
        <item m="1" x="9"/>
        <item m="1" x="7"/>
        <item m="1" x="33"/>
        <item m="1" x="25"/>
        <item m="1" x="21"/>
        <item m="1" x="39"/>
        <item m="1" x="51"/>
        <item m="1" x="40"/>
        <item m="1" x="38"/>
        <item m="1" x="52"/>
        <item m="1" x="13"/>
        <item m="1" x="29"/>
        <item m="1" x="1"/>
        <item m="1" x="30"/>
        <item m="1" x="35"/>
        <item m="1" x="22"/>
        <item m="1" x="19"/>
        <item m="1"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7"/>
    <field x="8"/>
    <field x="22"/>
    <field x="21"/>
    <field x="23"/>
  </rowFields>
  <rowItems count="2">
    <i>
      <x v="149"/>
      <x v="149"/>
      <x v="8"/>
      <x v="3"/>
      <x v="10"/>
    </i>
    <i t="grand">
      <x/>
    </i>
  </rowItems>
  <colFields count="2">
    <field x="17"/>
    <field x="19"/>
  </colFields>
  <colItems count="2">
    <i>
      <x v="2"/>
      <x v="9"/>
    </i>
    <i t="grand">
      <x/>
    </i>
  </colItems>
  <dataFields count="1">
    <dataField name="Média de PRIORIDADE" fld="10" subtotal="average" baseField="24" baseItem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2" cacheId="1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5" firstHeaderRow="1" firstDataRow="2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dataField="1" showAll="0"/>
    <pivotField showAll="0"/>
  </pivotFields>
  <rowItems count="1">
    <i/>
  </rowItems>
  <colFields count="1">
    <field x="17"/>
  </colFields>
  <colItems count="2">
    <i>
      <x/>
    </i>
    <i t="grand">
      <x/>
    </i>
  </colItems>
  <dataFields count="1">
    <dataField name="Contagem de FILIAL" fld="2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7">
    <queryTableFields count="26">
      <queryTableField id="1" name="COD SORTIMENTO" tableColumnId="1"/>
      <queryTableField id="2" name="COD SECAO" tableColumnId="2"/>
      <queryTableField id="3" name="DESC SECAO" tableColumnId="3"/>
      <queryTableField id="4" name="COD TAMANHO" tableColumnId="4"/>
      <queryTableField id="5" name="DESC TAMANHO" tableColumnId="5"/>
      <queryTableField id="6" name="COD PUBLICO" tableColumnId="6"/>
      <queryTableField id="7" name="DESC PUBLICO" tableColumnId="7"/>
      <queryTableField id="8" name="COD MERCADORIA" tableColumnId="8"/>
      <queryTableField id="9" name="DESC MERCADORIA" tableColumnId="9"/>
      <queryTableField id="10" name="MERC / CONJ" tableColumnId="10"/>
      <queryTableField id="11" name="PRIORIDADE" tableColumnId="11"/>
      <queryTableField id="12" name="QTDE" tableColumnId="12"/>
      <queryTableField id="13" name="VOLTAGEM" tableColumnId="13"/>
      <queryTableField id="14" name="VIGENCIA INICIO" tableColumnId="14"/>
      <queryTableField id="15" name="VIGENCIA FIM" tableColumnId="15"/>
      <queryTableField id="16" name="PERFIL" tableColumnId="16"/>
      <queryTableField id="17" name="BANDEIRA" tableColumnId="17"/>
      <queryTableField id="18" name="LOCAL" tableColumnId="18"/>
      <queryTableField id="19" name="LOCAL_NOVO" tableColumnId="19"/>
      <queryTableField id="20" name="TAMANHO" tableColumnId="20"/>
      <queryTableField id="21" name="REGIÃO" tableColumnId="21"/>
      <queryTableField id="22" name="STATUS" tableColumnId="22"/>
      <queryTableField id="23" name="MARCA_MERCADORIA" tableColumnId="23"/>
      <queryTableField id="24" name="ESPECIE_MERCADORIA" tableColumnId="24"/>
      <queryTableField id="25" name="CONCATENADO" tableColumnId="25"/>
      <queryTableField id="26" name="CONCATENADO2" tableColumnId="2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D_Sortim_Sortem.accdb" connectionId="2" xr16:uid="{00000000-0016-0000-0400-000001000000}" autoFormatId="16" applyNumberFormats="0" applyBorderFormats="0" applyFontFormats="0" applyPatternFormats="0" applyAlignmentFormats="0" applyWidthHeightFormats="0">
  <queryTableRefresh nextId="25" unboundColumnsRight="1">
    <queryTableFields count="24">
      <queryTableField id="1" name="EMPRESA" tableColumnId="1"/>
      <queryTableField id="2" name="FILIAL" tableColumnId="2"/>
      <queryTableField id="3" name="COD PUBLICO" tableColumnId="3"/>
      <queryTableField id="4" name="DESC PUBLICO" tableColumnId="4"/>
      <queryTableField id="5" name="COD SECAO" tableColumnId="5"/>
      <queryTableField id="6" name="DESC SECAO" tableColumnId="6"/>
      <queryTableField id="7" name="COD SORTIMENTO" tableColumnId="7"/>
      <queryTableField id="8" name="COD TAMANHO" tableColumnId="8"/>
      <queryTableField id="9" name="DESC TAMANHO" tableColumnId="9"/>
      <queryTableField id="10" name="TIPO PUBLICO" tableColumnId="10"/>
      <queryTableField id="11" name="SOLIC#VOLT DIF" tableColumnId="11"/>
      <queryTableField id="12" name="PERFIL" tableColumnId="12"/>
      <queryTableField id="13" name="BANDEIRA" tableColumnId="13"/>
      <queryTableField id="14" name="LOCAL_NOVO" tableColumnId="14"/>
      <queryTableField id="15" name="LOCAL" tableColumnId="15"/>
      <queryTableField id="16" name="TAMANHO" tableColumnId="16"/>
      <queryTableField id="17" name="REGIÃO" tableColumnId="17"/>
      <queryTableField id="22" dataBound="0" tableColumnId="22"/>
      <queryTableField id="23" dataBound="0" tableColumnId="23"/>
      <queryTableField id="24" dataBound="0" tableColumnId="24"/>
      <queryTableField id="18" name="CONCATENADO" tableColumnId="18"/>
      <queryTableField id="20" dataBound="0" tableColumnId="20"/>
      <queryTableField id="19" name="CONCATENADO2" tableColumnId="19"/>
      <queryTableField id="21" dataBound="0" tableColumnId="2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_BD_Sortim_Sortem.accdb" displayName="Tabela_BD_Sortim_Sortem.accdb" ref="A1:Z6151" tableType="queryTable" totalsRowShown="0">
  <autoFilter ref="A1:Z6151" xr:uid="{00000000-0009-0000-0100-000001000000}"/>
  <tableColumns count="26">
    <tableColumn id="1" xr3:uid="{00000000-0010-0000-0000-000001000000}" uniqueName="1" name="COD SORTIMENTO" queryTableFieldId="1"/>
    <tableColumn id="2" xr3:uid="{00000000-0010-0000-0000-000002000000}" uniqueName="2" name="COD SECAO" queryTableFieldId="2"/>
    <tableColumn id="3" xr3:uid="{00000000-0010-0000-0000-000003000000}" uniqueName="3" name="DESC SECAO" queryTableFieldId="3"/>
    <tableColumn id="4" xr3:uid="{00000000-0010-0000-0000-000004000000}" uniqueName="4" name="COD TAMANHO" queryTableFieldId="4"/>
    <tableColumn id="5" xr3:uid="{00000000-0010-0000-0000-000005000000}" uniqueName="5" name="DESC TAMANHO" queryTableFieldId="5"/>
    <tableColumn id="6" xr3:uid="{00000000-0010-0000-0000-000006000000}" uniqueName="6" name="COD PUBLICO" queryTableFieldId="6"/>
    <tableColumn id="7" xr3:uid="{00000000-0010-0000-0000-000007000000}" uniqueName="7" name="DESC PUBLICO" queryTableFieldId="7"/>
    <tableColumn id="8" xr3:uid="{00000000-0010-0000-0000-000008000000}" uniqueName="8" name="COD MERCADORIA" queryTableFieldId="8"/>
    <tableColumn id="9" xr3:uid="{00000000-0010-0000-0000-000009000000}" uniqueName="9" name="DESC MERCADORIA" queryTableFieldId="9"/>
    <tableColumn id="10" xr3:uid="{00000000-0010-0000-0000-00000A000000}" uniqueName="10" name="MERC / CONJ" queryTableFieldId="10"/>
    <tableColumn id="11" xr3:uid="{00000000-0010-0000-0000-00000B000000}" uniqueName="11" name="PRIORIDADE" queryTableFieldId="11"/>
    <tableColumn id="12" xr3:uid="{00000000-0010-0000-0000-00000C000000}" uniqueName="12" name="QTDE" queryTableFieldId="12"/>
    <tableColumn id="13" xr3:uid="{00000000-0010-0000-0000-00000D000000}" uniqueName="13" name="VOLTAGEM" queryTableFieldId="13"/>
    <tableColumn id="14" xr3:uid="{00000000-0010-0000-0000-00000E000000}" uniqueName="14" name="VIGENCIA INICIO" queryTableFieldId="14" dataDxfId="4"/>
    <tableColumn id="15" xr3:uid="{00000000-0010-0000-0000-00000F000000}" uniqueName="15" name="VIGENCIA FIM" queryTableFieldId="15"/>
    <tableColumn id="16" xr3:uid="{00000000-0010-0000-0000-000010000000}" uniqueName="16" name="PERFIL" queryTableFieldId="16"/>
    <tableColumn id="17" xr3:uid="{00000000-0010-0000-0000-000011000000}" uniqueName="17" name="BANDEIRA" queryTableFieldId="17"/>
    <tableColumn id="18" xr3:uid="{00000000-0010-0000-0000-000012000000}" uniqueName="18" name="LOCAL" queryTableFieldId="18"/>
    <tableColumn id="19" xr3:uid="{00000000-0010-0000-0000-000013000000}" uniqueName="19" name="LOCAL_NOVO" queryTableFieldId="19"/>
    <tableColumn id="20" xr3:uid="{00000000-0010-0000-0000-000014000000}" uniqueName="20" name="TAMANHO" queryTableFieldId="20"/>
    <tableColumn id="21" xr3:uid="{00000000-0010-0000-0000-000015000000}" uniqueName="21" name="REGIÃO" queryTableFieldId="21"/>
    <tableColumn id="22" xr3:uid="{00000000-0010-0000-0000-000016000000}" uniqueName="22" name="STATUS" queryTableFieldId="22"/>
    <tableColumn id="23" xr3:uid="{00000000-0010-0000-0000-000017000000}" uniqueName="23" name="MARCA_MERCADORIA" queryTableFieldId="23"/>
    <tableColumn id="24" xr3:uid="{00000000-0010-0000-0000-000018000000}" uniqueName="24" name="ESPECIE_MERCADORIA" queryTableFieldId="24"/>
    <tableColumn id="25" xr3:uid="{00000000-0010-0000-0000-000019000000}" uniqueName="25" name="CONCATENADO" queryTableFieldId="25"/>
    <tableColumn id="26" xr3:uid="{00000000-0010-0000-0000-00001A000000}" uniqueName="26" name="CONCATENADO2" queryTableFieldId="26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_BD_Sortim_Sortem.accdb3" displayName="Tabela_BD_Sortim_Sortem.accdb3" ref="A1:X246" tableType="queryTable" totalsRowShown="0">
  <autoFilter ref="A1:X246" xr:uid="{00000000-0009-0000-0100-000002000000}"/>
  <tableColumns count="24">
    <tableColumn id="1" xr3:uid="{00000000-0010-0000-0100-000001000000}" uniqueName="1" name="COD PUBLICO" queryTableFieldId="1"/>
    <tableColumn id="2" xr3:uid="{00000000-0010-0000-0100-000002000000}" uniqueName="2" name="DESC PUBLICO" queryTableFieldId="2"/>
    <tableColumn id="3" xr3:uid="{00000000-0010-0000-0100-000003000000}" uniqueName="3" name="COD SECAO" queryTableFieldId="3"/>
    <tableColumn id="4" xr3:uid="{00000000-0010-0000-0100-000004000000}" uniqueName="4" name="DESC SECAO" queryTableFieldId="4"/>
    <tableColumn id="5" xr3:uid="{00000000-0010-0000-0100-000005000000}" uniqueName="5" name="COD SORTIMENTO" queryTableFieldId="5"/>
    <tableColumn id="6" xr3:uid="{00000000-0010-0000-0100-000006000000}" uniqueName="6" name="COD TAMANHO" queryTableFieldId="6"/>
    <tableColumn id="7" xr3:uid="{00000000-0010-0000-0100-000007000000}" uniqueName="7" name="DESC TAMANHO" queryTableFieldId="7"/>
    <tableColumn id="8" xr3:uid="{00000000-0010-0000-0100-000008000000}" uniqueName="8" name="PERFIL" queryTableFieldId="8"/>
    <tableColumn id="9" xr3:uid="{00000000-0010-0000-0100-000009000000}" uniqueName="9" name="BANDEIRA" queryTableFieldId="9"/>
    <tableColumn id="10" xr3:uid="{00000000-0010-0000-0100-00000A000000}" uniqueName="10" name="LOCAL_NOVO" queryTableFieldId="10"/>
    <tableColumn id="11" xr3:uid="{00000000-0010-0000-0100-00000B000000}" uniqueName="11" name="LOCAL" queryTableFieldId="11"/>
    <tableColumn id="12" xr3:uid="{00000000-0010-0000-0100-00000C000000}" uniqueName="12" name="TAMANHO" queryTableFieldId="12"/>
    <tableColumn id="13" xr3:uid="{00000000-0010-0000-0100-00000D000000}" uniqueName="13" name="REGIÃO" queryTableFieldId="13"/>
    <tableColumn id="14" xr3:uid="{00000000-0010-0000-0100-00000E000000}" uniqueName="14" name="REGIAO 2" queryTableFieldId="14"/>
    <tableColumn id="15" xr3:uid="{00000000-0010-0000-0100-00000F000000}" uniqueName="15" name="CONCATENADO" queryTableFieldId="15"/>
    <tableColumn id="16" xr3:uid="{00000000-0010-0000-0100-000010000000}" uniqueName="16" name="CONCATENADO2" queryTableFieldId="16"/>
    <tableColumn id="17" xr3:uid="{00000000-0010-0000-0100-000011000000}" uniqueName="17" name="CONCATENADO3" queryTableFieldId="17"/>
    <tableColumn id="22" xr3:uid="{6A453BB6-C834-4A27-BCBD-13FF2855A20B}" uniqueName="22" name="CONCATENADO4" queryTableFieldId="22"/>
    <tableColumn id="23" xr3:uid="{485BAF91-129B-460D-B7F7-74A9A62A4D6C}" uniqueName="23" name="CONCATENADO5" queryTableFieldId="23"/>
    <tableColumn id="24" xr3:uid="{F6D15EF3-0C0C-42E8-9884-ED738FF77E88}" uniqueName="24" name="CONCATENADO6" queryTableFieldId="24"/>
    <tableColumn id="18" xr3:uid="{00000000-0010-0000-0100-000012000000}" uniqueName="18" name="EMPRESA" queryTableFieldId="18"/>
    <tableColumn id="20" xr3:uid="{00000000-0010-0000-0100-000014000000}" uniqueName="20" name="FILIAL" queryTableFieldId="20" dataDxfId="1"/>
    <tableColumn id="19" xr3:uid="{00000000-0010-0000-0100-000013000000}" uniqueName="19" name="TIPO PUBLICO" queryTableFieldId="19" dataDxfId="0"/>
    <tableColumn id="21" xr3:uid="{896B6E57-AD3D-4B2B-A5CC-0081CBA39EE4}" uniqueName="21" name="SOLIC#VOLT DIF" queryTableFieldId="2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m_alteracao"/>
  <dimension ref="A1:Z989"/>
  <sheetViews>
    <sheetView showGridLines="0" tabSelected="1" zoomScale="62" zoomScaleNormal="62" workbookViewId="0">
      <selection activeCell="L15" sqref="L15"/>
    </sheetView>
  </sheetViews>
  <sheetFormatPr defaultColWidth="9.140625" defaultRowHeight="15.75" x14ac:dyDescent="0.25"/>
  <cols>
    <col min="1" max="1" width="8.42578125" style="1" customWidth="1"/>
    <col min="2" max="2" width="14.85546875" style="93" bestFit="1" customWidth="1"/>
    <col min="3" max="3" width="70.140625" style="94" bestFit="1" customWidth="1"/>
    <col min="4" max="4" width="21.28515625" style="93" bestFit="1" customWidth="1"/>
    <col min="5" max="5" width="24.28515625" style="93" bestFit="1" customWidth="1"/>
    <col min="6" max="6" width="45.140625" style="93" bestFit="1" customWidth="1"/>
    <col min="7" max="7" width="45.140625" style="2" customWidth="1"/>
    <col min="8" max="8" width="4.28515625" style="2" customWidth="1"/>
    <col min="9" max="11" width="16.28515625" style="2" customWidth="1"/>
    <col min="12" max="26" width="16.28515625" style="49" customWidth="1"/>
    <col min="27" max="16384" width="9.140625" style="1"/>
  </cols>
  <sheetData>
    <row r="1" spans="1:26" x14ac:dyDescent="0.25">
      <c r="B1" s="2"/>
      <c r="C1" s="3"/>
      <c r="D1" s="2"/>
      <c r="E1" s="2"/>
      <c r="F1" s="2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</row>
    <row r="2" spans="1:26" x14ac:dyDescent="0.25">
      <c r="B2" s="97"/>
      <c r="C2" s="98"/>
      <c r="D2" s="97"/>
      <c r="E2" s="97"/>
      <c r="F2" s="97"/>
      <c r="G2" s="13"/>
      <c r="H2" s="13"/>
      <c r="I2" s="13"/>
      <c r="J2" s="13"/>
      <c r="K2" s="13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</row>
    <row r="3" spans="1:26" x14ac:dyDescent="0.25">
      <c r="B3" s="2"/>
      <c r="C3" s="3"/>
      <c r="D3" s="2"/>
      <c r="E3" s="2"/>
      <c r="F3" s="6"/>
      <c r="L3" s="111" t="s">
        <v>76</v>
      </c>
      <c r="M3" s="112"/>
      <c r="N3" s="112"/>
      <c r="O3" s="112"/>
      <c r="P3" s="113"/>
      <c r="Q3" s="111" t="s">
        <v>77</v>
      </c>
      <c r="R3" s="112"/>
      <c r="S3" s="112"/>
      <c r="T3" s="112"/>
      <c r="U3" s="113"/>
      <c r="V3" s="111" t="s">
        <v>24</v>
      </c>
      <c r="W3" s="112"/>
      <c r="X3" s="112"/>
      <c r="Y3" s="112"/>
      <c r="Z3" s="113"/>
    </row>
    <row r="4" spans="1:26" x14ac:dyDescent="0.25">
      <c r="A4" s="9"/>
      <c r="B4" s="63"/>
      <c r="C4" s="10"/>
      <c r="D4" s="2"/>
      <c r="E4" s="2"/>
      <c r="F4" s="2"/>
      <c r="G4" s="7"/>
      <c r="H4" s="7"/>
      <c r="I4" s="7"/>
      <c r="J4" s="7"/>
      <c r="K4" s="8" t="s">
        <v>41</v>
      </c>
      <c r="L4" s="35" t="s">
        <v>26</v>
      </c>
      <c r="M4" s="35" t="s">
        <v>25</v>
      </c>
      <c r="N4" s="35" t="s">
        <v>27</v>
      </c>
      <c r="O4" s="35" t="s">
        <v>30</v>
      </c>
      <c r="P4" s="35" t="s">
        <v>31</v>
      </c>
      <c r="Q4" s="35" t="s">
        <v>26</v>
      </c>
      <c r="R4" s="35" t="s">
        <v>25</v>
      </c>
      <c r="S4" s="35" t="s">
        <v>27</v>
      </c>
      <c r="T4" s="35" t="s">
        <v>30</v>
      </c>
      <c r="U4" s="35" t="s">
        <v>31</v>
      </c>
      <c r="V4" s="35" t="s">
        <v>26</v>
      </c>
      <c r="W4" s="35" t="s">
        <v>25</v>
      </c>
      <c r="X4" s="35" t="s">
        <v>27</v>
      </c>
      <c r="Y4" s="35" t="s">
        <v>30</v>
      </c>
      <c r="Z4" s="35" t="s">
        <v>31</v>
      </c>
    </row>
    <row r="5" spans="1:26" x14ac:dyDescent="0.25">
      <c r="B5" s="10"/>
      <c r="C5" s="10" t="str">
        <f>IF(OR(L5&gt;L8,M5&gt;M8,N5&gt;N8,O5&gt;O8,P5&gt;P8,Q5&gt;Q8,R5&gt;R8,S5&gt;S8,T5&gt;T8,U5&gt;U8,V5&gt;V8,W5&gt;W8,X5&gt;X8,Y5&gt;Y8,Z5&gt;Z8),"Os itens obrigatórios seperam o número 'ideal' em algum(ns) tamanhos ----&gt;","")</f>
        <v/>
      </c>
      <c r="D5" s="2"/>
      <c r="E5" s="2"/>
      <c r="F5" s="2"/>
      <c r="G5" s="7"/>
      <c r="H5" s="7"/>
      <c r="I5" s="7"/>
      <c r="J5" s="7"/>
      <c r="K5" s="11" t="s">
        <v>42</v>
      </c>
      <c r="L5" s="108">
        <f t="shared" ref="L5:Z5" si="0">COUNTIF(L17:L47,1)</f>
        <v>0</v>
      </c>
      <c r="M5" s="108">
        <f t="shared" si="0"/>
        <v>0</v>
      </c>
      <c r="N5" s="108">
        <f t="shared" si="0"/>
        <v>0</v>
      </c>
      <c r="O5" s="108">
        <f t="shared" si="0"/>
        <v>0</v>
      </c>
      <c r="P5" s="108">
        <f t="shared" si="0"/>
        <v>0</v>
      </c>
      <c r="Q5" s="108">
        <f t="shared" si="0"/>
        <v>0</v>
      </c>
      <c r="R5" s="108">
        <f t="shared" si="0"/>
        <v>0</v>
      </c>
      <c r="S5" s="108">
        <f t="shared" si="0"/>
        <v>0</v>
      </c>
      <c r="T5" s="108">
        <f t="shared" si="0"/>
        <v>0</v>
      </c>
      <c r="U5" s="108">
        <f t="shared" si="0"/>
        <v>0</v>
      </c>
      <c r="V5" s="108">
        <f t="shared" si="0"/>
        <v>0</v>
      </c>
      <c r="W5" s="108">
        <f t="shared" si="0"/>
        <v>0</v>
      </c>
      <c r="X5" s="108">
        <f t="shared" si="0"/>
        <v>0</v>
      </c>
      <c r="Y5" s="108">
        <f t="shared" si="0"/>
        <v>0</v>
      </c>
      <c r="Z5" s="108">
        <f t="shared" si="0"/>
        <v>0</v>
      </c>
    </row>
    <row r="6" spans="1:26" x14ac:dyDescent="0.25">
      <c r="B6" s="2"/>
      <c r="C6" s="3"/>
      <c r="D6" s="2"/>
      <c r="E6" s="2"/>
      <c r="F6" s="2"/>
      <c r="G6" s="13"/>
      <c r="H6" s="13"/>
      <c r="I6" s="13"/>
      <c r="J6" s="13"/>
      <c r="K6" s="14" t="s">
        <v>43</v>
      </c>
      <c r="L6" s="109">
        <f t="shared" ref="L6:Z6" si="1">COUNTIF(L17:L47,3)</f>
        <v>0</v>
      </c>
      <c r="M6" s="109">
        <f t="shared" si="1"/>
        <v>0</v>
      </c>
      <c r="N6" s="109">
        <f t="shared" si="1"/>
        <v>0</v>
      </c>
      <c r="O6" s="109">
        <f t="shared" si="1"/>
        <v>0</v>
      </c>
      <c r="P6" s="109">
        <f t="shared" si="1"/>
        <v>0</v>
      </c>
      <c r="Q6" s="109">
        <f t="shared" si="1"/>
        <v>0</v>
      </c>
      <c r="R6" s="109">
        <f t="shared" si="1"/>
        <v>0</v>
      </c>
      <c r="S6" s="109">
        <f t="shared" si="1"/>
        <v>0</v>
      </c>
      <c r="T6" s="109">
        <f t="shared" si="1"/>
        <v>0</v>
      </c>
      <c r="U6" s="109">
        <f t="shared" si="1"/>
        <v>0</v>
      </c>
      <c r="V6" s="109">
        <f t="shared" si="1"/>
        <v>0</v>
      </c>
      <c r="W6" s="109">
        <f t="shared" si="1"/>
        <v>0</v>
      </c>
      <c r="X6" s="109">
        <f t="shared" si="1"/>
        <v>0</v>
      </c>
      <c r="Y6" s="109">
        <f t="shared" si="1"/>
        <v>0</v>
      </c>
      <c r="Z6" s="109">
        <f t="shared" si="1"/>
        <v>0</v>
      </c>
    </row>
    <row r="7" spans="1:26" s="17" customFormat="1" ht="15.75" customHeight="1" x14ac:dyDescent="0.25">
      <c r="B7" s="2"/>
      <c r="C7" s="2"/>
      <c r="D7" s="2"/>
      <c r="E7" s="2"/>
      <c r="G7" s="7"/>
      <c r="H7" s="7"/>
      <c r="I7" s="7"/>
      <c r="J7" s="7"/>
      <c r="K7" s="11" t="s">
        <v>44</v>
      </c>
      <c r="L7" s="110">
        <f>(L5+L6)</f>
        <v>0</v>
      </c>
      <c r="M7" s="110">
        <f t="shared" ref="M7:Z7" si="2">(M5+M6)</f>
        <v>0</v>
      </c>
      <c r="N7" s="110">
        <f t="shared" si="2"/>
        <v>0</v>
      </c>
      <c r="O7" s="110">
        <f t="shared" si="2"/>
        <v>0</v>
      </c>
      <c r="P7" s="110">
        <f t="shared" si="2"/>
        <v>0</v>
      </c>
      <c r="Q7" s="110">
        <f t="shared" si="2"/>
        <v>0</v>
      </c>
      <c r="R7" s="110">
        <f t="shared" si="2"/>
        <v>0</v>
      </c>
      <c r="S7" s="110">
        <f t="shared" si="2"/>
        <v>0</v>
      </c>
      <c r="T7" s="110">
        <f t="shared" si="2"/>
        <v>0</v>
      </c>
      <c r="U7" s="110">
        <f t="shared" si="2"/>
        <v>0</v>
      </c>
      <c r="V7" s="110">
        <f t="shared" si="2"/>
        <v>0</v>
      </c>
      <c r="W7" s="110">
        <f t="shared" si="2"/>
        <v>0</v>
      </c>
      <c r="X7" s="110">
        <f t="shared" si="2"/>
        <v>0</v>
      </c>
      <c r="Y7" s="110">
        <f t="shared" si="2"/>
        <v>0</v>
      </c>
      <c r="Z7" s="110">
        <f t="shared" si="2"/>
        <v>0</v>
      </c>
    </row>
    <row r="8" spans="1:26" s="17" customFormat="1" ht="21" x14ac:dyDescent="0.25">
      <c r="B8" s="2"/>
      <c r="C8" s="3"/>
      <c r="D8" s="2"/>
      <c r="E8" s="2"/>
      <c r="F8" s="20"/>
      <c r="G8" s="67"/>
      <c r="H8" s="67"/>
      <c r="I8" s="67"/>
      <c r="J8" s="67"/>
      <c r="K8" s="67" t="s">
        <v>45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9">
        <v>0</v>
      </c>
      <c r="S8" s="19">
        <v>0</v>
      </c>
      <c r="T8" s="19">
        <v>0</v>
      </c>
      <c r="U8" s="19">
        <v>0</v>
      </c>
      <c r="V8" s="19">
        <v>0</v>
      </c>
      <c r="W8" s="19">
        <v>0</v>
      </c>
      <c r="X8" s="19">
        <v>0</v>
      </c>
      <c r="Y8" s="19">
        <v>0</v>
      </c>
      <c r="Z8" s="19">
        <v>0</v>
      </c>
    </row>
    <row r="9" spans="1:26" s="23" customFormat="1" x14ac:dyDescent="0.25">
      <c r="B9" s="24"/>
      <c r="C9" s="25"/>
      <c r="D9" s="24"/>
      <c r="E9" s="24"/>
      <c r="F9" s="26"/>
      <c r="G9" s="27"/>
      <c r="H9" s="27"/>
      <c r="I9" s="27"/>
      <c r="J9" s="27"/>
      <c r="K9" s="26"/>
    </row>
    <row r="10" spans="1:26" s="21" customFormat="1" ht="21" customHeight="1" x14ac:dyDescent="0.25">
      <c r="B10" s="100" t="s">
        <v>59</v>
      </c>
      <c r="C10" s="101">
        <f>SORTEMP!B2</f>
        <v>0</v>
      </c>
      <c r="D10" s="2"/>
      <c r="E10" s="2"/>
      <c r="F10" s="29"/>
      <c r="G10" s="30"/>
      <c r="H10" s="30"/>
      <c r="I10" s="30"/>
      <c r="J10" s="30"/>
      <c r="K10" s="29"/>
      <c r="L10" s="102" t="s">
        <v>29</v>
      </c>
      <c r="M10" s="102"/>
      <c r="N10" s="102"/>
      <c r="O10" s="102"/>
      <c r="P10" s="102"/>
      <c r="Q10" s="102" t="s">
        <v>29</v>
      </c>
      <c r="R10" s="102"/>
      <c r="S10" s="102"/>
      <c r="T10" s="102"/>
      <c r="U10" s="102"/>
      <c r="V10" s="102"/>
      <c r="W10" s="102"/>
      <c r="X10" s="102" t="s">
        <v>29</v>
      </c>
      <c r="Y10" s="102"/>
      <c r="Z10" s="102"/>
    </row>
    <row r="11" spans="1:26" s="21" customFormat="1" ht="21" customHeight="1" x14ac:dyDescent="0.25">
      <c r="B11" s="17"/>
      <c r="C11" s="103"/>
      <c r="D11" s="17"/>
      <c r="F11" s="104"/>
      <c r="G11" s="104"/>
      <c r="H11" s="104"/>
      <c r="I11" s="104"/>
      <c r="J11" s="104"/>
      <c r="K11" s="104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</row>
    <row r="12" spans="1:26" s="31" customFormat="1" x14ac:dyDescent="0.25">
      <c r="B12" s="32"/>
      <c r="C12" s="33"/>
      <c r="D12" s="32"/>
      <c r="E12" s="32"/>
      <c r="F12" s="34"/>
      <c r="G12" s="34"/>
      <c r="H12" s="34"/>
      <c r="I12" s="34"/>
      <c r="J12" s="34"/>
      <c r="K12" s="34"/>
      <c r="L12" s="111" t="s">
        <v>76</v>
      </c>
      <c r="M12" s="112"/>
      <c r="N12" s="112"/>
      <c r="O12" s="112"/>
      <c r="P12" s="113"/>
      <c r="Q12" s="111" t="s">
        <v>77</v>
      </c>
      <c r="R12" s="112"/>
      <c r="S12" s="112"/>
      <c r="T12" s="112"/>
      <c r="U12" s="113"/>
      <c r="V12" s="111" t="s">
        <v>24</v>
      </c>
      <c r="W12" s="112"/>
      <c r="X12" s="112"/>
      <c r="Y12" s="112"/>
      <c r="Z12" s="113"/>
    </row>
    <row r="13" spans="1:26" s="31" customFormat="1" x14ac:dyDescent="0.25">
      <c r="B13" s="58"/>
      <c r="C13" s="59"/>
      <c r="D13" s="58"/>
      <c r="E13" s="58"/>
      <c r="F13" s="60"/>
      <c r="G13" s="60"/>
      <c r="H13" s="60"/>
      <c r="I13" s="60"/>
      <c r="J13" s="60" t="s">
        <v>44</v>
      </c>
      <c r="K13" s="60"/>
      <c r="L13" s="35" t="s">
        <v>26</v>
      </c>
      <c r="M13" s="35" t="s">
        <v>25</v>
      </c>
      <c r="N13" s="35" t="s">
        <v>27</v>
      </c>
      <c r="O13" s="35" t="s">
        <v>30</v>
      </c>
      <c r="P13" s="35" t="s">
        <v>31</v>
      </c>
      <c r="Q13" s="35" t="s">
        <v>26</v>
      </c>
      <c r="R13" s="35" t="s">
        <v>25</v>
      </c>
      <c r="S13" s="35" t="s">
        <v>27</v>
      </c>
      <c r="T13" s="35" t="s">
        <v>30</v>
      </c>
      <c r="U13" s="35" t="s">
        <v>31</v>
      </c>
      <c r="V13" s="35" t="s">
        <v>26</v>
      </c>
      <c r="W13" s="35" t="s">
        <v>25</v>
      </c>
      <c r="X13" s="35" t="s">
        <v>27</v>
      </c>
      <c r="Y13" s="35" t="s">
        <v>30</v>
      </c>
      <c r="Z13" s="35" t="s">
        <v>31</v>
      </c>
    </row>
    <row r="14" spans="1:26" s="31" customFormat="1" x14ac:dyDescent="0.25">
      <c r="B14" s="58"/>
      <c r="C14" s="59"/>
      <c r="D14" s="58"/>
      <c r="E14" s="58"/>
      <c r="F14" s="60"/>
      <c r="G14" s="60"/>
      <c r="H14" s="60"/>
      <c r="I14" s="60"/>
      <c r="J14" s="60">
        <f>SUM(L14:Z14)</f>
        <v>0</v>
      </c>
      <c r="K14" s="69" t="s">
        <v>74</v>
      </c>
      <c r="L14" s="68">
        <f>IFERROR(HLOOKUP(L15,'DIN SORTIM'!$4:$5,2,0),0)</f>
        <v>0</v>
      </c>
      <c r="M14" s="68">
        <f>IFERROR(HLOOKUP(M15,'DIN SORTIM'!$4:$5,2,0),0)</f>
        <v>0</v>
      </c>
      <c r="N14" s="68">
        <f>IFERROR(HLOOKUP(N15,'DIN SORTIM'!$4:$5,2,0),0)</f>
        <v>0</v>
      </c>
      <c r="O14" s="68">
        <f>IFERROR(HLOOKUP(O15,'DIN SORTIM'!$4:$5,2,0),0)</f>
        <v>0</v>
      </c>
      <c r="P14" s="68">
        <f>IFERROR(HLOOKUP(P15,'DIN SORTIM'!$4:$5,2,0),0)</f>
        <v>0</v>
      </c>
      <c r="Q14" s="68">
        <f>IFERROR(HLOOKUP(Q15,'DIN SORTIM'!$4:$5,2,0),0)</f>
        <v>0</v>
      </c>
      <c r="R14" s="68">
        <f>IFERROR(HLOOKUP(R15,'DIN SORTIM'!$4:$5,2,0),0)</f>
        <v>0</v>
      </c>
      <c r="S14" s="68">
        <f>IFERROR(HLOOKUP(S15,'DIN SORTIM'!$4:$5,2,0),0)</f>
        <v>0</v>
      </c>
      <c r="T14" s="68">
        <f>IFERROR(HLOOKUP(T15,'DIN SORTIM'!$4:$5,2,0),0)</f>
        <v>0</v>
      </c>
      <c r="U14" s="68">
        <f>IFERROR(HLOOKUP(U15,'DIN SORTIM'!$4:$5,2,0),0)</f>
        <v>0</v>
      </c>
      <c r="V14" s="68">
        <f>IFERROR(HLOOKUP(V15,'DIN SORTIM'!$4:$5,2,0),0)</f>
        <v>0</v>
      </c>
      <c r="W14" s="68">
        <f>IFERROR(HLOOKUP(W15,'DIN SORTIM'!$4:$5,2,0),0)</f>
        <v>0</v>
      </c>
      <c r="X14" s="68">
        <f>IFERROR(HLOOKUP(X15,'DIN SORTIM'!$4:$5,2,0),0)</f>
        <v>0</v>
      </c>
      <c r="Y14" s="68">
        <f>IFERROR(HLOOKUP(Y15,'DIN SORTIM'!$4:$5,2,0),0)</f>
        <v>0</v>
      </c>
      <c r="Z14" s="68">
        <f>IFERROR(HLOOKUP(Z15,'DIN SORTIM'!$4:$5,2,0),0)</f>
        <v>0</v>
      </c>
    </row>
    <row r="15" spans="1:26" s="36" customFormat="1" x14ac:dyDescent="0.25">
      <c r="B15" s="92">
        <f>SUBTOTAL(3,B17:B469)</f>
        <v>0</v>
      </c>
      <c r="C15" s="38"/>
      <c r="D15" s="39"/>
      <c r="E15" s="39"/>
      <c r="F15" s="40"/>
      <c r="G15" s="40"/>
      <c r="H15" s="40"/>
      <c r="I15" s="40"/>
      <c r="J15" s="40"/>
      <c r="K15" s="40"/>
      <c r="L15" s="66" t="s">
        <v>99</v>
      </c>
      <c r="M15" s="66" t="s">
        <v>100</v>
      </c>
      <c r="N15" s="66" t="s">
        <v>104</v>
      </c>
      <c r="O15" s="66" t="s">
        <v>105</v>
      </c>
      <c r="P15" s="66" t="s">
        <v>107</v>
      </c>
      <c r="Q15" s="66" t="s">
        <v>102</v>
      </c>
      <c r="R15" s="66" t="s">
        <v>101</v>
      </c>
      <c r="S15" s="66" t="s">
        <v>103</v>
      </c>
      <c r="T15" s="66" t="s">
        <v>106</v>
      </c>
      <c r="U15" s="66" t="s">
        <v>108</v>
      </c>
      <c r="V15" s="66" t="s">
        <v>109</v>
      </c>
      <c r="W15" s="66" t="s">
        <v>110</v>
      </c>
      <c r="X15" s="66" t="s">
        <v>111</v>
      </c>
      <c r="Y15" s="66" t="s">
        <v>112</v>
      </c>
      <c r="Z15" s="66" t="s">
        <v>113</v>
      </c>
    </row>
    <row r="16" spans="1:26" s="21" customFormat="1" ht="20.25" customHeight="1" x14ac:dyDescent="0.25">
      <c r="A16" s="41" t="s">
        <v>46</v>
      </c>
      <c r="B16" s="42" t="s">
        <v>47</v>
      </c>
      <c r="C16" s="42" t="s">
        <v>48</v>
      </c>
      <c r="D16" s="42" t="s">
        <v>50</v>
      </c>
      <c r="E16" s="42" t="s">
        <v>51</v>
      </c>
      <c r="F16" s="42" t="s">
        <v>52</v>
      </c>
      <c r="G16" s="42" t="s">
        <v>49</v>
      </c>
      <c r="H16" s="42" t="s">
        <v>73</v>
      </c>
      <c r="I16" s="42" t="s">
        <v>53</v>
      </c>
      <c r="J16" s="42" t="s">
        <v>54</v>
      </c>
      <c r="K16" s="42" t="s">
        <v>44</v>
      </c>
      <c r="L16" s="106" t="s">
        <v>26</v>
      </c>
      <c r="M16" s="106" t="s">
        <v>25</v>
      </c>
      <c r="N16" s="106" t="s">
        <v>27</v>
      </c>
      <c r="O16" s="106" t="s">
        <v>30</v>
      </c>
      <c r="P16" s="106" t="s">
        <v>31</v>
      </c>
      <c r="Q16" s="106" t="s">
        <v>26</v>
      </c>
      <c r="R16" s="106" t="s">
        <v>25</v>
      </c>
      <c r="S16" s="106" t="s">
        <v>27</v>
      </c>
      <c r="T16" s="106" t="s">
        <v>30</v>
      </c>
      <c r="U16" s="105" t="s">
        <v>31</v>
      </c>
      <c r="V16" s="105" t="s">
        <v>26</v>
      </c>
      <c r="W16" s="105" t="s">
        <v>25</v>
      </c>
      <c r="X16" s="106" t="s">
        <v>27</v>
      </c>
      <c r="Y16" s="106" t="s">
        <v>30</v>
      </c>
      <c r="Z16" s="106" t="s">
        <v>31</v>
      </c>
    </row>
    <row r="17" spans="1:26" s="48" customFormat="1" ht="20.25" customHeight="1" x14ac:dyDescent="0.25">
      <c r="A17" s="44"/>
      <c r="B17" s="90"/>
      <c r="C17" s="91"/>
      <c r="D17" s="90"/>
      <c r="E17" s="90"/>
      <c r="F17" s="90"/>
      <c r="G17" s="91"/>
      <c r="H17" s="88"/>
      <c r="I17" s="45"/>
      <c r="J17" s="45"/>
      <c r="K17" s="46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  <c r="Y17" s="107"/>
      <c r="Z17" s="107"/>
    </row>
    <row r="18" spans="1:26" s="48" customFormat="1" ht="20.25" customHeight="1" x14ac:dyDescent="0.25">
      <c r="A18" s="44"/>
      <c r="B18" s="90"/>
      <c r="C18" s="91"/>
      <c r="D18" s="90"/>
      <c r="E18" s="90"/>
      <c r="F18" s="90"/>
      <c r="G18" s="91"/>
      <c r="H18" s="88"/>
      <c r="I18" s="45"/>
      <c r="J18" s="45"/>
      <c r="K18" s="46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7"/>
    </row>
    <row r="19" spans="1:26" s="48" customFormat="1" ht="20.25" customHeight="1" x14ac:dyDescent="0.25">
      <c r="A19" s="44"/>
      <c r="B19" s="90"/>
      <c r="C19" s="91"/>
      <c r="D19" s="90"/>
      <c r="E19" s="90"/>
      <c r="F19" s="90"/>
      <c r="G19" s="91"/>
      <c r="H19" s="88"/>
      <c r="I19" s="45"/>
      <c r="J19" s="45"/>
      <c r="K19" s="46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  <c r="Y19" s="107"/>
      <c r="Z19" s="107"/>
    </row>
    <row r="20" spans="1:26" s="48" customFormat="1" ht="20.25" customHeight="1" x14ac:dyDescent="0.25">
      <c r="A20" s="44"/>
      <c r="B20" s="90"/>
      <c r="C20" s="91"/>
      <c r="D20" s="90"/>
      <c r="E20" s="90"/>
      <c r="F20" s="90"/>
      <c r="G20" s="91"/>
      <c r="H20" s="88"/>
      <c r="I20" s="45"/>
      <c r="J20" s="45"/>
      <c r="K20" s="46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  <c r="Y20" s="107"/>
      <c r="Z20" s="107"/>
    </row>
    <row r="21" spans="1:26" s="48" customFormat="1" ht="20.25" customHeight="1" x14ac:dyDescent="0.25">
      <c r="A21" s="44"/>
      <c r="B21" s="90"/>
      <c r="C21" s="91"/>
      <c r="D21" s="90"/>
      <c r="E21" s="90"/>
      <c r="F21" s="90"/>
      <c r="G21" s="91"/>
      <c r="H21" s="88"/>
      <c r="I21" s="45"/>
      <c r="J21" s="45"/>
      <c r="K21" s="46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  <c r="Y21" s="107"/>
      <c r="Z21" s="107"/>
    </row>
    <row r="22" spans="1:26" s="48" customFormat="1" ht="20.25" customHeight="1" x14ac:dyDescent="0.25">
      <c r="A22" s="44"/>
      <c r="B22" s="90"/>
      <c r="C22" s="91"/>
      <c r="D22" s="90"/>
      <c r="E22" s="90"/>
      <c r="F22" s="90"/>
      <c r="G22" s="91"/>
      <c r="H22" s="88"/>
      <c r="I22" s="45"/>
      <c r="J22" s="45"/>
      <c r="K22" s="46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  <c r="Y22" s="107"/>
      <c r="Z22" s="107"/>
    </row>
    <row r="23" spans="1:26" s="48" customFormat="1" ht="20.25" customHeight="1" x14ac:dyDescent="0.25">
      <c r="A23" s="44"/>
      <c r="B23" s="90"/>
      <c r="C23" s="91"/>
      <c r="D23" s="90"/>
      <c r="E23" s="90"/>
      <c r="F23" s="90"/>
      <c r="G23" s="91"/>
      <c r="H23" s="88"/>
      <c r="I23" s="45"/>
      <c r="J23" s="45"/>
      <c r="K23" s="46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  <c r="Y23" s="107"/>
      <c r="Z23" s="107"/>
    </row>
    <row r="24" spans="1:26" s="48" customFormat="1" ht="20.25" customHeight="1" x14ac:dyDescent="0.25">
      <c r="A24" s="44"/>
      <c r="B24" s="90"/>
      <c r="C24" s="91"/>
      <c r="D24" s="90"/>
      <c r="E24" s="90"/>
      <c r="F24" s="90"/>
      <c r="G24" s="91"/>
      <c r="H24" s="88"/>
      <c r="I24" s="45"/>
      <c r="J24" s="45"/>
      <c r="K24" s="46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107"/>
    </row>
    <row r="25" spans="1:26" s="48" customFormat="1" ht="20.25" customHeight="1" x14ac:dyDescent="0.25">
      <c r="A25" s="44"/>
      <c r="B25" s="90"/>
      <c r="C25" s="91"/>
      <c r="D25" s="90"/>
      <c r="E25" s="90"/>
      <c r="F25" s="90"/>
      <c r="G25" s="91"/>
      <c r="H25" s="88"/>
      <c r="I25" s="45"/>
      <c r="J25" s="45"/>
      <c r="K25" s="46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</row>
    <row r="26" spans="1:26" s="48" customFormat="1" ht="20.25" customHeight="1" x14ac:dyDescent="0.25">
      <c r="A26" s="44"/>
      <c r="B26" s="95"/>
      <c r="C26" s="96"/>
      <c r="D26" s="95"/>
      <c r="E26" s="95"/>
      <c r="F26" s="95"/>
      <c r="G26" s="96"/>
      <c r="H26" s="88"/>
      <c r="I26" s="45"/>
      <c r="J26" s="45"/>
      <c r="K26" s="46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107"/>
    </row>
    <row r="27" spans="1:26" s="48" customFormat="1" ht="20.25" customHeight="1" x14ac:dyDescent="0.25">
      <c r="A27" s="44"/>
      <c r="B27" s="95"/>
      <c r="C27" s="96"/>
      <c r="D27" s="95"/>
      <c r="E27" s="95"/>
      <c r="F27" s="95"/>
      <c r="G27" s="96"/>
      <c r="H27" s="88"/>
      <c r="I27" s="45"/>
      <c r="J27" s="45"/>
      <c r="K27" s="46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</row>
    <row r="28" spans="1:26" s="48" customFormat="1" ht="20.25" customHeight="1" x14ac:dyDescent="0.25">
      <c r="A28" s="44"/>
      <c r="B28" s="95"/>
      <c r="C28" s="96"/>
      <c r="D28" s="95"/>
      <c r="E28" s="95"/>
      <c r="F28" s="95"/>
      <c r="G28" s="96"/>
      <c r="H28" s="88"/>
      <c r="I28" s="45"/>
      <c r="J28" s="45"/>
      <c r="K28" s="46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107"/>
    </row>
    <row r="29" spans="1:26" s="48" customFormat="1" ht="20.25" customHeight="1" x14ac:dyDescent="0.25">
      <c r="A29" s="44"/>
      <c r="B29" s="95"/>
      <c r="C29" s="96"/>
      <c r="D29" s="95"/>
      <c r="E29" s="95"/>
      <c r="F29" s="95"/>
      <c r="G29" s="96"/>
      <c r="H29" s="88"/>
      <c r="I29" s="45"/>
      <c r="J29" s="45"/>
      <c r="K29" s="46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107"/>
    </row>
    <row r="30" spans="1:26" s="48" customFormat="1" ht="20.25" customHeight="1" x14ac:dyDescent="0.25">
      <c r="A30" s="44"/>
      <c r="B30" s="95"/>
      <c r="C30" s="96"/>
      <c r="D30" s="95"/>
      <c r="E30" s="95"/>
      <c r="F30" s="95"/>
      <c r="G30" s="96"/>
      <c r="H30" s="88"/>
      <c r="I30" s="45"/>
      <c r="J30" s="45"/>
      <c r="K30" s="46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107"/>
    </row>
    <row r="31" spans="1:26" s="48" customFormat="1" ht="20.25" customHeight="1" x14ac:dyDescent="0.25">
      <c r="A31" s="44"/>
      <c r="B31" s="95"/>
      <c r="C31" s="96"/>
      <c r="D31" s="95"/>
      <c r="E31" s="95"/>
      <c r="F31" s="95"/>
      <c r="G31" s="96"/>
      <c r="H31" s="88"/>
      <c r="I31" s="45"/>
      <c r="J31" s="45"/>
      <c r="K31" s="46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  <c r="Y31" s="107"/>
      <c r="Z31" s="107"/>
    </row>
    <row r="32" spans="1:26" s="48" customFormat="1" ht="20.25" customHeight="1" x14ac:dyDescent="0.25">
      <c r="A32" s="44"/>
      <c r="B32" s="95"/>
      <c r="C32" s="96"/>
      <c r="D32" s="95"/>
      <c r="E32" s="95"/>
      <c r="F32" s="95"/>
      <c r="G32" s="96"/>
      <c r="H32" s="88"/>
      <c r="I32" s="45"/>
      <c r="J32" s="45"/>
      <c r="K32" s="46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</row>
    <row r="33" spans="1:26" s="48" customFormat="1" ht="20.25" customHeight="1" x14ac:dyDescent="0.25">
      <c r="A33" s="44"/>
      <c r="B33" s="95"/>
      <c r="C33" s="96"/>
      <c r="D33" s="95"/>
      <c r="E33" s="95"/>
      <c r="F33" s="95"/>
      <c r="G33" s="96"/>
      <c r="H33" s="88"/>
      <c r="I33" s="45"/>
      <c r="J33" s="45"/>
      <c r="K33" s="46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  <c r="Y33" s="107"/>
      <c r="Z33" s="107"/>
    </row>
    <row r="34" spans="1:26" s="48" customFormat="1" ht="20.25" customHeight="1" x14ac:dyDescent="0.25">
      <c r="A34" s="44"/>
      <c r="B34" s="95"/>
      <c r="C34" s="96"/>
      <c r="D34" s="95"/>
      <c r="E34" s="95"/>
      <c r="F34" s="95"/>
      <c r="G34" s="96"/>
      <c r="H34" s="88"/>
      <c r="I34" s="45"/>
      <c r="J34" s="45"/>
      <c r="K34" s="46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  <c r="Y34" s="107"/>
      <c r="Z34" s="107"/>
    </row>
    <row r="35" spans="1:26" s="48" customFormat="1" ht="20.25" customHeight="1" x14ac:dyDescent="0.25">
      <c r="A35" s="44"/>
      <c r="B35" s="95"/>
      <c r="C35" s="96"/>
      <c r="D35" s="95"/>
      <c r="E35" s="95"/>
      <c r="F35" s="95"/>
      <c r="G35" s="96"/>
      <c r="H35" s="88"/>
      <c r="I35" s="45"/>
      <c r="J35" s="45"/>
      <c r="K35" s="46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  <c r="Y35" s="107"/>
      <c r="Z35" s="107"/>
    </row>
    <row r="36" spans="1:26" s="48" customFormat="1" ht="20.25" customHeight="1" x14ac:dyDescent="0.25">
      <c r="A36" s="44"/>
      <c r="B36" s="95"/>
      <c r="C36" s="96"/>
      <c r="D36" s="95"/>
      <c r="E36" s="95"/>
      <c r="F36" s="95"/>
      <c r="G36" s="96"/>
      <c r="H36" s="88"/>
      <c r="I36" s="45"/>
      <c r="J36" s="45"/>
      <c r="K36" s="46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107"/>
    </row>
    <row r="37" spans="1:26" s="48" customFormat="1" ht="20.25" customHeight="1" x14ac:dyDescent="0.25">
      <c r="A37" s="44"/>
      <c r="B37" s="95"/>
      <c r="C37" s="96"/>
      <c r="D37" s="95"/>
      <c r="E37" s="95"/>
      <c r="F37" s="95"/>
      <c r="G37" s="96"/>
      <c r="H37" s="88"/>
      <c r="I37" s="45"/>
      <c r="J37" s="45"/>
      <c r="K37" s="46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  <c r="Y37" s="107"/>
      <c r="Z37" s="107"/>
    </row>
    <row r="38" spans="1:26" s="48" customFormat="1" ht="20.25" customHeight="1" x14ac:dyDescent="0.25">
      <c r="A38" s="44"/>
      <c r="B38" s="95"/>
      <c r="C38" s="96"/>
      <c r="D38" s="95"/>
      <c r="E38" s="95"/>
      <c r="F38" s="95"/>
      <c r="G38" s="96"/>
      <c r="H38" s="88"/>
      <c r="I38" s="45"/>
      <c r="J38" s="45"/>
      <c r="K38" s="46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  <c r="Y38" s="107"/>
      <c r="Z38" s="107"/>
    </row>
    <row r="39" spans="1:26" s="48" customFormat="1" ht="20.25" customHeight="1" x14ac:dyDescent="0.25">
      <c r="A39" s="44"/>
      <c r="B39" s="95"/>
      <c r="C39" s="96"/>
      <c r="D39" s="95"/>
      <c r="E39" s="95"/>
      <c r="F39" s="95"/>
      <c r="G39" s="96"/>
      <c r="H39" s="88"/>
      <c r="I39" s="45"/>
      <c r="J39" s="45"/>
      <c r="K39" s="46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  <c r="Y39" s="107"/>
      <c r="Z39" s="107"/>
    </row>
    <row r="40" spans="1:26" s="48" customFormat="1" ht="20.25" customHeight="1" x14ac:dyDescent="0.25">
      <c r="A40" s="44"/>
      <c r="B40" s="95"/>
      <c r="C40" s="96"/>
      <c r="D40" s="95"/>
      <c r="E40" s="95"/>
      <c r="F40" s="95"/>
      <c r="G40" s="96"/>
      <c r="H40" s="88"/>
      <c r="I40" s="45"/>
      <c r="J40" s="45"/>
      <c r="K40" s="46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  <c r="Y40" s="107"/>
      <c r="Z40" s="107"/>
    </row>
    <row r="41" spans="1:26" s="48" customFormat="1" ht="20.25" customHeight="1" x14ac:dyDescent="0.25">
      <c r="A41" s="44"/>
      <c r="B41" s="95"/>
      <c r="C41" s="96"/>
      <c r="D41" s="95"/>
      <c r="E41" s="95"/>
      <c r="F41" s="95"/>
      <c r="G41" s="96"/>
      <c r="H41" s="88"/>
      <c r="I41" s="45"/>
      <c r="J41" s="45"/>
      <c r="K41" s="46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  <c r="Y41" s="107"/>
      <c r="Z41" s="107"/>
    </row>
    <row r="42" spans="1:26" s="48" customFormat="1" ht="20.25" customHeight="1" x14ac:dyDescent="0.25">
      <c r="A42" s="44"/>
      <c r="B42" s="95"/>
      <c r="C42" s="96"/>
      <c r="D42" s="95"/>
      <c r="E42" s="95"/>
      <c r="F42" s="95"/>
      <c r="G42" s="96"/>
      <c r="H42" s="88"/>
      <c r="I42" s="45"/>
      <c r="J42" s="45"/>
      <c r="K42" s="46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  <c r="Y42" s="107"/>
      <c r="Z42" s="107"/>
    </row>
    <row r="43" spans="1:26" s="48" customFormat="1" ht="20.25" customHeight="1" x14ac:dyDescent="0.25">
      <c r="A43" s="44"/>
      <c r="B43" s="95"/>
      <c r="C43" s="96"/>
      <c r="D43" s="95"/>
      <c r="E43" s="95"/>
      <c r="F43" s="95"/>
      <c r="G43" s="96"/>
      <c r="H43" s="88"/>
      <c r="I43" s="45"/>
      <c r="J43" s="45"/>
      <c r="K43" s="46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  <c r="Y43" s="107"/>
      <c r="Z43" s="107"/>
    </row>
    <row r="44" spans="1:26" s="48" customFormat="1" ht="20.25" customHeight="1" x14ac:dyDescent="0.25">
      <c r="A44" s="44"/>
      <c r="B44" s="95"/>
      <c r="C44" s="96"/>
      <c r="D44" s="95"/>
      <c r="E44" s="95"/>
      <c r="F44" s="95"/>
      <c r="G44" s="96"/>
      <c r="H44" s="88"/>
      <c r="I44" s="45"/>
      <c r="J44" s="45"/>
      <c r="K44" s="46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  <c r="Y44" s="107"/>
      <c r="Z44" s="107"/>
    </row>
    <row r="45" spans="1:26" s="48" customFormat="1" ht="20.25" customHeight="1" x14ac:dyDescent="0.25">
      <c r="A45" s="44"/>
      <c r="B45" s="95"/>
      <c r="C45" s="96"/>
      <c r="D45" s="95"/>
      <c r="E45" s="95"/>
      <c r="F45" s="95"/>
      <c r="G45" s="96"/>
      <c r="H45" s="88"/>
      <c r="I45" s="45"/>
      <c r="J45" s="45"/>
      <c r="K45" s="46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  <c r="Y45" s="107"/>
      <c r="Z45" s="107"/>
    </row>
    <row r="46" spans="1:26" s="48" customFormat="1" ht="20.25" customHeight="1" x14ac:dyDescent="0.25">
      <c r="A46" s="44"/>
      <c r="B46" s="95"/>
      <c r="C46" s="96"/>
      <c r="D46" s="95"/>
      <c r="E46" s="95"/>
      <c r="F46" s="95"/>
      <c r="G46" s="96"/>
      <c r="H46" s="88"/>
      <c r="I46" s="45"/>
      <c r="J46" s="45"/>
      <c r="K46" s="46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  <c r="Y46" s="107"/>
      <c r="Z46" s="107"/>
    </row>
    <row r="47" spans="1:26" s="48" customFormat="1" ht="20.25" customHeight="1" x14ac:dyDescent="0.25">
      <c r="A47" s="44"/>
      <c r="B47" s="95"/>
      <c r="C47" s="96"/>
      <c r="D47" s="95"/>
      <c r="E47" s="95"/>
      <c r="F47" s="95"/>
      <c r="G47" s="96"/>
      <c r="H47" s="88"/>
      <c r="I47" s="45"/>
      <c r="J47" s="45"/>
      <c r="K47" s="46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  <c r="Y47" s="107"/>
      <c r="Z47" s="107"/>
    </row>
    <row r="48" spans="1:26" x14ac:dyDescent="0.25">
      <c r="B48" s="95"/>
      <c r="C48" s="96"/>
      <c r="D48" s="95"/>
      <c r="E48" s="95"/>
      <c r="F48" s="95"/>
      <c r="L48" s="49" t="s">
        <v>37</v>
      </c>
      <c r="M48" s="49" t="s">
        <v>37</v>
      </c>
      <c r="N48" s="49" t="s">
        <v>37</v>
      </c>
      <c r="O48" s="49" t="s">
        <v>37</v>
      </c>
      <c r="P48" s="49" t="s">
        <v>37</v>
      </c>
      <c r="Q48" s="49" t="s">
        <v>37</v>
      </c>
      <c r="R48" s="49" t="s">
        <v>37</v>
      </c>
      <c r="S48" s="49" t="s">
        <v>37</v>
      </c>
      <c r="T48" s="49" t="s">
        <v>37</v>
      </c>
      <c r="U48" s="49" t="s">
        <v>37</v>
      </c>
      <c r="V48" s="49" t="s">
        <v>37</v>
      </c>
      <c r="W48" s="49" t="s">
        <v>37</v>
      </c>
      <c r="X48" s="49" t="s">
        <v>37</v>
      </c>
      <c r="Y48" s="49" t="s">
        <v>37</v>
      </c>
      <c r="Z48" s="49" t="s">
        <v>37</v>
      </c>
    </row>
    <row r="49" spans="2:26" x14ac:dyDescent="0.25">
      <c r="B49" s="95"/>
      <c r="C49" s="96"/>
      <c r="D49" s="95"/>
      <c r="E49" s="95"/>
      <c r="F49" s="95"/>
      <c r="L49" s="49" t="s">
        <v>37</v>
      </c>
      <c r="M49" s="49" t="s">
        <v>37</v>
      </c>
      <c r="N49" s="49" t="s">
        <v>37</v>
      </c>
      <c r="O49" s="49" t="s">
        <v>37</v>
      </c>
      <c r="P49" s="49" t="s">
        <v>37</v>
      </c>
      <c r="Q49" s="49" t="s">
        <v>37</v>
      </c>
      <c r="R49" s="49" t="s">
        <v>37</v>
      </c>
      <c r="S49" s="49" t="s">
        <v>37</v>
      </c>
      <c r="T49" s="49" t="s">
        <v>37</v>
      </c>
      <c r="U49" s="49" t="s">
        <v>37</v>
      </c>
      <c r="V49" s="49" t="s">
        <v>37</v>
      </c>
      <c r="W49" s="49" t="s">
        <v>37</v>
      </c>
      <c r="X49" s="49" t="s">
        <v>37</v>
      </c>
      <c r="Y49" s="49" t="s">
        <v>37</v>
      </c>
      <c r="Z49" s="49" t="s">
        <v>37</v>
      </c>
    </row>
    <row r="50" spans="2:26" x14ac:dyDescent="0.25">
      <c r="B50" s="95"/>
      <c r="C50" s="96"/>
      <c r="D50" s="95"/>
      <c r="E50" s="95"/>
      <c r="F50" s="95"/>
      <c r="L50" s="49" t="s">
        <v>37</v>
      </c>
      <c r="M50" s="49" t="s">
        <v>37</v>
      </c>
      <c r="N50" s="49" t="s">
        <v>37</v>
      </c>
      <c r="O50" s="49" t="s">
        <v>37</v>
      </c>
      <c r="P50" s="49" t="s">
        <v>37</v>
      </c>
      <c r="Q50" s="49" t="s">
        <v>37</v>
      </c>
      <c r="R50" s="49" t="s">
        <v>37</v>
      </c>
      <c r="S50" s="49" t="s">
        <v>37</v>
      </c>
      <c r="T50" s="49" t="s">
        <v>37</v>
      </c>
      <c r="U50" s="49" t="s">
        <v>37</v>
      </c>
      <c r="V50" s="49" t="s">
        <v>37</v>
      </c>
      <c r="W50" s="49" t="s">
        <v>37</v>
      </c>
      <c r="X50" s="49" t="s">
        <v>37</v>
      </c>
      <c r="Y50" s="49" t="s">
        <v>37</v>
      </c>
      <c r="Z50" s="49" t="s">
        <v>37</v>
      </c>
    </row>
    <row r="51" spans="2:26" x14ac:dyDescent="0.25">
      <c r="B51" s="95"/>
      <c r="C51" s="96"/>
      <c r="D51" s="95"/>
      <c r="E51" s="95"/>
      <c r="F51" s="95"/>
      <c r="L51" s="49" t="s">
        <v>37</v>
      </c>
      <c r="M51" s="49" t="s">
        <v>37</v>
      </c>
      <c r="N51" s="49" t="s">
        <v>37</v>
      </c>
      <c r="O51" s="49" t="s">
        <v>37</v>
      </c>
      <c r="P51" s="49" t="s">
        <v>37</v>
      </c>
      <c r="Q51" s="49" t="s">
        <v>37</v>
      </c>
      <c r="R51" s="49" t="s">
        <v>37</v>
      </c>
      <c r="S51" s="49" t="s">
        <v>37</v>
      </c>
      <c r="T51" s="49" t="s">
        <v>37</v>
      </c>
      <c r="U51" s="49" t="s">
        <v>37</v>
      </c>
      <c r="V51" s="49" t="s">
        <v>37</v>
      </c>
      <c r="W51" s="49" t="s">
        <v>37</v>
      </c>
      <c r="X51" s="49" t="s">
        <v>37</v>
      </c>
      <c r="Y51" s="49" t="s">
        <v>37</v>
      </c>
      <c r="Z51" s="49" t="s">
        <v>37</v>
      </c>
    </row>
    <row r="52" spans="2:26" x14ac:dyDescent="0.25">
      <c r="B52" s="95"/>
      <c r="C52" s="96"/>
      <c r="D52" s="95"/>
      <c r="E52" s="95"/>
      <c r="F52" s="95"/>
      <c r="L52" s="49" t="s">
        <v>37</v>
      </c>
      <c r="M52" s="49" t="s">
        <v>37</v>
      </c>
      <c r="N52" s="49" t="s">
        <v>37</v>
      </c>
      <c r="O52" s="49" t="s">
        <v>37</v>
      </c>
      <c r="P52" s="49" t="s">
        <v>37</v>
      </c>
      <c r="Q52" s="49" t="s">
        <v>37</v>
      </c>
      <c r="R52" s="49" t="s">
        <v>37</v>
      </c>
      <c r="S52" s="49" t="s">
        <v>37</v>
      </c>
      <c r="T52" s="49" t="s">
        <v>37</v>
      </c>
      <c r="U52" s="49" t="s">
        <v>37</v>
      </c>
      <c r="V52" s="49" t="s">
        <v>37</v>
      </c>
      <c r="W52" s="49" t="s">
        <v>37</v>
      </c>
      <c r="X52" s="49" t="s">
        <v>37</v>
      </c>
      <c r="Y52" s="49" t="s">
        <v>37</v>
      </c>
      <c r="Z52" s="49" t="s">
        <v>37</v>
      </c>
    </row>
    <row r="53" spans="2:26" x14ac:dyDescent="0.25">
      <c r="B53" s="95"/>
      <c r="C53" s="96"/>
      <c r="D53" s="95"/>
      <c r="E53" s="95"/>
      <c r="F53" s="95"/>
      <c r="L53" s="49" t="s">
        <v>37</v>
      </c>
      <c r="M53" s="49" t="s">
        <v>37</v>
      </c>
      <c r="N53" s="49" t="s">
        <v>37</v>
      </c>
      <c r="O53" s="49" t="s">
        <v>37</v>
      </c>
      <c r="P53" s="49" t="s">
        <v>37</v>
      </c>
      <c r="Q53" s="49" t="s">
        <v>37</v>
      </c>
      <c r="R53" s="49" t="s">
        <v>37</v>
      </c>
      <c r="S53" s="49" t="s">
        <v>37</v>
      </c>
      <c r="T53" s="49" t="s">
        <v>37</v>
      </c>
      <c r="U53" s="49" t="s">
        <v>37</v>
      </c>
      <c r="V53" s="49" t="s">
        <v>37</v>
      </c>
      <c r="W53" s="49" t="s">
        <v>37</v>
      </c>
      <c r="X53" s="49" t="s">
        <v>37</v>
      </c>
      <c r="Y53" s="49" t="s">
        <v>37</v>
      </c>
      <c r="Z53" s="49" t="s">
        <v>37</v>
      </c>
    </row>
    <row r="54" spans="2:26" x14ac:dyDescent="0.25">
      <c r="B54" s="95"/>
      <c r="C54" s="96"/>
      <c r="D54" s="95"/>
      <c r="E54" s="95"/>
      <c r="F54" s="95"/>
      <c r="L54" s="49" t="s">
        <v>37</v>
      </c>
      <c r="M54" s="49" t="s">
        <v>37</v>
      </c>
      <c r="N54" s="49" t="s">
        <v>37</v>
      </c>
      <c r="O54" s="49" t="s">
        <v>37</v>
      </c>
      <c r="P54" s="49" t="s">
        <v>37</v>
      </c>
      <c r="Q54" s="49" t="s">
        <v>37</v>
      </c>
      <c r="R54" s="49" t="s">
        <v>37</v>
      </c>
      <c r="S54" s="49" t="s">
        <v>37</v>
      </c>
      <c r="T54" s="49" t="s">
        <v>37</v>
      </c>
      <c r="U54" s="49" t="s">
        <v>37</v>
      </c>
      <c r="V54" s="49" t="s">
        <v>37</v>
      </c>
      <c r="W54" s="49" t="s">
        <v>37</v>
      </c>
      <c r="X54" s="49" t="s">
        <v>37</v>
      </c>
      <c r="Y54" s="49" t="s">
        <v>37</v>
      </c>
      <c r="Z54" s="49" t="s">
        <v>37</v>
      </c>
    </row>
    <row r="55" spans="2:26" x14ac:dyDescent="0.25">
      <c r="B55" s="95"/>
      <c r="C55" s="96"/>
      <c r="D55" s="95"/>
      <c r="E55" s="95"/>
      <c r="F55" s="95"/>
      <c r="L55" s="49" t="s">
        <v>37</v>
      </c>
      <c r="M55" s="49" t="s">
        <v>37</v>
      </c>
      <c r="N55" s="49" t="s">
        <v>37</v>
      </c>
      <c r="O55" s="49" t="s">
        <v>37</v>
      </c>
      <c r="P55" s="49" t="s">
        <v>37</v>
      </c>
      <c r="Q55" s="49" t="s">
        <v>37</v>
      </c>
      <c r="R55" s="49" t="s">
        <v>37</v>
      </c>
      <c r="S55" s="49" t="s">
        <v>37</v>
      </c>
      <c r="T55" s="49" t="s">
        <v>37</v>
      </c>
      <c r="U55" s="49" t="s">
        <v>37</v>
      </c>
      <c r="V55" s="49" t="s">
        <v>37</v>
      </c>
      <c r="W55" s="49" t="s">
        <v>37</v>
      </c>
      <c r="X55" s="49" t="s">
        <v>37</v>
      </c>
      <c r="Y55" s="49" t="s">
        <v>37</v>
      </c>
      <c r="Z55" s="49" t="s">
        <v>37</v>
      </c>
    </row>
    <row r="56" spans="2:26" x14ac:dyDescent="0.25">
      <c r="B56" s="95"/>
      <c r="C56" s="96"/>
      <c r="D56" s="95"/>
      <c r="E56" s="95"/>
      <c r="F56" s="95"/>
      <c r="L56" s="49" t="s">
        <v>37</v>
      </c>
      <c r="M56" s="49" t="s">
        <v>37</v>
      </c>
      <c r="N56" s="49" t="s">
        <v>37</v>
      </c>
      <c r="O56" s="49" t="s">
        <v>37</v>
      </c>
      <c r="P56" s="49" t="s">
        <v>37</v>
      </c>
      <c r="Q56" s="49" t="s">
        <v>37</v>
      </c>
      <c r="R56" s="49" t="s">
        <v>37</v>
      </c>
      <c r="S56" s="49" t="s">
        <v>37</v>
      </c>
      <c r="T56" s="49" t="s">
        <v>37</v>
      </c>
      <c r="U56" s="49" t="s">
        <v>37</v>
      </c>
      <c r="V56" s="49" t="s">
        <v>37</v>
      </c>
      <c r="W56" s="49" t="s">
        <v>37</v>
      </c>
      <c r="X56" s="49" t="s">
        <v>37</v>
      </c>
      <c r="Y56" s="49" t="s">
        <v>37</v>
      </c>
      <c r="Z56" s="49" t="s">
        <v>37</v>
      </c>
    </row>
    <row r="57" spans="2:26" x14ac:dyDescent="0.25">
      <c r="B57" s="95"/>
      <c r="C57" s="96"/>
      <c r="D57" s="95"/>
      <c r="E57" s="95"/>
      <c r="F57" s="95"/>
      <c r="L57" s="49" t="s">
        <v>37</v>
      </c>
      <c r="M57" s="49" t="s">
        <v>37</v>
      </c>
      <c r="N57" s="49" t="s">
        <v>37</v>
      </c>
      <c r="O57" s="49" t="s">
        <v>37</v>
      </c>
      <c r="P57" s="49" t="s">
        <v>37</v>
      </c>
      <c r="Q57" s="49" t="s">
        <v>37</v>
      </c>
      <c r="R57" s="49" t="s">
        <v>37</v>
      </c>
      <c r="S57" s="49" t="s">
        <v>37</v>
      </c>
      <c r="T57" s="49" t="s">
        <v>37</v>
      </c>
      <c r="U57" s="49" t="s">
        <v>37</v>
      </c>
      <c r="V57" s="49" t="s">
        <v>37</v>
      </c>
      <c r="W57" s="49" t="s">
        <v>37</v>
      </c>
      <c r="X57" s="49" t="s">
        <v>37</v>
      </c>
      <c r="Y57" s="49" t="s">
        <v>37</v>
      </c>
      <c r="Z57" s="49" t="s">
        <v>37</v>
      </c>
    </row>
    <row r="58" spans="2:26" x14ac:dyDescent="0.25">
      <c r="B58" s="95"/>
      <c r="C58" s="96"/>
      <c r="D58" s="95"/>
      <c r="E58" s="95"/>
      <c r="F58" s="95"/>
      <c r="L58" s="49" t="s">
        <v>37</v>
      </c>
      <c r="M58" s="49" t="s">
        <v>37</v>
      </c>
      <c r="N58" s="49" t="s">
        <v>37</v>
      </c>
      <c r="O58" s="49" t="s">
        <v>37</v>
      </c>
      <c r="P58" s="49" t="s">
        <v>37</v>
      </c>
      <c r="Q58" s="49" t="s">
        <v>37</v>
      </c>
      <c r="R58" s="49" t="s">
        <v>37</v>
      </c>
      <c r="S58" s="49" t="s">
        <v>37</v>
      </c>
      <c r="T58" s="49" t="s">
        <v>37</v>
      </c>
      <c r="U58" s="49" t="s">
        <v>37</v>
      </c>
      <c r="V58" s="49" t="s">
        <v>37</v>
      </c>
      <c r="W58" s="49" t="s">
        <v>37</v>
      </c>
      <c r="X58" s="49" t="s">
        <v>37</v>
      </c>
      <c r="Y58" s="49" t="s">
        <v>37</v>
      </c>
      <c r="Z58" s="49" t="s">
        <v>37</v>
      </c>
    </row>
    <row r="59" spans="2:26" x14ac:dyDescent="0.25">
      <c r="B59" s="95"/>
      <c r="C59" s="96"/>
      <c r="D59" s="95"/>
      <c r="E59" s="95"/>
      <c r="F59" s="95"/>
      <c r="L59" s="49" t="s">
        <v>37</v>
      </c>
      <c r="M59" s="49" t="s">
        <v>37</v>
      </c>
      <c r="N59" s="49" t="s">
        <v>37</v>
      </c>
      <c r="O59" s="49" t="s">
        <v>37</v>
      </c>
      <c r="P59" s="49" t="s">
        <v>37</v>
      </c>
      <c r="Q59" s="49" t="s">
        <v>37</v>
      </c>
      <c r="R59" s="49" t="s">
        <v>37</v>
      </c>
      <c r="S59" s="49" t="s">
        <v>37</v>
      </c>
      <c r="T59" s="49" t="s">
        <v>37</v>
      </c>
      <c r="U59" s="49" t="s">
        <v>37</v>
      </c>
      <c r="V59" s="49" t="s">
        <v>37</v>
      </c>
      <c r="W59" s="49" t="s">
        <v>37</v>
      </c>
      <c r="X59" s="49" t="s">
        <v>37</v>
      </c>
      <c r="Y59" s="49" t="s">
        <v>37</v>
      </c>
      <c r="Z59" s="49" t="s">
        <v>37</v>
      </c>
    </row>
    <row r="60" spans="2:26" x14ac:dyDescent="0.25">
      <c r="B60" s="95"/>
      <c r="C60" s="96"/>
      <c r="D60" s="95"/>
      <c r="E60" s="95"/>
      <c r="F60" s="95"/>
      <c r="L60" s="49" t="s">
        <v>37</v>
      </c>
      <c r="M60" s="49" t="s">
        <v>37</v>
      </c>
      <c r="N60" s="49" t="s">
        <v>37</v>
      </c>
      <c r="O60" s="49" t="s">
        <v>37</v>
      </c>
      <c r="P60" s="49" t="s">
        <v>37</v>
      </c>
      <c r="Q60" s="49" t="s">
        <v>37</v>
      </c>
      <c r="R60" s="49" t="s">
        <v>37</v>
      </c>
      <c r="S60" s="49" t="s">
        <v>37</v>
      </c>
      <c r="T60" s="49" t="s">
        <v>37</v>
      </c>
      <c r="U60" s="49" t="s">
        <v>37</v>
      </c>
      <c r="V60" s="49" t="s">
        <v>37</v>
      </c>
      <c r="W60" s="49" t="s">
        <v>37</v>
      </c>
      <c r="X60" s="49" t="s">
        <v>37</v>
      </c>
      <c r="Y60" s="49" t="s">
        <v>37</v>
      </c>
      <c r="Z60" s="49" t="s">
        <v>37</v>
      </c>
    </row>
    <row r="61" spans="2:26" x14ac:dyDescent="0.25">
      <c r="B61" s="95"/>
      <c r="C61" s="96"/>
      <c r="D61" s="95"/>
      <c r="E61" s="95"/>
      <c r="F61" s="95"/>
      <c r="L61" s="49" t="s">
        <v>37</v>
      </c>
      <c r="M61" s="49" t="s">
        <v>37</v>
      </c>
      <c r="N61" s="49" t="s">
        <v>37</v>
      </c>
      <c r="O61" s="49" t="s">
        <v>37</v>
      </c>
      <c r="P61" s="49" t="s">
        <v>37</v>
      </c>
      <c r="Q61" s="49" t="s">
        <v>37</v>
      </c>
      <c r="R61" s="49" t="s">
        <v>37</v>
      </c>
      <c r="S61" s="49" t="s">
        <v>37</v>
      </c>
      <c r="T61" s="49" t="s">
        <v>37</v>
      </c>
      <c r="U61" s="49" t="s">
        <v>37</v>
      </c>
      <c r="V61" s="49" t="s">
        <v>37</v>
      </c>
      <c r="W61" s="49" t="s">
        <v>37</v>
      </c>
      <c r="X61" s="49" t="s">
        <v>37</v>
      </c>
      <c r="Y61" s="49" t="s">
        <v>37</v>
      </c>
      <c r="Z61" s="49" t="s">
        <v>37</v>
      </c>
    </row>
    <row r="62" spans="2:26" x14ac:dyDescent="0.25">
      <c r="B62" s="95"/>
      <c r="C62" s="96"/>
      <c r="D62" s="95"/>
      <c r="E62" s="95"/>
      <c r="F62" s="95"/>
      <c r="L62" s="49" t="s">
        <v>37</v>
      </c>
      <c r="M62" s="49" t="s">
        <v>37</v>
      </c>
      <c r="N62" s="49" t="s">
        <v>37</v>
      </c>
      <c r="O62" s="49" t="s">
        <v>37</v>
      </c>
      <c r="P62" s="49" t="s">
        <v>37</v>
      </c>
      <c r="Q62" s="49" t="s">
        <v>37</v>
      </c>
      <c r="R62" s="49" t="s">
        <v>37</v>
      </c>
      <c r="S62" s="49" t="s">
        <v>37</v>
      </c>
      <c r="T62" s="49" t="s">
        <v>37</v>
      </c>
      <c r="U62" s="49" t="s">
        <v>37</v>
      </c>
      <c r="V62" s="49" t="s">
        <v>37</v>
      </c>
      <c r="W62" s="49" t="s">
        <v>37</v>
      </c>
      <c r="X62" s="49" t="s">
        <v>37</v>
      </c>
      <c r="Y62" s="49" t="s">
        <v>37</v>
      </c>
      <c r="Z62" s="49" t="s">
        <v>37</v>
      </c>
    </row>
    <row r="63" spans="2:26" x14ac:dyDescent="0.25">
      <c r="B63" s="95"/>
      <c r="C63" s="96"/>
      <c r="D63" s="95"/>
      <c r="E63" s="95"/>
      <c r="F63" s="95"/>
      <c r="L63" s="49" t="s">
        <v>37</v>
      </c>
      <c r="M63" s="49" t="s">
        <v>37</v>
      </c>
      <c r="N63" s="49" t="s">
        <v>37</v>
      </c>
      <c r="O63" s="49" t="s">
        <v>37</v>
      </c>
      <c r="P63" s="49" t="s">
        <v>37</v>
      </c>
      <c r="Q63" s="49" t="s">
        <v>37</v>
      </c>
      <c r="R63" s="49" t="s">
        <v>37</v>
      </c>
      <c r="S63" s="49" t="s">
        <v>37</v>
      </c>
      <c r="T63" s="49" t="s">
        <v>37</v>
      </c>
      <c r="U63" s="49" t="s">
        <v>37</v>
      </c>
      <c r="V63" s="49" t="s">
        <v>37</v>
      </c>
      <c r="W63" s="49" t="s">
        <v>37</v>
      </c>
      <c r="X63" s="49" t="s">
        <v>37</v>
      </c>
      <c r="Y63" s="49" t="s">
        <v>37</v>
      </c>
      <c r="Z63" s="49" t="s">
        <v>37</v>
      </c>
    </row>
    <row r="64" spans="2:26" x14ac:dyDescent="0.25">
      <c r="B64" s="95"/>
      <c r="C64" s="96"/>
      <c r="D64" s="95"/>
      <c r="E64" s="95"/>
      <c r="F64" s="95"/>
      <c r="L64" s="49" t="s">
        <v>37</v>
      </c>
      <c r="M64" s="49" t="s">
        <v>37</v>
      </c>
      <c r="N64" s="49" t="s">
        <v>37</v>
      </c>
      <c r="O64" s="49" t="s">
        <v>37</v>
      </c>
      <c r="P64" s="49" t="s">
        <v>37</v>
      </c>
      <c r="Q64" s="49" t="s">
        <v>37</v>
      </c>
      <c r="R64" s="49" t="s">
        <v>37</v>
      </c>
      <c r="S64" s="49" t="s">
        <v>37</v>
      </c>
      <c r="T64" s="49" t="s">
        <v>37</v>
      </c>
      <c r="U64" s="49" t="s">
        <v>37</v>
      </c>
      <c r="V64" s="49" t="s">
        <v>37</v>
      </c>
      <c r="W64" s="49" t="s">
        <v>37</v>
      </c>
      <c r="X64" s="49" t="s">
        <v>37</v>
      </c>
      <c r="Y64" s="49" t="s">
        <v>37</v>
      </c>
      <c r="Z64" s="49" t="s">
        <v>37</v>
      </c>
    </row>
    <row r="65" spans="2:26" x14ac:dyDescent="0.25">
      <c r="B65" s="95"/>
      <c r="C65" s="96"/>
      <c r="D65" s="95"/>
      <c r="E65" s="95"/>
      <c r="F65" s="95"/>
      <c r="L65" s="49" t="s">
        <v>37</v>
      </c>
      <c r="M65" s="49" t="s">
        <v>37</v>
      </c>
      <c r="N65" s="49" t="s">
        <v>37</v>
      </c>
      <c r="O65" s="49" t="s">
        <v>37</v>
      </c>
      <c r="P65" s="49" t="s">
        <v>37</v>
      </c>
      <c r="Q65" s="49" t="s">
        <v>37</v>
      </c>
      <c r="R65" s="49" t="s">
        <v>37</v>
      </c>
      <c r="S65" s="49" t="s">
        <v>37</v>
      </c>
      <c r="T65" s="49" t="s">
        <v>37</v>
      </c>
      <c r="U65" s="49" t="s">
        <v>37</v>
      </c>
      <c r="V65" s="49" t="s">
        <v>37</v>
      </c>
      <c r="W65" s="49" t="s">
        <v>37</v>
      </c>
      <c r="X65" s="49" t="s">
        <v>37</v>
      </c>
      <c r="Y65" s="49" t="s">
        <v>37</v>
      </c>
      <c r="Z65" s="49" t="s">
        <v>37</v>
      </c>
    </row>
    <row r="66" spans="2:26" x14ac:dyDescent="0.25">
      <c r="B66" s="95"/>
      <c r="C66" s="96"/>
      <c r="D66" s="95"/>
      <c r="E66" s="95"/>
      <c r="F66" s="95"/>
      <c r="L66" s="49" t="s">
        <v>37</v>
      </c>
      <c r="M66" s="49" t="s">
        <v>37</v>
      </c>
      <c r="N66" s="49" t="s">
        <v>37</v>
      </c>
      <c r="O66" s="49" t="s">
        <v>37</v>
      </c>
      <c r="P66" s="49" t="s">
        <v>37</v>
      </c>
      <c r="Q66" s="49" t="s">
        <v>37</v>
      </c>
      <c r="R66" s="49" t="s">
        <v>37</v>
      </c>
      <c r="S66" s="49" t="s">
        <v>37</v>
      </c>
      <c r="T66" s="49" t="s">
        <v>37</v>
      </c>
      <c r="U66" s="49" t="s">
        <v>37</v>
      </c>
      <c r="V66" s="49" t="s">
        <v>37</v>
      </c>
      <c r="W66" s="49" t="s">
        <v>37</v>
      </c>
      <c r="X66" s="49" t="s">
        <v>37</v>
      </c>
      <c r="Y66" s="49" t="s">
        <v>37</v>
      </c>
      <c r="Z66" s="49" t="s">
        <v>37</v>
      </c>
    </row>
    <row r="67" spans="2:26" x14ac:dyDescent="0.25">
      <c r="B67" s="95"/>
      <c r="C67" s="96"/>
      <c r="D67" s="95"/>
      <c r="E67" s="95"/>
      <c r="F67" s="95"/>
      <c r="L67" s="49" t="s">
        <v>37</v>
      </c>
      <c r="M67" s="49" t="s">
        <v>37</v>
      </c>
      <c r="N67" s="49" t="s">
        <v>37</v>
      </c>
      <c r="O67" s="49" t="s">
        <v>37</v>
      </c>
      <c r="P67" s="49" t="s">
        <v>37</v>
      </c>
      <c r="Q67" s="49" t="s">
        <v>37</v>
      </c>
      <c r="R67" s="49" t="s">
        <v>37</v>
      </c>
      <c r="S67" s="49" t="s">
        <v>37</v>
      </c>
      <c r="T67" s="49" t="s">
        <v>37</v>
      </c>
      <c r="U67" s="49" t="s">
        <v>37</v>
      </c>
      <c r="V67" s="49" t="s">
        <v>37</v>
      </c>
      <c r="W67" s="49" t="s">
        <v>37</v>
      </c>
      <c r="X67" s="49" t="s">
        <v>37</v>
      </c>
      <c r="Y67" s="49" t="s">
        <v>37</v>
      </c>
      <c r="Z67" s="49" t="s">
        <v>37</v>
      </c>
    </row>
    <row r="68" spans="2:26" x14ac:dyDescent="0.25">
      <c r="B68" s="95"/>
      <c r="C68" s="96"/>
      <c r="D68" s="95"/>
      <c r="E68" s="95"/>
      <c r="F68" s="95"/>
      <c r="L68" s="49" t="s">
        <v>37</v>
      </c>
      <c r="M68" s="49" t="s">
        <v>37</v>
      </c>
      <c r="N68" s="49" t="s">
        <v>37</v>
      </c>
      <c r="O68" s="49" t="s">
        <v>37</v>
      </c>
      <c r="P68" s="49" t="s">
        <v>37</v>
      </c>
      <c r="Q68" s="49" t="s">
        <v>37</v>
      </c>
      <c r="R68" s="49" t="s">
        <v>37</v>
      </c>
      <c r="S68" s="49" t="s">
        <v>37</v>
      </c>
      <c r="T68" s="49" t="s">
        <v>37</v>
      </c>
      <c r="U68" s="49" t="s">
        <v>37</v>
      </c>
      <c r="V68" s="49" t="s">
        <v>37</v>
      </c>
      <c r="W68" s="49" t="s">
        <v>37</v>
      </c>
      <c r="X68" s="49" t="s">
        <v>37</v>
      </c>
      <c r="Y68" s="49" t="s">
        <v>37</v>
      </c>
      <c r="Z68" s="49" t="s">
        <v>37</v>
      </c>
    </row>
    <row r="69" spans="2:26" x14ac:dyDescent="0.25">
      <c r="B69" s="95"/>
      <c r="C69" s="96"/>
      <c r="D69" s="95"/>
      <c r="E69" s="95"/>
      <c r="F69" s="95"/>
      <c r="L69" s="49" t="s">
        <v>37</v>
      </c>
      <c r="M69" s="49" t="s">
        <v>37</v>
      </c>
      <c r="N69" s="49" t="s">
        <v>37</v>
      </c>
      <c r="O69" s="49" t="s">
        <v>37</v>
      </c>
      <c r="P69" s="49" t="s">
        <v>37</v>
      </c>
      <c r="Q69" s="49" t="s">
        <v>37</v>
      </c>
      <c r="R69" s="49" t="s">
        <v>37</v>
      </c>
      <c r="S69" s="49" t="s">
        <v>37</v>
      </c>
      <c r="T69" s="49" t="s">
        <v>37</v>
      </c>
      <c r="U69" s="49" t="s">
        <v>37</v>
      </c>
      <c r="V69" s="49" t="s">
        <v>37</v>
      </c>
      <c r="W69" s="49" t="s">
        <v>37</v>
      </c>
      <c r="X69" s="49" t="s">
        <v>37</v>
      </c>
      <c r="Y69" s="49" t="s">
        <v>37</v>
      </c>
      <c r="Z69" s="49" t="s">
        <v>37</v>
      </c>
    </row>
    <row r="70" spans="2:26" x14ac:dyDescent="0.25">
      <c r="B70" s="95"/>
      <c r="C70" s="96"/>
      <c r="D70" s="95"/>
      <c r="E70" s="95"/>
      <c r="F70" s="95"/>
      <c r="L70" s="49" t="s">
        <v>37</v>
      </c>
      <c r="M70" s="49" t="s">
        <v>37</v>
      </c>
      <c r="N70" s="49" t="s">
        <v>37</v>
      </c>
      <c r="O70" s="49" t="s">
        <v>37</v>
      </c>
      <c r="P70" s="49" t="s">
        <v>37</v>
      </c>
      <c r="Q70" s="49" t="s">
        <v>37</v>
      </c>
      <c r="R70" s="49" t="s">
        <v>37</v>
      </c>
      <c r="S70" s="49" t="s">
        <v>37</v>
      </c>
      <c r="T70" s="49" t="s">
        <v>37</v>
      </c>
      <c r="U70" s="49" t="s">
        <v>37</v>
      </c>
      <c r="V70" s="49" t="s">
        <v>37</v>
      </c>
      <c r="W70" s="49" t="s">
        <v>37</v>
      </c>
      <c r="X70" s="49" t="s">
        <v>37</v>
      </c>
      <c r="Y70" s="49" t="s">
        <v>37</v>
      </c>
      <c r="Z70" s="49" t="s">
        <v>37</v>
      </c>
    </row>
    <row r="71" spans="2:26" x14ac:dyDescent="0.25">
      <c r="B71" s="2"/>
      <c r="C71" s="3"/>
      <c r="D71" s="2"/>
      <c r="E71" s="2"/>
      <c r="F71" s="2"/>
    </row>
    <row r="72" spans="2:26" x14ac:dyDescent="0.25">
      <c r="B72" s="2"/>
      <c r="C72" s="3"/>
      <c r="D72" s="2"/>
      <c r="E72" s="2"/>
      <c r="F72" s="2"/>
    </row>
    <row r="73" spans="2:26" x14ac:dyDescent="0.25">
      <c r="B73" s="2"/>
      <c r="C73" s="3"/>
      <c r="D73" s="2"/>
      <c r="E73" s="2"/>
      <c r="F73" s="2"/>
    </row>
    <row r="74" spans="2:26" x14ac:dyDescent="0.25">
      <c r="B74" s="2"/>
      <c r="C74" s="3"/>
      <c r="D74" s="2"/>
      <c r="E74" s="2"/>
      <c r="F74" s="2"/>
    </row>
    <row r="75" spans="2:26" x14ac:dyDescent="0.25">
      <c r="B75" s="2"/>
      <c r="C75" s="3"/>
      <c r="D75" s="2"/>
      <c r="E75" s="2"/>
      <c r="F75" s="2"/>
    </row>
    <row r="76" spans="2:26" x14ac:dyDescent="0.25">
      <c r="B76" s="2"/>
      <c r="C76" s="3"/>
      <c r="D76" s="2"/>
      <c r="E76" s="2"/>
      <c r="F76" s="2"/>
    </row>
    <row r="77" spans="2:26" x14ac:dyDescent="0.25">
      <c r="B77" s="2"/>
      <c r="C77" s="3"/>
      <c r="D77" s="2"/>
      <c r="E77" s="2"/>
      <c r="F77" s="2"/>
    </row>
    <row r="78" spans="2:26" x14ac:dyDescent="0.25">
      <c r="B78" s="2"/>
      <c r="C78" s="3"/>
      <c r="D78" s="2"/>
      <c r="E78" s="2"/>
      <c r="F78" s="2"/>
    </row>
    <row r="79" spans="2:26" x14ac:dyDescent="0.25">
      <c r="B79" s="2"/>
      <c r="C79" s="3"/>
      <c r="D79" s="2"/>
      <c r="E79" s="2"/>
      <c r="F79" s="2"/>
    </row>
    <row r="80" spans="2:26" x14ac:dyDescent="0.25">
      <c r="B80" s="2"/>
      <c r="C80" s="3"/>
      <c r="D80" s="2"/>
      <c r="E80" s="2"/>
      <c r="F80" s="2"/>
    </row>
    <row r="81" spans="2:6" x14ac:dyDescent="0.25">
      <c r="B81" s="2"/>
      <c r="C81" s="3"/>
      <c r="D81" s="2"/>
      <c r="E81" s="2"/>
      <c r="F81" s="2"/>
    </row>
    <row r="82" spans="2:6" x14ac:dyDescent="0.25">
      <c r="B82" s="2"/>
      <c r="C82" s="3"/>
      <c r="D82" s="2"/>
      <c r="E82" s="2"/>
      <c r="F82" s="2"/>
    </row>
    <row r="83" spans="2:6" x14ac:dyDescent="0.25">
      <c r="B83" s="2"/>
      <c r="C83" s="3"/>
      <c r="D83" s="2"/>
      <c r="E83" s="2"/>
      <c r="F83" s="2"/>
    </row>
    <row r="84" spans="2:6" x14ac:dyDescent="0.25">
      <c r="B84" s="2"/>
      <c r="C84" s="3"/>
      <c r="D84" s="2"/>
      <c r="E84" s="2"/>
      <c r="F84" s="2"/>
    </row>
    <row r="85" spans="2:6" x14ac:dyDescent="0.25">
      <c r="B85" s="2"/>
      <c r="C85" s="3"/>
      <c r="D85" s="2"/>
      <c r="E85" s="2"/>
      <c r="F85" s="2"/>
    </row>
    <row r="86" spans="2:6" x14ac:dyDescent="0.25">
      <c r="B86" s="2"/>
      <c r="C86" s="3"/>
      <c r="D86" s="2"/>
      <c r="E86" s="2"/>
      <c r="F86" s="2"/>
    </row>
    <row r="87" spans="2:6" x14ac:dyDescent="0.25">
      <c r="B87" s="2"/>
      <c r="C87" s="3"/>
      <c r="D87" s="2"/>
      <c r="E87" s="2"/>
      <c r="F87" s="2"/>
    </row>
    <row r="88" spans="2:6" x14ac:dyDescent="0.25">
      <c r="B88" s="2"/>
      <c r="C88" s="3"/>
      <c r="D88" s="2"/>
      <c r="E88" s="2"/>
      <c r="F88" s="2"/>
    </row>
    <row r="89" spans="2:6" x14ac:dyDescent="0.25">
      <c r="B89" s="2"/>
      <c r="C89" s="3"/>
      <c r="D89" s="2"/>
      <c r="E89" s="2"/>
      <c r="F89" s="2"/>
    </row>
    <row r="90" spans="2:6" x14ac:dyDescent="0.25">
      <c r="B90" s="2"/>
      <c r="C90" s="3"/>
      <c r="D90" s="2"/>
      <c r="E90" s="2"/>
      <c r="F90" s="2"/>
    </row>
    <row r="91" spans="2:6" x14ac:dyDescent="0.25">
      <c r="B91" s="2"/>
      <c r="C91" s="3"/>
      <c r="D91" s="2"/>
      <c r="E91" s="2"/>
      <c r="F91" s="2"/>
    </row>
    <row r="92" spans="2:6" x14ac:dyDescent="0.25">
      <c r="B92" s="2"/>
      <c r="C92" s="3"/>
      <c r="D92" s="2"/>
      <c r="E92" s="2"/>
      <c r="F92" s="2"/>
    </row>
    <row r="93" spans="2:6" x14ac:dyDescent="0.25">
      <c r="B93" s="2"/>
      <c r="C93" s="3"/>
      <c r="D93" s="2"/>
      <c r="E93" s="2"/>
      <c r="F93" s="2"/>
    </row>
    <row r="94" spans="2:6" x14ac:dyDescent="0.25">
      <c r="B94" s="2"/>
      <c r="C94" s="3"/>
      <c r="D94" s="2"/>
      <c r="E94" s="2"/>
      <c r="F94" s="2"/>
    </row>
    <row r="95" spans="2:6" x14ac:dyDescent="0.25">
      <c r="B95" s="2"/>
      <c r="C95" s="3"/>
      <c r="D95" s="2"/>
      <c r="E95" s="2"/>
      <c r="F95" s="2"/>
    </row>
    <row r="96" spans="2:6" x14ac:dyDescent="0.25">
      <c r="B96" s="2"/>
      <c r="C96" s="3"/>
      <c r="D96" s="2"/>
      <c r="E96" s="2"/>
      <c r="F96" s="2"/>
    </row>
    <row r="97" spans="2:6" x14ac:dyDescent="0.25">
      <c r="B97" s="2"/>
      <c r="C97" s="3"/>
      <c r="D97" s="2"/>
      <c r="E97" s="2"/>
      <c r="F97" s="2"/>
    </row>
    <row r="98" spans="2:6" x14ac:dyDescent="0.25">
      <c r="B98" s="2"/>
      <c r="C98" s="3"/>
      <c r="D98" s="2"/>
      <c r="E98" s="2"/>
      <c r="F98" s="2"/>
    </row>
    <row r="99" spans="2:6" x14ac:dyDescent="0.25">
      <c r="B99" s="2"/>
      <c r="C99" s="3"/>
      <c r="D99" s="2"/>
      <c r="E99" s="2"/>
      <c r="F99" s="2"/>
    </row>
    <row r="100" spans="2:6" x14ac:dyDescent="0.25">
      <c r="B100" s="2"/>
      <c r="C100" s="3"/>
      <c r="D100" s="2"/>
      <c r="E100" s="2"/>
      <c r="F100" s="2"/>
    </row>
    <row r="101" spans="2:6" x14ac:dyDescent="0.25">
      <c r="B101" s="2"/>
      <c r="C101" s="3"/>
      <c r="D101" s="2"/>
      <c r="E101" s="2"/>
      <c r="F101" s="2"/>
    </row>
    <row r="102" spans="2:6" x14ac:dyDescent="0.25">
      <c r="B102" s="2"/>
      <c r="C102" s="3"/>
      <c r="D102" s="2"/>
      <c r="E102" s="2"/>
      <c r="F102" s="2"/>
    </row>
    <row r="103" spans="2:6" x14ac:dyDescent="0.25">
      <c r="B103" s="2"/>
      <c r="C103" s="3"/>
      <c r="D103" s="2"/>
      <c r="E103" s="2"/>
      <c r="F103" s="2"/>
    </row>
    <row r="104" spans="2:6" x14ac:dyDescent="0.25">
      <c r="B104" s="2"/>
      <c r="C104" s="3"/>
      <c r="D104" s="2"/>
      <c r="E104" s="2"/>
      <c r="F104" s="2"/>
    </row>
    <row r="105" spans="2:6" x14ac:dyDescent="0.25">
      <c r="B105" s="2"/>
      <c r="C105" s="3"/>
      <c r="D105" s="2"/>
      <c r="E105" s="2"/>
      <c r="F105" s="2"/>
    </row>
    <row r="106" spans="2:6" x14ac:dyDescent="0.25">
      <c r="B106" s="2"/>
      <c r="C106" s="3"/>
      <c r="D106" s="2"/>
      <c r="E106" s="2"/>
      <c r="F106" s="2"/>
    </row>
    <row r="107" spans="2:6" x14ac:dyDescent="0.25">
      <c r="B107" s="2"/>
      <c r="C107" s="3"/>
      <c r="D107" s="2"/>
      <c r="E107" s="2"/>
      <c r="F107" s="2"/>
    </row>
    <row r="108" spans="2:6" x14ac:dyDescent="0.25">
      <c r="B108" s="2"/>
      <c r="C108" s="3"/>
      <c r="D108" s="2"/>
      <c r="E108" s="2"/>
      <c r="F108" s="2"/>
    </row>
    <row r="109" spans="2:6" x14ac:dyDescent="0.25">
      <c r="B109" s="2"/>
      <c r="C109" s="3"/>
      <c r="D109" s="2"/>
      <c r="E109" s="2"/>
      <c r="F109" s="2"/>
    </row>
    <row r="110" spans="2:6" x14ac:dyDescent="0.25">
      <c r="B110" s="2"/>
      <c r="C110" s="3"/>
      <c r="D110" s="2"/>
      <c r="E110" s="2"/>
      <c r="F110" s="2"/>
    </row>
    <row r="111" spans="2:6" x14ac:dyDescent="0.25">
      <c r="B111" s="2"/>
      <c r="C111" s="3"/>
      <c r="D111" s="2"/>
      <c r="E111" s="2"/>
      <c r="F111" s="2"/>
    </row>
    <row r="112" spans="2:6" x14ac:dyDescent="0.25">
      <c r="B112" s="2"/>
      <c r="C112" s="3"/>
      <c r="D112" s="2"/>
      <c r="E112" s="2"/>
      <c r="F112" s="2"/>
    </row>
    <row r="113" spans="2:6" x14ac:dyDescent="0.25">
      <c r="B113" s="2"/>
      <c r="C113" s="3"/>
      <c r="D113" s="2"/>
      <c r="E113" s="2"/>
      <c r="F113" s="2"/>
    </row>
    <row r="114" spans="2:6" x14ac:dyDescent="0.25">
      <c r="B114" s="2"/>
      <c r="C114" s="3"/>
      <c r="D114" s="2"/>
      <c r="E114" s="2"/>
      <c r="F114" s="2"/>
    </row>
    <row r="115" spans="2:6" x14ac:dyDescent="0.25">
      <c r="B115" s="2"/>
      <c r="C115" s="3"/>
      <c r="D115" s="2"/>
      <c r="E115" s="2"/>
      <c r="F115" s="2"/>
    </row>
    <row r="116" spans="2:6" x14ac:dyDescent="0.25">
      <c r="B116" s="2"/>
      <c r="C116" s="3"/>
      <c r="D116" s="2"/>
      <c r="E116" s="2"/>
      <c r="F116" s="2"/>
    </row>
    <row r="117" spans="2:6" x14ac:dyDescent="0.25">
      <c r="B117" s="2"/>
      <c r="C117" s="3"/>
      <c r="D117" s="2"/>
      <c r="E117" s="2"/>
      <c r="F117" s="2"/>
    </row>
    <row r="118" spans="2:6" x14ac:dyDescent="0.25">
      <c r="B118" s="2"/>
      <c r="C118" s="3"/>
      <c r="D118" s="2"/>
      <c r="E118" s="2"/>
      <c r="F118" s="2"/>
    </row>
    <row r="119" spans="2:6" x14ac:dyDescent="0.25">
      <c r="B119" s="2"/>
      <c r="C119" s="3"/>
      <c r="D119" s="2"/>
      <c r="E119" s="2"/>
      <c r="F119" s="2"/>
    </row>
    <row r="120" spans="2:6" x14ac:dyDescent="0.25">
      <c r="B120" s="2"/>
      <c r="C120" s="3"/>
      <c r="D120" s="2"/>
      <c r="E120" s="2"/>
      <c r="F120" s="2"/>
    </row>
    <row r="121" spans="2:6" x14ac:dyDescent="0.25">
      <c r="B121" s="2"/>
      <c r="C121" s="3"/>
      <c r="D121" s="2"/>
      <c r="E121" s="2"/>
      <c r="F121" s="2"/>
    </row>
    <row r="122" spans="2:6" x14ac:dyDescent="0.25">
      <c r="B122" s="2"/>
      <c r="C122" s="3"/>
      <c r="D122" s="2"/>
      <c r="E122" s="2"/>
      <c r="F122" s="2"/>
    </row>
    <row r="123" spans="2:6" x14ac:dyDescent="0.25">
      <c r="B123" s="2"/>
      <c r="C123" s="3"/>
      <c r="D123" s="2"/>
      <c r="E123" s="2"/>
      <c r="F123" s="2"/>
    </row>
    <row r="124" spans="2:6" x14ac:dyDescent="0.25">
      <c r="B124" s="2"/>
      <c r="C124" s="3"/>
      <c r="D124" s="2"/>
      <c r="E124" s="2"/>
      <c r="F124" s="2"/>
    </row>
    <row r="125" spans="2:6" x14ac:dyDescent="0.25">
      <c r="B125" s="2"/>
      <c r="C125" s="3"/>
      <c r="D125" s="2"/>
      <c r="E125" s="2"/>
      <c r="F125" s="2"/>
    </row>
    <row r="126" spans="2:6" x14ac:dyDescent="0.25">
      <c r="B126" s="2"/>
      <c r="C126" s="3"/>
      <c r="D126" s="2"/>
      <c r="E126" s="2"/>
      <c r="F126" s="2"/>
    </row>
    <row r="127" spans="2:6" x14ac:dyDescent="0.25">
      <c r="B127" s="2"/>
      <c r="C127" s="3"/>
      <c r="D127" s="2"/>
      <c r="E127" s="2"/>
      <c r="F127" s="2"/>
    </row>
    <row r="128" spans="2:6" x14ac:dyDescent="0.25">
      <c r="B128" s="2"/>
      <c r="C128" s="3"/>
      <c r="D128" s="2"/>
      <c r="E128" s="2"/>
      <c r="F128" s="2"/>
    </row>
    <row r="129" spans="2:6" x14ac:dyDescent="0.25">
      <c r="B129" s="2"/>
      <c r="C129" s="3"/>
      <c r="D129" s="2"/>
      <c r="E129" s="2"/>
      <c r="F129" s="2"/>
    </row>
    <row r="130" spans="2:6" x14ac:dyDescent="0.25">
      <c r="B130" s="2"/>
      <c r="C130" s="3"/>
      <c r="D130" s="2"/>
      <c r="E130" s="2"/>
      <c r="F130" s="2"/>
    </row>
    <row r="131" spans="2:6" x14ac:dyDescent="0.25">
      <c r="B131" s="2"/>
      <c r="C131" s="3"/>
      <c r="D131" s="2"/>
      <c r="E131" s="2"/>
      <c r="F131" s="2"/>
    </row>
    <row r="132" spans="2:6" x14ac:dyDescent="0.25">
      <c r="B132" s="2"/>
      <c r="C132" s="3"/>
      <c r="D132" s="2"/>
      <c r="E132" s="2"/>
      <c r="F132" s="2"/>
    </row>
    <row r="133" spans="2:6" x14ac:dyDescent="0.25">
      <c r="B133" s="2"/>
      <c r="C133" s="3"/>
      <c r="D133" s="2"/>
      <c r="E133" s="2"/>
      <c r="F133" s="2"/>
    </row>
    <row r="134" spans="2:6" x14ac:dyDescent="0.25">
      <c r="B134" s="2"/>
      <c r="C134" s="3"/>
      <c r="D134" s="2"/>
      <c r="E134" s="2"/>
      <c r="F134" s="2"/>
    </row>
    <row r="135" spans="2:6" x14ac:dyDescent="0.25">
      <c r="B135" s="2"/>
      <c r="C135" s="3"/>
      <c r="D135" s="2"/>
      <c r="E135" s="2"/>
      <c r="F135" s="2"/>
    </row>
    <row r="136" spans="2:6" x14ac:dyDescent="0.25">
      <c r="B136" s="2"/>
      <c r="C136" s="3"/>
      <c r="D136" s="2"/>
      <c r="E136" s="2"/>
      <c r="F136" s="2"/>
    </row>
    <row r="137" spans="2:6" x14ac:dyDescent="0.25">
      <c r="B137" s="2"/>
      <c r="C137" s="3"/>
      <c r="D137" s="2"/>
      <c r="E137" s="2"/>
      <c r="F137" s="2"/>
    </row>
    <row r="138" spans="2:6" x14ac:dyDescent="0.25">
      <c r="B138" s="2"/>
      <c r="C138" s="3"/>
      <c r="D138" s="2"/>
      <c r="E138" s="2"/>
      <c r="F138" s="2"/>
    </row>
    <row r="139" spans="2:6" x14ac:dyDescent="0.25">
      <c r="B139" s="2"/>
      <c r="C139" s="3"/>
      <c r="D139" s="2"/>
      <c r="E139" s="2"/>
      <c r="F139" s="2"/>
    </row>
    <row r="140" spans="2:6" x14ac:dyDescent="0.25">
      <c r="B140" s="2"/>
      <c r="C140" s="3"/>
      <c r="D140" s="2"/>
      <c r="E140" s="2"/>
      <c r="F140" s="2"/>
    </row>
    <row r="141" spans="2:6" x14ac:dyDescent="0.25">
      <c r="B141" s="2"/>
      <c r="C141" s="3"/>
      <c r="D141" s="2"/>
      <c r="E141" s="2"/>
      <c r="F141" s="2"/>
    </row>
    <row r="142" spans="2:6" x14ac:dyDescent="0.25">
      <c r="B142" s="2"/>
      <c r="C142" s="3"/>
      <c r="D142" s="2"/>
      <c r="E142" s="2"/>
      <c r="F142" s="2"/>
    </row>
    <row r="143" spans="2:6" x14ac:dyDescent="0.25">
      <c r="B143" s="2"/>
      <c r="C143" s="3"/>
      <c r="D143" s="2"/>
      <c r="E143" s="2"/>
      <c r="F143" s="2"/>
    </row>
    <row r="144" spans="2:6" x14ac:dyDescent="0.25">
      <c r="B144" s="2"/>
      <c r="C144" s="3"/>
      <c r="D144" s="2"/>
      <c r="E144" s="2"/>
      <c r="F144" s="2"/>
    </row>
    <row r="145" spans="2:6" x14ac:dyDescent="0.25">
      <c r="B145" s="2"/>
      <c r="C145" s="3"/>
      <c r="D145" s="2"/>
      <c r="E145" s="2"/>
      <c r="F145" s="2"/>
    </row>
    <row r="146" spans="2:6" x14ac:dyDescent="0.25">
      <c r="B146" s="2"/>
      <c r="C146" s="3"/>
      <c r="D146" s="2"/>
      <c r="E146" s="2"/>
      <c r="F146" s="2"/>
    </row>
    <row r="147" spans="2:6" x14ac:dyDescent="0.25">
      <c r="B147" s="2"/>
      <c r="C147" s="3"/>
      <c r="D147" s="2"/>
      <c r="E147" s="2"/>
      <c r="F147" s="2"/>
    </row>
    <row r="148" spans="2:6" x14ac:dyDescent="0.25">
      <c r="B148" s="2"/>
      <c r="C148" s="3"/>
      <c r="D148" s="2"/>
      <c r="E148" s="2"/>
      <c r="F148" s="2"/>
    </row>
    <row r="149" spans="2:6" x14ac:dyDescent="0.25">
      <c r="B149" s="2"/>
      <c r="C149" s="3"/>
      <c r="D149" s="2"/>
      <c r="E149" s="2"/>
      <c r="F149" s="2"/>
    </row>
    <row r="150" spans="2:6" x14ac:dyDescent="0.25">
      <c r="B150" s="2"/>
      <c r="C150" s="3"/>
      <c r="D150" s="2"/>
      <c r="E150" s="2"/>
      <c r="F150" s="2"/>
    </row>
    <row r="151" spans="2:6" x14ac:dyDescent="0.25">
      <c r="B151" s="2"/>
      <c r="C151" s="3"/>
      <c r="D151" s="2"/>
      <c r="E151" s="2"/>
      <c r="F151" s="2"/>
    </row>
    <row r="152" spans="2:6" x14ac:dyDescent="0.25">
      <c r="B152" s="2"/>
      <c r="C152" s="3"/>
      <c r="D152" s="2"/>
      <c r="E152" s="2"/>
      <c r="F152" s="2"/>
    </row>
    <row r="153" spans="2:6" x14ac:dyDescent="0.25">
      <c r="B153" s="2"/>
      <c r="C153" s="3"/>
      <c r="D153" s="2"/>
      <c r="E153" s="2"/>
      <c r="F153" s="2"/>
    </row>
    <row r="154" spans="2:6" x14ac:dyDescent="0.25">
      <c r="B154" s="2"/>
      <c r="C154" s="3"/>
      <c r="D154" s="2"/>
      <c r="E154" s="2"/>
      <c r="F154" s="2"/>
    </row>
    <row r="155" spans="2:6" x14ac:dyDescent="0.25">
      <c r="B155" s="2"/>
      <c r="C155" s="3"/>
      <c r="D155" s="2"/>
      <c r="E155" s="2"/>
      <c r="F155" s="2"/>
    </row>
    <row r="156" spans="2:6" x14ac:dyDescent="0.25">
      <c r="B156" s="2"/>
      <c r="C156" s="3"/>
      <c r="D156" s="2"/>
      <c r="E156" s="2"/>
      <c r="F156" s="2"/>
    </row>
    <row r="157" spans="2:6" x14ac:dyDescent="0.25">
      <c r="B157" s="2"/>
      <c r="C157" s="3"/>
      <c r="D157" s="2"/>
      <c r="E157" s="2"/>
      <c r="F157" s="2"/>
    </row>
    <row r="158" spans="2:6" x14ac:dyDescent="0.25">
      <c r="B158" s="2"/>
      <c r="C158" s="3"/>
      <c r="D158" s="2"/>
      <c r="E158" s="2"/>
      <c r="F158" s="2"/>
    </row>
    <row r="159" spans="2:6" x14ac:dyDescent="0.25">
      <c r="B159" s="2"/>
      <c r="C159" s="3"/>
      <c r="D159" s="2"/>
      <c r="E159" s="2"/>
      <c r="F159" s="2"/>
    </row>
    <row r="160" spans="2:6" x14ac:dyDescent="0.25">
      <c r="B160" s="2"/>
      <c r="C160" s="3"/>
      <c r="D160" s="2"/>
      <c r="E160" s="2"/>
      <c r="F160" s="2"/>
    </row>
    <row r="161" spans="2:6" x14ac:dyDescent="0.25">
      <c r="B161" s="2"/>
      <c r="C161" s="3"/>
      <c r="D161" s="2"/>
      <c r="E161" s="2"/>
      <c r="F161" s="2"/>
    </row>
    <row r="162" spans="2:6" x14ac:dyDescent="0.25">
      <c r="B162" s="2"/>
      <c r="C162" s="3"/>
      <c r="D162" s="2"/>
      <c r="E162" s="2"/>
      <c r="F162" s="2"/>
    </row>
    <row r="163" spans="2:6" x14ac:dyDescent="0.25">
      <c r="B163" s="2"/>
      <c r="C163" s="3"/>
      <c r="D163" s="2"/>
      <c r="E163" s="2"/>
      <c r="F163" s="2"/>
    </row>
    <row r="164" spans="2:6" x14ac:dyDescent="0.25">
      <c r="B164" s="2"/>
      <c r="C164" s="3"/>
      <c r="D164" s="2"/>
      <c r="E164" s="2"/>
      <c r="F164" s="2"/>
    </row>
    <row r="165" spans="2:6" x14ac:dyDescent="0.25">
      <c r="B165" s="2"/>
      <c r="C165" s="3"/>
      <c r="D165" s="2"/>
      <c r="E165" s="2"/>
      <c r="F165" s="2"/>
    </row>
    <row r="166" spans="2:6" x14ac:dyDescent="0.25">
      <c r="B166" s="2"/>
      <c r="C166" s="3"/>
      <c r="D166" s="2"/>
      <c r="E166" s="2"/>
      <c r="F166" s="2"/>
    </row>
    <row r="167" spans="2:6" x14ac:dyDescent="0.25">
      <c r="B167" s="2"/>
      <c r="C167" s="3"/>
      <c r="D167" s="2"/>
      <c r="E167" s="2"/>
      <c r="F167" s="2"/>
    </row>
    <row r="168" spans="2:6" x14ac:dyDescent="0.25">
      <c r="B168" s="2"/>
      <c r="C168" s="3"/>
      <c r="D168" s="2"/>
      <c r="E168" s="2"/>
      <c r="F168" s="2"/>
    </row>
    <row r="169" spans="2:6" x14ac:dyDescent="0.25">
      <c r="B169" s="2"/>
      <c r="C169" s="3"/>
      <c r="D169" s="2"/>
      <c r="E169" s="2"/>
      <c r="F169" s="2"/>
    </row>
    <row r="170" spans="2:6" x14ac:dyDescent="0.25">
      <c r="B170" s="2"/>
      <c r="C170" s="3"/>
      <c r="D170" s="2"/>
      <c r="E170" s="2"/>
      <c r="F170" s="2"/>
    </row>
    <row r="171" spans="2:6" x14ac:dyDescent="0.25">
      <c r="B171" s="2"/>
      <c r="C171" s="3"/>
      <c r="D171" s="2"/>
      <c r="E171" s="2"/>
      <c r="F171" s="2"/>
    </row>
    <row r="172" spans="2:6" x14ac:dyDescent="0.25">
      <c r="B172" s="2"/>
      <c r="C172" s="3"/>
      <c r="D172" s="2"/>
      <c r="E172" s="2"/>
      <c r="F172" s="2"/>
    </row>
    <row r="173" spans="2:6" x14ac:dyDescent="0.25">
      <c r="B173" s="2"/>
      <c r="C173" s="3"/>
      <c r="D173" s="2"/>
      <c r="E173" s="2"/>
      <c r="F173" s="2"/>
    </row>
    <row r="174" spans="2:6" x14ac:dyDescent="0.25">
      <c r="B174" s="2"/>
      <c r="C174" s="3"/>
      <c r="D174" s="2"/>
      <c r="E174" s="2"/>
      <c r="F174" s="2"/>
    </row>
    <row r="175" spans="2:6" x14ac:dyDescent="0.25">
      <c r="B175" s="2"/>
      <c r="C175" s="3"/>
      <c r="D175" s="2"/>
      <c r="E175" s="2"/>
      <c r="F175" s="2"/>
    </row>
    <row r="176" spans="2:6" x14ac:dyDescent="0.25">
      <c r="B176" s="2"/>
      <c r="C176" s="3"/>
      <c r="D176" s="2"/>
      <c r="E176" s="2"/>
      <c r="F176" s="2"/>
    </row>
    <row r="177" spans="2:6" x14ac:dyDescent="0.25">
      <c r="B177" s="2"/>
      <c r="C177" s="3"/>
      <c r="D177" s="2"/>
      <c r="E177" s="2"/>
      <c r="F177" s="2"/>
    </row>
    <row r="178" spans="2:6" x14ac:dyDescent="0.25">
      <c r="B178" s="2"/>
      <c r="C178" s="3"/>
      <c r="D178" s="2"/>
      <c r="E178" s="2"/>
      <c r="F178" s="2"/>
    </row>
    <row r="179" spans="2:6" x14ac:dyDescent="0.25">
      <c r="B179" s="2"/>
      <c r="C179" s="3"/>
      <c r="D179" s="2"/>
      <c r="E179" s="2"/>
      <c r="F179" s="2"/>
    </row>
    <row r="180" spans="2:6" x14ac:dyDescent="0.25">
      <c r="B180" s="2"/>
      <c r="C180" s="3"/>
      <c r="D180" s="2"/>
      <c r="E180" s="2"/>
      <c r="F180" s="2"/>
    </row>
    <row r="181" spans="2:6" x14ac:dyDescent="0.25">
      <c r="B181" s="2"/>
      <c r="C181" s="3"/>
      <c r="D181" s="2"/>
      <c r="E181" s="2"/>
      <c r="F181" s="2"/>
    </row>
    <row r="182" spans="2:6" x14ac:dyDescent="0.25">
      <c r="B182" s="2"/>
      <c r="C182" s="3"/>
      <c r="D182" s="2"/>
      <c r="E182" s="2"/>
      <c r="F182" s="2"/>
    </row>
    <row r="183" spans="2:6" x14ac:dyDescent="0.25">
      <c r="B183" s="2"/>
      <c r="C183" s="3"/>
      <c r="D183" s="2"/>
      <c r="E183" s="2"/>
      <c r="F183" s="2"/>
    </row>
    <row r="184" spans="2:6" x14ac:dyDescent="0.25">
      <c r="B184" s="2"/>
      <c r="C184" s="3"/>
      <c r="D184" s="2"/>
      <c r="E184" s="2"/>
      <c r="F184" s="2"/>
    </row>
    <row r="185" spans="2:6" x14ac:dyDescent="0.25">
      <c r="B185" s="2"/>
      <c r="C185" s="3"/>
      <c r="D185" s="2"/>
      <c r="E185" s="2"/>
      <c r="F185" s="2"/>
    </row>
    <row r="186" spans="2:6" x14ac:dyDescent="0.25">
      <c r="B186" s="2"/>
      <c r="C186" s="3"/>
      <c r="D186" s="2"/>
      <c r="E186" s="2"/>
      <c r="F186" s="2"/>
    </row>
    <row r="187" spans="2:6" x14ac:dyDescent="0.25">
      <c r="B187" s="2"/>
      <c r="C187" s="3"/>
      <c r="D187" s="2"/>
      <c r="E187" s="2"/>
      <c r="F187" s="2"/>
    </row>
    <row r="188" spans="2:6" x14ac:dyDescent="0.25">
      <c r="B188" s="2"/>
      <c r="C188" s="3"/>
      <c r="D188" s="2"/>
      <c r="E188" s="2"/>
      <c r="F188" s="2"/>
    </row>
    <row r="189" spans="2:6" x14ac:dyDescent="0.25">
      <c r="B189" s="2"/>
      <c r="C189" s="3"/>
      <c r="D189" s="2"/>
      <c r="E189" s="2"/>
      <c r="F189" s="2"/>
    </row>
    <row r="190" spans="2:6" x14ac:dyDescent="0.25">
      <c r="B190" s="2"/>
      <c r="C190" s="3"/>
      <c r="D190" s="2"/>
      <c r="E190" s="2"/>
      <c r="F190" s="2"/>
    </row>
    <row r="191" spans="2:6" x14ac:dyDescent="0.25">
      <c r="B191" s="2"/>
      <c r="C191" s="3"/>
      <c r="D191" s="2"/>
      <c r="E191" s="2"/>
      <c r="F191" s="2"/>
    </row>
    <row r="192" spans="2:6" x14ac:dyDescent="0.25">
      <c r="B192" s="2"/>
      <c r="C192" s="3"/>
      <c r="D192" s="2"/>
      <c r="E192" s="2"/>
      <c r="F192" s="2"/>
    </row>
    <row r="193" spans="2:6" x14ac:dyDescent="0.25">
      <c r="B193" s="2"/>
      <c r="C193" s="3"/>
      <c r="D193" s="2"/>
      <c r="E193" s="2"/>
      <c r="F193" s="2"/>
    </row>
    <row r="194" spans="2:6" x14ac:dyDescent="0.25">
      <c r="B194" s="2"/>
      <c r="C194" s="3"/>
      <c r="D194" s="2"/>
      <c r="E194" s="2"/>
      <c r="F194" s="2"/>
    </row>
    <row r="195" spans="2:6" x14ac:dyDescent="0.25">
      <c r="B195" s="2"/>
      <c r="C195" s="3"/>
      <c r="D195" s="2"/>
      <c r="E195" s="2"/>
      <c r="F195" s="2"/>
    </row>
    <row r="196" spans="2:6" x14ac:dyDescent="0.25">
      <c r="B196" s="2"/>
      <c r="C196" s="3"/>
      <c r="D196" s="2"/>
      <c r="E196" s="2"/>
      <c r="F196" s="2"/>
    </row>
    <row r="197" spans="2:6" x14ac:dyDescent="0.25">
      <c r="B197" s="2"/>
      <c r="C197" s="3"/>
      <c r="D197" s="2"/>
      <c r="E197" s="2"/>
      <c r="F197" s="2"/>
    </row>
    <row r="198" spans="2:6" x14ac:dyDescent="0.25">
      <c r="B198" s="2"/>
      <c r="C198" s="3"/>
      <c r="D198" s="2"/>
      <c r="E198" s="2"/>
      <c r="F198" s="2"/>
    </row>
    <row r="199" spans="2:6" x14ac:dyDescent="0.25">
      <c r="B199" s="2"/>
      <c r="C199" s="3"/>
      <c r="D199" s="2"/>
      <c r="E199" s="2"/>
      <c r="F199" s="2"/>
    </row>
    <row r="200" spans="2:6" x14ac:dyDescent="0.25">
      <c r="B200" s="2"/>
      <c r="C200" s="3"/>
      <c r="D200" s="2"/>
      <c r="E200" s="2"/>
      <c r="F200" s="2"/>
    </row>
    <row r="201" spans="2:6" x14ac:dyDescent="0.25">
      <c r="B201" s="2"/>
      <c r="C201" s="3"/>
      <c r="D201" s="2"/>
      <c r="E201" s="2"/>
      <c r="F201" s="2"/>
    </row>
    <row r="202" spans="2:6" x14ac:dyDescent="0.25">
      <c r="B202" s="2"/>
      <c r="C202" s="3"/>
      <c r="D202" s="2"/>
      <c r="E202" s="2"/>
      <c r="F202" s="2"/>
    </row>
    <row r="203" spans="2:6" x14ac:dyDescent="0.25">
      <c r="B203" s="2"/>
      <c r="C203" s="3"/>
      <c r="D203" s="2"/>
      <c r="E203" s="2"/>
      <c r="F203" s="2"/>
    </row>
    <row r="204" spans="2:6" x14ac:dyDescent="0.25">
      <c r="B204" s="2"/>
      <c r="C204" s="3"/>
      <c r="D204" s="2"/>
      <c r="E204" s="2"/>
      <c r="F204" s="2"/>
    </row>
    <row r="205" spans="2:6" x14ac:dyDescent="0.25">
      <c r="B205" s="2"/>
      <c r="C205" s="3"/>
      <c r="D205" s="2"/>
      <c r="E205" s="2"/>
      <c r="F205" s="2"/>
    </row>
    <row r="206" spans="2:6" x14ac:dyDescent="0.25">
      <c r="B206" s="2"/>
      <c r="C206" s="3"/>
      <c r="D206" s="2"/>
      <c r="E206" s="2"/>
      <c r="F206" s="2"/>
    </row>
    <row r="207" spans="2:6" x14ac:dyDescent="0.25">
      <c r="B207" s="2"/>
      <c r="C207" s="3"/>
      <c r="D207" s="2"/>
      <c r="E207" s="2"/>
      <c r="F207" s="2"/>
    </row>
    <row r="208" spans="2:6" x14ac:dyDescent="0.25">
      <c r="B208" s="2"/>
      <c r="C208" s="3"/>
      <c r="D208" s="2"/>
      <c r="E208" s="2"/>
      <c r="F208" s="2"/>
    </row>
    <row r="209" spans="2:6" x14ac:dyDescent="0.25">
      <c r="B209" s="2"/>
      <c r="C209" s="3"/>
      <c r="D209" s="2"/>
      <c r="E209" s="2"/>
      <c r="F209" s="2"/>
    </row>
    <row r="210" spans="2:6" x14ac:dyDescent="0.25">
      <c r="B210" s="2"/>
      <c r="C210" s="3"/>
      <c r="D210" s="2"/>
      <c r="E210" s="2"/>
      <c r="F210" s="2"/>
    </row>
    <row r="211" spans="2:6" x14ac:dyDescent="0.25">
      <c r="B211" s="2"/>
      <c r="C211" s="3"/>
      <c r="D211" s="2"/>
      <c r="E211" s="2"/>
      <c r="F211" s="2"/>
    </row>
    <row r="212" spans="2:6" x14ac:dyDescent="0.25">
      <c r="B212" s="2"/>
      <c r="C212" s="3"/>
      <c r="D212" s="2"/>
      <c r="E212" s="2"/>
      <c r="F212" s="2"/>
    </row>
    <row r="213" spans="2:6" x14ac:dyDescent="0.25">
      <c r="B213" s="2"/>
      <c r="C213" s="3"/>
      <c r="D213" s="2"/>
      <c r="E213" s="2"/>
      <c r="F213" s="2"/>
    </row>
    <row r="214" spans="2:6" x14ac:dyDescent="0.25">
      <c r="B214" s="2"/>
      <c r="C214" s="3"/>
      <c r="D214" s="2"/>
      <c r="E214" s="2"/>
      <c r="F214" s="2"/>
    </row>
    <row r="215" spans="2:6" x14ac:dyDescent="0.25">
      <c r="B215" s="2"/>
      <c r="C215" s="3"/>
      <c r="D215" s="2"/>
      <c r="E215" s="2"/>
      <c r="F215" s="2"/>
    </row>
    <row r="216" spans="2:6" x14ac:dyDescent="0.25">
      <c r="B216" s="2"/>
      <c r="C216" s="3"/>
      <c r="D216" s="2"/>
      <c r="E216" s="2"/>
      <c r="F216" s="2"/>
    </row>
    <row r="217" spans="2:6" x14ac:dyDescent="0.25">
      <c r="B217" s="2"/>
      <c r="C217" s="3"/>
      <c r="D217" s="2"/>
      <c r="E217" s="2"/>
      <c r="F217" s="2"/>
    </row>
    <row r="218" spans="2:6" x14ac:dyDescent="0.25">
      <c r="B218" s="2"/>
      <c r="C218" s="3"/>
      <c r="D218" s="2"/>
      <c r="E218" s="2"/>
      <c r="F218" s="2"/>
    </row>
    <row r="219" spans="2:6" x14ac:dyDescent="0.25">
      <c r="B219" s="2"/>
      <c r="C219" s="3"/>
      <c r="D219" s="2"/>
      <c r="E219" s="2"/>
      <c r="F219" s="2"/>
    </row>
    <row r="220" spans="2:6" x14ac:dyDescent="0.25">
      <c r="B220" s="2"/>
      <c r="C220" s="3"/>
      <c r="D220" s="2"/>
      <c r="E220" s="2"/>
      <c r="F220" s="2"/>
    </row>
    <row r="221" spans="2:6" x14ac:dyDescent="0.25">
      <c r="B221" s="2"/>
      <c r="C221" s="3"/>
      <c r="D221" s="2"/>
      <c r="E221" s="2"/>
      <c r="F221" s="2"/>
    </row>
    <row r="222" spans="2:6" x14ac:dyDescent="0.25">
      <c r="B222" s="2"/>
      <c r="C222" s="3"/>
      <c r="D222" s="2"/>
      <c r="E222" s="2"/>
      <c r="F222" s="2"/>
    </row>
    <row r="223" spans="2:6" x14ac:dyDescent="0.25">
      <c r="B223" s="2"/>
      <c r="C223" s="3"/>
      <c r="D223" s="2"/>
      <c r="E223" s="2"/>
      <c r="F223" s="2"/>
    </row>
    <row r="224" spans="2:6" x14ac:dyDescent="0.25">
      <c r="B224" s="2"/>
      <c r="C224" s="3"/>
      <c r="D224" s="2"/>
      <c r="E224" s="2"/>
      <c r="F224" s="2"/>
    </row>
    <row r="225" spans="2:6" x14ac:dyDescent="0.25">
      <c r="B225" s="2"/>
      <c r="C225" s="3"/>
      <c r="D225" s="2"/>
      <c r="E225" s="2"/>
      <c r="F225" s="2"/>
    </row>
    <row r="226" spans="2:6" x14ac:dyDescent="0.25">
      <c r="B226" s="2"/>
      <c r="C226" s="3"/>
      <c r="D226" s="2"/>
      <c r="E226" s="2"/>
      <c r="F226" s="2"/>
    </row>
    <row r="227" spans="2:6" x14ac:dyDescent="0.25">
      <c r="B227" s="2"/>
      <c r="C227" s="3"/>
      <c r="D227" s="2"/>
      <c r="E227" s="2"/>
      <c r="F227" s="2"/>
    </row>
    <row r="228" spans="2:6" x14ac:dyDescent="0.25">
      <c r="B228" s="2"/>
      <c r="C228" s="3"/>
      <c r="D228" s="2"/>
      <c r="E228" s="2"/>
      <c r="F228" s="2"/>
    </row>
    <row r="229" spans="2:6" x14ac:dyDescent="0.25">
      <c r="B229" s="2"/>
      <c r="C229" s="3"/>
      <c r="D229" s="2"/>
      <c r="E229" s="2"/>
      <c r="F229" s="2"/>
    </row>
    <row r="230" spans="2:6" x14ac:dyDescent="0.25">
      <c r="B230" s="2"/>
      <c r="C230" s="3"/>
      <c r="D230" s="2"/>
      <c r="E230" s="2"/>
      <c r="F230" s="2"/>
    </row>
    <row r="231" spans="2:6" x14ac:dyDescent="0.25">
      <c r="B231" s="2"/>
      <c r="C231" s="3"/>
      <c r="D231" s="2"/>
      <c r="E231" s="2"/>
      <c r="F231" s="2"/>
    </row>
    <row r="232" spans="2:6" x14ac:dyDescent="0.25">
      <c r="B232" s="2"/>
      <c r="C232" s="3"/>
      <c r="D232" s="2"/>
      <c r="E232" s="2"/>
      <c r="F232" s="2"/>
    </row>
    <row r="233" spans="2:6" x14ac:dyDescent="0.25">
      <c r="B233" s="2"/>
      <c r="C233" s="3"/>
      <c r="D233" s="2"/>
      <c r="E233" s="2"/>
      <c r="F233" s="2"/>
    </row>
    <row r="234" spans="2:6" x14ac:dyDescent="0.25">
      <c r="B234" s="2"/>
      <c r="C234" s="3"/>
      <c r="D234" s="2"/>
      <c r="E234" s="2"/>
      <c r="F234" s="2"/>
    </row>
    <row r="235" spans="2:6" x14ac:dyDescent="0.25">
      <c r="B235" s="2"/>
      <c r="C235" s="3"/>
      <c r="D235" s="2"/>
      <c r="E235" s="2"/>
      <c r="F235" s="2"/>
    </row>
    <row r="236" spans="2:6" x14ac:dyDescent="0.25">
      <c r="B236" s="2"/>
      <c r="C236" s="3"/>
      <c r="D236" s="2"/>
      <c r="E236" s="2"/>
      <c r="F236" s="2"/>
    </row>
    <row r="237" spans="2:6" x14ac:dyDescent="0.25">
      <c r="B237" s="2"/>
      <c r="C237" s="3"/>
      <c r="D237" s="2"/>
      <c r="E237" s="2"/>
      <c r="F237" s="2"/>
    </row>
    <row r="238" spans="2:6" x14ac:dyDescent="0.25">
      <c r="B238" s="2"/>
      <c r="C238" s="3"/>
      <c r="D238" s="2"/>
      <c r="E238" s="2"/>
      <c r="F238" s="2"/>
    </row>
    <row r="239" spans="2:6" x14ac:dyDescent="0.25">
      <c r="B239" s="2"/>
      <c r="C239" s="3"/>
      <c r="D239" s="2"/>
      <c r="E239" s="2"/>
      <c r="F239" s="2"/>
    </row>
    <row r="240" spans="2:6" x14ac:dyDescent="0.25">
      <c r="B240" s="2"/>
      <c r="C240" s="3"/>
      <c r="D240" s="2"/>
      <c r="E240" s="2"/>
      <c r="F240" s="2"/>
    </row>
    <row r="241" spans="2:6" x14ac:dyDescent="0.25">
      <c r="B241" s="2"/>
      <c r="C241" s="3"/>
      <c r="D241" s="2"/>
      <c r="E241" s="2"/>
      <c r="F241" s="2"/>
    </row>
    <row r="242" spans="2:6" x14ac:dyDescent="0.25">
      <c r="B242" s="2"/>
      <c r="C242" s="3"/>
      <c r="D242" s="2"/>
      <c r="E242" s="2"/>
      <c r="F242" s="2"/>
    </row>
    <row r="243" spans="2:6" x14ac:dyDescent="0.25">
      <c r="B243" s="2"/>
      <c r="C243" s="3"/>
      <c r="D243" s="2"/>
      <c r="E243" s="2"/>
      <c r="F243" s="2"/>
    </row>
    <row r="244" spans="2:6" x14ac:dyDescent="0.25">
      <c r="B244" s="2"/>
      <c r="C244" s="3"/>
      <c r="D244" s="2"/>
      <c r="E244" s="2"/>
      <c r="F244" s="2"/>
    </row>
    <row r="245" spans="2:6" x14ac:dyDescent="0.25">
      <c r="B245" s="2"/>
      <c r="C245" s="3"/>
      <c r="D245" s="2"/>
      <c r="E245" s="2"/>
      <c r="F245" s="2"/>
    </row>
    <row r="246" spans="2:6" x14ac:dyDescent="0.25">
      <c r="B246" s="2"/>
      <c r="C246" s="3"/>
      <c r="D246" s="2"/>
      <c r="E246" s="2"/>
      <c r="F246" s="2"/>
    </row>
    <row r="247" spans="2:6" x14ac:dyDescent="0.25">
      <c r="B247" s="2"/>
      <c r="C247" s="3"/>
      <c r="D247" s="2"/>
      <c r="E247" s="2"/>
      <c r="F247" s="2"/>
    </row>
    <row r="248" spans="2:6" x14ac:dyDescent="0.25">
      <c r="B248" s="2"/>
      <c r="C248" s="3"/>
      <c r="D248" s="2"/>
      <c r="E248" s="2"/>
      <c r="F248" s="2"/>
    </row>
    <row r="249" spans="2:6" x14ac:dyDescent="0.25">
      <c r="B249" s="2"/>
      <c r="C249" s="3"/>
      <c r="D249" s="2"/>
      <c r="E249" s="2"/>
      <c r="F249" s="2"/>
    </row>
    <row r="250" spans="2:6" x14ac:dyDescent="0.25">
      <c r="B250" s="2"/>
      <c r="C250" s="3"/>
      <c r="D250" s="2"/>
      <c r="E250" s="2"/>
      <c r="F250" s="2"/>
    </row>
    <row r="251" spans="2:6" x14ac:dyDescent="0.25">
      <c r="B251" s="2"/>
      <c r="C251" s="3"/>
      <c r="D251" s="2"/>
      <c r="E251" s="2"/>
      <c r="F251" s="2"/>
    </row>
    <row r="252" spans="2:6" x14ac:dyDescent="0.25">
      <c r="B252" s="2"/>
      <c r="C252" s="3"/>
      <c r="D252" s="2"/>
      <c r="E252" s="2"/>
      <c r="F252" s="2"/>
    </row>
    <row r="253" spans="2:6" x14ac:dyDescent="0.25">
      <c r="B253" s="2"/>
      <c r="C253" s="3"/>
      <c r="D253" s="2"/>
      <c r="E253" s="2"/>
      <c r="F253" s="2"/>
    </row>
    <row r="254" spans="2:6" x14ac:dyDescent="0.25">
      <c r="B254" s="2"/>
      <c r="C254" s="3"/>
      <c r="D254" s="2"/>
      <c r="E254" s="2"/>
      <c r="F254" s="2"/>
    </row>
    <row r="255" spans="2:6" x14ac:dyDescent="0.25">
      <c r="B255" s="2"/>
      <c r="C255" s="3"/>
      <c r="D255" s="2"/>
      <c r="E255" s="2"/>
      <c r="F255" s="2"/>
    </row>
    <row r="256" spans="2:6" x14ac:dyDescent="0.25">
      <c r="B256" s="2"/>
      <c r="C256" s="3"/>
      <c r="D256" s="2"/>
      <c r="E256" s="2"/>
      <c r="F256" s="2"/>
    </row>
    <row r="257" spans="2:6" x14ac:dyDescent="0.25">
      <c r="B257" s="2"/>
      <c r="C257" s="3"/>
      <c r="D257" s="2"/>
      <c r="E257" s="2"/>
      <c r="F257" s="2"/>
    </row>
    <row r="258" spans="2:6" x14ac:dyDescent="0.25">
      <c r="B258" s="2"/>
      <c r="C258" s="3"/>
      <c r="D258" s="2"/>
      <c r="E258" s="2"/>
      <c r="F258" s="2"/>
    </row>
    <row r="259" spans="2:6" x14ac:dyDescent="0.25">
      <c r="B259" s="2"/>
      <c r="C259" s="3"/>
      <c r="D259" s="2"/>
      <c r="E259" s="2"/>
      <c r="F259" s="2"/>
    </row>
    <row r="260" spans="2:6" x14ac:dyDescent="0.25">
      <c r="B260" s="2"/>
      <c r="C260" s="3"/>
      <c r="D260" s="2"/>
      <c r="E260" s="2"/>
      <c r="F260" s="2"/>
    </row>
    <row r="261" spans="2:6" x14ac:dyDescent="0.25">
      <c r="B261" s="2"/>
      <c r="C261" s="3"/>
      <c r="D261" s="2"/>
      <c r="E261" s="2"/>
      <c r="F261" s="2"/>
    </row>
    <row r="262" spans="2:6" x14ac:dyDescent="0.25">
      <c r="B262" s="2"/>
      <c r="C262" s="3"/>
      <c r="D262" s="2"/>
      <c r="E262" s="2"/>
      <c r="F262" s="2"/>
    </row>
    <row r="263" spans="2:6" x14ac:dyDescent="0.25">
      <c r="B263" s="2"/>
      <c r="C263" s="3"/>
      <c r="D263" s="2"/>
      <c r="E263" s="2"/>
      <c r="F263" s="2"/>
    </row>
    <row r="264" spans="2:6" x14ac:dyDescent="0.25">
      <c r="B264" s="2"/>
      <c r="C264" s="3"/>
      <c r="D264" s="2"/>
      <c r="E264" s="2"/>
      <c r="F264" s="2"/>
    </row>
    <row r="265" spans="2:6" x14ac:dyDescent="0.25">
      <c r="B265" s="2"/>
      <c r="C265" s="3"/>
      <c r="D265" s="2"/>
      <c r="E265" s="2"/>
      <c r="F265" s="2"/>
    </row>
    <row r="266" spans="2:6" x14ac:dyDescent="0.25">
      <c r="B266" s="2"/>
      <c r="C266" s="3"/>
      <c r="D266" s="2"/>
      <c r="E266" s="2"/>
      <c r="F266" s="2"/>
    </row>
    <row r="267" spans="2:6" x14ac:dyDescent="0.25">
      <c r="B267" s="2"/>
      <c r="C267" s="3"/>
      <c r="D267" s="2"/>
      <c r="E267" s="2"/>
      <c r="F267" s="2"/>
    </row>
    <row r="268" spans="2:6" x14ac:dyDescent="0.25">
      <c r="B268" s="2"/>
      <c r="C268" s="3"/>
      <c r="D268" s="2"/>
      <c r="E268" s="2"/>
      <c r="F268" s="2"/>
    </row>
    <row r="269" spans="2:6" x14ac:dyDescent="0.25">
      <c r="B269" s="2"/>
      <c r="C269" s="3"/>
      <c r="D269" s="2"/>
      <c r="E269" s="2"/>
      <c r="F269" s="2"/>
    </row>
    <row r="270" spans="2:6" x14ac:dyDescent="0.25">
      <c r="B270" s="2"/>
      <c r="C270" s="3"/>
      <c r="D270" s="2"/>
      <c r="E270" s="2"/>
      <c r="F270" s="2"/>
    </row>
    <row r="271" spans="2:6" x14ac:dyDescent="0.25">
      <c r="B271" s="2"/>
      <c r="C271" s="3"/>
      <c r="D271" s="2"/>
      <c r="E271" s="2"/>
      <c r="F271" s="2"/>
    </row>
    <row r="272" spans="2:6" x14ac:dyDescent="0.25">
      <c r="B272" s="2"/>
      <c r="C272" s="3"/>
      <c r="D272" s="2"/>
      <c r="E272" s="2"/>
      <c r="F272" s="2"/>
    </row>
    <row r="273" spans="2:6" x14ac:dyDescent="0.25">
      <c r="B273" s="2"/>
      <c r="C273" s="3"/>
      <c r="D273" s="2"/>
      <c r="E273" s="2"/>
      <c r="F273" s="2"/>
    </row>
    <row r="274" spans="2:6" x14ac:dyDescent="0.25">
      <c r="B274" s="2"/>
      <c r="C274" s="3"/>
      <c r="D274" s="2"/>
      <c r="E274" s="2"/>
      <c r="F274" s="2"/>
    </row>
    <row r="275" spans="2:6" x14ac:dyDescent="0.25">
      <c r="B275" s="2"/>
      <c r="C275" s="3"/>
      <c r="D275" s="2"/>
      <c r="E275" s="2"/>
      <c r="F275" s="2"/>
    </row>
    <row r="276" spans="2:6" x14ac:dyDescent="0.25">
      <c r="B276" s="2"/>
      <c r="C276" s="3"/>
      <c r="D276" s="2"/>
      <c r="E276" s="2"/>
      <c r="F276" s="2"/>
    </row>
    <row r="277" spans="2:6" x14ac:dyDescent="0.25">
      <c r="B277" s="2"/>
      <c r="C277" s="3"/>
      <c r="D277" s="2"/>
      <c r="E277" s="2"/>
      <c r="F277" s="2"/>
    </row>
    <row r="278" spans="2:6" x14ac:dyDescent="0.25">
      <c r="B278" s="2"/>
      <c r="C278" s="3"/>
      <c r="D278" s="2"/>
      <c r="E278" s="2"/>
      <c r="F278" s="2"/>
    </row>
    <row r="279" spans="2:6" x14ac:dyDescent="0.25">
      <c r="B279" s="2"/>
      <c r="C279" s="3"/>
      <c r="D279" s="2"/>
      <c r="E279" s="2"/>
      <c r="F279" s="2"/>
    </row>
    <row r="280" spans="2:6" x14ac:dyDescent="0.25">
      <c r="B280" s="2"/>
      <c r="C280" s="3"/>
      <c r="D280" s="2"/>
      <c r="E280" s="2"/>
      <c r="F280" s="2"/>
    </row>
    <row r="281" spans="2:6" x14ac:dyDescent="0.25">
      <c r="B281" s="2"/>
      <c r="C281" s="3"/>
      <c r="D281" s="2"/>
      <c r="E281" s="2"/>
      <c r="F281" s="2"/>
    </row>
    <row r="282" spans="2:6" x14ac:dyDescent="0.25">
      <c r="B282" s="2"/>
      <c r="C282" s="3"/>
      <c r="D282" s="2"/>
      <c r="E282" s="2"/>
      <c r="F282" s="2"/>
    </row>
    <row r="283" spans="2:6" x14ac:dyDescent="0.25">
      <c r="B283" s="2"/>
      <c r="C283" s="3"/>
      <c r="D283" s="2"/>
      <c r="E283" s="2"/>
      <c r="F283" s="2"/>
    </row>
    <row r="284" spans="2:6" x14ac:dyDescent="0.25">
      <c r="B284" s="2"/>
      <c r="C284" s="3"/>
      <c r="D284" s="2"/>
      <c r="E284" s="2"/>
      <c r="F284" s="2"/>
    </row>
    <row r="285" spans="2:6" x14ac:dyDescent="0.25">
      <c r="B285" s="2"/>
      <c r="C285" s="3"/>
      <c r="D285" s="2"/>
      <c r="E285" s="2"/>
      <c r="F285" s="2"/>
    </row>
    <row r="286" spans="2:6" x14ac:dyDescent="0.25">
      <c r="B286" s="2"/>
      <c r="C286" s="3"/>
      <c r="D286" s="2"/>
      <c r="E286" s="2"/>
      <c r="F286" s="2"/>
    </row>
    <row r="287" spans="2:6" x14ac:dyDescent="0.25">
      <c r="B287" s="2"/>
      <c r="C287" s="3"/>
      <c r="D287" s="2"/>
      <c r="E287" s="2"/>
      <c r="F287" s="2"/>
    </row>
    <row r="288" spans="2:6" x14ac:dyDescent="0.25">
      <c r="B288" s="2"/>
      <c r="C288" s="3"/>
      <c r="D288" s="2"/>
      <c r="E288" s="2"/>
      <c r="F288" s="2"/>
    </row>
    <row r="289" spans="2:6" x14ac:dyDescent="0.25">
      <c r="B289" s="2"/>
      <c r="C289" s="3"/>
      <c r="D289" s="2"/>
      <c r="E289" s="2"/>
      <c r="F289" s="2"/>
    </row>
    <row r="290" spans="2:6" x14ac:dyDescent="0.25">
      <c r="B290" s="2"/>
      <c r="C290" s="3"/>
      <c r="D290" s="2"/>
      <c r="E290" s="2"/>
      <c r="F290" s="2"/>
    </row>
    <row r="291" spans="2:6" x14ac:dyDescent="0.25">
      <c r="B291" s="2"/>
      <c r="C291" s="3"/>
      <c r="D291" s="2"/>
      <c r="E291" s="2"/>
      <c r="F291" s="2"/>
    </row>
    <row r="292" spans="2:6" x14ac:dyDescent="0.25">
      <c r="B292" s="2"/>
      <c r="C292" s="3"/>
      <c r="D292" s="2"/>
      <c r="E292" s="2"/>
      <c r="F292" s="2"/>
    </row>
    <row r="293" spans="2:6" x14ac:dyDescent="0.25">
      <c r="B293" s="2"/>
      <c r="C293" s="3"/>
      <c r="D293" s="2"/>
      <c r="E293" s="2"/>
      <c r="F293" s="2"/>
    </row>
    <row r="294" spans="2:6" x14ac:dyDescent="0.25">
      <c r="B294" s="2"/>
      <c r="C294" s="3"/>
      <c r="D294" s="2"/>
      <c r="E294" s="2"/>
      <c r="F294" s="2"/>
    </row>
    <row r="295" spans="2:6" x14ac:dyDescent="0.25">
      <c r="B295" s="2"/>
      <c r="C295" s="3"/>
      <c r="D295" s="2"/>
      <c r="E295" s="2"/>
      <c r="F295" s="2"/>
    </row>
    <row r="296" spans="2:6" x14ac:dyDescent="0.25">
      <c r="B296" s="2"/>
      <c r="C296" s="3"/>
      <c r="D296" s="2"/>
      <c r="E296" s="2"/>
      <c r="F296" s="2"/>
    </row>
    <row r="297" spans="2:6" x14ac:dyDescent="0.25">
      <c r="B297" s="2"/>
      <c r="C297" s="3"/>
      <c r="D297" s="2"/>
      <c r="E297" s="2"/>
      <c r="F297" s="2"/>
    </row>
    <row r="298" spans="2:6" x14ac:dyDescent="0.25">
      <c r="B298" s="2"/>
      <c r="C298" s="3"/>
      <c r="D298" s="2"/>
      <c r="E298" s="2"/>
      <c r="F298" s="2"/>
    </row>
    <row r="299" spans="2:6" x14ac:dyDescent="0.25">
      <c r="B299" s="2"/>
      <c r="C299" s="3"/>
      <c r="D299" s="2"/>
      <c r="E299" s="2"/>
      <c r="F299" s="2"/>
    </row>
    <row r="300" spans="2:6" x14ac:dyDescent="0.25">
      <c r="B300" s="2"/>
      <c r="C300" s="3"/>
      <c r="D300" s="2"/>
      <c r="E300" s="2"/>
      <c r="F300" s="2"/>
    </row>
    <row r="301" spans="2:6" x14ac:dyDescent="0.25">
      <c r="B301" s="2"/>
      <c r="C301" s="3"/>
      <c r="D301" s="2"/>
      <c r="E301" s="2"/>
      <c r="F301" s="2"/>
    </row>
    <row r="302" spans="2:6" x14ac:dyDescent="0.25">
      <c r="B302" s="2"/>
      <c r="C302" s="3"/>
      <c r="D302" s="2"/>
      <c r="E302" s="2"/>
      <c r="F302" s="2"/>
    </row>
    <row r="303" spans="2:6" x14ac:dyDescent="0.25">
      <c r="B303" s="2"/>
      <c r="C303" s="3"/>
      <c r="D303" s="2"/>
      <c r="E303" s="2"/>
      <c r="F303" s="2"/>
    </row>
    <row r="304" spans="2:6" x14ac:dyDescent="0.25">
      <c r="B304" s="2"/>
      <c r="C304" s="3"/>
      <c r="D304" s="2"/>
      <c r="E304" s="2"/>
      <c r="F304" s="2"/>
    </row>
    <row r="305" spans="2:6" x14ac:dyDescent="0.25">
      <c r="B305" s="2"/>
      <c r="C305" s="3"/>
      <c r="D305" s="2"/>
      <c r="E305" s="2"/>
      <c r="F305" s="2"/>
    </row>
    <row r="306" spans="2:6" x14ac:dyDescent="0.25">
      <c r="B306" s="2"/>
      <c r="C306" s="3"/>
      <c r="D306" s="2"/>
      <c r="E306" s="2"/>
      <c r="F306" s="2"/>
    </row>
    <row r="307" spans="2:6" x14ac:dyDescent="0.25">
      <c r="B307" s="2"/>
      <c r="C307" s="3"/>
      <c r="D307" s="2"/>
      <c r="E307" s="2"/>
      <c r="F307" s="2"/>
    </row>
    <row r="308" spans="2:6" x14ac:dyDescent="0.25">
      <c r="B308" s="2"/>
      <c r="C308" s="3"/>
      <c r="D308" s="2"/>
      <c r="E308" s="2"/>
      <c r="F308" s="2"/>
    </row>
    <row r="309" spans="2:6" x14ac:dyDescent="0.25">
      <c r="B309" s="2"/>
      <c r="C309" s="3"/>
      <c r="D309" s="2"/>
      <c r="E309" s="2"/>
      <c r="F309" s="2"/>
    </row>
    <row r="310" spans="2:6" x14ac:dyDescent="0.25">
      <c r="B310" s="2"/>
      <c r="C310" s="3"/>
      <c r="D310" s="2"/>
      <c r="E310" s="2"/>
      <c r="F310" s="2"/>
    </row>
    <row r="311" spans="2:6" x14ac:dyDescent="0.25">
      <c r="B311" s="2"/>
      <c r="C311" s="3"/>
      <c r="D311" s="2"/>
      <c r="E311" s="2"/>
      <c r="F311" s="2"/>
    </row>
    <row r="312" spans="2:6" x14ac:dyDescent="0.25">
      <c r="B312" s="2"/>
      <c r="C312" s="3"/>
      <c r="D312" s="2"/>
      <c r="E312" s="2"/>
      <c r="F312" s="2"/>
    </row>
    <row r="313" spans="2:6" x14ac:dyDescent="0.25">
      <c r="B313" s="2"/>
      <c r="C313" s="3"/>
      <c r="D313" s="2"/>
      <c r="E313" s="2"/>
      <c r="F313" s="2"/>
    </row>
    <row r="314" spans="2:6" x14ac:dyDescent="0.25">
      <c r="B314" s="2"/>
      <c r="C314" s="3"/>
      <c r="D314" s="2"/>
      <c r="E314" s="2"/>
      <c r="F314" s="2"/>
    </row>
    <row r="315" spans="2:6" x14ac:dyDescent="0.25">
      <c r="B315" s="2"/>
      <c r="C315" s="3"/>
      <c r="D315" s="2"/>
      <c r="E315" s="2"/>
      <c r="F315" s="2"/>
    </row>
    <row r="316" spans="2:6" x14ac:dyDescent="0.25">
      <c r="B316" s="2"/>
      <c r="C316" s="3"/>
      <c r="D316" s="2"/>
      <c r="E316" s="2"/>
      <c r="F316" s="2"/>
    </row>
    <row r="317" spans="2:6" x14ac:dyDescent="0.25">
      <c r="B317" s="2"/>
      <c r="C317" s="3"/>
      <c r="D317" s="2"/>
      <c r="E317" s="2"/>
      <c r="F317" s="2"/>
    </row>
    <row r="318" spans="2:6" x14ac:dyDescent="0.25">
      <c r="B318" s="2"/>
      <c r="C318" s="3"/>
      <c r="D318" s="2"/>
      <c r="E318" s="2"/>
      <c r="F318" s="2"/>
    </row>
    <row r="319" spans="2:6" x14ac:dyDescent="0.25">
      <c r="B319" s="2"/>
      <c r="C319" s="3"/>
      <c r="D319" s="2"/>
      <c r="E319" s="2"/>
      <c r="F319" s="2"/>
    </row>
    <row r="320" spans="2:6" x14ac:dyDescent="0.25">
      <c r="B320" s="2"/>
      <c r="C320" s="3"/>
      <c r="D320" s="2"/>
      <c r="E320" s="2"/>
      <c r="F320" s="2"/>
    </row>
    <row r="321" spans="2:6" x14ac:dyDescent="0.25">
      <c r="B321" s="2"/>
      <c r="C321" s="3"/>
      <c r="D321" s="2"/>
      <c r="E321" s="2"/>
      <c r="F321" s="2"/>
    </row>
    <row r="322" spans="2:6" x14ac:dyDescent="0.25">
      <c r="B322" s="2"/>
      <c r="C322" s="3"/>
      <c r="D322" s="2"/>
      <c r="E322" s="2"/>
      <c r="F322" s="2"/>
    </row>
    <row r="323" spans="2:6" x14ac:dyDescent="0.25">
      <c r="B323" s="2"/>
      <c r="C323" s="3"/>
      <c r="D323" s="2"/>
      <c r="E323" s="2"/>
      <c r="F323" s="2"/>
    </row>
    <row r="324" spans="2:6" x14ac:dyDescent="0.25">
      <c r="B324" s="2"/>
      <c r="C324" s="3"/>
      <c r="D324" s="2"/>
      <c r="E324" s="2"/>
      <c r="F324" s="2"/>
    </row>
    <row r="325" spans="2:6" x14ac:dyDescent="0.25">
      <c r="B325" s="2"/>
      <c r="C325" s="3"/>
      <c r="D325" s="2"/>
      <c r="E325" s="2"/>
      <c r="F325" s="2"/>
    </row>
    <row r="326" spans="2:6" x14ac:dyDescent="0.25">
      <c r="B326" s="2"/>
      <c r="C326" s="3"/>
      <c r="D326" s="2"/>
      <c r="E326" s="2"/>
      <c r="F326" s="2"/>
    </row>
    <row r="327" spans="2:6" x14ac:dyDescent="0.25">
      <c r="B327" s="2"/>
      <c r="C327" s="3"/>
      <c r="D327" s="2"/>
      <c r="E327" s="2"/>
      <c r="F327" s="2"/>
    </row>
    <row r="328" spans="2:6" x14ac:dyDescent="0.25">
      <c r="B328" s="2"/>
      <c r="C328" s="3"/>
      <c r="D328" s="2"/>
      <c r="E328" s="2"/>
      <c r="F328" s="2"/>
    </row>
    <row r="329" spans="2:6" x14ac:dyDescent="0.25">
      <c r="B329" s="2"/>
      <c r="C329" s="3"/>
      <c r="D329" s="2"/>
      <c r="E329" s="2"/>
      <c r="F329" s="2"/>
    </row>
    <row r="330" spans="2:6" x14ac:dyDescent="0.25">
      <c r="B330" s="2"/>
      <c r="C330" s="3"/>
      <c r="D330" s="2"/>
      <c r="E330" s="2"/>
      <c r="F330" s="2"/>
    </row>
    <row r="331" spans="2:6" x14ac:dyDescent="0.25">
      <c r="B331" s="2"/>
      <c r="C331" s="3"/>
      <c r="D331" s="2"/>
      <c r="E331" s="2"/>
      <c r="F331" s="2"/>
    </row>
    <row r="332" spans="2:6" x14ac:dyDescent="0.25">
      <c r="B332" s="2"/>
      <c r="C332" s="3"/>
      <c r="D332" s="2"/>
      <c r="E332" s="2"/>
      <c r="F332" s="2"/>
    </row>
    <row r="333" spans="2:6" x14ac:dyDescent="0.25">
      <c r="B333" s="2"/>
      <c r="C333" s="3"/>
      <c r="D333" s="2"/>
      <c r="E333" s="2"/>
      <c r="F333" s="2"/>
    </row>
    <row r="334" spans="2:6" x14ac:dyDescent="0.25">
      <c r="B334" s="2"/>
      <c r="C334" s="3"/>
      <c r="D334" s="2"/>
      <c r="E334" s="2"/>
      <c r="F334" s="2"/>
    </row>
    <row r="335" spans="2:6" x14ac:dyDescent="0.25">
      <c r="B335" s="2"/>
      <c r="C335" s="3"/>
      <c r="D335" s="2"/>
      <c r="E335" s="2"/>
      <c r="F335" s="2"/>
    </row>
    <row r="336" spans="2:6" x14ac:dyDescent="0.25">
      <c r="B336" s="2"/>
      <c r="C336" s="3"/>
      <c r="D336" s="2"/>
      <c r="E336" s="2"/>
      <c r="F336" s="2"/>
    </row>
    <row r="337" spans="2:6" x14ac:dyDescent="0.25">
      <c r="B337" s="2"/>
      <c r="C337" s="3"/>
      <c r="D337" s="2"/>
      <c r="E337" s="2"/>
      <c r="F337" s="2"/>
    </row>
    <row r="338" spans="2:6" x14ac:dyDescent="0.25">
      <c r="B338" s="2"/>
      <c r="C338" s="3"/>
      <c r="D338" s="2"/>
      <c r="E338" s="2"/>
      <c r="F338" s="2"/>
    </row>
    <row r="339" spans="2:6" x14ac:dyDescent="0.25">
      <c r="B339" s="2"/>
      <c r="C339" s="3"/>
      <c r="D339" s="2"/>
      <c r="E339" s="2"/>
      <c r="F339" s="2"/>
    </row>
    <row r="340" spans="2:6" x14ac:dyDescent="0.25">
      <c r="B340" s="2"/>
      <c r="C340" s="3"/>
      <c r="D340" s="2"/>
      <c r="E340" s="2"/>
      <c r="F340" s="2"/>
    </row>
    <row r="341" spans="2:6" x14ac:dyDescent="0.25">
      <c r="B341" s="2"/>
      <c r="C341" s="3"/>
      <c r="D341" s="2"/>
      <c r="E341" s="2"/>
      <c r="F341" s="2"/>
    </row>
    <row r="342" spans="2:6" x14ac:dyDescent="0.25">
      <c r="B342" s="2"/>
      <c r="C342" s="3"/>
      <c r="D342" s="2"/>
      <c r="E342" s="2"/>
      <c r="F342" s="2"/>
    </row>
    <row r="343" spans="2:6" x14ac:dyDescent="0.25">
      <c r="B343" s="2"/>
      <c r="C343" s="3"/>
      <c r="D343" s="2"/>
      <c r="E343" s="2"/>
      <c r="F343" s="2"/>
    </row>
    <row r="344" spans="2:6" x14ac:dyDescent="0.25">
      <c r="B344" s="2"/>
      <c r="C344" s="3"/>
      <c r="D344" s="2"/>
      <c r="E344" s="2"/>
      <c r="F344" s="2"/>
    </row>
    <row r="345" spans="2:6" x14ac:dyDescent="0.25">
      <c r="B345" s="2"/>
      <c r="C345" s="3"/>
      <c r="D345" s="2"/>
      <c r="E345" s="2"/>
      <c r="F345" s="2"/>
    </row>
    <row r="346" spans="2:6" x14ac:dyDescent="0.25">
      <c r="B346" s="2"/>
      <c r="C346" s="3"/>
      <c r="D346" s="2"/>
      <c r="E346" s="2"/>
      <c r="F346" s="2"/>
    </row>
    <row r="347" spans="2:6" x14ac:dyDescent="0.25">
      <c r="B347" s="2"/>
      <c r="C347" s="3"/>
      <c r="D347" s="2"/>
      <c r="E347" s="2"/>
      <c r="F347" s="2"/>
    </row>
    <row r="348" spans="2:6" x14ac:dyDescent="0.25">
      <c r="B348" s="2"/>
      <c r="C348" s="3"/>
      <c r="D348" s="2"/>
      <c r="E348" s="2"/>
      <c r="F348" s="2"/>
    </row>
    <row r="349" spans="2:6" x14ac:dyDescent="0.25">
      <c r="B349" s="2"/>
      <c r="C349" s="3"/>
      <c r="D349" s="2"/>
      <c r="E349" s="2"/>
      <c r="F349" s="2"/>
    </row>
    <row r="350" spans="2:6" x14ac:dyDescent="0.25">
      <c r="B350" s="2"/>
      <c r="C350" s="3"/>
      <c r="D350" s="2"/>
      <c r="E350" s="2"/>
      <c r="F350" s="2"/>
    </row>
    <row r="351" spans="2:6" x14ac:dyDescent="0.25">
      <c r="B351" s="2"/>
      <c r="C351" s="3"/>
      <c r="D351" s="2"/>
      <c r="E351" s="2"/>
      <c r="F351" s="2"/>
    </row>
    <row r="352" spans="2:6" x14ac:dyDescent="0.25">
      <c r="B352" s="2"/>
      <c r="C352" s="3"/>
      <c r="D352" s="2"/>
      <c r="E352" s="2"/>
      <c r="F352" s="2"/>
    </row>
    <row r="353" spans="2:6" x14ac:dyDescent="0.25">
      <c r="B353" s="2"/>
      <c r="C353" s="3"/>
      <c r="D353" s="2"/>
      <c r="E353" s="2"/>
      <c r="F353" s="2"/>
    </row>
    <row r="354" spans="2:6" x14ac:dyDescent="0.25">
      <c r="B354" s="2"/>
      <c r="C354" s="3"/>
      <c r="D354" s="2"/>
      <c r="E354" s="2"/>
      <c r="F354" s="2"/>
    </row>
    <row r="355" spans="2:6" x14ac:dyDescent="0.25">
      <c r="B355" s="2"/>
      <c r="C355" s="3"/>
      <c r="D355" s="2"/>
      <c r="E355" s="2"/>
      <c r="F355" s="2"/>
    </row>
    <row r="356" spans="2:6" x14ac:dyDescent="0.25">
      <c r="B356" s="2"/>
      <c r="C356" s="3"/>
      <c r="D356" s="2"/>
      <c r="E356" s="2"/>
      <c r="F356" s="2"/>
    </row>
    <row r="357" spans="2:6" x14ac:dyDescent="0.25">
      <c r="B357" s="2"/>
      <c r="C357" s="3"/>
      <c r="D357" s="2"/>
      <c r="E357" s="2"/>
      <c r="F357" s="2"/>
    </row>
    <row r="358" spans="2:6" x14ac:dyDescent="0.25">
      <c r="B358" s="2"/>
      <c r="C358" s="3"/>
      <c r="D358" s="2"/>
      <c r="E358" s="2"/>
      <c r="F358" s="2"/>
    </row>
    <row r="359" spans="2:6" x14ac:dyDescent="0.25">
      <c r="B359" s="2"/>
      <c r="C359" s="3"/>
      <c r="D359" s="2"/>
      <c r="E359" s="2"/>
      <c r="F359" s="2"/>
    </row>
    <row r="360" spans="2:6" x14ac:dyDescent="0.25">
      <c r="B360" s="2"/>
      <c r="C360" s="3"/>
      <c r="D360" s="2"/>
      <c r="E360" s="2"/>
      <c r="F360" s="2"/>
    </row>
    <row r="361" spans="2:6" x14ac:dyDescent="0.25">
      <c r="B361" s="2"/>
      <c r="C361" s="3"/>
      <c r="D361" s="2"/>
      <c r="E361" s="2"/>
      <c r="F361" s="2"/>
    </row>
    <row r="362" spans="2:6" x14ac:dyDescent="0.25">
      <c r="B362" s="2"/>
      <c r="C362" s="3"/>
      <c r="D362" s="2"/>
      <c r="E362" s="2"/>
      <c r="F362" s="2"/>
    </row>
    <row r="363" spans="2:6" x14ac:dyDescent="0.25">
      <c r="B363" s="2"/>
      <c r="C363" s="3"/>
      <c r="D363" s="2"/>
      <c r="E363" s="2"/>
      <c r="F363" s="2"/>
    </row>
    <row r="364" spans="2:6" x14ac:dyDescent="0.25">
      <c r="B364" s="2"/>
      <c r="C364" s="3"/>
      <c r="D364" s="2"/>
      <c r="E364" s="2"/>
      <c r="F364" s="2"/>
    </row>
    <row r="365" spans="2:6" x14ac:dyDescent="0.25">
      <c r="B365" s="2"/>
      <c r="C365" s="3"/>
      <c r="D365" s="2"/>
      <c r="E365" s="2"/>
      <c r="F365" s="2"/>
    </row>
    <row r="366" spans="2:6" x14ac:dyDescent="0.25">
      <c r="B366" s="2"/>
      <c r="C366" s="3"/>
      <c r="D366" s="2"/>
      <c r="E366" s="2"/>
      <c r="F366" s="2"/>
    </row>
    <row r="367" spans="2:6" x14ac:dyDescent="0.25">
      <c r="B367" s="2"/>
      <c r="C367" s="3"/>
      <c r="D367" s="2"/>
      <c r="E367" s="2"/>
      <c r="F367" s="2"/>
    </row>
    <row r="368" spans="2:6" x14ac:dyDescent="0.25">
      <c r="B368" s="2"/>
      <c r="C368" s="3"/>
      <c r="D368" s="2"/>
      <c r="E368" s="2"/>
      <c r="F368" s="2"/>
    </row>
    <row r="369" spans="2:6" x14ac:dyDescent="0.25">
      <c r="B369" s="2"/>
      <c r="C369" s="3"/>
      <c r="D369" s="2"/>
      <c r="E369" s="2"/>
      <c r="F369" s="2"/>
    </row>
    <row r="370" spans="2:6" x14ac:dyDescent="0.25">
      <c r="B370" s="2"/>
      <c r="C370" s="3"/>
      <c r="D370" s="2"/>
      <c r="E370" s="2"/>
      <c r="F370" s="2"/>
    </row>
    <row r="371" spans="2:6" x14ac:dyDescent="0.25">
      <c r="B371" s="2"/>
      <c r="C371" s="3"/>
      <c r="D371" s="2"/>
      <c r="E371" s="2"/>
      <c r="F371" s="2"/>
    </row>
    <row r="372" spans="2:6" x14ac:dyDescent="0.25">
      <c r="B372" s="2"/>
      <c r="C372" s="3"/>
      <c r="D372" s="2"/>
      <c r="E372" s="2"/>
      <c r="F372" s="2"/>
    </row>
    <row r="373" spans="2:6" x14ac:dyDescent="0.25">
      <c r="B373" s="2"/>
      <c r="C373" s="3"/>
      <c r="D373" s="2"/>
      <c r="E373" s="2"/>
      <c r="F373" s="2"/>
    </row>
    <row r="374" spans="2:6" x14ac:dyDescent="0.25">
      <c r="B374" s="2"/>
      <c r="C374" s="3"/>
      <c r="D374" s="2"/>
      <c r="E374" s="2"/>
      <c r="F374" s="2"/>
    </row>
    <row r="375" spans="2:6" x14ac:dyDescent="0.25">
      <c r="B375" s="2"/>
      <c r="C375" s="3"/>
      <c r="D375" s="2"/>
      <c r="E375" s="2"/>
      <c r="F375" s="2"/>
    </row>
    <row r="376" spans="2:6" x14ac:dyDescent="0.25">
      <c r="B376" s="2"/>
      <c r="C376" s="3"/>
      <c r="D376" s="2"/>
      <c r="E376" s="2"/>
      <c r="F376" s="2"/>
    </row>
    <row r="377" spans="2:6" x14ac:dyDescent="0.25">
      <c r="B377" s="2"/>
      <c r="C377" s="3"/>
      <c r="D377" s="2"/>
      <c r="E377" s="2"/>
      <c r="F377" s="2"/>
    </row>
    <row r="378" spans="2:6" x14ac:dyDescent="0.25">
      <c r="B378" s="2"/>
      <c r="C378" s="3"/>
      <c r="D378" s="2"/>
      <c r="E378" s="2"/>
      <c r="F378" s="2"/>
    </row>
    <row r="379" spans="2:6" x14ac:dyDescent="0.25">
      <c r="B379" s="2"/>
      <c r="C379" s="3"/>
      <c r="D379" s="2"/>
      <c r="E379" s="2"/>
      <c r="F379" s="2"/>
    </row>
    <row r="380" spans="2:6" x14ac:dyDescent="0.25">
      <c r="B380" s="2"/>
      <c r="C380" s="3"/>
      <c r="D380" s="2"/>
      <c r="E380" s="2"/>
      <c r="F380" s="2"/>
    </row>
    <row r="381" spans="2:6" x14ac:dyDescent="0.25">
      <c r="B381" s="2"/>
      <c r="C381" s="3"/>
      <c r="D381" s="2"/>
      <c r="E381" s="2"/>
      <c r="F381" s="2"/>
    </row>
    <row r="382" spans="2:6" x14ac:dyDescent="0.25">
      <c r="B382" s="2"/>
      <c r="C382" s="3"/>
      <c r="D382" s="2"/>
      <c r="E382" s="2"/>
      <c r="F382" s="2"/>
    </row>
    <row r="383" spans="2:6" x14ac:dyDescent="0.25">
      <c r="B383" s="2"/>
      <c r="C383" s="3"/>
      <c r="D383" s="2"/>
      <c r="E383" s="2"/>
      <c r="F383" s="2"/>
    </row>
    <row r="384" spans="2:6" x14ac:dyDescent="0.25">
      <c r="B384" s="2"/>
      <c r="C384" s="3"/>
      <c r="D384" s="2"/>
      <c r="E384" s="2"/>
      <c r="F384" s="2"/>
    </row>
    <row r="385" spans="2:6" x14ac:dyDescent="0.25">
      <c r="B385" s="2"/>
      <c r="C385" s="3"/>
      <c r="D385" s="2"/>
      <c r="E385" s="2"/>
      <c r="F385" s="2"/>
    </row>
    <row r="386" spans="2:6" x14ac:dyDescent="0.25">
      <c r="B386" s="2"/>
      <c r="C386" s="3"/>
      <c r="D386" s="2"/>
      <c r="E386" s="2"/>
      <c r="F386" s="2"/>
    </row>
    <row r="387" spans="2:6" x14ac:dyDescent="0.25">
      <c r="B387" s="2"/>
      <c r="C387" s="3"/>
      <c r="D387" s="2"/>
      <c r="E387" s="2"/>
      <c r="F387" s="2"/>
    </row>
    <row r="388" spans="2:6" x14ac:dyDescent="0.25">
      <c r="B388" s="2"/>
      <c r="C388" s="3"/>
      <c r="D388" s="2"/>
      <c r="E388" s="2"/>
      <c r="F388" s="2"/>
    </row>
    <row r="389" spans="2:6" x14ac:dyDescent="0.25">
      <c r="B389" s="2"/>
      <c r="C389" s="3"/>
      <c r="D389" s="2"/>
      <c r="E389" s="2"/>
      <c r="F389" s="2"/>
    </row>
    <row r="390" spans="2:6" x14ac:dyDescent="0.25">
      <c r="B390" s="2"/>
      <c r="C390" s="3"/>
      <c r="D390" s="2"/>
      <c r="E390" s="2"/>
      <c r="F390" s="2"/>
    </row>
    <row r="391" spans="2:6" x14ac:dyDescent="0.25">
      <c r="B391" s="2"/>
      <c r="C391" s="3"/>
      <c r="D391" s="2"/>
      <c r="E391" s="2"/>
      <c r="F391" s="2"/>
    </row>
    <row r="392" spans="2:6" x14ac:dyDescent="0.25">
      <c r="B392" s="2"/>
      <c r="C392" s="3"/>
      <c r="D392" s="2"/>
      <c r="E392" s="2"/>
      <c r="F392" s="2"/>
    </row>
    <row r="393" spans="2:6" x14ac:dyDescent="0.25">
      <c r="B393" s="2"/>
      <c r="C393" s="3"/>
      <c r="D393" s="2"/>
      <c r="E393" s="2"/>
      <c r="F393" s="2"/>
    </row>
    <row r="394" spans="2:6" x14ac:dyDescent="0.25">
      <c r="B394" s="2"/>
      <c r="C394" s="3"/>
      <c r="D394" s="2"/>
      <c r="E394" s="2"/>
      <c r="F394" s="2"/>
    </row>
    <row r="395" spans="2:6" x14ac:dyDescent="0.25">
      <c r="B395" s="2"/>
      <c r="C395" s="3"/>
      <c r="D395" s="2"/>
      <c r="E395" s="2"/>
      <c r="F395" s="2"/>
    </row>
    <row r="396" spans="2:6" x14ac:dyDescent="0.25">
      <c r="B396" s="2"/>
      <c r="C396" s="3"/>
      <c r="D396" s="2"/>
      <c r="E396" s="2"/>
      <c r="F396" s="2"/>
    </row>
    <row r="397" spans="2:6" x14ac:dyDescent="0.25">
      <c r="B397" s="2"/>
      <c r="C397" s="3"/>
      <c r="D397" s="2"/>
      <c r="E397" s="2"/>
      <c r="F397" s="2"/>
    </row>
    <row r="398" spans="2:6" x14ac:dyDescent="0.25">
      <c r="B398" s="2"/>
      <c r="C398" s="3"/>
      <c r="D398" s="2"/>
      <c r="E398" s="2"/>
      <c r="F398" s="2"/>
    </row>
    <row r="399" spans="2:6" x14ac:dyDescent="0.25">
      <c r="B399" s="2"/>
      <c r="C399" s="3"/>
      <c r="D399" s="2"/>
      <c r="E399" s="2"/>
      <c r="F399" s="2"/>
    </row>
    <row r="400" spans="2:6" x14ac:dyDescent="0.25">
      <c r="B400" s="2"/>
      <c r="C400" s="3"/>
      <c r="D400" s="2"/>
      <c r="E400" s="2"/>
      <c r="F400" s="2"/>
    </row>
    <row r="401" spans="2:6" x14ac:dyDescent="0.25">
      <c r="B401" s="2"/>
      <c r="C401" s="3"/>
      <c r="D401" s="2"/>
      <c r="E401" s="2"/>
      <c r="F401" s="2"/>
    </row>
    <row r="402" spans="2:6" x14ac:dyDescent="0.25">
      <c r="B402" s="2"/>
      <c r="C402" s="3"/>
      <c r="D402" s="2"/>
      <c r="E402" s="2"/>
      <c r="F402" s="2"/>
    </row>
    <row r="403" spans="2:6" x14ac:dyDescent="0.25">
      <c r="B403" s="2"/>
      <c r="C403" s="3"/>
      <c r="D403" s="2"/>
      <c r="E403" s="2"/>
      <c r="F403" s="2"/>
    </row>
    <row r="404" spans="2:6" x14ac:dyDescent="0.25">
      <c r="B404" s="2"/>
      <c r="C404" s="3"/>
      <c r="D404" s="2"/>
      <c r="E404" s="2"/>
      <c r="F404" s="2"/>
    </row>
    <row r="405" spans="2:6" x14ac:dyDescent="0.25">
      <c r="B405" s="2"/>
      <c r="C405" s="3"/>
      <c r="D405" s="2"/>
      <c r="E405" s="2"/>
      <c r="F405" s="2"/>
    </row>
    <row r="406" spans="2:6" x14ac:dyDescent="0.25">
      <c r="B406" s="2"/>
      <c r="C406" s="3"/>
      <c r="D406" s="2"/>
      <c r="E406" s="2"/>
      <c r="F406" s="2"/>
    </row>
    <row r="407" spans="2:6" x14ac:dyDescent="0.25">
      <c r="B407" s="2"/>
      <c r="C407" s="3"/>
      <c r="D407" s="2"/>
      <c r="E407" s="2"/>
      <c r="F407" s="2"/>
    </row>
    <row r="408" spans="2:6" x14ac:dyDescent="0.25">
      <c r="B408" s="2"/>
      <c r="C408" s="3"/>
      <c r="D408" s="2"/>
      <c r="E408" s="2"/>
      <c r="F408" s="2"/>
    </row>
    <row r="409" spans="2:6" x14ac:dyDescent="0.25">
      <c r="B409" s="2"/>
      <c r="C409" s="3"/>
      <c r="D409" s="2"/>
      <c r="E409" s="2"/>
      <c r="F409" s="2"/>
    </row>
    <row r="410" spans="2:6" x14ac:dyDescent="0.25">
      <c r="B410" s="2"/>
      <c r="C410" s="3"/>
      <c r="D410" s="2"/>
      <c r="E410" s="2"/>
      <c r="F410" s="2"/>
    </row>
    <row r="411" spans="2:6" x14ac:dyDescent="0.25">
      <c r="B411" s="2"/>
      <c r="C411" s="3"/>
      <c r="D411" s="2"/>
      <c r="E411" s="2"/>
      <c r="F411" s="2"/>
    </row>
    <row r="412" spans="2:6" x14ac:dyDescent="0.25">
      <c r="B412" s="2"/>
      <c r="C412" s="3"/>
      <c r="D412" s="2"/>
      <c r="E412" s="2"/>
      <c r="F412" s="2"/>
    </row>
    <row r="413" spans="2:6" x14ac:dyDescent="0.25">
      <c r="B413" s="2"/>
      <c r="C413" s="3"/>
      <c r="D413" s="2"/>
      <c r="E413" s="2"/>
      <c r="F413" s="2"/>
    </row>
    <row r="414" spans="2:6" x14ac:dyDescent="0.25">
      <c r="B414" s="2"/>
      <c r="C414" s="3"/>
      <c r="D414" s="2"/>
      <c r="E414" s="2"/>
      <c r="F414" s="2"/>
    </row>
    <row r="415" spans="2:6" x14ac:dyDescent="0.25">
      <c r="B415" s="2"/>
      <c r="C415" s="3"/>
      <c r="D415" s="2"/>
      <c r="E415" s="2"/>
      <c r="F415" s="2"/>
    </row>
    <row r="416" spans="2:6" x14ac:dyDescent="0.25">
      <c r="B416" s="2"/>
      <c r="C416" s="3"/>
      <c r="D416" s="2"/>
      <c r="E416" s="2"/>
      <c r="F416" s="2"/>
    </row>
    <row r="417" spans="2:6" x14ac:dyDescent="0.25">
      <c r="B417" s="2"/>
      <c r="C417" s="3"/>
      <c r="D417" s="2"/>
      <c r="E417" s="2"/>
      <c r="F417" s="2"/>
    </row>
    <row r="418" spans="2:6" x14ac:dyDescent="0.25">
      <c r="B418" s="2"/>
      <c r="C418" s="3"/>
      <c r="D418" s="2"/>
      <c r="E418" s="2"/>
      <c r="F418" s="2"/>
    </row>
    <row r="419" spans="2:6" x14ac:dyDescent="0.25">
      <c r="B419" s="2"/>
      <c r="C419" s="3"/>
      <c r="D419" s="2"/>
      <c r="E419" s="2"/>
      <c r="F419" s="2"/>
    </row>
    <row r="420" spans="2:6" x14ac:dyDescent="0.25">
      <c r="B420" s="2"/>
      <c r="C420" s="3"/>
      <c r="D420" s="2"/>
      <c r="E420" s="2"/>
      <c r="F420" s="2"/>
    </row>
    <row r="421" spans="2:6" x14ac:dyDescent="0.25">
      <c r="B421" s="2"/>
      <c r="C421" s="3"/>
      <c r="D421" s="2"/>
      <c r="E421" s="2"/>
      <c r="F421" s="2"/>
    </row>
    <row r="422" spans="2:6" x14ac:dyDescent="0.25">
      <c r="B422" s="2"/>
      <c r="C422" s="3"/>
      <c r="D422" s="2"/>
      <c r="E422" s="2"/>
      <c r="F422" s="2"/>
    </row>
    <row r="423" spans="2:6" x14ac:dyDescent="0.25">
      <c r="B423" s="2"/>
      <c r="C423" s="3"/>
      <c r="D423" s="2"/>
      <c r="E423" s="2"/>
      <c r="F423" s="2"/>
    </row>
    <row r="424" spans="2:6" x14ac:dyDescent="0.25">
      <c r="B424" s="2"/>
      <c r="C424" s="3"/>
      <c r="D424" s="2"/>
      <c r="E424" s="2"/>
      <c r="F424" s="2"/>
    </row>
    <row r="425" spans="2:6" x14ac:dyDescent="0.25">
      <c r="B425" s="2"/>
      <c r="C425" s="3"/>
      <c r="D425" s="2"/>
      <c r="E425" s="2"/>
      <c r="F425" s="2"/>
    </row>
    <row r="426" spans="2:6" x14ac:dyDescent="0.25">
      <c r="B426" s="2"/>
      <c r="C426" s="3"/>
      <c r="D426" s="2"/>
      <c r="E426" s="2"/>
      <c r="F426" s="2"/>
    </row>
    <row r="427" spans="2:6" x14ac:dyDescent="0.25">
      <c r="B427" s="2"/>
      <c r="C427" s="3"/>
      <c r="D427" s="2"/>
      <c r="E427" s="2"/>
      <c r="F427" s="2"/>
    </row>
    <row r="428" spans="2:6" x14ac:dyDescent="0.25">
      <c r="B428" s="2"/>
      <c r="C428" s="3"/>
      <c r="D428" s="2"/>
      <c r="E428" s="2"/>
      <c r="F428" s="2"/>
    </row>
    <row r="429" spans="2:6" x14ac:dyDescent="0.25">
      <c r="B429" s="2"/>
      <c r="C429" s="3"/>
      <c r="D429" s="2"/>
      <c r="E429" s="2"/>
      <c r="F429" s="2"/>
    </row>
    <row r="430" spans="2:6" x14ac:dyDescent="0.25">
      <c r="B430" s="2"/>
      <c r="C430" s="3"/>
      <c r="D430" s="2"/>
      <c r="E430" s="2"/>
      <c r="F430" s="2"/>
    </row>
    <row r="431" spans="2:6" x14ac:dyDescent="0.25">
      <c r="B431" s="2"/>
      <c r="C431" s="3"/>
      <c r="D431" s="2"/>
      <c r="E431" s="2"/>
      <c r="F431" s="2"/>
    </row>
    <row r="432" spans="2:6" x14ac:dyDescent="0.25">
      <c r="B432" s="2"/>
      <c r="C432" s="3"/>
      <c r="D432" s="2"/>
      <c r="E432" s="2"/>
      <c r="F432" s="2"/>
    </row>
    <row r="433" spans="2:6" x14ac:dyDescent="0.25">
      <c r="B433" s="2"/>
      <c r="C433" s="3"/>
      <c r="D433" s="2"/>
      <c r="E433" s="2"/>
      <c r="F433" s="2"/>
    </row>
    <row r="434" spans="2:6" x14ac:dyDescent="0.25">
      <c r="B434" s="2"/>
      <c r="C434" s="3"/>
      <c r="D434" s="2"/>
      <c r="E434" s="2"/>
      <c r="F434" s="2"/>
    </row>
    <row r="435" spans="2:6" x14ac:dyDescent="0.25">
      <c r="B435" s="2"/>
      <c r="C435" s="3"/>
      <c r="D435" s="2"/>
      <c r="E435" s="2"/>
      <c r="F435" s="2"/>
    </row>
    <row r="436" spans="2:6" x14ac:dyDescent="0.25">
      <c r="B436" s="2"/>
      <c r="C436" s="3"/>
      <c r="D436" s="2"/>
      <c r="E436" s="2"/>
      <c r="F436" s="2"/>
    </row>
    <row r="437" spans="2:6" x14ac:dyDescent="0.25">
      <c r="B437" s="2"/>
      <c r="C437" s="3"/>
      <c r="D437" s="2"/>
      <c r="E437" s="2"/>
      <c r="F437" s="2"/>
    </row>
    <row r="438" spans="2:6" x14ac:dyDescent="0.25">
      <c r="B438" s="2"/>
      <c r="C438" s="3"/>
      <c r="D438" s="2"/>
      <c r="E438" s="2"/>
      <c r="F438" s="2"/>
    </row>
    <row r="439" spans="2:6" x14ac:dyDescent="0.25">
      <c r="B439" s="2"/>
      <c r="C439" s="3"/>
      <c r="D439" s="2"/>
      <c r="E439" s="2"/>
      <c r="F439" s="2"/>
    </row>
    <row r="440" spans="2:6" x14ac:dyDescent="0.25">
      <c r="B440" s="2"/>
      <c r="C440" s="3"/>
      <c r="D440" s="2"/>
      <c r="E440" s="2"/>
      <c r="F440" s="2"/>
    </row>
    <row r="441" spans="2:6" x14ac:dyDescent="0.25">
      <c r="B441" s="2"/>
      <c r="C441" s="3"/>
      <c r="D441" s="2"/>
      <c r="E441" s="2"/>
      <c r="F441" s="2"/>
    </row>
    <row r="442" spans="2:6" x14ac:dyDescent="0.25">
      <c r="B442" s="2"/>
      <c r="C442" s="3"/>
      <c r="D442" s="2"/>
      <c r="E442" s="2"/>
      <c r="F442" s="2"/>
    </row>
    <row r="443" spans="2:6" x14ac:dyDescent="0.25">
      <c r="B443" s="2"/>
      <c r="C443" s="3"/>
      <c r="D443" s="2"/>
      <c r="E443" s="2"/>
      <c r="F443" s="2"/>
    </row>
    <row r="444" spans="2:6" x14ac:dyDescent="0.25">
      <c r="B444" s="2"/>
      <c r="C444" s="3"/>
      <c r="D444" s="2"/>
      <c r="E444" s="2"/>
      <c r="F444" s="2"/>
    </row>
    <row r="445" spans="2:6" x14ac:dyDescent="0.25">
      <c r="B445" s="2"/>
      <c r="C445" s="3"/>
      <c r="D445" s="2"/>
      <c r="E445" s="2"/>
      <c r="F445" s="2"/>
    </row>
    <row r="446" spans="2:6" x14ac:dyDescent="0.25">
      <c r="B446" s="2"/>
      <c r="C446" s="3"/>
      <c r="D446" s="2"/>
      <c r="E446" s="2"/>
      <c r="F446" s="2"/>
    </row>
    <row r="447" spans="2:6" x14ac:dyDescent="0.25">
      <c r="B447" s="2"/>
      <c r="C447" s="3"/>
      <c r="D447" s="2"/>
      <c r="E447" s="2"/>
      <c r="F447" s="2"/>
    </row>
    <row r="448" spans="2:6" x14ac:dyDescent="0.25">
      <c r="B448" s="2"/>
      <c r="C448" s="3"/>
      <c r="D448" s="2"/>
      <c r="E448" s="2"/>
      <c r="F448" s="2"/>
    </row>
    <row r="449" spans="2:6" x14ac:dyDescent="0.25">
      <c r="B449" s="2"/>
      <c r="C449" s="3"/>
      <c r="D449" s="2"/>
      <c r="E449" s="2"/>
      <c r="F449" s="2"/>
    </row>
    <row r="450" spans="2:6" x14ac:dyDescent="0.25">
      <c r="B450" s="2"/>
      <c r="C450" s="3"/>
      <c r="D450" s="2"/>
      <c r="E450" s="2"/>
      <c r="F450" s="2"/>
    </row>
    <row r="451" spans="2:6" x14ac:dyDescent="0.25">
      <c r="B451" s="2"/>
      <c r="C451" s="3"/>
      <c r="D451" s="2"/>
      <c r="E451" s="2"/>
      <c r="F451" s="2"/>
    </row>
    <row r="452" spans="2:6" x14ac:dyDescent="0.25">
      <c r="B452" s="2"/>
      <c r="C452" s="3"/>
      <c r="D452" s="2"/>
      <c r="E452" s="2"/>
      <c r="F452" s="2"/>
    </row>
    <row r="453" spans="2:6" x14ac:dyDescent="0.25">
      <c r="B453" s="2"/>
      <c r="C453" s="3"/>
      <c r="D453" s="2"/>
      <c r="E453" s="2"/>
      <c r="F453" s="2"/>
    </row>
    <row r="454" spans="2:6" x14ac:dyDescent="0.25">
      <c r="B454" s="2"/>
      <c r="C454" s="3"/>
      <c r="D454" s="2"/>
      <c r="E454" s="2"/>
      <c r="F454" s="2"/>
    </row>
    <row r="455" spans="2:6" x14ac:dyDescent="0.25">
      <c r="B455" s="2"/>
      <c r="C455" s="3"/>
      <c r="D455" s="2"/>
      <c r="E455" s="2"/>
      <c r="F455" s="2"/>
    </row>
    <row r="456" spans="2:6" x14ac:dyDescent="0.25">
      <c r="B456" s="2"/>
      <c r="C456" s="3"/>
      <c r="D456" s="2"/>
      <c r="E456" s="2"/>
      <c r="F456" s="2"/>
    </row>
    <row r="457" spans="2:6" x14ac:dyDescent="0.25">
      <c r="B457" s="2"/>
      <c r="C457" s="3"/>
      <c r="D457" s="2"/>
      <c r="E457" s="2"/>
      <c r="F457" s="2"/>
    </row>
    <row r="458" spans="2:6" x14ac:dyDescent="0.25">
      <c r="B458" s="2"/>
      <c r="C458" s="3"/>
      <c r="D458" s="2"/>
      <c r="E458" s="2"/>
      <c r="F458" s="2"/>
    </row>
    <row r="459" spans="2:6" x14ac:dyDescent="0.25">
      <c r="B459" s="2"/>
      <c r="C459" s="3"/>
      <c r="D459" s="2"/>
      <c r="E459" s="2"/>
      <c r="F459" s="2"/>
    </row>
    <row r="460" spans="2:6" x14ac:dyDescent="0.25">
      <c r="B460" s="2"/>
      <c r="C460" s="3"/>
      <c r="D460" s="2"/>
      <c r="E460" s="2"/>
      <c r="F460" s="2"/>
    </row>
    <row r="461" spans="2:6" x14ac:dyDescent="0.25">
      <c r="B461" s="2"/>
      <c r="C461" s="3"/>
      <c r="D461" s="2"/>
      <c r="E461" s="2"/>
      <c r="F461" s="2"/>
    </row>
    <row r="462" spans="2:6" x14ac:dyDescent="0.25">
      <c r="B462" s="2"/>
      <c r="C462" s="3"/>
      <c r="D462" s="2"/>
      <c r="E462" s="2"/>
      <c r="F462" s="2"/>
    </row>
    <row r="463" spans="2:6" x14ac:dyDescent="0.25">
      <c r="B463" s="2"/>
      <c r="C463" s="3"/>
      <c r="D463" s="2"/>
      <c r="E463" s="2"/>
      <c r="F463" s="2"/>
    </row>
    <row r="464" spans="2:6" x14ac:dyDescent="0.25">
      <c r="B464" s="2"/>
      <c r="C464" s="3"/>
      <c r="D464" s="2"/>
      <c r="E464" s="2"/>
      <c r="F464" s="2"/>
    </row>
    <row r="465" spans="2:6" x14ac:dyDescent="0.25">
      <c r="B465" s="2"/>
      <c r="C465" s="3"/>
      <c r="D465" s="2"/>
      <c r="E465" s="2"/>
      <c r="F465" s="2"/>
    </row>
    <row r="466" spans="2:6" x14ac:dyDescent="0.25">
      <c r="B466" s="2"/>
      <c r="C466" s="3"/>
      <c r="D466" s="2"/>
      <c r="E466" s="2"/>
      <c r="F466" s="2"/>
    </row>
    <row r="467" spans="2:6" x14ac:dyDescent="0.25">
      <c r="B467" s="2"/>
      <c r="C467" s="3"/>
      <c r="D467" s="2"/>
      <c r="E467" s="2"/>
      <c r="F467" s="2"/>
    </row>
    <row r="468" spans="2:6" x14ac:dyDescent="0.25">
      <c r="B468" s="2"/>
      <c r="C468" s="3"/>
      <c r="D468" s="2"/>
      <c r="E468" s="2"/>
      <c r="F468" s="2"/>
    </row>
    <row r="469" spans="2:6" x14ac:dyDescent="0.25">
      <c r="B469" s="2"/>
      <c r="C469" s="3"/>
      <c r="D469" s="2"/>
      <c r="E469" s="2"/>
      <c r="F469" s="2"/>
    </row>
    <row r="470" spans="2:6" x14ac:dyDescent="0.25">
      <c r="B470" s="2"/>
      <c r="C470" s="3"/>
      <c r="D470" s="2"/>
      <c r="E470" s="2"/>
      <c r="F470" s="2"/>
    </row>
    <row r="471" spans="2:6" x14ac:dyDescent="0.25">
      <c r="B471" s="2"/>
      <c r="C471" s="3"/>
      <c r="D471" s="2"/>
      <c r="E471" s="2"/>
      <c r="F471" s="2"/>
    </row>
    <row r="472" spans="2:6" x14ac:dyDescent="0.25">
      <c r="B472" s="2"/>
      <c r="C472" s="3"/>
      <c r="D472" s="2"/>
      <c r="E472" s="2"/>
      <c r="F472" s="2"/>
    </row>
    <row r="473" spans="2:6" x14ac:dyDescent="0.25">
      <c r="B473" s="2"/>
      <c r="C473" s="3"/>
      <c r="D473" s="2"/>
      <c r="E473" s="2"/>
      <c r="F473" s="2"/>
    </row>
    <row r="474" spans="2:6" x14ac:dyDescent="0.25">
      <c r="B474" s="2"/>
      <c r="C474" s="3"/>
      <c r="D474" s="2"/>
      <c r="E474" s="2"/>
      <c r="F474" s="2"/>
    </row>
    <row r="475" spans="2:6" x14ac:dyDescent="0.25">
      <c r="B475" s="2"/>
      <c r="C475" s="3"/>
      <c r="D475" s="2"/>
      <c r="E475" s="2"/>
      <c r="F475" s="2"/>
    </row>
    <row r="476" spans="2:6" x14ac:dyDescent="0.25">
      <c r="B476" s="2"/>
      <c r="C476" s="3"/>
      <c r="D476" s="2"/>
      <c r="E476" s="2"/>
      <c r="F476" s="2"/>
    </row>
    <row r="477" spans="2:6" x14ac:dyDescent="0.25">
      <c r="B477" s="2"/>
      <c r="C477" s="3"/>
      <c r="D477" s="2"/>
      <c r="E477" s="2"/>
      <c r="F477" s="2"/>
    </row>
    <row r="478" spans="2:6" x14ac:dyDescent="0.25">
      <c r="B478" s="2"/>
      <c r="C478" s="3"/>
      <c r="D478" s="2"/>
      <c r="E478" s="2"/>
      <c r="F478" s="2"/>
    </row>
    <row r="479" spans="2:6" x14ac:dyDescent="0.25">
      <c r="B479" s="2"/>
      <c r="C479" s="3"/>
      <c r="D479" s="2"/>
      <c r="E479" s="2"/>
      <c r="F479" s="2"/>
    </row>
    <row r="480" spans="2:6" x14ac:dyDescent="0.25">
      <c r="B480" s="2"/>
      <c r="C480" s="3"/>
      <c r="D480" s="2"/>
      <c r="E480" s="2"/>
      <c r="F480" s="2"/>
    </row>
    <row r="481" spans="2:6" x14ac:dyDescent="0.25">
      <c r="B481" s="2"/>
      <c r="C481" s="3"/>
      <c r="D481" s="2"/>
      <c r="E481" s="2"/>
      <c r="F481" s="2"/>
    </row>
    <row r="482" spans="2:6" x14ac:dyDescent="0.25">
      <c r="B482" s="2"/>
      <c r="C482" s="3"/>
      <c r="D482" s="2"/>
      <c r="E482" s="2"/>
      <c r="F482" s="2"/>
    </row>
    <row r="483" spans="2:6" x14ac:dyDescent="0.25">
      <c r="B483" s="2"/>
      <c r="C483" s="3"/>
      <c r="D483" s="2"/>
      <c r="E483" s="2"/>
      <c r="F483" s="2"/>
    </row>
    <row r="484" spans="2:6" x14ac:dyDescent="0.25">
      <c r="B484" s="2"/>
      <c r="C484" s="3"/>
      <c r="D484" s="2"/>
      <c r="E484" s="2"/>
      <c r="F484" s="2"/>
    </row>
    <row r="485" spans="2:6" x14ac:dyDescent="0.25">
      <c r="B485" s="2"/>
      <c r="C485" s="3"/>
      <c r="D485" s="2"/>
      <c r="E485" s="2"/>
      <c r="F485" s="2"/>
    </row>
    <row r="486" spans="2:6" x14ac:dyDescent="0.25">
      <c r="B486" s="2"/>
      <c r="C486" s="3"/>
      <c r="D486" s="2"/>
      <c r="E486" s="2"/>
      <c r="F486" s="2"/>
    </row>
    <row r="487" spans="2:6" x14ac:dyDescent="0.25">
      <c r="B487" s="2"/>
      <c r="C487" s="3"/>
      <c r="D487" s="2"/>
      <c r="E487" s="2"/>
      <c r="F487" s="2"/>
    </row>
    <row r="488" spans="2:6" x14ac:dyDescent="0.25">
      <c r="B488" s="2"/>
      <c r="C488" s="3"/>
      <c r="D488" s="2"/>
      <c r="E488" s="2"/>
      <c r="F488" s="2"/>
    </row>
    <row r="489" spans="2:6" x14ac:dyDescent="0.25">
      <c r="B489" s="2"/>
      <c r="C489" s="3"/>
      <c r="D489" s="2"/>
      <c r="E489" s="2"/>
      <c r="F489" s="2"/>
    </row>
    <row r="490" spans="2:6" x14ac:dyDescent="0.25">
      <c r="B490" s="2"/>
      <c r="C490" s="3"/>
      <c r="D490" s="2"/>
      <c r="E490" s="2"/>
      <c r="F490" s="2"/>
    </row>
    <row r="491" spans="2:6" x14ac:dyDescent="0.25">
      <c r="B491" s="2"/>
      <c r="C491" s="3"/>
      <c r="D491" s="2"/>
      <c r="E491" s="2"/>
      <c r="F491" s="2"/>
    </row>
    <row r="492" spans="2:6" x14ac:dyDescent="0.25">
      <c r="B492" s="2"/>
      <c r="C492" s="3"/>
      <c r="D492" s="2"/>
      <c r="E492" s="2"/>
      <c r="F492" s="2"/>
    </row>
    <row r="493" spans="2:6" x14ac:dyDescent="0.25">
      <c r="B493" s="2"/>
      <c r="C493" s="3"/>
      <c r="D493" s="2"/>
      <c r="E493" s="2"/>
      <c r="F493" s="2"/>
    </row>
    <row r="494" spans="2:6" x14ac:dyDescent="0.25">
      <c r="B494" s="2"/>
      <c r="C494" s="3"/>
      <c r="D494" s="2"/>
      <c r="E494" s="2"/>
      <c r="F494" s="2"/>
    </row>
    <row r="495" spans="2:6" x14ac:dyDescent="0.25">
      <c r="B495" s="2"/>
      <c r="C495" s="3"/>
      <c r="D495" s="2"/>
      <c r="E495" s="2"/>
      <c r="F495" s="2"/>
    </row>
    <row r="496" spans="2:6" x14ac:dyDescent="0.25">
      <c r="B496" s="2"/>
      <c r="C496" s="3"/>
      <c r="D496" s="2"/>
      <c r="E496" s="2"/>
      <c r="F496" s="2"/>
    </row>
    <row r="497" spans="2:6" x14ac:dyDescent="0.25">
      <c r="B497" s="2"/>
      <c r="C497" s="3"/>
      <c r="D497" s="2"/>
      <c r="E497" s="2"/>
      <c r="F497" s="2"/>
    </row>
    <row r="498" spans="2:6" x14ac:dyDescent="0.25">
      <c r="B498" s="2"/>
      <c r="C498" s="3"/>
      <c r="D498" s="2"/>
      <c r="E498" s="2"/>
      <c r="F498" s="2"/>
    </row>
    <row r="499" spans="2:6" x14ac:dyDescent="0.25">
      <c r="B499" s="2"/>
      <c r="C499" s="3"/>
      <c r="D499" s="2"/>
      <c r="E499" s="2"/>
      <c r="F499" s="2"/>
    </row>
    <row r="500" spans="2:6" x14ac:dyDescent="0.25">
      <c r="B500" s="2"/>
      <c r="C500" s="3"/>
      <c r="D500" s="2"/>
      <c r="E500" s="2"/>
      <c r="F500" s="2"/>
    </row>
    <row r="501" spans="2:6" x14ac:dyDescent="0.25">
      <c r="B501" s="2"/>
      <c r="C501" s="3"/>
      <c r="D501" s="2"/>
      <c r="E501" s="2"/>
      <c r="F501" s="2"/>
    </row>
    <row r="502" spans="2:6" x14ac:dyDescent="0.25">
      <c r="B502" s="2"/>
      <c r="C502" s="3"/>
      <c r="D502" s="2"/>
      <c r="E502" s="2"/>
      <c r="F502" s="2"/>
    </row>
    <row r="503" spans="2:6" x14ac:dyDescent="0.25">
      <c r="B503" s="2"/>
      <c r="C503" s="3"/>
      <c r="D503" s="2"/>
      <c r="E503" s="2"/>
      <c r="F503" s="2"/>
    </row>
    <row r="504" spans="2:6" x14ac:dyDescent="0.25">
      <c r="B504" s="2"/>
      <c r="C504" s="3"/>
      <c r="D504" s="2"/>
      <c r="E504" s="2"/>
      <c r="F504" s="2"/>
    </row>
    <row r="505" spans="2:6" x14ac:dyDescent="0.25">
      <c r="B505" s="2"/>
      <c r="C505" s="3"/>
      <c r="D505" s="2"/>
      <c r="E505" s="2"/>
      <c r="F505" s="2"/>
    </row>
    <row r="506" spans="2:6" x14ac:dyDescent="0.25">
      <c r="B506" s="2"/>
      <c r="C506" s="3"/>
      <c r="D506" s="2"/>
      <c r="E506" s="2"/>
      <c r="F506" s="2"/>
    </row>
    <row r="507" spans="2:6" x14ac:dyDescent="0.25">
      <c r="B507" s="2"/>
      <c r="C507" s="3"/>
      <c r="D507" s="2"/>
      <c r="E507" s="2"/>
      <c r="F507" s="2"/>
    </row>
    <row r="508" spans="2:6" x14ac:dyDescent="0.25">
      <c r="B508" s="2"/>
      <c r="C508" s="3"/>
      <c r="D508" s="2"/>
      <c r="E508" s="2"/>
      <c r="F508" s="2"/>
    </row>
    <row r="509" spans="2:6" x14ac:dyDescent="0.25">
      <c r="B509" s="2"/>
      <c r="C509" s="3"/>
      <c r="D509" s="2"/>
      <c r="E509" s="2"/>
      <c r="F509" s="2"/>
    </row>
    <row r="510" spans="2:6" x14ac:dyDescent="0.25">
      <c r="B510" s="2"/>
      <c r="C510" s="3"/>
      <c r="D510" s="2"/>
      <c r="E510" s="2"/>
      <c r="F510" s="2"/>
    </row>
    <row r="511" spans="2:6" x14ac:dyDescent="0.25">
      <c r="B511" s="2"/>
      <c r="C511" s="3"/>
      <c r="D511" s="2"/>
      <c r="E511" s="2"/>
      <c r="F511" s="2"/>
    </row>
    <row r="512" spans="2:6" x14ac:dyDescent="0.25">
      <c r="B512" s="2"/>
      <c r="C512" s="3"/>
      <c r="D512" s="2"/>
      <c r="E512" s="2"/>
      <c r="F512" s="2"/>
    </row>
    <row r="513" spans="2:6" x14ac:dyDescent="0.25">
      <c r="B513" s="2"/>
      <c r="C513" s="3"/>
      <c r="D513" s="2"/>
      <c r="E513" s="2"/>
      <c r="F513" s="2"/>
    </row>
    <row r="514" spans="2:6" x14ac:dyDescent="0.25">
      <c r="B514" s="2"/>
      <c r="C514" s="3"/>
      <c r="D514" s="2"/>
      <c r="E514" s="2"/>
      <c r="F514" s="2"/>
    </row>
    <row r="515" spans="2:6" x14ac:dyDescent="0.25">
      <c r="B515" s="2"/>
      <c r="C515" s="3"/>
      <c r="D515" s="2"/>
      <c r="E515" s="2"/>
      <c r="F515" s="2"/>
    </row>
    <row r="516" spans="2:6" x14ac:dyDescent="0.25">
      <c r="B516" s="2"/>
      <c r="C516" s="3"/>
      <c r="D516" s="2"/>
      <c r="E516" s="2"/>
      <c r="F516" s="2"/>
    </row>
    <row r="517" spans="2:6" x14ac:dyDescent="0.25">
      <c r="B517" s="2"/>
      <c r="C517" s="3"/>
      <c r="D517" s="2"/>
      <c r="E517" s="2"/>
      <c r="F517" s="2"/>
    </row>
    <row r="518" spans="2:6" x14ac:dyDescent="0.25">
      <c r="B518" s="2"/>
      <c r="C518" s="3"/>
      <c r="D518" s="2"/>
      <c r="E518" s="2"/>
      <c r="F518" s="2"/>
    </row>
    <row r="519" spans="2:6" x14ac:dyDescent="0.25">
      <c r="B519" s="2"/>
      <c r="C519" s="3"/>
      <c r="D519" s="2"/>
      <c r="E519" s="2"/>
      <c r="F519" s="2"/>
    </row>
    <row r="520" spans="2:6" x14ac:dyDescent="0.25">
      <c r="B520" s="2"/>
      <c r="C520" s="3"/>
      <c r="D520" s="2"/>
      <c r="E520" s="2"/>
      <c r="F520" s="2"/>
    </row>
    <row r="521" spans="2:6" x14ac:dyDescent="0.25">
      <c r="B521" s="2"/>
      <c r="C521" s="3"/>
      <c r="D521" s="2"/>
      <c r="E521" s="2"/>
      <c r="F521" s="2"/>
    </row>
    <row r="522" spans="2:6" x14ac:dyDescent="0.25">
      <c r="B522" s="2"/>
      <c r="C522" s="3"/>
      <c r="D522" s="2"/>
      <c r="E522" s="2"/>
      <c r="F522" s="2"/>
    </row>
    <row r="523" spans="2:6" x14ac:dyDescent="0.25">
      <c r="B523" s="2"/>
      <c r="C523" s="3"/>
      <c r="D523" s="2"/>
      <c r="E523" s="2"/>
      <c r="F523" s="2"/>
    </row>
    <row r="524" spans="2:6" x14ac:dyDescent="0.25">
      <c r="B524" s="2"/>
      <c r="C524" s="3"/>
      <c r="D524" s="2"/>
      <c r="E524" s="2"/>
      <c r="F524" s="2"/>
    </row>
    <row r="525" spans="2:6" x14ac:dyDescent="0.25">
      <c r="B525" s="2"/>
      <c r="C525" s="3"/>
      <c r="D525" s="2"/>
      <c r="E525" s="2"/>
      <c r="F525" s="2"/>
    </row>
    <row r="526" spans="2:6" x14ac:dyDescent="0.25">
      <c r="B526" s="2"/>
      <c r="C526" s="3"/>
      <c r="D526" s="2"/>
      <c r="E526" s="2"/>
      <c r="F526" s="2"/>
    </row>
    <row r="527" spans="2:6" x14ac:dyDescent="0.25">
      <c r="B527" s="2"/>
      <c r="C527" s="3"/>
      <c r="D527" s="2"/>
      <c r="E527" s="2"/>
      <c r="F527" s="2"/>
    </row>
    <row r="528" spans="2:6" x14ac:dyDescent="0.25">
      <c r="B528" s="2"/>
      <c r="C528" s="3"/>
      <c r="D528" s="2"/>
      <c r="E528" s="2"/>
      <c r="F528" s="2"/>
    </row>
    <row r="529" spans="2:6" x14ac:dyDescent="0.25">
      <c r="B529" s="2"/>
      <c r="C529" s="3"/>
      <c r="D529" s="2"/>
      <c r="E529" s="2"/>
      <c r="F529" s="2"/>
    </row>
    <row r="530" spans="2:6" x14ac:dyDescent="0.25">
      <c r="B530" s="2"/>
      <c r="C530" s="3"/>
      <c r="D530" s="2"/>
      <c r="E530" s="2"/>
      <c r="F530" s="2"/>
    </row>
    <row r="531" spans="2:6" x14ac:dyDescent="0.25">
      <c r="B531" s="2"/>
      <c r="C531" s="3"/>
      <c r="D531" s="2"/>
      <c r="E531" s="2"/>
      <c r="F531" s="2"/>
    </row>
    <row r="532" spans="2:6" x14ac:dyDescent="0.25">
      <c r="B532" s="2"/>
      <c r="C532" s="3"/>
      <c r="D532" s="2"/>
      <c r="E532" s="2"/>
      <c r="F532" s="2"/>
    </row>
    <row r="533" spans="2:6" x14ac:dyDescent="0.25">
      <c r="B533" s="2"/>
      <c r="C533" s="3"/>
      <c r="D533" s="2"/>
      <c r="E533" s="2"/>
      <c r="F533" s="2"/>
    </row>
    <row r="534" spans="2:6" x14ac:dyDescent="0.25">
      <c r="B534" s="2"/>
      <c r="C534" s="3"/>
      <c r="D534" s="2"/>
      <c r="E534" s="2"/>
      <c r="F534" s="2"/>
    </row>
    <row r="535" spans="2:6" x14ac:dyDescent="0.25">
      <c r="B535" s="2"/>
      <c r="C535" s="3"/>
      <c r="D535" s="2"/>
      <c r="E535" s="2"/>
      <c r="F535" s="2"/>
    </row>
    <row r="536" spans="2:6" x14ac:dyDescent="0.25">
      <c r="B536" s="2"/>
      <c r="C536" s="3"/>
      <c r="D536" s="2"/>
      <c r="E536" s="2"/>
      <c r="F536" s="2"/>
    </row>
    <row r="537" spans="2:6" x14ac:dyDescent="0.25">
      <c r="B537" s="2"/>
      <c r="C537" s="3"/>
      <c r="D537" s="2"/>
      <c r="E537" s="2"/>
      <c r="F537" s="2"/>
    </row>
    <row r="538" spans="2:6" x14ac:dyDescent="0.25">
      <c r="B538" s="2"/>
      <c r="C538" s="3"/>
      <c r="D538" s="2"/>
      <c r="E538" s="2"/>
      <c r="F538" s="2"/>
    </row>
    <row r="539" spans="2:6" x14ac:dyDescent="0.25">
      <c r="B539" s="2"/>
      <c r="C539" s="3"/>
      <c r="D539" s="2"/>
      <c r="E539" s="2"/>
      <c r="F539" s="2"/>
    </row>
    <row r="540" spans="2:6" x14ac:dyDescent="0.25">
      <c r="B540" s="2"/>
      <c r="C540" s="3"/>
      <c r="D540" s="2"/>
      <c r="E540" s="2"/>
      <c r="F540" s="2"/>
    </row>
    <row r="541" spans="2:6" x14ac:dyDescent="0.25">
      <c r="B541" s="2"/>
      <c r="C541" s="3"/>
      <c r="D541" s="2"/>
      <c r="E541" s="2"/>
      <c r="F541" s="2"/>
    </row>
    <row r="542" spans="2:6" x14ac:dyDescent="0.25">
      <c r="B542" s="2"/>
      <c r="C542" s="3"/>
      <c r="D542" s="2"/>
      <c r="E542" s="2"/>
      <c r="F542" s="2"/>
    </row>
    <row r="543" spans="2:6" x14ac:dyDescent="0.25">
      <c r="B543" s="2"/>
      <c r="C543" s="3"/>
      <c r="D543" s="2"/>
      <c r="E543" s="2"/>
      <c r="F543" s="2"/>
    </row>
    <row r="544" spans="2:6" x14ac:dyDescent="0.25">
      <c r="B544" s="2"/>
      <c r="C544" s="3"/>
      <c r="D544" s="2"/>
      <c r="E544" s="2"/>
      <c r="F544" s="2"/>
    </row>
    <row r="545" spans="2:6" x14ac:dyDescent="0.25">
      <c r="B545" s="2"/>
      <c r="C545" s="3"/>
      <c r="D545" s="2"/>
      <c r="E545" s="2"/>
      <c r="F545" s="2"/>
    </row>
    <row r="546" spans="2:6" x14ac:dyDescent="0.25">
      <c r="B546" s="2"/>
      <c r="C546" s="3"/>
      <c r="D546" s="2"/>
      <c r="E546" s="2"/>
      <c r="F546" s="2"/>
    </row>
    <row r="547" spans="2:6" x14ac:dyDescent="0.25">
      <c r="B547" s="2"/>
      <c r="C547" s="3"/>
      <c r="D547" s="2"/>
      <c r="E547" s="2"/>
      <c r="F547" s="2"/>
    </row>
    <row r="548" spans="2:6" x14ac:dyDescent="0.25">
      <c r="B548" s="2"/>
      <c r="C548" s="3"/>
      <c r="D548" s="2"/>
      <c r="E548" s="2"/>
      <c r="F548" s="2"/>
    </row>
    <row r="549" spans="2:6" x14ac:dyDescent="0.25">
      <c r="B549" s="2"/>
      <c r="C549" s="3"/>
      <c r="D549" s="2"/>
      <c r="E549" s="2"/>
      <c r="F549" s="2"/>
    </row>
    <row r="550" spans="2:6" x14ac:dyDescent="0.25">
      <c r="B550" s="2"/>
      <c r="C550" s="3"/>
      <c r="D550" s="2"/>
      <c r="E550" s="2"/>
      <c r="F550" s="2"/>
    </row>
    <row r="551" spans="2:6" x14ac:dyDescent="0.25">
      <c r="B551" s="2"/>
      <c r="C551" s="3"/>
      <c r="D551" s="2"/>
      <c r="E551" s="2"/>
      <c r="F551" s="2"/>
    </row>
    <row r="552" spans="2:6" x14ac:dyDescent="0.25">
      <c r="B552" s="2"/>
      <c r="C552" s="3"/>
      <c r="D552" s="2"/>
      <c r="E552" s="2"/>
      <c r="F552" s="2"/>
    </row>
    <row r="553" spans="2:6" x14ac:dyDescent="0.25">
      <c r="B553" s="2"/>
      <c r="C553" s="3"/>
      <c r="D553" s="2"/>
      <c r="E553" s="2"/>
      <c r="F553" s="2"/>
    </row>
    <row r="554" spans="2:6" x14ac:dyDescent="0.25">
      <c r="B554" s="2"/>
      <c r="C554" s="3"/>
      <c r="D554" s="2"/>
      <c r="E554" s="2"/>
      <c r="F554" s="2"/>
    </row>
    <row r="555" spans="2:6" x14ac:dyDescent="0.25">
      <c r="B555" s="2"/>
      <c r="C555" s="3"/>
      <c r="D555" s="2"/>
      <c r="E555" s="2"/>
      <c r="F555" s="2"/>
    </row>
    <row r="556" spans="2:6" x14ac:dyDescent="0.25">
      <c r="B556" s="2"/>
      <c r="C556" s="3"/>
      <c r="D556" s="2"/>
      <c r="E556" s="2"/>
      <c r="F556" s="2"/>
    </row>
    <row r="557" spans="2:6" x14ac:dyDescent="0.25">
      <c r="B557" s="2"/>
      <c r="C557" s="3"/>
      <c r="D557" s="2"/>
      <c r="E557" s="2"/>
      <c r="F557" s="2"/>
    </row>
    <row r="558" spans="2:6" x14ac:dyDescent="0.25">
      <c r="B558" s="2"/>
      <c r="C558" s="3"/>
      <c r="D558" s="2"/>
      <c r="E558" s="2"/>
      <c r="F558" s="2"/>
    </row>
    <row r="559" spans="2:6" x14ac:dyDescent="0.25">
      <c r="B559" s="2"/>
      <c r="C559" s="3"/>
      <c r="D559" s="2"/>
      <c r="E559" s="2"/>
      <c r="F559" s="2"/>
    </row>
    <row r="560" spans="2:6" x14ac:dyDescent="0.25">
      <c r="B560" s="2"/>
      <c r="C560" s="3"/>
      <c r="D560" s="2"/>
      <c r="E560" s="2"/>
      <c r="F560" s="2"/>
    </row>
    <row r="561" spans="2:6" x14ac:dyDescent="0.25">
      <c r="B561" s="2"/>
      <c r="C561" s="3"/>
      <c r="D561" s="2"/>
      <c r="E561" s="2"/>
      <c r="F561" s="2"/>
    </row>
    <row r="562" spans="2:6" x14ac:dyDescent="0.25">
      <c r="B562" s="2"/>
      <c r="C562" s="3"/>
      <c r="D562" s="2"/>
      <c r="E562" s="2"/>
      <c r="F562" s="2"/>
    </row>
    <row r="563" spans="2:6" x14ac:dyDescent="0.25">
      <c r="B563" s="2"/>
      <c r="C563" s="3"/>
      <c r="D563" s="2"/>
      <c r="E563" s="2"/>
      <c r="F563" s="2"/>
    </row>
    <row r="564" spans="2:6" x14ac:dyDescent="0.25">
      <c r="B564" s="2"/>
      <c r="C564" s="3"/>
      <c r="D564" s="2"/>
      <c r="E564" s="2"/>
      <c r="F564" s="2"/>
    </row>
    <row r="565" spans="2:6" x14ac:dyDescent="0.25">
      <c r="B565" s="2"/>
      <c r="C565" s="3"/>
      <c r="D565" s="2"/>
      <c r="E565" s="2"/>
      <c r="F565" s="2"/>
    </row>
    <row r="566" spans="2:6" x14ac:dyDescent="0.25">
      <c r="B566" s="2"/>
      <c r="C566" s="3"/>
      <c r="D566" s="2"/>
      <c r="E566" s="2"/>
      <c r="F566" s="2"/>
    </row>
    <row r="567" spans="2:6" x14ac:dyDescent="0.25">
      <c r="B567" s="2"/>
      <c r="C567" s="3"/>
      <c r="D567" s="2"/>
      <c r="E567" s="2"/>
      <c r="F567" s="2"/>
    </row>
    <row r="568" spans="2:6" x14ac:dyDescent="0.25">
      <c r="B568" s="2"/>
      <c r="C568" s="3"/>
      <c r="D568" s="2"/>
      <c r="E568" s="2"/>
      <c r="F568" s="2"/>
    </row>
    <row r="569" spans="2:6" x14ac:dyDescent="0.25">
      <c r="B569" s="2"/>
      <c r="C569" s="3"/>
      <c r="D569" s="2"/>
      <c r="E569" s="2"/>
      <c r="F569" s="2"/>
    </row>
    <row r="570" spans="2:6" x14ac:dyDescent="0.25">
      <c r="B570" s="2"/>
      <c r="C570" s="3"/>
      <c r="D570" s="2"/>
      <c r="E570" s="2"/>
      <c r="F570" s="2"/>
    </row>
    <row r="571" spans="2:6" x14ac:dyDescent="0.25">
      <c r="B571" s="2"/>
      <c r="C571" s="3"/>
      <c r="D571" s="2"/>
      <c r="E571" s="2"/>
      <c r="F571" s="2"/>
    </row>
    <row r="572" spans="2:6" x14ac:dyDescent="0.25">
      <c r="B572" s="2"/>
      <c r="C572" s="3"/>
      <c r="D572" s="2"/>
      <c r="E572" s="2"/>
      <c r="F572" s="2"/>
    </row>
    <row r="573" spans="2:6" x14ac:dyDescent="0.25">
      <c r="B573" s="2"/>
      <c r="C573" s="3"/>
      <c r="D573" s="2"/>
      <c r="E573" s="2"/>
      <c r="F573" s="2"/>
    </row>
    <row r="574" spans="2:6" x14ac:dyDescent="0.25">
      <c r="B574" s="2"/>
      <c r="C574" s="3"/>
      <c r="D574" s="2"/>
      <c r="E574" s="2"/>
      <c r="F574" s="2"/>
    </row>
    <row r="575" spans="2:6" x14ac:dyDescent="0.25">
      <c r="B575" s="2"/>
      <c r="C575" s="3"/>
      <c r="D575" s="2"/>
      <c r="E575" s="2"/>
      <c r="F575" s="2"/>
    </row>
    <row r="576" spans="2:6" x14ac:dyDescent="0.25">
      <c r="B576" s="2"/>
      <c r="C576" s="3"/>
      <c r="D576" s="2"/>
      <c r="E576" s="2"/>
      <c r="F576" s="2"/>
    </row>
    <row r="577" spans="2:6" x14ac:dyDescent="0.25">
      <c r="B577" s="2"/>
      <c r="C577" s="3"/>
      <c r="D577" s="2"/>
      <c r="E577" s="2"/>
      <c r="F577" s="2"/>
    </row>
    <row r="578" spans="2:6" x14ac:dyDescent="0.25">
      <c r="B578" s="2"/>
      <c r="C578" s="3"/>
      <c r="D578" s="2"/>
      <c r="E578" s="2"/>
      <c r="F578" s="2"/>
    </row>
    <row r="579" spans="2:6" x14ac:dyDescent="0.25">
      <c r="B579" s="2"/>
      <c r="C579" s="3"/>
      <c r="D579" s="2"/>
      <c r="E579" s="2"/>
      <c r="F579" s="2"/>
    </row>
    <row r="580" spans="2:6" x14ac:dyDescent="0.25">
      <c r="B580" s="2"/>
      <c r="C580" s="3"/>
      <c r="D580" s="2"/>
      <c r="E580" s="2"/>
      <c r="F580" s="2"/>
    </row>
    <row r="581" spans="2:6" x14ac:dyDescent="0.25">
      <c r="B581" s="2"/>
      <c r="C581" s="3"/>
      <c r="D581" s="2"/>
      <c r="E581" s="2"/>
      <c r="F581" s="2"/>
    </row>
    <row r="582" spans="2:6" x14ac:dyDescent="0.25">
      <c r="B582" s="2"/>
      <c r="C582" s="3"/>
      <c r="D582" s="2"/>
      <c r="E582" s="2"/>
      <c r="F582" s="2"/>
    </row>
    <row r="583" spans="2:6" x14ac:dyDescent="0.25">
      <c r="B583" s="2"/>
      <c r="C583" s="3"/>
      <c r="D583" s="2"/>
      <c r="E583" s="2"/>
      <c r="F583" s="2"/>
    </row>
    <row r="584" spans="2:6" x14ac:dyDescent="0.25">
      <c r="B584" s="2"/>
      <c r="C584" s="3"/>
      <c r="D584" s="2"/>
      <c r="E584" s="2"/>
      <c r="F584" s="2"/>
    </row>
    <row r="585" spans="2:6" x14ac:dyDescent="0.25">
      <c r="B585" s="2"/>
      <c r="C585" s="3"/>
      <c r="D585" s="2"/>
      <c r="E585" s="2"/>
      <c r="F585" s="2"/>
    </row>
    <row r="586" spans="2:6" x14ac:dyDescent="0.25">
      <c r="B586" s="2"/>
      <c r="C586" s="3"/>
      <c r="D586" s="2"/>
      <c r="E586" s="2"/>
      <c r="F586" s="2"/>
    </row>
    <row r="587" spans="2:6" x14ac:dyDescent="0.25">
      <c r="B587" s="2"/>
      <c r="C587" s="3"/>
      <c r="D587" s="2"/>
      <c r="E587" s="2"/>
      <c r="F587" s="2"/>
    </row>
    <row r="588" spans="2:6" x14ac:dyDescent="0.25">
      <c r="B588" s="2"/>
      <c r="C588" s="3"/>
      <c r="D588" s="2"/>
      <c r="E588" s="2"/>
      <c r="F588" s="2"/>
    </row>
    <row r="589" spans="2:6" x14ac:dyDescent="0.25">
      <c r="B589" s="2"/>
      <c r="C589" s="3"/>
      <c r="D589" s="2"/>
      <c r="E589" s="2"/>
      <c r="F589" s="2"/>
    </row>
    <row r="590" spans="2:6" x14ac:dyDescent="0.25">
      <c r="B590" s="2"/>
      <c r="C590" s="3"/>
      <c r="D590" s="2"/>
      <c r="E590" s="2"/>
      <c r="F590" s="2"/>
    </row>
    <row r="591" spans="2:6" x14ac:dyDescent="0.25">
      <c r="B591" s="2"/>
      <c r="C591" s="3"/>
      <c r="D591" s="2"/>
      <c r="E591" s="2"/>
      <c r="F591" s="2"/>
    </row>
    <row r="592" spans="2:6" x14ac:dyDescent="0.25">
      <c r="B592" s="2"/>
      <c r="C592" s="3"/>
      <c r="D592" s="2"/>
      <c r="E592" s="2"/>
      <c r="F592" s="2"/>
    </row>
    <row r="593" spans="2:6" x14ac:dyDescent="0.25">
      <c r="B593" s="2"/>
      <c r="C593" s="3"/>
      <c r="D593" s="2"/>
      <c r="E593" s="2"/>
      <c r="F593" s="2"/>
    </row>
    <row r="594" spans="2:6" x14ac:dyDescent="0.25">
      <c r="B594" s="2"/>
      <c r="C594" s="3"/>
      <c r="D594" s="2"/>
      <c r="E594" s="2"/>
      <c r="F594" s="2"/>
    </row>
    <row r="595" spans="2:6" x14ac:dyDescent="0.25">
      <c r="B595" s="2"/>
      <c r="C595" s="3"/>
      <c r="D595" s="2"/>
      <c r="E595" s="2"/>
      <c r="F595" s="2"/>
    </row>
    <row r="596" spans="2:6" x14ac:dyDescent="0.25">
      <c r="B596" s="2"/>
      <c r="C596" s="3"/>
      <c r="D596" s="2"/>
      <c r="E596" s="2"/>
      <c r="F596" s="2"/>
    </row>
    <row r="597" spans="2:6" x14ac:dyDescent="0.25">
      <c r="B597" s="2"/>
      <c r="C597" s="3"/>
      <c r="D597" s="2"/>
      <c r="E597" s="2"/>
      <c r="F597" s="2"/>
    </row>
    <row r="598" spans="2:6" x14ac:dyDescent="0.25">
      <c r="B598" s="2"/>
      <c r="C598" s="3"/>
      <c r="D598" s="2"/>
      <c r="E598" s="2"/>
      <c r="F598" s="2"/>
    </row>
    <row r="599" spans="2:6" x14ac:dyDescent="0.25">
      <c r="B599" s="2"/>
      <c r="C599" s="3"/>
      <c r="D599" s="2"/>
      <c r="E599" s="2"/>
      <c r="F599" s="2"/>
    </row>
    <row r="600" spans="2:6" x14ac:dyDescent="0.25">
      <c r="B600" s="2"/>
      <c r="C600" s="3"/>
      <c r="D600" s="2"/>
      <c r="E600" s="2"/>
      <c r="F600" s="2"/>
    </row>
    <row r="601" spans="2:6" x14ac:dyDescent="0.25">
      <c r="B601" s="2"/>
      <c r="C601" s="3"/>
      <c r="D601" s="2"/>
      <c r="E601" s="2"/>
      <c r="F601" s="2"/>
    </row>
    <row r="602" spans="2:6" x14ac:dyDescent="0.25">
      <c r="B602" s="2"/>
      <c r="C602" s="3"/>
      <c r="D602" s="2"/>
      <c r="E602" s="2"/>
      <c r="F602" s="2"/>
    </row>
    <row r="603" spans="2:6" x14ac:dyDescent="0.25">
      <c r="B603" s="2"/>
      <c r="C603" s="3"/>
      <c r="D603" s="2"/>
      <c r="E603" s="2"/>
      <c r="F603" s="2"/>
    </row>
    <row r="604" spans="2:6" x14ac:dyDescent="0.25">
      <c r="B604" s="2"/>
      <c r="C604" s="3"/>
      <c r="D604" s="2"/>
      <c r="E604" s="2"/>
      <c r="F604" s="2"/>
    </row>
    <row r="605" spans="2:6" x14ac:dyDescent="0.25">
      <c r="B605" s="2"/>
      <c r="C605" s="3"/>
      <c r="D605" s="2"/>
      <c r="E605" s="2"/>
      <c r="F605" s="2"/>
    </row>
    <row r="606" spans="2:6" x14ac:dyDescent="0.25">
      <c r="B606" s="2"/>
      <c r="C606" s="3"/>
      <c r="D606" s="2"/>
      <c r="E606" s="2"/>
      <c r="F606" s="2"/>
    </row>
    <row r="607" spans="2:6" x14ac:dyDescent="0.25">
      <c r="B607" s="2"/>
      <c r="C607" s="3"/>
      <c r="D607" s="2"/>
      <c r="E607" s="2"/>
      <c r="F607" s="2"/>
    </row>
    <row r="608" spans="2:6" x14ac:dyDescent="0.25">
      <c r="B608" s="2"/>
      <c r="C608" s="3"/>
      <c r="D608" s="2"/>
      <c r="E608" s="2"/>
      <c r="F608" s="2"/>
    </row>
    <row r="609" spans="2:6" x14ac:dyDescent="0.25">
      <c r="B609" s="2"/>
      <c r="C609" s="3"/>
      <c r="D609" s="2"/>
      <c r="E609" s="2"/>
      <c r="F609" s="2"/>
    </row>
    <row r="610" spans="2:6" x14ac:dyDescent="0.25">
      <c r="B610" s="2"/>
      <c r="C610" s="3"/>
      <c r="D610" s="2"/>
      <c r="E610" s="2"/>
      <c r="F610" s="2"/>
    </row>
    <row r="611" spans="2:6" x14ac:dyDescent="0.25">
      <c r="B611" s="2"/>
      <c r="C611" s="3"/>
      <c r="D611" s="2"/>
      <c r="E611" s="2"/>
      <c r="F611" s="2"/>
    </row>
    <row r="612" spans="2:6" x14ac:dyDescent="0.25">
      <c r="B612" s="2"/>
      <c r="C612" s="3"/>
      <c r="D612" s="2"/>
      <c r="E612" s="2"/>
      <c r="F612" s="2"/>
    </row>
    <row r="613" spans="2:6" x14ac:dyDescent="0.25">
      <c r="B613" s="2"/>
      <c r="C613" s="3"/>
      <c r="D613" s="2"/>
      <c r="E613" s="2"/>
      <c r="F613" s="2"/>
    </row>
    <row r="614" spans="2:6" x14ac:dyDescent="0.25">
      <c r="B614" s="2"/>
      <c r="C614" s="3"/>
      <c r="D614" s="2"/>
      <c r="E614" s="2"/>
      <c r="F614" s="2"/>
    </row>
    <row r="615" spans="2:6" x14ac:dyDescent="0.25">
      <c r="B615" s="2"/>
      <c r="C615" s="3"/>
      <c r="D615" s="2"/>
      <c r="E615" s="2"/>
      <c r="F615" s="2"/>
    </row>
    <row r="616" spans="2:6" x14ac:dyDescent="0.25">
      <c r="B616" s="2"/>
      <c r="C616" s="3"/>
      <c r="D616" s="2"/>
      <c r="E616" s="2"/>
      <c r="F616" s="2"/>
    </row>
    <row r="617" spans="2:6" x14ac:dyDescent="0.25">
      <c r="B617" s="2"/>
      <c r="C617" s="3"/>
      <c r="D617" s="2"/>
      <c r="E617" s="2"/>
      <c r="F617" s="2"/>
    </row>
    <row r="618" spans="2:6" x14ac:dyDescent="0.25">
      <c r="B618" s="2"/>
      <c r="C618" s="3"/>
      <c r="D618" s="2"/>
      <c r="E618" s="2"/>
      <c r="F618" s="2"/>
    </row>
    <row r="619" spans="2:6" x14ac:dyDescent="0.25">
      <c r="B619" s="2"/>
      <c r="C619" s="3"/>
      <c r="D619" s="2"/>
      <c r="E619" s="2"/>
      <c r="F619" s="2"/>
    </row>
    <row r="620" spans="2:6" x14ac:dyDescent="0.25">
      <c r="B620" s="2"/>
      <c r="C620" s="3"/>
      <c r="D620" s="2"/>
      <c r="E620" s="2"/>
      <c r="F620" s="2"/>
    </row>
    <row r="621" spans="2:6" x14ac:dyDescent="0.25">
      <c r="B621" s="2"/>
      <c r="C621" s="3"/>
      <c r="D621" s="2"/>
      <c r="E621" s="2"/>
      <c r="F621" s="2"/>
    </row>
    <row r="622" spans="2:6" x14ac:dyDescent="0.25">
      <c r="B622" s="2"/>
      <c r="C622" s="3"/>
      <c r="D622" s="2"/>
      <c r="E622" s="2"/>
      <c r="F622" s="2"/>
    </row>
    <row r="623" spans="2:6" x14ac:dyDescent="0.25">
      <c r="B623" s="2"/>
      <c r="C623" s="3"/>
      <c r="D623" s="2"/>
      <c r="E623" s="2"/>
      <c r="F623" s="2"/>
    </row>
    <row r="624" spans="2:6" x14ac:dyDescent="0.25">
      <c r="B624" s="2"/>
      <c r="C624" s="3"/>
      <c r="D624" s="2"/>
      <c r="E624" s="2"/>
      <c r="F624" s="2"/>
    </row>
    <row r="625" spans="2:6" x14ac:dyDescent="0.25">
      <c r="B625" s="2"/>
      <c r="C625" s="3"/>
      <c r="D625" s="2"/>
      <c r="E625" s="2"/>
      <c r="F625" s="2"/>
    </row>
    <row r="626" spans="2:6" x14ac:dyDescent="0.25">
      <c r="B626" s="2"/>
      <c r="C626" s="3"/>
      <c r="D626" s="2"/>
      <c r="E626" s="2"/>
      <c r="F626" s="2"/>
    </row>
    <row r="627" spans="2:6" x14ac:dyDescent="0.25">
      <c r="B627" s="2"/>
      <c r="C627" s="3"/>
      <c r="D627" s="2"/>
      <c r="E627" s="2"/>
      <c r="F627" s="2"/>
    </row>
    <row r="628" spans="2:6" x14ac:dyDescent="0.25">
      <c r="B628" s="2"/>
      <c r="C628" s="3"/>
      <c r="D628" s="2"/>
      <c r="E628" s="2"/>
      <c r="F628" s="2"/>
    </row>
    <row r="629" spans="2:6" x14ac:dyDescent="0.25">
      <c r="B629" s="2"/>
      <c r="C629" s="3"/>
      <c r="D629" s="2"/>
      <c r="E629" s="2"/>
      <c r="F629" s="2"/>
    </row>
    <row r="630" spans="2:6" x14ac:dyDescent="0.25">
      <c r="B630" s="2"/>
      <c r="C630" s="3"/>
      <c r="D630" s="2"/>
      <c r="E630" s="2"/>
      <c r="F630" s="2"/>
    </row>
    <row r="631" spans="2:6" x14ac:dyDescent="0.25">
      <c r="B631" s="2"/>
      <c r="C631" s="3"/>
      <c r="D631" s="2"/>
      <c r="E631" s="2"/>
      <c r="F631" s="2"/>
    </row>
    <row r="632" spans="2:6" x14ac:dyDescent="0.25">
      <c r="B632" s="2"/>
      <c r="C632" s="3"/>
      <c r="D632" s="2"/>
      <c r="E632" s="2"/>
      <c r="F632" s="2"/>
    </row>
    <row r="633" spans="2:6" x14ac:dyDescent="0.25">
      <c r="B633" s="2"/>
      <c r="C633" s="3"/>
      <c r="D633" s="2"/>
      <c r="E633" s="2"/>
      <c r="F633" s="2"/>
    </row>
    <row r="634" spans="2:6" x14ac:dyDescent="0.25">
      <c r="B634" s="2"/>
      <c r="C634" s="3"/>
      <c r="D634" s="2"/>
      <c r="E634" s="2"/>
      <c r="F634" s="2"/>
    </row>
    <row r="635" spans="2:6" x14ac:dyDescent="0.25">
      <c r="B635" s="2"/>
      <c r="C635" s="3"/>
      <c r="D635" s="2"/>
      <c r="E635" s="2"/>
      <c r="F635" s="2"/>
    </row>
    <row r="636" spans="2:6" x14ac:dyDescent="0.25">
      <c r="B636" s="2"/>
      <c r="C636" s="3"/>
      <c r="D636" s="2"/>
      <c r="E636" s="2"/>
      <c r="F636" s="2"/>
    </row>
    <row r="637" spans="2:6" x14ac:dyDescent="0.25">
      <c r="B637" s="2"/>
      <c r="C637" s="3"/>
      <c r="D637" s="2"/>
      <c r="E637" s="2"/>
      <c r="F637" s="2"/>
    </row>
    <row r="638" spans="2:6" x14ac:dyDescent="0.25">
      <c r="B638" s="2"/>
      <c r="C638" s="3"/>
      <c r="D638" s="2"/>
      <c r="E638" s="2"/>
      <c r="F638" s="2"/>
    </row>
    <row r="639" spans="2:6" x14ac:dyDescent="0.25">
      <c r="B639" s="2"/>
      <c r="C639" s="3"/>
      <c r="D639" s="2"/>
      <c r="E639" s="2"/>
      <c r="F639" s="2"/>
    </row>
    <row r="640" spans="2:6" x14ac:dyDescent="0.25">
      <c r="B640" s="2"/>
      <c r="C640" s="3"/>
      <c r="D640" s="2"/>
      <c r="E640" s="2"/>
      <c r="F640" s="2"/>
    </row>
    <row r="641" spans="2:6" x14ac:dyDescent="0.25">
      <c r="B641" s="2"/>
      <c r="C641" s="3"/>
      <c r="D641" s="2"/>
      <c r="E641" s="2"/>
      <c r="F641" s="2"/>
    </row>
    <row r="642" spans="2:6" x14ac:dyDescent="0.25">
      <c r="B642" s="2"/>
      <c r="C642" s="3"/>
      <c r="D642" s="2"/>
      <c r="E642" s="2"/>
      <c r="F642" s="2"/>
    </row>
    <row r="643" spans="2:6" x14ac:dyDescent="0.25">
      <c r="B643" s="2"/>
      <c r="C643" s="3"/>
      <c r="D643" s="2"/>
      <c r="E643" s="2"/>
      <c r="F643" s="2"/>
    </row>
    <row r="644" spans="2:6" x14ac:dyDescent="0.25">
      <c r="B644" s="2"/>
      <c r="C644" s="3"/>
      <c r="D644" s="2"/>
      <c r="E644" s="2"/>
      <c r="F644" s="2"/>
    </row>
    <row r="645" spans="2:6" x14ac:dyDescent="0.25">
      <c r="B645" s="2"/>
      <c r="C645" s="3"/>
      <c r="D645" s="2"/>
      <c r="E645" s="2"/>
      <c r="F645" s="2"/>
    </row>
    <row r="646" spans="2:6" x14ac:dyDescent="0.25">
      <c r="B646" s="2"/>
      <c r="C646" s="3"/>
      <c r="D646" s="2"/>
      <c r="E646" s="2"/>
      <c r="F646" s="2"/>
    </row>
    <row r="647" spans="2:6" x14ac:dyDescent="0.25">
      <c r="B647" s="2"/>
      <c r="C647" s="3"/>
      <c r="D647" s="2"/>
      <c r="E647" s="2"/>
      <c r="F647" s="2"/>
    </row>
    <row r="648" spans="2:6" x14ac:dyDescent="0.25">
      <c r="B648" s="2"/>
      <c r="C648" s="3"/>
      <c r="D648" s="2"/>
      <c r="E648" s="2"/>
      <c r="F648" s="2"/>
    </row>
    <row r="649" spans="2:6" x14ac:dyDescent="0.25">
      <c r="B649" s="2"/>
      <c r="C649" s="3"/>
      <c r="D649" s="2"/>
      <c r="E649" s="2"/>
      <c r="F649" s="2"/>
    </row>
    <row r="650" spans="2:6" x14ac:dyDescent="0.25">
      <c r="B650" s="2"/>
      <c r="C650" s="3"/>
      <c r="D650" s="2"/>
      <c r="E650" s="2"/>
      <c r="F650" s="2"/>
    </row>
    <row r="651" spans="2:6" x14ac:dyDescent="0.25">
      <c r="B651" s="2"/>
      <c r="C651" s="3"/>
      <c r="D651" s="2"/>
      <c r="E651" s="2"/>
      <c r="F651" s="2"/>
    </row>
    <row r="652" spans="2:6" x14ac:dyDescent="0.25">
      <c r="B652" s="2"/>
      <c r="C652" s="3"/>
      <c r="D652" s="2"/>
      <c r="E652" s="2"/>
      <c r="F652" s="2"/>
    </row>
    <row r="653" spans="2:6" x14ac:dyDescent="0.25">
      <c r="B653" s="2"/>
      <c r="C653" s="3"/>
      <c r="D653" s="2"/>
      <c r="E653" s="2"/>
      <c r="F653" s="2"/>
    </row>
    <row r="654" spans="2:6" x14ac:dyDescent="0.25">
      <c r="B654" s="2"/>
      <c r="C654" s="3"/>
      <c r="D654" s="2"/>
      <c r="E654" s="2"/>
      <c r="F654" s="2"/>
    </row>
    <row r="655" spans="2:6" x14ac:dyDescent="0.25">
      <c r="B655" s="2"/>
      <c r="C655" s="3"/>
      <c r="D655" s="2"/>
      <c r="E655" s="2"/>
      <c r="F655" s="2"/>
    </row>
    <row r="656" spans="2:6" x14ac:dyDescent="0.25">
      <c r="B656" s="2"/>
      <c r="C656" s="3"/>
      <c r="D656" s="2"/>
      <c r="E656" s="2"/>
      <c r="F656" s="2"/>
    </row>
    <row r="657" spans="2:6" x14ac:dyDescent="0.25">
      <c r="B657" s="2"/>
      <c r="C657" s="3"/>
      <c r="D657" s="2"/>
      <c r="E657" s="2"/>
      <c r="F657" s="2"/>
    </row>
    <row r="658" spans="2:6" x14ac:dyDescent="0.25">
      <c r="B658" s="2"/>
      <c r="C658" s="3"/>
      <c r="D658" s="2"/>
      <c r="E658" s="2"/>
      <c r="F658" s="2"/>
    </row>
    <row r="659" spans="2:6" x14ac:dyDescent="0.25">
      <c r="B659" s="2"/>
      <c r="C659" s="3"/>
      <c r="D659" s="2"/>
      <c r="E659" s="2"/>
      <c r="F659" s="2"/>
    </row>
    <row r="660" spans="2:6" x14ac:dyDescent="0.25">
      <c r="B660" s="2"/>
      <c r="C660" s="3"/>
      <c r="D660" s="2"/>
      <c r="E660" s="2"/>
      <c r="F660" s="2"/>
    </row>
    <row r="661" spans="2:6" x14ac:dyDescent="0.25">
      <c r="B661" s="2"/>
      <c r="C661" s="3"/>
      <c r="D661" s="2"/>
      <c r="E661" s="2"/>
      <c r="F661" s="2"/>
    </row>
    <row r="662" spans="2:6" x14ac:dyDescent="0.25">
      <c r="B662" s="2"/>
      <c r="C662" s="3"/>
      <c r="D662" s="2"/>
      <c r="E662" s="2"/>
      <c r="F662" s="2"/>
    </row>
    <row r="663" spans="2:6" x14ac:dyDescent="0.25">
      <c r="B663" s="2"/>
      <c r="C663" s="3"/>
      <c r="D663" s="2"/>
      <c r="E663" s="2"/>
      <c r="F663" s="2"/>
    </row>
    <row r="664" spans="2:6" x14ac:dyDescent="0.25">
      <c r="B664" s="2"/>
      <c r="C664" s="3"/>
      <c r="D664" s="2"/>
      <c r="E664" s="2"/>
      <c r="F664" s="2"/>
    </row>
    <row r="665" spans="2:6" x14ac:dyDescent="0.25">
      <c r="B665" s="2"/>
      <c r="C665" s="3"/>
      <c r="D665" s="2"/>
      <c r="E665" s="2"/>
      <c r="F665" s="2"/>
    </row>
    <row r="666" spans="2:6" x14ac:dyDescent="0.25">
      <c r="B666" s="2"/>
      <c r="C666" s="3"/>
      <c r="D666" s="2"/>
      <c r="E666" s="2"/>
      <c r="F666" s="2"/>
    </row>
    <row r="667" spans="2:6" x14ac:dyDescent="0.25">
      <c r="B667" s="2"/>
      <c r="C667" s="3"/>
      <c r="D667" s="2"/>
      <c r="E667" s="2"/>
      <c r="F667" s="2"/>
    </row>
    <row r="668" spans="2:6" x14ac:dyDescent="0.25">
      <c r="B668" s="2"/>
      <c r="C668" s="3"/>
      <c r="D668" s="2"/>
      <c r="E668" s="2"/>
      <c r="F668" s="2"/>
    </row>
    <row r="669" spans="2:6" x14ac:dyDescent="0.25">
      <c r="B669" s="2"/>
      <c r="C669" s="3"/>
      <c r="D669" s="2"/>
      <c r="E669" s="2"/>
      <c r="F669" s="2"/>
    </row>
    <row r="670" spans="2:6" x14ac:dyDescent="0.25">
      <c r="B670" s="2"/>
      <c r="C670" s="3"/>
      <c r="D670" s="2"/>
      <c r="E670" s="2"/>
      <c r="F670" s="2"/>
    </row>
    <row r="671" spans="2:6" x14ac:dyDescent="0.25">
      <c r="B671" s="2"/>
      <c r="C671" s="3"/>
      <c r="D671" s="2"/>
      <c r="E671" s="2"/>
      <c r="F671" s="2"/>
    </row>
    <row r="672" spans="2:6" x14ac:dyDescent="0.25">
      <c r="B672" s="2"/>
      <c r="C672" s="3"/>
      <c r="D672" s="2"/>
      <c r="E672" s="2"/>
      <c r="F672" s="2"/>
    </row>
    <row r="673" spans="2:6" x14ac:dyDescent="0.25">
      <c r="B673" s="2"/>
      <c r="C673" s="3"/>
      <c r="D673" s="2"/>
      <c r="E673" s="2"/>
      <c r="F673" s="2"/>
    </row>
    <row r="674" spans="2:6" x14ac:dyDescent="0.25">
      <c r="B674" s="2"/>
      <c r="C674" s="3"/>
      <c r="D674" s="2"/>
      <c r="E674" s="2"/>
      <c r="F674" s="2"/>
    </row>
    <row r="675" spans="2:6" x14ac:dyDescent="0.25">
      <c r="B675" s="2"/>
      <c r="C675" s="3"/>
      <c r="D675" s="2"/>
      <c r="E675" s="2"/>
      <c r="F675" s="2"/>
    </row>
    <row r="676" spans="2:6" x14ac:dyDescent="0.25">
      <c r="B676" s="2"/>
      <c r="C676" s="3"/>
      <c r="D676" s="2"/>
      <c r="E676" s="2"/>
      <c r="F676" s="2"/>
    </row>
    <row r="677" spans="2:6" x14ac:dyDescent="0.25">
      <c r="B677" s="2"/>
      <c r="C677" s="3"/>
      <c r="D677" s="2"/>
      <c r="E677" s="2"/>
      <c r="F677" s="2"/>
    </row>
    <row r="678" spans="2:6" x14ac:dyDescent="0.25">
      <c r="B678" s="2"/>
      <c r="C678" s="3"/>
      <c r="D678" s="2"/>
      <c r="E678" s="2"/>
      <c r="F678" s="2"/>
    </row>
    <row r="679" spans="2:6" x14ac:dyDescent="0.25">
      <c r="B679" s="2"/>
      <c r="C679" s="3"/>
      <c r="D679" s="2"/>
      <c r="E679" s="2"/>
      <c r="F679" s="2"/>
    </row>
    <row r="680" spans="2:6" x14ac:dyDescent="0.25">
      <c r="B680" s="2"/>
      <c r="C680" s="3"/>
      <c r="D680" s="2"/>
      <c r="E680" s="2"/>
      <c r="F680" s="2"/>
    </row>
    <row r="681" spans="2:6" x14ac:dyDescent="0.25">
      <c r="B681" s="2"/>
      <c r="C681" s="3"/>
      <c r="D681" s="2"/>
      <c r="E681" s="2"/>
      <c r="F681" s="2"/>
    </row>
    <row r="682" spans="2:6" x14ac:dyDescent="0.25">
      <c r="B682" s="2"/>
      <c r="C682" s="3"/>
      <c r="D682" s="2"/>
      <c r="E682" s="2"/>
      <c r="F682" s="2"/>
    </row>
    <row r="683" spans="2:6" x14ac:dyDescent="0.25">
      <c r="B683" s="2"/>
      <c r="C683" s="3"/>
      <c r="D683" s="2"/>
      <c r="E683" s="2"/>
      <c r="F683" s="2"/>
    </row>
    <row r="684" spans="2:6" x14ac:dyDescent="0.25">
      <c r="B684" s="2"/>
      <c r="C684" s="3"/>
      <c r="D684" s="2"/>
      <c r="E684" s="2"/>
      <c r="F684" s="2"/>
    </row>
    <row r="685" spans="2:6" x14ac:dyDescent="0.25">
      <c r="B685" s="2"/>
      <c r="C685" s="3"/>
      <c r="D685" s="2"/>
      <c r="E685" s="2"/>
      <c r="F685" s="2"/>
    </row>
    <row r="686" spans="2:6" x14ac:dyDescent="0.25">
      <c r="B686" s="2"/>
      <c r="C686" s="3"/>
      <c r="D686" s="2"/>
      <c r="E686" s="2"/>
      <c r="F686" s="2"/>
    </row>
    <row r="687" spans="2:6" x14ac:dyDescent="0.25">
      <c r="B687" s="2"/>
      <c r="C687" s="3"/>
      <c r="D687" s="2"/>
      <c r="E687" s="2"/>
      <c r="F687" s="2"/>
    </row>
    <row r="688" spans="2:6" x14ac:dyDescent="0.25">
      <c r="B688" s="2"/>
      <c r="C688" s="3"/>
      <c r="D688" s="2"/>
      <c r="E688" s="2"/>
      <c r="F688" s="2"/>
    </row>
    <row r="689" spans="2:6" x14ac:dyDescent="0.25">
      <c r="B689" s="2"/>
      <c r="C689" s="3"/>
      <c r="D689" s="2"/>
      <c r="E689" s="2"/>
      <c r="F689" s="2"/>
    </row>
    <row r="690" spans="2:6" x14ac:dyDescent="0.25">
      <c r="B690" s="2"/>
      <c r="C690" s="3"/>
      <c r="D690" s="2"/>
      <c r="E690" s="2"/>
      <c r="F690" s="2"/>
    </row>
    <row r="691" spans="2:6" x14ac:dyDescent="0.25">
      <c r="B691" s="2"/>
      <c r="C691" s="3"/>
      <c r="D691" s="2"/>
      <c r="E691" s="2"/>
      <c r="F691" s="2"/>
    </row>
    <row r="692" spans="2:6" x14ac:dyDescent="0.25">
      <c r="B692" s="2"/>
      <c r="C692" s="3"/>
      <c r="D692" s="2"/>
      <c r="E692" s="2"/>
      <c r="F692" s="2"/>
    </row>
    <row r="693" spans="2:6" x14ac:dyDescent="0.25">
      <c r="B693" s="2"/>
      <c r="C693" s="3"/>
      <c r="D693" s="2"/>
      <c r="E693" s="2"/>
      <c r="F693" s="2"/>
    </row>
    <row r="694" spans="2:6" x14ac:dyDescent="0.25">
      <c r="B694" s="2"/>
      <c r="C694" s="3"/>
      <c r="D694" s="2"/>
      <c r="E694" s="2"/>
      <c r="F694" s="2"/>
    </row>
    <row r="695" spans="2:6" x14ac:dyDescent="0.25">
      <c r="B695" s="2"/>
      <c r="C695" s="3"/>
      <c r="D695" s="2"/>
      <c r="E695" s="2"/>
      <c r="F695" s="2"/>
    </row>
    <row r="696" spans="2:6" x14ac:dyDescent="0.25">
      <c r="B696" s="2"/>
      <c r="C696" s="3"/>
      <c r="D696" s="2"/>
      <c r="E696" s="2"/>
      <c r="F696" s="2"/>
    </row>
    <row r="697" spans="2:6" x14ac:dyDescent="0.25">
      <c r="B697" s="2"/>
      <c r="C697" s="3"/>
      <c r="D697" s="2"/>
      <c r="E697" s="2"/>
      <c r="F697" s="2"/>
    </row>
    <row r="698" spans="2:6" x14ac:dyDescent="0.25">
      <c r="B698" s="2"/>
      <c r="C698" s="3"/>
      <c r="D698" s="2"/>
      <c r="E698" s="2"/>
      <c r="F698" s="2"/>
    </row>
    <row r="699" spans="2:6" x14ac:dyDescent="0.25">
      <c r="B699" s="2"/>
      <c r="C699" s="3"/>
      <c r="D699" s="2"/>
      <c r="E699" s="2"/>
      <c r="F699" s="2"/>
    </row>
    <row r="700" spans="2:6" x14ac:dyDescent="0.25">
      <c r="B700" s="2"/>
      <c r="C700" s="3"/>
      <c r="D700" s="2"/>
      <c r="E700" s="2"/>
      <c r="F700" s="2"/>
    </row>
    <row r="701" spans="2:6" x14ac:dyDescent="0.25">
      <c r="B701" s="2"/>
      <c r="C701" s="3"/>
      <c r="D701" s="2"/>
      <c r="E701" s="2"/>
      <c r="F701" s="2"/>
    </row>
    <row r="702" spans="2:6" x14ac:dyDescent="0.25">
      <c r="B702" s="2"/>
      <c r="C702" s="3"/>
      <c r="D702" s="2"/>
      <c r="E702" s="2"/>
      <c r="F702" s="2"/>
    </row>
    <row r="703" spans="2:6" x14ac:dyDescent="0.25">
      <c r="B703" s="2"/>
      <c r="C703" s="3"/>
      <c r="D703" s="2"/>
      <c r="E703" s="2"/>
      <c r="F703" s="2"/>
    </row>
    <row r="704" spans="2:6" x14ac:dyDescent="0.25">
      <c r="B704" s="2"/>
      <c r="C704" s="3"/>
      <c r="D704" s="2"/>
      <c r="E704" s="2"/>
      <c r="F704" s="2"/>
    </row>
    <row r="705" spans="2:6" x14ac:dyDescent="0.25">
      <c r="B705" s="2"/>
      <c r="C705" s="3"/>
      <c r="D705" s="2"/>
      <c r="E705" s="2"/>
      <c r="F705" s="2"/>
    </row>
    <row r="706" spans="2:6" x14ac:dyDescent="0.25">
      <c r="B706" s="2"/>
      <c r="C706" s="3"/>
      <c r="D706" s="2"/>
      <c r="E706" s="2"/>
      <c r="F706" s="2"/>
    </row>
    <row r="707" spans="2:6" x14ac:dyDescent="0.25">
      <c r="B707" s="2"/>
      <c r="C707" s="3"/>
      <c r="D707" s="2"/>
      <c r="E707" s="2"/>
      <c r="F707" s="2"/>
    </row>
    <row r="708" spans="2:6" x14ac:dyDescent="0.25">
      <c r="B708" s="2"/>
      <c r="C708" s="3"/>
      <c r="D708" s="2"/>
      <c r="E708" s="2"/>
      <c r="F708" s="2"/>
    </row>
    <row r="709" spans="2:6" x14ac:dyDescent="0.25">
      <c r="B709" s="2"/>
      <c r="C709" s="3"/>
      <c r="D709" s="2"/>
      <c r="E709" s="2"/>
      <c r="F709" s="2"/>
    </row>
    <row r="710" spans="2:6" x14ac:dyDescent="0.25">
      <c r="B710" s="2"/>
      <c r="C710" s="3"/>
      <c r="D710" s="2"/>
      <c r="E710" s="2"/>
      <c r="F710" s="2"/>
    </row>
    <row r="711" spans="2:6" x14ac:dyDescent="0.25">
      <c r="B711" s="2"/>
      <c r="C711" s="3"/>
      <c r="D711" s="2"/>
      <c r="E711" s="2"/>
      <c r="F711" s="2"/>
    </row>
    <row r="712" spans="2:6" x14ac:dyDescent="0.25">
      <c r="B712" s="2"/>
      <c r="C712" s="3"/>
      <c r="D712" s="2"/>
      <c r="E712" s="2"/>
      <c r="F712" s="2"/>
    </row>
    <row r="713" spans="2:6" x14ac:dyDescent="0.25">
      <c r="B713" s="2"/>
      <c r="C713" s="3"/>
      <c r="D713" s="2"/>
      <c r="E713" s="2"/>
      <c r="F713" s="2"/>
    </row>
    <row r="714" spans="2:6" x14ac:dyDescent="0.25">
      <c r="B714" s="2"/>
      <c r="C714" s="3"/>
      <c r="D714" s="2"/>
      <c r="E714" s="2"/>
      <c r="F714" s="2"/>
    </row>
    <row r="715" spans="2:6" x14ac:dyDescent="0.25">
      <c r="B715" s="2"/>
      <c r="C715" s="3"/>
      <c r="D715" s="2"/>
      <c r="E715" s="2"/>
      <c r="F715" s="2"/>
    </row>
    <row r="716" spans="2:6" x14ac:dyDescent="0.25">
      <c r="B716" s="2"/>
      <c r="C716" s="3"/>
      <c r="D716" s="2"/>
      <c r="E716" s="2"/>
      <c r="F716" s="2"/>
    </row>
    <row r="717" spans="2:6" x14ac:dyDescent="0.25">
      <c r="B717" s="2"/>
      <c r="C717" s="3"/>
      <c r="D717" s="2"/>
      <c r="E717" s="2"/>
      <c r="F717" s="2"/>
    </row>
    <row r="718" spans="2:6" x14ac:dyDescent="0.25">
      <c r="B718" s="2"/>
      <c r="C718" s="3"/>
      <c r="D718" s="2"/>
      <c r="E718" s="2"/>
      <c r="F718" s="2"/>
    </row>
    <row r="719" spans="2:6" x14ac:dyDescent="0.25">
      <c r="B719" s="2"/>
      <c r="C719" s="3"/>
      <c r="D719" s="2"/>
      <c r="E719" s="2"/>
      <c r="F719" s="2"/>
    </row>
    <row r="720" spans="2:6" x14ac:dyDescent="0.25">
      <c r="B720" s="2"/>
      <c r="C720" s="3"/>
      <c r="D720" s="2"/>
      <c r="E720" s="2"/>
      <c r="F720" s="2"/>
    </row>
    <row r="721" spans="2:6" x14ac:dyDescent="0.25">
      <c r="B721" s="2"/>
      <c r="C721" s="3"/>
      <c r="D721" s="2"/>
      <c r="E721" s="2"/>
      <c r="F721" s="2"/>
    </row>
    <row r="722" spans="2:6" x14ac:dyDescent="0.25">
      <c r="B722" s="2"/>
      <c r="C722" s="3"/>
      <c r="D722" s="2"/>
      <c r="E722" s="2"/>
      <c r="F722" s="2"/>
    </row>
    <row r="723" spans="2:6" x14ac:dyDescent="0.25">
      <c r="B723" s="2"/>
      <c r="C723" s="3"/>
      <c r="D723" s="2"/>
      <c r="E723" s="2"/>
      <c r="F723" s="2"/>
    </row>
    <row r="724" spans="2:6" x14ac:dyDescent="0.25">
      <c r="B724" s="2"/>
      <c r="C724" s="3"/>
      <c r="D724" s="2"/>
      <c r="E724" s="2"/>
      <c r="F724" s="2"/>
    </row>
    <row r="725" spans="2:6" x14ac:dyDescent="0.25">
      <c r="B725" s="2"/>
      <c r="C725" s="3"/>
      <c r="D725" s="2"/>
      <c r="E725" s="2"/>
      <c r="F725" s="2"/>
    </row>
    <row r="726" spans="2:6" x14ac:dyDescent="0.25">
      <c r="B726" s="2"/>
      <c r="C726" s="3"/>
      <c r="D726" s="2"/>
      <c r="E726" s="2"/>
      <c r="F726" s="2"/>
    </row>
    <row r="727" spans="2:6" x14ac:dyDescent="0.25">
      <c r="B727" s="2"/>
      <c r="C727" s="3"/>
      <c r="D727" s="2"/>
      <c r="E727" s="2"/>
      <c r="F727" s="2"/>
    </row>
    <row r="728" spans="2:6" x14ac:dyDescent="0.25">
      <c r="B728" s="2"/>
      <c r="C728" s="3"/>
      <c r="D728" s="2"/>
      <c r="E728" s="2"/>
      <c r="F728" s="2"/>
    </row>
    <row r="729" spans="2:6" x14ac:dyDescent="0.25">
      <c r="B729" s="2"/>
      <c r="C729" s="3"/>
      <c r="D729" s="2"/>
      <c r="E729" s="2"/>
      <c r="F729" s="2"/>
    </row>
    <row r="730" spans="2:6" x14ac:dyDescent="0.25">
      <c r="B730" s="2"/>
      <c r="C730" s="3"/>
      <c r="D730" s="2"/>
      <c r="E730" s="2"/>
      <c r="F730" s="2"/>
    </row>
    <row r="731" spans="2:6" x14ac:dyDescent="0.25">
      <c r="B731" s="2"/>
      <c r="C731" s="3"/>
      <c r="D731" s="2"/>
      <c r="E731" s="2"/>
      <c r="F731" s="2"/>
    </row>
    <row r="732" spans="2:6" x14ac:dyDescent="0.25">
      <c r="B732" s="2"/>
      <c r="C732" s="3"/>
      <c r="D732" s="2"/>
      <c r="E732" s="2"/>
      <c r="F732" s="2"/>
    </row>
    <row r="733" spans="2:6" x14ac:dyDescent="0.25">
      <c r="B733" s="2"/>
      <c r="C733" s="3"/>
      <c r="D733" s="2"/>
      <c r="E733" s="2"/>
      <c r="F733" s="2"/>
    </row>
    <row r="734" spans="2:6" x14ac:dyDescent="0.25">
      <c r="B734" s="2"/>
      <c r="C734" s="3"/>
      <c r="D734" s="2"/>
      <c r="E734" s="2"/>
      <c r="F734" s="2"/>
    </row>
    <row r="735" spans="2:6" x14ac:dyDescent="0.25">
      <c r="B735" s="2"/>
      <c r="C735" s="3"/>
      <c r="D735" s="2"/>
      <c r="E735" s="2"/>
      <c r="F735" s="2"/>
    </row>
    <row r="736" spans="2:6" x14ac:dyDescent="0.25">
      <c r="B736" s="2"/>
      <c r="C736" s="3"/>
      <c r="D736" s="2"/>
      <c r="E736" s="2"/>
      <c r="F736" s="2"/>
    </row>
    <row r="737" spans="2:6" x14ac:dyDescent="0.25">
      <c r="B737" s="2"/>
      <c r="C737" s="3"/>
      <c r="D737" s="2"/>
      <c r="E737" s="2"/>
      <c r="F737" s="2"/>
    </row>
    <row r="738" spans="2:6" x14ac:dyDescent="0.25">
      <c r="B738" s="2"/>
      <c r="C738" s="3"/>
      <c r="D738" s="2"/>
      <c r="E738" s="2"/>
      <c r="F738" s="2"/>
    </row>
    <row r="739" spans="2:6" x14ac:dyDescent="0.25">
      <c r="B739" s="2"/>
      <c r="C739" s="3"/>
      <c r="D739" s="2"/>
      <c r="E739" s="2"/>
      <c r="F739" s="2"/>
    </row>
    <row r="740" spans="2:6" x14ac:dyDescent="0.25">
      <c r="B740" s="2"/>
      <c r="C740" s="3"/>
      <c r="D740" s="2"/>
      <c r="E740" s="2"/>
      <c r="F740" s="2"/>
    </row>
    <row r="741" spans="2:6" x14ac:dyDescent="0.25">
      <c r="B741" s="2"/>
      <c r="C741" s="3"/>
      <c r="D741" s="2"/>
      <c r="E741" s="2"/>
      <c r="F741" s="2"/>
    </row>
    <row r="742" spans="2:6" x14ac:dyDescent="0.25">
      <c r="B742" s="2"/>
      <c r="C742" s="3"/>
      <c r="D742" s="2"/>
      <c r="E742" s="2"/>
      <c r="F742" s="2"/>
    </row>
    <row r="743" spans="2:6" x14ac:dyDescent="0.25">
      <c r="B743" s="2"/>
      <c r="C743" s="3"/>
      <c r="D743" s="2"/>
      <c r="E743" s="2"/>
      <c r="F743" s="2"/>
    </row>
    <row r="744" spans="2:6" x14ac:dyDescent="0.25">
      <c r="B744" s="2"/>
      <c r="C744" s="3"/>
      <c r="D744" s="2"/>
      <c r="E744" s="2"/>
      <c r="F744" s="2"/>
    </row>
    <row r="745" spans="2:6" x14ac:dyDescent="0.25">
      <c r="B745" s="2"/>
      <c r="C745" s="3"/>
      <c r="D745" s="2"/>
      <c r="E745" s="2"/>
      <c r="F745" s="2"/>
    </row>
    <row r="746" spans="2:6" x14ac:dyDescent="0.25">
      <c r="B746" s="2"/>
      <c r="C746" s="3"/>
      <c r="D746" s="2"/>
      <c r="E746" s="2"/>
      <c r="F746" s="2"/>
    </row>
    <row r="747" spans="2:6" x14ac:dyDescent="0.25">
      <c r="B747" s="2"/>
      <c r="C747" s="3"/>
      <c r="D747" s="2"/>
      <c r="E747" s="2"/>
      <c r="F747" s="2"/>
    </row>
    <row r="748" spans="2:6" x14ac:dyDescent="0.25">
      <c r="B748" s="2"/>
      <c r="C748" s="3"/>
      <c r="D748" s="2"/>
      <c r="E748" s="2"/>
      <c r="F748" s="2"/>
    </row>
    <row r="749" spans="2:6" x14ac:dyDescent="0.25">
      <c r="B749" s="2"/>
      <c r="C749" s="3"/>
      <c r="D749" s="2"/>
      <c r="E749" s="2"/>
      <c r="F749" s="2"/>
    </row>
    <row r="750" spans="2:6" x14ac:dyDescent="0.25">
      <c r="B750" s="2"/>
      <c r="C750" s="3"/>
      <c r="D750" s="2"/>
      <c r="E750" s="2"/>
      <c r="F750" s="2"/>
    </row>
    <row r="751" spans="2:6" x14ac:dyDescent="0.25">
      <c r="B751" s="2"/>
      <c r="C751" s="3"/>
      <c r="D751" s="2"/>
      <c r="E751" s="2"/>
      <c r="F751" s="2"/>
    </row>
    <row r="752" spans="2:6" x14ac:dyDescent="0.25">
      <c r="B752" s="2"/>
      <c r="C752" s="3"/>
      <c r="D752" s="2"/>
      <c r="E752" s="2"/>
      <c r="F752" s="2"/>
    </row>
    <row r="753" spans="2:6" x14ac:dyDescent="0.25">
      <c r="B753" s="2"/>
      <c r="C753" s="3"/>
      <c r="D753" s="2"/>
      <c r="E753" s="2"/>
      <c r="F753" s="2"/>
    </row>
    <row r="754" spans="2:6" x14ac:dyDescent="0.25">
      <c r="B754" s="2"/>
      <c r="C754" s="3"/>
      <c r="D754" s="2"/>
      <c r="E754" s="2"/>
      <c r="F754" s="2"/>
    </row>
    <row r="755" spans="2:6" x14ac:dyDescent="0.25">
      <c r="B755" s="2"/>
      <c r="C755" s="3"/>
      <c r="D755" s="2"/>
      <c r="E755" s="2"/>
      <c r="F755" s="2"/>
    </row>
    <row r="756" spans="2:6" x14ac:dyDescent="0.25">
      <c r="B756" s="2"/>
      <c r="C756" s="3"/>
      <c r="D756" s="2"/>
      <c r="E756" s="2"/>
      <c r="F756" s="2"/>
    </row>
    <row r="757" spans="2:6" x14ac:dyDescent="0.25">
      <c r="B757" s="2"/>
      <c r="C757" s="3"/>
      <c r="D757" s="2"/>
      <c r="E757" s="2"/>
      <c r="F757" s="2"/>
    </row>
    <row r="758" spans="2:6" x14ac:dyDescent="0.25">
      <c r="B758" s="2"/>
      <c r="C758" s="3"/>
      <c r="D758" s="2"/>
      <c r="E758" s="2"/>
      <c r="F758" s="2"/>
    </row>
    <row r="759" spans="2:6" x14ac:dyDescent="0.25">
      <c r="B759" s="2"/>
      <c r="C759" s="3"/>
      <c r="D759" s="2"/>
      <c r="E759" s="2"/>
      <c r="F759" s="2"/>
    </row>
    <row r="760" spans="2:6" x14ac:dyDescent="0.25">
      <c r="B760" s="2"/>
      <c r="C760" s="3"/>
      <c r="D760" s="2"/>
      <c r="E760" s="2"/>
      <c r="F760" s="2"/>
    </row>
    <row r="761" spans="2:6" x14ac:dyDescent="0.25">
      <c r="B761" s="2"/>
      <c r="C761" s="3"/>
      <c r="D761" s="2"/>
      <c r="E761" s="2"/>
      <c r="F761" s="2"/>
    </row>
    <row r="762" spans="2:6" x14ac:dyDescent="0.25">
      <c r="B762" s="2"/>
      <c r="C762" s="3"/>
      <c r="D762" s="2"/>
      <c r="E762" s="2"/>
      <c r="F762" s="2"/>
    </row>
    <row r="763" spans="2:6" x14ac:dyDescent="0.25">
      <c r="B763" s="2"/>
      <c r="C763" s="3"/>
      <c r="D763" s="2"/>
      <c r="E763" s="2"/>
      <c r="F763" s="2"/>
    </row>
    <row r="764" spans="2:6" x14ac:dyDescent="0.25">
      <c r="B764" s="2"/>
      <c r="C764" s="3"/>
      <c r="D764" s="2"/>
      <c r="E764" s="2"/>
      <c r="F764" s="2"/>
    </row>
    <row r="765" spans="2:6" x14ac:dyDescent="0.25">
      <c r="B765" s="2"/>
      <c r="C765" s="3"/>
      <c r="D765" s="2"/>
      <c r="E765" s="2"/>
      <c r="F765" s="2"/>
    </row>
    <row r="766" spans="2:6" x14ac:dyDescent="0.25">
      <c r="B766" s="2"/>
      <c r="C766" s="3"/>
      <c r="D766" s="2"/>
      <c r="E766" s="2"/>
      <c r="F766" s="2"/>
    </row>
    <row r="767" spans="2:6" x14ac:dyDescent="0.25">
      <c r="B767" s="2"/>
      <c r="C767" s="3"/>
      <c r="D767" s="2"/>
      <c r="E767" s="2"/>
      <c r="F767" s="2"/>
    </row>
    <row r="768" spans="2:6" x14ac:dyDescent="0.25">
      <c r="B768" s="2"/>
      <c r="C768" s="3"/>
      <c r="D768" s="2"/>
      <c r="E768" s="2"/>
      <c r="F768" s="2"/>
    </row>
    <row r="769" spans="2:6" x14ac:dyDescent="0.25">
      <c r="B769" s="2"/>
      <c r="C769" s="3"/>
      <c r="D769" s="2"/>
      <c r="E769" s="2"/>
      <c r="F769" s="2"/>
    </row>
    <row r="770" spans="2:6" x14ac:dyDescent="0.25">
      <c r="B770" s="2"/>
      <c r="C770" s="3"/>
      <c r="D770" s="2"/>
      <c r="E770" s="2"/>
      <c r="F770" s="2"/>
    </row>
    <row r="771" spans="2:6" x14ac:dyDescent="0.25">
      <c r="B771" s="2"/>
      <c r="C771" s="3"/>
      <c r="D771" s="2"/>
      <c r="E771" s="2"/>
      <c r="F771" s="2"/>
    </row>
    <row r="772" spans="2:6" x14ac:dyDescent="0.25">
      <c r="B772" s="2"/>
      <c r="C772" s="3"/>
      <c r="D772" s="2"/>
      <c r="E772" s="2"/>
      <c r="F772" s="2"/>
    </row>
    <row r="773" spans="2:6" x14ac:dyDescent="0.25">
      <c r="B773" s="2"/>
      <c r="C773" s="3"/>
      <c r="D773" s="2"/>
      <c r="E773" s="2"/>
      <c r="F773" s="2"/>
    </row>
    <row r="774" spans="2:6" x14ac:dyDescent="0.25">
      <c r="B774" s="2"/>
      <c r="C774" s="3"/>
      <c r="D774" s="2"/>
      <c r="E774" s="2"/>
      <c r="F774" s="2"/>
    </row>
    <row r="775" spans="2:6" x14ac:dyDescent="0.25">
      <c r="B775" s="2"/>
      <c r="C775" s="3"/>
      <c r="D775" s="2"/>
      <c r="E775" s="2"/>
      <c r="F775" s="2"/>
    </row>
    <row r="776" spans="2:6" x14ac:dyDescent="0.25">
      <c r="B776" s="2"/>
      <c r="C776" s="3"/>
      <c r="D776" s="2"/>
      <c r="E776" s="2"/>
      <c r="F776" s="2"/>
    </row>
    <row r="777" spans="2:6" x14ac:dyDescent="0.25">
      <c r="B777" s="2"/>
      <c r="C777" s="3"/>
      <c r="D777" s="2"/>
      <c r="E777" s="2"/>
      <c r="F777" s="2"/>
    </row>
    <row r="778" spans="2:6" x14ac:dyDescent="0.25">
      <c r="B778" s="2"/>
      <c r="C778" s="3"/>
      <c r="D778" s="2"/>
      <c r="E778" s="2"/>
      <c r="F778" s="2"/>
    </row>
    <row r="779" spans="2:6" x14ac:dyDescent="0.25">
      <c r="B779" s="2"/>
      <c r="C779" s="3"/>
      <c r="D779" s="2"/>
      <c r="E779" s="2"/>
      <c r="F779" s="2"/>
    </row>
    <row r="780" spans="2:6" x14ac:dyDescent="0.25">
      <c r="B780" s="2"/>
      <c r="C780" s="3"/>
      <c r="D780" s="2"/>
      <c r="E780" s="2"/>
      <c r="F780" s="2"/>
    </row>
    <row r="781" spans="2:6" x14ac:dyDescent="0.25">
      <c r="B781" s="2"/>
      <c r="C781" s="3"/>
      <c r="D781" s="2"/>
      <c r="E781" s="2"/>
      <c r="F781" s="2"/>
    </row>
    <row r="782" spans="2:6" x14ac:dyDescent="0.25">
      <c r="B782" s="2"/>
      <c r="C782" s="3"/>
      <c r="D782" s="2"/>
      <c r="E782" s="2"/>
      <c r="F782" s="2"/>
    </row>
    <row r="783" spans="2:6" x14ac:dyDescent="0.25">
      <c r="B783" s="2"/>
      <c r="C783" s="3"/>
      <c r="D783" s="2"/>
      <c r="E783" s="2"/>
      <c r="F783" s="2"/>
    </row>
    <row r="784" spans="2:6" x14ac:dyDescent="0.25">
      <c r="B784" s="2"/>
      <c r="C784" s="3"/>
      <c r="D784" s="2"/>
      <c r="E784" s="2"/>
      <c r="F784" s="2"/>
    </row>
    <row r="785" spans="2:6" x14ac:dyDescent="0.25">
      <c r="B785" s="2"/>
      <c r="C785" s="3"/>
      <c r="D785" s="2"/>
      <c r="E785" s="2"/>
      <c r="F785" s="2"/>
    </row>
    <row r="786" spans="2:6" x14ac:dyDescent="0.25">
      <c r="B786" s="2"/>
      <c r="C786" s="3"/>
      <c r="D786" s="2"/>
      <c r="E786" s="2"/>
      <c r="F786" s="2"/>
    </row>
    <row r="787" spans="2:6" x14ac:dyDescent="0.25">
      <c r="B787" s="2"/>
      <c r="C787" s="3"/>
      <c r="D787" s="2"/>
      <c r="E787" s="2"/>
      <c r="F787" s="2"/>
    </row>
    <row r="788" spans="2:6" x14ac:dyDescent="0.25">
      <c r="B788" s="2"/>
      <c r="C788" s="3"/>
      <c r="D788" s="2"/>
      <c r="E788" s="2"/>
      <c r="F788" s="2"/>
    </row>
    <row r="789" spans="2:6" x14ac:dyDescent="0.25">
      <c r="B789" s="2"/>
      <c r="C789" s="3"/>
      <c r="D789" s="2"/>
      <c r="E789" s="2"/>
      <c r="F789" s="2"/>
    </row>
    <row r="790" spans="2:6" x14ac:dyDescent="0.25">
      <c r="B790" s="2"/>
      <c r="C790" s="3"/>
      <c r="D790" s="2"/>
      <c r="E790" s="2"/>
      <c r="F790" s="2"/>
    </row>
    <row r="791" spans="2:6" x14ac:dyDescent="0.25">
      <c r="B791" s="2"/>
      <c r="C791" s="3"/>
      <c r="D791" s="2"/>
      <c r="E791" s="2"/>
      <c r="F791" s="2"/>
    </row>
    <row r="792" spans="2:6" x14ac:dyDescent="0.25">
      <c r="B792" s="2"/>
      <c r="C792" s="3"/>
      <c r="D792" s="2"/>
      <c r="E792" s="2"/>
      <c r="F792" s="2"/>
    </row>
    <row r="793" spans="2:6" x14ac:dyDescent="0.25">
      <c r="B793" s="2"/>
      <c r="C793" s="3"/>
      <c r="D793" s="2"/>
      <c r="E793" s="2"/>
      <c r="F793" s="2"/>
    </row>
    <row r="794" spans="2:6" x14ac:dyDescent="0.25">
      <c r="B794" s="2"/>
      <c r="C794" s="3"/>
      <c r="D794" s="2"/>
      <c r="E794" s="2"/>
      <c r="F794" s="2"/>
    </row>
    <row r="795" spans="2:6" x14ac:dyDescent="0.25">
      <c r="B795" s="2"/>
      <c r="C795" s="3"/>
      <c r="D795" s="2"/>
      <c r="E795" s="2"/>
      <c r="F795" s="2"/>
    </row>
    <row r="796" spans="2:6" x14ac:dyDescent="0.25">
      <c r="B796" s="2"/>
      <c r="C796" s="3"/>
      <c r="D796" s="2"/>
      <c r="E796" s="2"/>
      <c r="F796" s="2"/>
    </row>
    <row r="797" spans="2:6" x14ac:dyDescent="0.25">
      <c r="B797" s="2"/>
      <c r="C797" s="3"/>
      <c r="D797" s="2"/>
      <c r="E797" s="2"/>
      <c r="F797" s="2"/>
    </row>
    <row r="798" spans="2:6" x14ac:dyDescent="0.25">
      <c r="B798" s="2"/>
      <c r="C798" s="3"/>
      <c r="D798" s="2"/>
      <c r="E798" s="2"/>
      <c r="F798" s="2"/>
    </row>
    <row r="799" spans="2:6" x14ac:dyDescent="0.25">
      <c r="B799" s="2"/>
      <c r="C799" s="3"/>
      <c r="D799" s="2"/>
      <c r="E799" s="2"/>
      <c r="F799" s="2"/>
    </row>
    <row r="800" spans="2:6" x14ac:dyDescent="0.25">
      <c r="B800" s="2"/>
      <c r="C800" s="3"/>
      <c r="D800" s="2"/>
      <c r="E800" s="2"/>
      <c r="F800" s="2"/>
    </row>
    <row r="801" spans="2:6" x14ac:dyDescent="0.25">
      <c r="B801" s="2"/>
      <c r="C801" s="3"/>
      <c r="D801" s="2"/>
      <c r="E801" s="2"/>
      <c r="F801" s="2"/>
    </row>
    <row r="802" spans="2:6" x14ac:dyDescent="0.25">
      <c r="B802" s="2"/>
      <c r="C802" s="3"/>
      <c r="D802" s="2"/>
      <c r="E802" s="2"/>
      <c r="F802" s="2"/>
    </row>
    <row r="803" spans="2:6" x14ac:dyDescent="0.25">
      <c r="B803" s="2"/>
      <c r="C803" s="3"/>
      <c r="D803" s="2"/>
      <c r="E803" s="2"/>
      <c r="F803" s="2"/>
    </row>
    <row r="804" spans="2:6" x14ac:dyDescent="0.25">
      <c r="B804" s="2"/>
      <c r="C804" s="3"/>
      <c r="D804" s="2"/>
      <c r="E804" s="2"/>
      <c r="F804" s="2"/>
    </row>
    <row r="805" spans="2:6" x14ac:dyDescent="0.25">
      <c r="B805" s="2"/>
      <c r="C805" s="3"/>
      <c r="D805" s="2"/>
      <c r="E805" s="2"/>
      <c r="F805" s="2"/>
    </row>
    <row r="806" spans="2:6" x14ac:dyDescent="0.25">
      <c r="B806" s="2"/>
      <c r="C806" s="3"/>
      <c r="D806" s="2"/>
      <c r="E806" s="2"/>
      <c r="F806" s="2"/>
    </row>
    <row r="807" spans="2:6" x14ac:dyDescent="0.25">
      <c r="B807" s="2"/>
      <c r="C807" s="3"/>
      <c r="D807" s="2"/>
      <c r="E807" s="2"/>
      <c r="F807" s="2"/>
    </row>
    <row r="808" spans="2:6" x14ac:dyDescent="0.25">
      <c r="B808" s="2"/>
      <c r="C808" s="3"/>
      <c r="D808" s="2"/>
      <c r="E808" s="2"/>
      <c r="F808" s="2"/>
    </row>
    <row r="809" spans="2:6" x14ac:dyDescent="0.25">
      <c r="B809" s="2"/>
      <c r="C809" s="3"/>
      <c r="D809" s="2"/>
      <c r="E809" s="2"/>
      <c r="F809" s="2"/>
    </row>
    <row r="810" spans="2:6" x14ac:dyDescent="0.25">
      <c r="B810" s="2"/>
      <c r="C810" s="3"/>
      <c r="D810" s="2"/>
      <c r="E810" s="2"/>
      <c r="F810" s="2"/>
    </row>
    <row r="811" spans="2:6" x14ac:dyDescent="0.25">
      <c r="B811" s="2"/>
      <c r="C811" s="3"/>
      <c r="D811" s="2"/>
      <c r="E811" s="2"/>
      <c r="F811" s="2"/>
    </row>
    <row r="812" spans="2:6" x14ac:dyDescent="0.25">
      <c r="B812" s="2"/>
      <c r="C812" s="3"/>
      <c r="D812" s="2"/>
      <c r="E812" s="2"/>
      <c r="F812" s="2"/>
    </row>
    <row r="813" spans="2:6" x14ac:dyDescent="0.25">
      <c r="B813" s="2"/>
      <c r="C813" s="3"/>
      <c r="D813" s="2"/>
      <c r="E813" s="2"/>
      <c r="F813" s="2"/>
    </row>
    <row r="814" spans="2:6" x14ac:dyDescent="0.25">
      <c r="B814" s="2"/>
      <c r="C814" s="3"/>
      <c r="D814" s="2"/>
      <c r="E814" s="2"/>
      <c r="F814" s="2"/>
    </row>
    <row r="815" spans="2:6" x14ac:dyDescent="0.25">
      <c r="B815" s="2"/>
      <c r="C815" s="3"/>
      <c r="D815" s="2"/>
      <c r="E815" s="2"/>
      <c r="F815" s="2"/>
    </row>
    <row r="816" spans="2:6" x14ac:dyDescent="0.25">
      <c r="B816" s="2"/>
      <c r="C816" s="3"/>
      <c r="D816" s="2"/>
      <c r="E816" s="2"/>
      <c r="F816" s="2"/>
    </row>
    <row r="817" spans="2:6" x14ac:dyDescent="0.25">
      <c r="B817" s="2"/>
      <c r="C817" s="3"/>
      <c r="D817" s="2"/>
      <c r="E817" s="2"/>
      <c r="F817" s="2"/>
    </row>
    <row r="818" spans="2:6" x14ac:dyDescent="0.25">
      <c r="B818" s="2"/>
      <c r="C818" s="3"/>
      <c r="D818" s="2"/>
      <c r="E818" s="2"/>
      <c r="F818" s="2"/>
    </row>
    <row r="819" spans="2:6" x14ac:dyDescent="0.25">
      <c r="B819" s="2"/>
      <c r="C819" s="3"/>
      <c r="D819" s="2"/>
      <c r="E819" s="2"/>
      <c r="F819" s="2"/>
    </row>
    <row r="820" spans="2:6" x14ac:dyDescent="0.25">
      <c r="B820" s="2"/>
      <c r="C820" s="3"/>
      <c r="D820" s="2"/>
      <c r="E820" s="2"/>
      <c r="F820" s="2"/>
    </row>
    <row r="821" spans="2:6" x14ac:dyDescent="0.25">
      <c r="B821" s="2"/>
      <c r="C821" s="3"/>
      <c r="D821" s="2"/>
      <c r="E821" s="2"/>
      <c r="F821" s="2"/>
    </row>
    <row r="822" spans="2:6" x14ac:dyDescent="0.25">
      <c r="B822" s="2"/>
      <c r="C822" s="3"/>
      <c r="D822" s="2"/>
      <c r="E822" s="2"/>
      <c r="F822" s="2"/>
    </row>
    <row r="823" spans="2:6" x14ac:dyDescent="0.25">
      <c r="B823" s="2"/>
      <c r="C823" s="3"/>
      <c r="D823" s="2"/>
      <c r="E823" s="2"/>
      <c r="F823" s="2"/>
    </row>
    <row r="824" spans="2:6" x14ac:dyDescent="0.25">
      <c r="B824" s="2"/>
      <c r="C824" s="3"/>
      <c r="D824" s="2"/>
      <c r="E824" s="2"/>
      <c r="F824" s="2"/>
    </row>
    <row r="825" spans="2:6" x14ac:dyDescent="0.25">
      <c r="B825" s="2"/>
      <c r="C825" s="3"/>
      <c r="D825" s="2"/>
      <c r="E825" s="2"/>
      <c r="F825" s="2"/>
    </row>
    <row r="826" spans="2:6" x14ac:dyDescent="0.25">
      <c r="B826" s="2"/>
      <c r="C826" s="3"/>
      <c r="D826" s="2"/>
      <c r="E826" s="2"/>
      <c r="F826" s="2"/>
    </row>
    <row r="827" spans="2:6" x14ac:dyDescent="0.25">
      <c r="B827" s="2"/>
      <c r="C827" s="3"/>
      <c r="D827" s="2"/>
      <c r="E827" s="2"/>
      <c r="F827" s="2"/>
    </row>
    <row r="828" spans="2:6" x14ac:dyDescent="0.25">
      <c r="B828" s="2"/>
      <c r="C828" s="3"/>
      <c r="D828" s="2"/>
      <c r="E828" s="2"/>
      <c r="F828" s="2"/>
    </row>
    <row r="829" spans="2:6" x14ac:dyDescent="0.25">
      <c r="B829" s="2"/>
      <c r="C829" s="3"/>
      <c r="D829" s="2"/>
      <c r="E829" s="2"/>
      <c r="F829" s="2"/>
    </row>
    <row r="830" spans="2:6" x14ac:dyDescent="0.25">
      <c r="B830" s="2"/>
      <c r="C830" s="3"/>
      <c r="D830" s="2"/>
      <c r="E830" s="2"/>
      <c r="F830" s="2"/>
    </row>
    <row r="831" spans="2:6" x14ac:dyDescent="0.25">
      <c r="B831" s="2"/>
      <c r="C831" s="3"/>
      <c r="D831" s="2"/>
      <c r="E831" s="2"/>
      <c r="F831" s="2"/>
    </row>
    <row r="832" spans="2:6" x14ac:dyDescent="0.25">
      <c r="B832" s="2"/>
      <c r="C832" s="3"/>
      <c r="D832" s="2"/>
      <c r="E832" s="2"/>
      <c r="F832" s="2"/>
    </row>
    <row r="833" spans="2:6" x14ac:dyDescent="0.25">
      <c r="B833" s="2"/>
      <c r="C833" s="3"/>
      <c r="D833" s="2"/>
      <c r="E833" s="2"/>
      <c r="F833" s="2"/>
    </row>
    <row r="834" spans="2:6" x14ac:dyDescent="0.25">
      <c r="B834" s="2"/>
      <c r="C834" s="3"/>
      <c r="D834" s="2"/>
      <c r="E834" s="2"/>
      <c r="F834" s="2"/>
    </row>
    <row r="835" spans="2:6" x14ac:dyDescent="0.25">
      <c r="B835" s="2"/>
      <c r="C835" s="3"/>
      <c r="D835" s="2"/>
      <c r="E835" s="2"/>
      <c r="F835" s="2"/>
    </row>
    <row r="836" spans="2:6" x14ac:dyDescent="0.25">
      <c r="B836" s="2"/>
      <c r="C836" s="3"/>
      <c r="D836" s="2"/>
      <c r="E836" s="2"/>
      <c r="F836" s="2"/>
    </row>
    <row r="837" spans="2:6" x14ac:dyDescent="0.25">
      <c r="B837" s="2"/>
      <c r="C837" s="3"/>
      <c r="D837" s="2"/>
      <c r="E837" s="2"/>
      <c r="F837" s="2"/>
    </row>
    <row r="838" spans="2:6" x14ac:dyDescent="0.25">
      <c r="B838" s="2"/>
      <c r="C838" s="3"/>
      <c r="D838" s="2"/>
      <c r="E838" s="2"/>
      <c r="F838" s="2"/>
    </row>
    <row r="839" spans="2:6" x14ac:dyDescent="0.25">
      <c r="B839" s="2"/>
      <c r="C839" s="3"/>
      <c r="D839" s="2"/>
      <c r="E839" s="2"/>
      <c r="F839" s="2"/>
    </row>
    <row r="840" spans="2:6" x14ac:dyDescent="0.25">
      <c r="B840" s="2"/>
      <c r="C840" s="3"/>
      <c r="D840" s="2"/>
      <c r="E840" s="2"/>
      <c r="F840" s="2"/>
    </row>
    <row r="841" spans="2:6" x14ac:dyDescent="0.25">
      <c r="B841" s="2"/>
      <c r="C841" s="3"/>
      <c r="D841" s="2"/>
      <c r="E841" s="2"/>
      <c r="F841" s="2"/>
    </row>
    <row r="842" spans="2:6" x14ac:dyDescent="0.25">
      <c r="B842" s="2"/>
      <c r="C842" s="3"/>
      <c r="D842" s="2"/>
      <c r="E842" s="2"/>
      <c r="F842" s="2"/>
    </row>
    <row r="843" spans="2:6" x14ac:dyDescent="0.25">
      <c r="B843" s="2"/>
      <c r="C843" s="3"/>
      <c r="D843" s="2"/>
      <c r="E843" s="2"/>
      <c r="F843" s="2"/>
    </row>
    <row r="844" spans="2:6" x14ac:dyDescent="0.25">
      <c r="B844" s="2"/>
      <c r="C844" s="3"/>
      <c r="D844" s="2"/>
      <c r="E844" s="2"/>
      <c r="F844" s="2"/>
    </row>
    <row r="845" spans="2:6" x14ac:dyDescent="0.25">
      <c r="B845" s="2"/>
      <c r="C845" s="3"/>
      <c r="D845" s="2"/>
      <c r="E845" s="2"/>
      <c r="F845" s="2"/>
    </row>
    <row r="846" spans="2:6" x14ac:dyDescent="0.25">
      <c r="B846" s="2"/>
      <c r="C846" s="3"/>
      <c r="D846" s="2"/>
      <c r="E846" s="2"/>
      <c r="F846" s="2"/>
    </row>
    <row r="847" spans="2:6" x14ac:dyDescent="0.25">
      <c r="B847" s="2"/>
      <c r="C847" s="3"/>
      <c r="D847" s="2"/>
      <c r="E847" s="2"/>
      <c r="F847" s="2"/>
    </row>
    <row r="848" spans="2:6" x14ac:dyDescent="0.25">
      <c r="B848" s="2"/>
      <c r="C848" s="3"/>
      <c r="D848" s="2"/>
      <c r="E848" s="2"/>
      <c r="F848" s="2"/>
    </row>
    <row r="849" spans="2:6" x14ac:dyDescent="0.25">
      <c r="B849" s="2"/>
      <c r="C849" s="3"/>
      <c r="D849" s="2"/>
      <c r="E849" s="2"/>
      <c r="F849" s="2"/>
    </row>
    <row r="850" spans="2:6" x14ac:dyDescent="0.25">
      <c r="B850" s="2"/>
      <c r="C850" s="3"/>
      <c r="D850" s="2"/>
      <c r="E850" s="2"/>
      <c r="F850" s="2"/>
    </row>
    <row r="851" spans="2:6" x14ac:dyDescent="0.25">
      <c r="B851" s="2"/>
      <c r="C851" s="3"/>
      <c r="D851" s="2"/>
      <c r="E851" s="2"/>
      <c r="F851" s="2"/>
    </row>
    <row r="852" spans="2:6" x14ac:dyDescent="0.25">
      <c r="B852" s="2"/>
      <c r="C852" s="3"/>
      <c r="D852" s="2"/>
      <c r="E852" s="2"/>
      <c r="F852" s="2"/>
    </row>
    <row r="853" spans="2:6" x14ac:dyDescent="0.25">
      <c r="B853" s="2"/>
      <c r="C853" s="3"/>
      <c r="D853" s="2"/>
      <c r="E853" s="2"/>
      <c r="F853" s="2"/>
    </row>
    <row r="854" spans="2:6" x14ac:dyDescent="0.25">
      <c r="B854" s="2"/>
      <c r="C854" s="3"/>
      <c r="D854" s="2"/>
      <c r="E854" s="2"/>
      <c r="F854" s="2"/>
    </row>
    <row r="855" spans="2:6" x14ac:dyDescent="0.25">
      <c r="B855" s="2"/>
      <c r="C855" s="3"/>
      <c r="D855" s="2"/>
      <c r="E855" s="2"/>
      <c r="F855" s="2"/>
    </row>
    <row r="856" spans="2:6" x14ac:dyDescent="0.25">
      <c r="B856" s="2"/>
      <c r="C856" s="3"/>
      <c r="D856" s="2"/>
      <c r="E856" s="2"/>
      <c r="F856" s="2"/>
    </row>
    <row r="857" spans="2:6" x14ac:dyDescent="0.25">
      <c r="B857" s="2"/>
      <c r="C857" s="3"/>
      <c r="D857" s="2"/>
      <c r="E857" s="2"/>
      <c r="F857" s="2"/>
    </row>
    <row r="858" spans="2:6" x14ac:dyDescent="0.25">
      <c r="B858" s="2"/>
      <c r="C858" s="3"/>
      <c r="D858" s="2"/>
      <c r="E858" s="2"/>
      <c r="F858" s="2"/>
    </row>
    <row r="859" spans="2:6" x14ac:dyDescent="0.25">
      <c r="B859" s="2"/>
      <c r="C859" s="3"/>
      <c r="D859" s="2"/>
      <c r="E859" s="2"/>
      <c r="F859" s="2"/>
    </row>
    <row r="860" spans="2:6" x14ac:dyDescent="0.25">
      <c r="B860" s="2"/>
      <c r="C860" s="3"/>
      <c r="D860" s="2"/>
      <c r="E860" s="2"/>
      <c r="F860" s="2"/>
    </row>
    <row r="861" spans="2:6" x14ac:dyDescent="0.25">
      <c r="B861" s="2"/>
      <c r="C861" s="3"/>
      <c r="D861" s="2"/>
      <c r="E861" s="2"/>
      <c r="F861" s="2"/>
    </row>
    <row r="862" spans="2:6" x14ac:dyDescent="0.25">
      <c r="B862" s="2"/>
      <c r="C862" s="3"/>
      <c r="D862" s="2"/>
      <c r="E862" s="2"/>
      <c r="F862" s="2"/>
    </row>
    <row r="863" spans="2:6" x14ac:dyDescent="0.25">
      <c r="B863" s="2"/>
      <c r="C863" s="3"/>
      <c r="D863" s="2"/>
      <c r="E863" s="2"/>
      <c r="F863" s="2"/>
    </row>
    <row r="864" spans="2:6" x14ac:dyDescent="0.25">
      <c r="B864" s="2"/>
      <c r="C864" s="3"/>
      <c r="D864" s="2"/>
      <c r="E864" s="2"/>
      <c r="F864" s="2"/>
    </row>
    <row r="865" spans="2:6" x14ac:dyDescent="0.25">
      <c r="B865" s="2"/>
      <c r="C865" s="3"/>
      <c r="D865" s="2"/>
      <c r="E865" s="2"/>
      <c r="F865" s="2"/>
    </row>
    <row r="866" spans="2:6" x14ac:dyDescent="0.25">
      <c r="B866" s="2"/>
      <c r="C866" s="3"/>
      <c r="D866" s="2"/>
      <c r="E866" s="2"/>
      <c r="F866" s="2"/>
    </row>
    <row r="867" spans="2:6" x14ac:dyDescent="0.25">
      <c r="B867" s="2"/>
      <c r="C867" s="3"/>
      <c r="D867" s="2"/>
      <c r="E867" s="2"/>
      <c r="F867" s="2"/>
    </row>
    <row r="868" spans="2:6" x14ac:dyDescent="0.25">
      <c r="B868" s="2"/>
      <c r="C868" s="3"/>
      <c r="D868" s="2"/>
      <c r="E868" s="2"/>
      <c r="F868" s="2"/>
    </row>
    <row r="869" spans="2:6" x14ac:dyDescent="0.25">
      <c r="B869" s="2"/>
      <c r="C869" s="3"/>
      <c r="D869" s="2"/>
      <c r="E869" s="2"/>
      <c r="F869" s="2"/>
    </row>
    <row r="870" spans="2:6" x14ac:dyDescent="0.25">
      <c r="B870" s="2"/>
      <c r="C870" s="3"/>
      <c r="D870" s="2"/>
      <c r="E870" s="2"/>
      <c r="F870" s="2"/>
    </row>
    <row r="871" spans="2:6" x14ac:dyDescent="0.25">
      <c r="B871" s="2"/>
      <c r="C871" s="3"/>
      <c r="D871" s="2"/>
      <c r="E871" s="2"/>
      <c r="F871" s="2"/>
    </row>
    <row r="872" spans="2:6" x14ac:dyDescent="0.25">
      <c r="B872" s="2"/>
      <c r="C872" s="3"/>
      <c r="D872" s="2"/>
      <c r="E872" s="2"/>
      <c r="F872" s="2"/>
    </row>
    <row r="873" spans="2:6" x14ac:dyDescent="0.25">
      <c r="B873" s="2"/>
      <c r="C873" s="3"/>
      <c r="D873" s="2"/>
      <c r="E873" s="2"/>
      <c r="F873" s="2"/>
    </row>
    <row r="874" spans="2:6" x14ac:dyDescent="0.25">
      <c r="B874" s="2"/>
      <c r="C874" s="3"/>
      <c r="D874" s="2"/>
      <c r="E874" s="2"/>
      <c r="F874" s="2"/>
    </row>
    <row r="875" spans="2:6" x14ac:dyDescent="0.25">
      <c r="B875" s="2"/>
      <c r="C875" s="3"/>
      <c r="D875" s="2"/>
      <c r="E875" s="2"/>
      <c r="F875" s="2"/>
    </row>
    <row r="876" spans="2:6" x14ac:dyDescent="0.25">
      <c r="B876" s="2"/>
      <c r="C876" s="3"/>
      <c r="D876" s="2"/>
      <c r="E876" s="2"/>
      <c r="F876" s="2"/>
    </row>
    <row r="877" spans="2:6" x14ac:dyDescent="0.25">
      <c r="B877" s="2"/>
      <c r="C877" s="3"/>
      <c r="D877" s="2"/>
      <c r="E877" s="2"/>
      <c r="F877" s="2"/>
    </row>
    <row r="878" spans="2:6" x14ac:dyDescent="0.25">
      <c r="B878" s="2"/>
      <c r="C878" s="3"/>
      <c r="D878" s="2"/>
      <c r="E878" s="2"/>
      <c r="F878" s="2"/>
    </row>
    <row r="879" spans="2:6" x14ac:dyDescent="0.25">
      <c r="B879" s="2"/>
      <c r="C879" s="3"/>
      <c r="D879" s="2"/>
      <c r="E879" s="2"/>
      <c r="F879" s="2"/>
    </row>
    <row r="880" spans="2:6" x14ac:dyDescent="0.25">
      <c r="B880" s="2"/>
      <c r="C880" s="3"/>
      <c r="D880" s="2"/>
      <c r="E880" s="2"/>
      <c r="F880" s="2"/>
    </row>
    <row r="881" spans="2:6" x14ac:dyDescent="0.25">
      <c r="B881" s="2"/>
      <c r="C881" s="3"/>
      <c r="D881" s="2"/>
      <c r="E881" s="2"/>
      <c r="F881" s="2"/>
    </row>
    <row r="882" spans="2:6" x14ac:dyDescent="0.25">
      <c r="B882" s="2"/>
      <c r="C882" s="3"/>
      <c r="D882" s="2"/>
      <c r="E882" s="2"/>
      <c r="F882" s="2"/>
    </row>
    <row r="883" spans="2:6" x14ac:dyDescent="0.25">
      <c r="B883" s="2"/>
      <c r="C883" s="3"/>
      <c r="D883" s="2"/>
      <c r="E883" s="2"/>
      <c r="F883" s="2"/>
    </row>
    <row r="884" spans="2:6" x14ac:dyDescent="0.25">
      <c r="B884" s="2"/>
      <c r="C884" s="3"/>
      <c r="D884" s="2"/>
      <c r="E884" s="2"/>
      <c r="F884" s="2"/>
    </row>
    <row r="885" spans="2:6" x14ac:dyDescent="0.25">
      <c r="B885" s="2"/>
      <c r="C885" s="3"/>
      <c r="D885" s="2"/>
      <c r="E885" s="2"/>
      <c r="F885" s="2"/>
    </row>
    <row r="886" spans="2:6" x14ac:dyDescent="0.25">
      <c r="B886" s="2"/>
      <c r="C886" s="3"/>
      <c r="D886" s="2"/>
      <c r="E886" s="2"/>
      <c r="F886" s="2"/>
    </row>
    <row r="887" spans="2:6" x14ac:dyDescent="0.25">
      <c r="B887" s="2"/>
      <c r="C887" s="3"/>
      <c r="D887" s="2"/>
      <c r="E887" s="2"/>
      <c r="F887" s="2"/>
    </row>
    <row r="888" spans="2:6" x14ac:dyDescent="0.25">
      <c r="B888" s="2"/>
      <c r="C888" s="3"/>
      <c r="D888" s="2"/>
      <c r="E888" s="2"/>
      <c r="F888" s="2"/>
    </row>
    <row r="889" spans="2:6" x14ac:dyDescent="0.25">
      <c r="B889" s="2"/>
      <c r="C889" s="3"/>
      <c r="D889" s="2"/>
      <c r="E889" s="2"/>
      <c r="F889" s="2"/>
    </row>
    <row r="890" spans="2:6" x14ac:dyDescent="0.25">
      <c r="B890" s="2"/>
      <c r="C890" s="3"/>
      <c r="D890" s="2"/>
      <c r="E890" s="2"/>
      <c r="F890" s="2"/>
    </row>
    <row r="891" spans="2:6" x14ac:dyDescent="0.25">
      <c r="B891" s="2"/>
      <c r="C891" s="3"/>
      <c r="D891" s="2"/>
      <c r="E891" s="2"/>
      <c r="F891" s="2"/>
    </row>
    <row r="892" spans="2:6" x14ac:dyDescent="0.25">
      <c r="B892" s="2"/>
      <c r="C892" s="3"/>
      <c r="D892" s="2"/>
      <c r="E892" s="2"/>
      <c r="F892" s="2"/>
    </row>
    <row r="893" spans="2:6" x14ac:dyDescent="0.25">
      <c r="B893" s="2"/>
      <c r="C893" s="3"/>
      <c r="D893" s="2"/>
      <c r="E893" s="2"/>
      <c r="F893" s="2"/>
    </row>
    <row r="894" spans="2:6" x14ac:dyDescent="0.25">
      <c r="B894" s="2"/>
      <c r="C894" s="3"/>
      <c r="D894" s="2"/>
      <c r="E894" s="2"/>
      <c r="F894" s="2"/>
    </row>
    <row r="895" spans="2:6" x14ac:dyDescent="0.25">
      <c r="B895" s="2"/>
      <c r="C895" s="3"/>
      <c r="D895" s="2"/>
      <c r="E895" s="2"/>
      <c r="F895" s="2"/>
    </row>
    <row r="896" spans="2:6" x14ac:dyDescent="0.25">
      <c r="B896" s="2"/>
      <c r="C896" s="3"/>
      <c r="D896" s="2"/>
      <c r="E896" s="2"/>
      <c r="F896" s="2"/>
    </row>
    <row r="897" spans="2:6" x14ac:dyDescent="0.25">
      <c r="B897" s="2"/>
      <c r="C897" s="3"/>
      <c r="D897" s="2"/>
      <c r="E897" s="2"/>
      <c r="F897" s="2"/>
    </row>
    <row r="898" spans="2:6" x14ac:dyDescent="0.25">
      <c r="B898" s="2"/>
      <c r="C898" s="3"/>
      <c r="D898" s="2"/>
      <c r="E898" s="2"/>
      <c r="F898" s="2"/>
    </row>
    <row r="899" spans="2:6" x14ac:dyDescent="0.25">
      <c r="B899" s="2"/>
      <c r="C899" s="3"/>
      <c r="D899" s="2"/>
      <c r="E899" s="2"/>
      <c r="F899" s="2"/>
    </row>
    <row r="900" spans="2:6" x14ac:dyDescent="0.25">
      <c r="B900" s="2"/>
      <c r="C900" s="3"/>
      <c r="D900" s="2"/>
      <c r="E900" s="2"/>
      <c r="F900" s="2"/>
    </row>
    <row r="901" spans="2:6" x14ac:dyDescent="0.25">
      <c r="B901" s="2"/>
      <c r="C901" s="3"/>
      <c r="D901" s="2"/>
      <c r="E901" s="2"/>
      <c r="F901" s="2"/>
    </row>
    <row r="902" spans="2:6" x14ac:dyDescent="0.25">
      <c r="B902" s="2"/>
      <c r="C902" s="3"/>
      <c r="D902" s="2"/>
      <c r="E902" s="2"/>
      <c r="F902" s="2"/>
    </row>
    <row r="903" spans="2:6" x14ac:dyDescent="0.25">
      <c r="B903" s="2"/>
      <c r="C903" s="3"/>
      <c r="D903" s="2"/>
      <c r="E903" s="2"/>
      <c r="F903" s="2"/>
    </row>
    <row r="904" spans="2:6" x14ac:dyDescent="0.25">
      <c r="B904" s="2"/>
      <c r="C904" s="3"/>
      <c r="D904" s="2"/>
      <c r="E904" s="2"/>
      <c r="F904" s="2"/>
    </row>
    <row r="905" spans="2:6" x14ac:dyDescent="0.25">
      <c r="B905" s="2"/>
      <c r="C905" s="3"/>
      <c r="D905" s="2"/>
      <c r="E905" s="2"/>
      <c r="F905" s="2"/>
    </row>
    <row r="906" spans="2:6" x14ac:dyDescent="0.25">
      <c r="B906" s="2"/>
      <c r="C906" s="3"/>
      <c r="D906" s="2"/>
      <c r="E906" s="2"/>
      <c r="F906" s="2"/>
    </row>
    <row r="907" spans="2:6" x14ac:dyDescent="0.25">
      <c r="B907" s="2"/>
      <c r="C907" s="3"/>
      <c r="D907" s="2"/>
      <c r="E907" s="2"/>
      <c r="F907" s="2"/>
    </row>
    <row r="908" spans="2:6" x14ac:dyDescent="0.25">
      <c r="B908" s="2"/>
      <c r="C908" s="3"/>
      <c r="D908" s="2"/>
      <c r="E908" s="2"/>
      <c r="F908" s="2"/>
    </row>
    <row r="909" spans="2:6" x14ac:dyDescent="0.25">
      <c r="B909" s="2"/>
      <c r="C909" s="3"/>
      <c r="D909" s="2"/>
      <c r="E909" s="2"/>
      <c r="F909" s="2"/>
    </row>
    <row r="910" spans="2:6" x14ac:dyDescent="0.25">
      <c r="B910" s="2"/>
      <c r="C910" s="3"/>
      <c r="D910" s="2"/>
      <c r="E910" s="2"/>
      <c r="F910" s="2"/>
    </row>
    <row r="911" spans="2:6" x14ac:dyDescent="0.25">
      <c r="B911" s="2"/>
      <c r="C911" s="3"/>
      <c r="D911" s="2"/>
      <c r="E911" s="2"/>
      <c r="F911" s="2"/>
    </row>
    <row r="912" spans="2:6" x14ac:dyDescent="0.25">
      <c r="B912" s="2"/>
      <c r="C912" s="3"/>
      <c r="D912" s="2"/>
      <c r="E912" s="2"/>
      <c r="F912" s="2"/>
    </row>
    <row r="913" spans="2:6" x14ac:dyDescent="0.25">
      <c r="B913" s="2"/>
      <c r="C913" s="3"/>
      <c r="D913" s="2"/>
      <c r="E913" s="2"/>
      <c r="F913" s="2"/>
    </row>
    <row r="914" spans="2:6" x14ac:dyDescent="0.25">
      <c r="B914" s="2"/>
      <c r="C914" s="3"/>
      <c r="D914" s="2"/>
      <c r="E914" s="2"/>
      <c r="F914" s="2"/>
    </row>
    <row r="915" spans="2:6" x14ac:dyDescent="0.25">
      <c r="B915" s="2"/>
      <c r="C915" s="3"/>
      <c r="D915" s="2"/>
      <c r="E915" s="2"/>
      <c r="F915" s="2"/>
    </row>
    <row r="916" spans="2:6" x14ac:dyDescent="0.25">
      <c r="B916" s="2"/>
      <c r="C916" s="3"/>
      <c r="D916" s="2"/>
      <c r="E916" s="2"/>
      <c r="F916" s="2"/>
    </row>
    <row r="917" spans="2:6" x14ac:dyDescent="0.25">
      <c r="B917" s="2"/>
      <c r="C917" s="3"/>
      <c r="D917" s="2"/>
      <c r="E917" s="2"/>
      <c r="F917" s="2"/>
    </row>
    <row r="918" spans="2:6" x14ac:dyDescent="0.25">
      <c r="B918" s="2"/>
      <c r="C918" s="3"/>
      <c r="D918" s="2"/>
      <c r="E918" s="2"/>
      <c r="F918" s="2"/>
    </row>
    <row r="919" spans="2:6" x14ac:dyDescent="0.25">
      <c r="B919" s="2"/>
      <c r="C919" s="3"/>
      <c r="D919" s="2"/>
      <c r="E919" s="2"/>
      <c r="F919" s="2"/>
    </row>
    <row r="920" spans="2:6" x14ac:dyDescent="0.25">
      <c r="B920" s="2"/>
      <c r="C920" s="3"/>
      <c r="D920" s="2"/>
      <c r="E920" s="2"/>
      <c r="F920" s="2"/>
    </row>
    <row r="921" spans="2:6" x14ac:dyDescent="0.25">
      <c r="B921" s="2"/>
      <c r="C921" s="3"/>
      <c r="D921" s="2"/>
      <c r="E921" s="2"/>
      <c r="F921" s="2"/>
    </row>
    <row r="922" spans="2:6" x14ac:dyDescent="0.25">
      <c r="B922" s="2"/>
      <c r="C922" s="3"/>
      <c r="D922" s="2"/>
      <c r="E922" s="2"/>
      <c r="F922" s="2"/>
    </row>
    <row r="923" spans="2:6" x14ac:dyDescent="0.25">
      <c r="B923" s="2"/>
      <c r="C923" s="3"/>
      <c r="D923" s="2"/>
      <c r="E923" s="2"/>
      <c r="F923" s="2"/>
    </row>
    <row r="924" spans="2:6" x14ac:dyDescent="0.25">
      <c r="B924" s="2"/>
      <c r="C924" s="3"/>
      <c r="D924" s="2"/>
      <c r="E924" s="2"/>
      <c r="F924" s="2"/>
    </row>
    <row r="925" spans="2:6" x14ac:dyDescent="0.25">
      <c r="B925" s="2"/>
      <c r="C925" s="3"/>
      <c r="D925" s="2"/>
      <c r="E925" s="2"/>
      <c r="F925" s="2"/>
    </row>
    <row r="926" spans="2:6" x14ac:dyDescent="0.25">
      <c r="B926" s="2"/>
      <c r="C926" s="3"/>
      <c r="D926" s="2"/>
      <c r="E926" s="2"/>
      <c r="F926" s="2"/>
    </row>
    <row r="927" spans="2:6" x14ac:dyDescent="0.25">
      <c r="B927" s="2"/>
      <c r="C927" s="3"/>
      <c r="D927" s="2"/>
      <c r="E927" s="2"/>
      <c r="F927" s="2"/>
    </row>
    <row r="928" spans="2:6" x14ac:dyDescent="0.25">
      <c r="B928" s="2"/>
      <c r="C928" s="3"/>
      <c r="D928" s="2"/>
      <c r="E928" s="2"/>
      <c r="F928" s="2"/>
    </row>
    <row r="929" spans="2:6" x14ac:dyDescent="0.25">
      <c r="B929" s="2"/>
      <c r="C929" s="3"/>
      <c r="D929" s="2"/>
      <c r="E929" s="2"/>
      <c r="F929" s="2"/>
    </row>
    <row r="930" spans="2:6" x14ac:dyDescent="0.25">
      <c r="B930" s="2"/>
      <c r="C930" s="3"/>
      <c r="D930" s="2"/>
      <c r="E930" s="2"/>
      <c r="F930" s="2"/>
    </row>
    <row r="931" spans="2:6" x14ac:dyDescent="0.25">
      <c r="B931" s="2"/>
      <c r="C931" s="3"/>
      <c r="D931" s="2"/>
      <c r="E931" s="2"/>
      <c r="F931" s="2"/>
    </row>
    <row r="932" spans="2:6" x14ac:dyDescent="0.25">
      <c r="B932" s="2"/>
      <c r="C932" s="3"/>
      <c r="D932" s="2"/>
      <c r="E932" s="2"/>
      <c r="F932" s="2"/>
    </row>
    <row r="933" spans="2:6" x14ac:dyDescent="0.25">
      <c r="B933" s="2"/>
      <c r="C933" s="3"/>
      <c r="D933" s="2"/>
      <c r="E933" s="2"/>
      <c r="F933" s="2"/>
    </row>
    <row r="934" spans="2:6" x14ac:dyDescent="0.25">
      <c r="B934" s="2"/>
      <c r="C934" s="3"/>
      <c r="D934" s="2"/>
      <c r="E934" s="2"/>
      <c r="F934" s="2"/>
    </row>
    <row r="935" spans="2:6" x14ac:dyDescent="0.25">
      <c r="B935" s="2"/>
      <c r="C935" s="3"/>
      <c r="D935" s="2"/>
      <c r="E935" s="2"/>
      <c r="F935" s="2"/>
    </row>
    <row r="936" spans="2:6" x14ac:dyDescent="0.25">
      <c r="B936" s="2"/>
      <c r="C936" s="3"/>
      <c r="D936" s="2"/>
      <c r="E936" s="2"/>
      <c r="F936" s="2"/>
    </row>
    <row r="937" spans="2:6" x14ac:dyDescent="0.25">
      <c r="B937" s="2"/>
      <c r="C937" s="3"/>
      <c r="D937" s="2"/>
      <c r="E937" s="2"/>
      <c r="F937" s="2"/>
    </row>
    <row r="938" spans="2:6" x14ac:dyDescent="0.25">
      <c r="B938" s="2"/>
      <c r="C938" s="3"/>
      <c r="D938" s="2"/>
      <c r="E938" s="2"/>
      <c r="F938" s="2"/>
    </row>
    <row r="939" spans="2:6" x14ac:dyDescent="0.25">
      <c r="B939" s="2"/>
      <c r="C939" s="3"/>
      <c r="D939" s="2"/>
      <c r="E939" s="2"/>
      <c r="F939" s="2"/>
    </row>
    <row r="940" spans="2:6" x14ac:dyDescent="0.25">
      <c r="B940" s="2"/>
      <c r="C940" s="3"/>
      <c r="D940" s="2"/>
      <c r="E940" s="2"/>
      <c r="F940" s="2"/>
    </row>
    <row r="941" spans="2:6" x14ac:dyDescent="0.25">
      <c r="B941" s="2"/>
      <c r="C941" s="3"/>
      <c r="D941" s="2"/>
      <c r="E941" s="2"/>
      <c r="F941" s="2"/>
    </row>
    <row r="942" spans="2:6" x14ac:dyDescent="0.25">
      <c r="B942" s="2"/>
      <c r="C942" s="3"/>
      <c r="D942" s="2"/>
      <c r="E942" s="2"/>
      <c r="F942" s="2"/>
    </row>
    <row r="943" spans="2:6" x14ac:dyDescent="0.25">
      <c r="B943" s="2"/>
      <c r="C943" s="3"/>
      <c r="D943" s="2"/>
      <c r="E943" s="2"/>
      <c r="F943" s="2"/>
    </row>
    <row r="944" spans="2:6" x14ac:dyDescent="0.25">
      <c r="B944" s="2"/>
      <c r="C944" s="3"/>
      <c r="D944" s="2"/>
      <c r="E944" s="2"/>
      <c r="F944" s="2"/>
    </row>
    <row r="945" spans="2:6" x14ac:dyDescent="0.25">
      <c r="B945" s="2"/>
      <c r="C945" s="3"/>
      <c r="D945" s="2"/>
      <c r="E945" s="2"/>
      <c r="F945" s="2"/>
    </row>
    <row r="946" spans="2:6" x14ac:dyDescent="0.25">
      <c r="B946" s="2"/>
      <c r="C946" s="3"/>
      <c r="D946" s="2"/>
      <c r="E946" s="2"/>
      <c r="F946" s="2"/>
    </row>
    <row r="947" spans="2:6" x14ac:dyDescent="0.25">
      <c r="B947" s="2"/>
      <c r="C947" s="3"/>
      <c r="D947" s="2"/>
      <c r="E947" s="2"/>
      <c r="F947" s="2"/>
    </row>
    <row r="948" spans="2:6" x14ac:dyDescent="0.25">
      <c r="B948" s="2"/>
      <c r="C948" s="3"/>
      <c r="D948" s="2"/>
      <c r="E948" s="2"/>
      <c r="F948" s="2"/>
    </row>
    <row r="949" spans="2:6" x14ac:dyDescent="0.25">
      <c r="B949" s="2"/>
      <c r="C949" s="3"/>
      <c r="D949" s="2"/>
      <c r="E949" s="2"/>
      <c r="F949" s="2"/>
    </row>
    <row r="950" spans="2:6" x14ac:dyDescent="0.25">
      <c r="B950" s="2"/>
      <c r="C950" s="3"/>
      <c r="D950" s="2"/>
      <c r="E950" s="2"/>
      <c r="F950" s="2"/>
    </row>
    <row r="951" spans="2:6" x14ac:dyDescent="0.25">
      <c r="B951" s="2"/>
      <c r="C951" s="3"/>
      <c r="D951" s="2"/>
      <c r="E951" s="2"/>
      <c r="F951" s="2"/>
    </row>
    <row r="952" spans="2:6" x14ac:dyDescent="0.25">
      <c r="B952" s="2"/>
      <c r="C952" s="3"/>
      <c r="D952" s="2"/>
      <c r="E952" s="2"/>
      <c r="F952" s="2"/>
    </row>
    <row r="953" spans="2:6" x14ac:dyDescent="0.25">
      <c r="B953" s="2"/>
      <c r="C953" s="3"/>
      <c r="D953" s="2"/>
      <c r="E953" s="2"/>
      <c r="F953" s="2"/>
    </row>
    <row r="954" spans="2:6" x14ac:dyDescent="0.25">
      <c r="B954" s="2"/>
      <c r="C954" s="3"/>
      <c r="D954" s="2"/>
      <c r="E954" s="2"/>
      <c r="F954" s="2"/>
    </row>
    <row r="955" spans="2:6" x14ac:dyDescent="0.25">
      <c r="B955" s="2"/>
      <c r="C955" s="3"/>
      <c r="D955" s="2"/>
      <c r="E955" s="2"/>
      <c r="F955" s="2"/>
    </row>
    <row r="956" spans="2:6" x14ac:dyDescent="0.25">
      <c r="B956" s="2"/>
      <c r="C956" s="3"/>
      <c r="D956" s="2"/>
      <c r="E956" s="2"/>
      <c r="F956" s="2"/>
    </row>
    <row r="957" spans="2:6" x14ac:dyDescent="0.25">
      <c r="B957" s="2"/>
      <c r="C957" s="3"/>
      <c r="D957" s="2"/>
      <c r="E957" s="2"/>
      <c r="F957" s="2"/>
    </row>
    <row r="958" spans="2:6" x14ac:dyDescent="0.25">
      <c r="B958" s="2"/>
      <c r="C958" s="3"/>
      <c r="D958" s="2"/>
      <c r="E958" s="2"/>
      <c r="F958" s="2"/>
    </row>
    <row r="959" spans="2:6" x14ac:dyDescent="0.25">
      <c r="B959" s="2"/>
      <c r="C959" s="3"/>
      <c r="D959" s="2"/>
      <c r="E959" s="2"/>
      <c r="F959" s="2"/>
    </row>
    <row r="960" spans="2:6" x14ac:dyDescent="0.25">
      <c r="B960" s="2"/>
      <c r="C960" s="3"/>
      <c r="D960" s="2"/>
      <c r="E960" s="2"/>
      <c r="F960" s="2"/>
    </row>
    <row r="961" spans="2:6" x14ac:dyDescent="0.25">
      <c r="B961" s="2"/>
      <c r="C961" s="3"/>
      <c r="D961" s="2"/>
      <c r="E961" s="2"/>
      <c r="F961" s="2"/>
    </row>
    <row r="962" spans="2:6" x14ac:dyDescent="0.25">
      <c r="B962" s="2"/>
      <c r="C962" s="3"/>
      <c r="D962" s="2"/>
      <c r="E962" s="2"/>
      <c r="F962" s="2"/>
    </row>
    <row r="963" spans="2:6" x14ac:dyDescent="0.25">
      <c r="B963" s="2"/>
      <c r="C963" s="3"/>
      <c r="D963" s="2"/>
      <c r="E963" s="2"/>
      <c r="F963" s="2"/>
    </row>
    <row r="964" spans="2:6" x14ac:dyDescent="0.25">
      <c r="B964" s="2"/>
      <c r="C964" s="3"/>
      <c r="D964" s="2"/>
      <c r="E964" s="2"/>
      <c r="F964" s="2"/>
    </row>
    <row r="965" spans="2:6" x14ac:dyDescent="0.25">
      <c r="B965" s="2"/>
      <c r="C965" s="3"/>
      <c r="D965" s="2"/>
      <c r="E965" s="2"/>
      <c r="F965" s="2"/>
    </row>
    <row r="966" spans="2:6" x14ac:dyDescent="0.25">
      <c r="B966" s="2"/>
      <c r="C966" s="3"/>
      <c r="D966" s="2"/>
      <c r="E966" s="2"/>
      <c r="F966" s="2"/>
    </row>
    <row r="967" spans="2:6" x14ac:dyDescent="0.25">
      <c r="B967" s="2"/>
      <c r="C967" s="3"/>
      <c r="D967" s="2"/>
      <c r="E967" s="2"/>
      <c r="F967" s="2"/>
    </row>
    <row r="968" spans="2:6" x14ac:dyDescent="0.25">
      <c r="B968" s="2"/>
      <c r="C968" s="3"/>
      <c r="D968" s="2"/>
      <c r="E968" s="2"/>
      <c r="F968" s="2"/>
    </row>
    <row r="969" spans="2:6" x14ac:dyDescent="0.25">
      <c r="B969" s="2"/>
      <c r="C969" s="3"/>
      <c r="D969" s="2"/>
      <c r="E969" s="2"/>
      <c r="F969" s="2"/>
    </row>
    <row r="970" spans="2:6" x14ac:dyDescent="0.25">
      <c r="B970" s="2"/>
      <c r="C970" s="3"/>
      <c r="D970" s="2"/>
      <c r="E970" s="2"/>
      <c r="F970" s="2"/>
    </row>
    <row r="971" spans="2:6" x14ac:dyDescent="0.25">
      <c r="B971" s="2"/>
      <c r="C971" s="3"/>
      <c r="D971" s="2"/>
      <c r="E971" s="2"/>
      <c r="F971" s="2"/>
    </row>
    <row r="972" spans="2:6" x14ac:dyDescent="0.25">
      <c r="B972" s="2"/>
      <c r="C972" s="3"/>
      <c r="D972" s="2"/>
      <c r="E972" s="2"/>
      <c r="F972" s="2"/>
    </row>
    <row r="973" spans="2:6" x14ac:dyDescent="0.25">
      <c r="B973" s="2"/>
      <c r="C973" s="3"/>
      <c r="D973" s="2"/>
      <c r="E973" s="2"/>
      <c r="F973" s="2"/>
    </row>
    <row r="974" spans="2:6" x14ac:dyDescent="0.25">
      <c r="B974" s="2"/>
      <c r="C974" s="3"/>
      <c r="D974" s="2"/>
      <c r="E974" s="2"/>
      <c r="F974" s="2"/>
    </row>
    <row r="975" spans="2:6" x14ac:dyDescent="0.25">
      <c r="B975" s="2"/>
      <c r="C975" s="3"/>
      <c r="D975" s="2"/>
      <c r="E975" s="2"/>
      <c r="F975" s="2"/>
    </row>
    <row r="976" spans="2:6" x14ac:dyDescent="0.25">
      <c r="B976" s="2"/>
      <c r="C976" s="3"/>
      <c r="D976" s="2"/>
      <c r="E976" s="2"/>
      <c r="F976" s="2"/>
    </row>
    <row r="977" spans="2:6" x14ac:dyDescent="0.25">
      <c r="B977" s="2"/>
      <c r="C977" s="3"/>
      <c r="D977" s="2"/>
      <c r="E977" s="2"/>
      <c r="F977" s="2"/>
    </row>
    <row r="978" spans="2:6" x14ac:dyDescent="0.25">
      <c r="B978" s="2"/>
      <c r="C978" s="3"/>
      <c r="D978" s="2"/>
      <c r="E978" s="2"/>
      <c r="F978" s="2"/>
    </row>
    <row r="979" spans="2:6" x14ac:dyDescent="0.25">
      <c r="B979" s="2"/>
      <c r="C979" s="3"/>
      <c r="D979" s="2"/>
      <c r="E979" s="2"/>
      <c r="F979" s="2"/>
    </row>
    <row r="980" spans="2:6" x14ac:dyDescent="0.25">
      <c r="B980" s="2"/>
      <c r="C980" s="3"/>
      <c r="D980" s="2"/>
      <c r="E980" s="2"/>
      <c r="F980" s="2"/>
    </row>
    <row r="981" spans="2:6" x14ac:dyDescent="0.25">
      <c r="B981" s="2"/>
      <c r="C981" s="3"/>
      <c r="D981" s="2"/>
      <c r="E981" s="2"/>
      <c r="F981" s="2"/>
    </row>
    <row r="982" spans="2:6" x14ac:dyDescent="0.25">
      <c r="B982" s="2"/>
      <c r="C982" s="3"/>
      <c r="D982" s="2"/>
      <c r="E982" s="2"/>
      <c r="F982" s="2"/>
    </row>
    <row r="983" spans="2:6" x14ac:dyDescent="0.25">
      <c r="B983" s="2"/>
      <c r="C983" s="3"/>
      <c r="D983" s="2"/>
      <c r="E983" s="2"/>
      <c r="F983" s="2"/>
    </row>
    <row r="984" spans="2:6" x14ac:dyDescent="0.25">
      <c r="B984" s="2"/>
      <c r="C984" s="3"/>
      <c r="D984" s="2"/>
      <c r="E984" s="2"/>
      <c r="F984" s="2"/>
    </row>
    <row r="985" spans="2:6" x14ac:dyDescent="0.25">
      <c r="B985" s="2"/>
      <c r="C985" s="3"/>
      <c r="D985" s="2"/>
      <c r="E985" s="2"/>
      <c r="F985" s="2"/>
    </row>
    <row r="986" spans="2:6" x14ac:dyDescent="0.25">
      <c r="B986" s="2"/>
      <c r="C986" s="3"/>
      <c r="D986" s="2"/>
      <c r="E986" s="2"/>
      <c r="F986" s="2"/>
    </row>
    <row r="987" spans="2:6" x14ac:dyDescent="0.25">
      <c r="B987" s="2"/>
      <c r="C987" s="3"/>
      <c r="D987" s="2"/>
      <c r="E987" s="2"/>
      <c r="F987" s="2"/>
    </row>
    <row r="988" spans="2:6" x14ac:dyDescent="0.25">
      <c r="B988" s="2"/>
      <c r="C988" s="3"/>
      <c r="D988" s="2"/>
      <c r="E988" s="2"/>
      <c r="F988" s="2"/>
    </row>
    <row r="989" spans="2:6" x14ac:dyDescent="0.25">
      <c r="B989" s="2"/>
      <c r="C989" s="3"/>
      <c r="D989" s="2"/>
      <c r="E989" s="2"/>
      <c r="F989" s="2"/>
    </row>
  </sheetData>
  <sheetProtection formatCells="0" formatColumns="0" formatRows="0" insertColumns="0" deleteColumns="0" deleteRows="0" autoFilter="0"/>
  <autoFilter ref="A16:Z47" xr:uid="{00000000-0009-0000-0000-000000000000}"/>
  <mergeCells count="6">
    <mergeCell ref="L12:P12"/>
    <mergeCell ref="V12:Z12"/>
    <mergeCell ref="Q12:U12"/>
    <mergeCell ref="L3:P3"/>
    <mergeCell ref="Q3:U3"/>
    <mergeCell ref="V3:Z3"/>
  </mergeCells>
  <conditionalFormatting sqref="A17:A47">
    <cfRule type="cellIs" dxfId="27" priority="365" operator="equal">
      <formula>"Sim"</formula>
    </cfRule>
  </conditionalFormatting>
  <conditionalFormatting sqref="L17:Z47">
    <cfRule type="cellIs" dxfId="26" priority="327" operator="equal">
      <formula>3</formula>
    </cfRule>
    <cfRule type="cellIs" dxfId="25" priority="328" operator="equal">
      <formula>1</formula>
    </cfRule>
  </conditionalFormatting>
  <conditionalFormatting sqref="L5:Z5">
    <cfRule type="cellIs" dxfId="24" priority="57" operator="greaterThan">
      <formula>$L$8</formula>
    </cfRule>
  </conditionalFormatting>
  <conditionalFormatting sqref="B51:B52">
    <cfRule type="duplicateValues" dxfId="23" priority="1"/>
  </conditionalFormatting>
  <conditionalFormatting sqref="B32:B33">
    <cfRule type="duplicateValues" dxfId="22" priority="2"/>
  </conditionalFormatting>
  <conditionalFormatting sqref="B49">
    <cfRule type="duplicateValues" dxfId="21" priority="3"/>
  </conditionalFormatting>
  <conditionalFormatting sqref="B36">
    <cfRule type="duplicateValues" dxfId="20" priority="4"/>
  </conditionalFormatting>
  <conditionalFormatting sqref="B30">
    <cfRule type="duplicateValues" dxfId="19" priority="5"/>
  </conditionalFormatting>
  <conditionalFormatting sqref="B17:B18">
    <cfRule type="duplicateValues" dxfId="18" priority="6"/>
  </conditionalFormatting>
  <conditionalFormatting sqref="B19:B29 B50 B37:B48 B53:B61 B69:B70 B31 B34:B35">
    <cfRule type="duplicateValues" dxfId="17" priority="7"/>
  </conditionalFormatting>
  <conditionalFormatting sqref="B17:B70">
    <cfRule type="duplicateValues" dxfId="16" priority="8"/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otina_inclusao">
                <anchor moveWithCells="1" sizeWithCells="1">
                  <from>
                    <xdr:col>1</xdr:col>
                    <xdr:colOff>657225</xdr:colOff>
                    <xdr:row>1</xdr:row>
                    <xdr:rowOff>47625</xdr:rowOff>
                  </from>
                  <to>
                    <xdr:col>2</xdr:col>
                    <xdr:colOff>1581150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onta_carga_exclusao">
                <anchor moveWithCells="1" sizeWithCells="1">
                  <from>
                    <xdr:col>2</xdr:col>
                    <xdr:colOff>1838325</xdr:colOff>
                    <xdr:row>1</xdr:row>
                    <xdr:rowOff>47625</xdr:rowOff>
                  </from>
                  <to>
                    <xdr:col>2</xdr:col>
                    <xdr:colOff>3743325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m_check"/>
  <dimension ref="A2:Z70"/>
  <sheetViews>
    <sheetView showGridLines="0" zoomScale="60" zoomScaleNormal="60" workbookViewId="0">
      <selection activeCell="C11" sqref="C11"/>
    </sheetView>
  </sheetViews>
  <sheetFormatPr defaultColWidth="9.140625" defaultRowHeight="15.75" x14ac:dyDescent="0.25"/>
  <cols>
    <col min="1" max="1" width="16.85546875" style="1" bestFit="1" customWidth="1"/>
    <col min="2" max="2" width="22" style="2" customWidth="1"/>
    <col min="3" max="3" width="41.28515625" style="3" customWidth="1"/>
    <col min="4" max="4" width="12" style="2" customWidth="1"/>
    <col min="5" max="5" width="15.42578125" style="2" customWidth="1"/>
    <col min="6" max="6" width="19.42578125" style="2" bestFit="1" customWidth="1"/>
    <col min="7" max="7" width="26.85546875" style="2" customWidth="1"/>
    <col min="8" max="8" width="1.42578125" style="2" customWidth="1"/>
    <col min="9" max="9" width="10" style="2" customWidth="1"/>
    <col min="10" max="10" width="7.7109375" style="2" customWidth="1"/>
    <col min="11" max="11" width="11.140625" style="2" customWidth="1"/>
    <col min="12" max="26" width="17.42578125" style="49" customWidth="1"/>
    <col min="27" max="27" width="17.42578125" style="1" customWidth="1"/>
    <col min="28" max="16384" width="9.140625" style="1"/>
  </cols>
  <sheetData>
    <row r="2" spans="1:26" x14ac:dyDescent="0.25">
      <c r="G2" s="5"/>
      <c r="H2" s="5"/>
      <c r="I2" s="5"/>
      <c r="J2" s="5"/>
      <c r="K2" s="5"/>
      <c r="L2" s="117" t="s">
        <v>23</v>
      </c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9"/>
      <c r="X2" s="114" t="s">
        <v>32</v>
      </c>
      <c r="Y2" s="115"/>
      <c r="Z2" s="115"/>
    </row>
    <row r="3" spans="1:26" x14ac:dyDescent="0.25">
      <c r="F3" s="6"/>
      <c r="G3" s="7"/>
      <c r="H3" s="7"/>
      <c r="L3" s="116" t="s">
        <v>28</v>
      </c>
      <c r="M3" s="116"/>
      <c r="N3" s="116"/>
      <c r="O3" s="116" t="s">
        <v>33</v>
      </c>
      <c r="P3" s="116"/>
      <c r="Q3" s="116" t="s">
        <v>34</v>
      </c>
      <c r="R3" s="116"/>
      <c r="S3" s="116" t="s">
        <v>22</v>
      </c>
      <c r="T3" s="116"/>
      <c r="U3" s="116"/>
      <c r="V3" s="116" t="s">
        <v>35</v>
      </c>
      <c r="W3" s="116"/>
      <c r="X3" s="116" t="s">
        <v>28</v>
      </c>
      <c r="Y3" s="116"/>
      <c r="Z3" s="116"/>
    </row>
    <row r="4" spans="1:26" x14ac:dyDescent="0.25">
      <c r="A4" s="9"/>
      <c r="B4" s="10"/>
      <c r="C4" s="10"/>
      <c r="G4" s="7"/>
      <c r="H4" s="7"/>
      <c r="I4" s="7"/>
      <c r="J4" s="7"/>
      <c r="K4" s="8" t="s">
        <v>41</v>
      </c>
      <c r="L4" s="72" t="s">
        <v>76</v>
      </c>
      <c r="M4" s="72" t="s">
        <v>77</v>
      </c>
      <c r="N4" s="73" t="s">
        <v>36</v>
      </c>
      <c r="O4" s="72" t="s">
        <v>76</v>
      </c>
      <c r="P4" s="72" t="s">
        <v>77</v>
      </c>
      <c r="Q4" s="72" t="s">
        <v>76</v>
      </c>
      <c r="R4" s="72" t="s">
        <v>77</v>
      </c>
      <c r="S4" s="72" t="s">
        <v>76</v>
      </c>
      <c r="T4" s="72" t="s">
        <v>77</v>
      </c>
      <c r="U4" s="76" t="s">
        <v>24</v>
      </c>
      <c r="V4" s="72" t="s">
        <v>76</v>
      </c>
      <c r="W4" s="72" t="s">
        <v>77</v>
      </c>
      <c r="X4" s="72" t="s">
        <v>76</v>
      </c>
      <c r="Y4" s="72" t="s">
        <v>77</v>
      </c>
      <c r="Z4" s="78" t="s">
        <v>75</v>
      </c>
    </row>
    <row r="5" spans="1:26" x14ac:dyDescent="0.25">
      <c r="C5" s="10" t="e">
        <f>IF(OR(L5&gt;L8,M5&gt;M8,N5&gt;N8,O5&gt;O8,P5&gt;P8,Q5&gt;Q8,R5&gt;R8,S5&gt;S8,T5&gt;T8,U5&gt;U8,V5&gt;V8,W5&gt;W8,X5&gt;X8,Y5&gt;Y8,Z5&gt;Z8,#REF!&gt;#REF!,#REF!&gt;#REF!,#REF!&gt;#REF!,#REF!&gt;#REF!,#REF!&gt;#REF!,#REF!&gt;#REF!,#REF!&gt;#REF!,#REF!&gt;#REF!,#REF!&gt;#REF!,#REF!&gt;#REF!),"Os itens obrigatórios superam o número 'ideal' em algum(ns) tamanho ----------&gt;","")</f>
        <v>#N/A</v>
      </c>
      <c r="G5" s="13"/>
      <c r="H5" s="13"/>
      <c r="I5" s="7"/>
      <c r="J5" s="7"/>
      <c r="K5" s="11" t="s">
        <v>42</v>
      </c>
      <c r="L5" s="12">
        <f t="shared" ref="L5:Z5" si="0">COUNTIF(L17:L70,1)</f>
        <v>0</v>
      </c>
      <c r="M5" s="12">
        <f t="shared" si="0"/>
        <v>0</v>
      </c>
      <c r="N5" s="79">
        <f t="shared" si="0"/>
        <v>0</v>
      </c>
      <c r="O5" s="12">
        <f t="shared" si="0"/>
        <v>0</v>
      </c>
      <c r="P5" s="12">
        <f t="shared" si="0"/>
        <v>0</v>
      </c>
      <c r="Q5" s="12">
        <f t="shared" si="0"/>
        <v>0</v>
      </c>
      <c r="R5" s="12">
        <f t="shared" si="0"/>
        <v>0</v>
      </c>
      <c r="S5" s="12">
        <f t="shared" si="0"/>
        <v>0</v>
      </c>
      <c r="T5" s="12">
        <f t="shared" si="0"/>
        <v>0</v>
      </c>
      <c r="U5" s="82">
        <f t="shared" si="0"/>
        <v>0</v>
      </c>
      <c r="V5" s="12">
        <f t="shared" si="0"/>
        <v>0</v>
      </c>
      <c r="W5" s="12">
        <f t="shared" si="0"/>
        <v>0</v>
      </c>
      <c r="X5" s="12">
        <f t="shared" si="0"/>
        <v>0</v>
      </c>
      <c r="Y5" s="12">
        <f t="shared" si="0"/>
        <v>0</v>
      </c>
      <c r="Z5" s="85">
        <f t="shared" si="0"/>
        <v>0</v>
      </c>
    </row>
    <row r="6" spans="1:26" x14ac:dyDescent="0.25">
      <c r="C6" s="10"/>
      <c r="G6" s="7"/>
      <c r="H6" s="7"/>
      <c r="I6" s="13"/>
      <c r="J6" s="13"/>
      <c r="K6" s="14" t="s">
        <v>43</v>
      </c>
      <c r="L6" s="15">
        <f t="shared" ref="L6:Z6" si="1">COUNTIF(L17:L407,3)</f>
        <v>0</v>
      </c>
      <c r="M6" s="15">
        <f t="shared" si="1"/>
        <v>0</v>
      </c>
      <c r="N6" s="80">
        <f t="shared" si="1"/>
        <v>0</v>
      </c>
      <c r="O6" s="15">
        <f t="shared" si="1"/>
        <v>0</v>
      </c>
      <c r="P6" s="15">
        <f t="shared" si="1"/>
        <v>0</v>
      </c>
      <c r="Q6" s="15">
        <f t="shared" si="1"/>
        <v>0</v>
      </c>
      <c r="R6" s="15">
        <f t="shared" si="1"/>
        <v>0</v>
      </c>
      <c r="S6" s="15">
        <f t="shared" si="1"/>
        <v>0</v>
      </c>
      <c r="T6" s="15">
        <f t="shared" si="1"/>
        <v>0</v>
      </c>
      <c r="U6" s="83">
        <f t="shared" si="1"/>
        <v>0</v>
      </c>
      <c r="V6" s="15">
        <f t="shared" si="1"/>
        <v>0</v>
      </c>
      <c r="W6" s="15">
        <f t="shared" si="1"/>
        <v>0</v>
      </c>
      <c r="X6" s="15">
        <f t="shared" si="1"/>
        <v>0</v>
      </c>
      <c r="Y6" s="15">
        <f t="shared" si="1"/>
        <v>0</v>
      </c>
      <c r="Z6" s="86">
        <f t="shared" si="1"/>
        <v>0</v>
      </c>
    </row>
    <row r="7" spans="1:26" s="17" customFormat="1" ht="15.75" customHeight="1" x14ac:dyDescent="0.25">
      <c r="B7" s="2"/>
      <c r="C7" s="2"/>
      <c r="D7" s="2"/>
      <c r="E7" s="2"/>
      <c r="G7" s="18"/>
      <c r="H7" s="18"/>
      <c r="I7" s="7"/>
      <c r="J7" s="7"/>
      <c r="K7" s="11" t="s">
        <v>44</v>
      </c>
      <c r="L7" s="16">
        <f>(L5+L6)</f>
        <v>0</v>
      </c>
      <c r="M7" s="16">
        <f t="shared" ref="M7:Z7" si="2">(M5+M6)</f>
        <v>0</v>
      </c>
      <c r="N7" s="81">
        <f t="shared" si="2"/>
        <v>0</v>
      </c>
      <c r="O7" s="16">
        <f t="shared" si="2"/>
        <v>0</v>
      </c>
      <c r="P7" s="16">
        <f t="shared" si="2"/>
        <v>0</v>
      </c>
      <c r="Q7" s="16">
        <f t="shared" si="2"/>
        <v>0</v>
      </c>
      <c r="R7" s="16">
        <f t="shared" si="2"/>
        <v>0</v>
      </c>
      <c r="S7" s="16">
        <f t="shared" si="2"/>
        <v>0</v>
      </c>
      <c r="T7" s="16">
        <f t="shared" si="2"/>
        <v>0</v>
      </c>
      <c r="U7" s="84">
        <f t="shared" si="2"/>
        <v>0</v>
      </c>
      <c r="V7" s="16">
        <f t="shared" si="2"/>
        <v>0</v>
      </c>
      <c r="W7" s="16">
        <f t="shared" si="2"/>
        <v>0</v>
      </c>
      <c r="X7" s="16">
        <f t="shared" si="2"/>
        <v>0</v>
      </c>
      <c r="Y7" s="16">
        <f t="shared" si="2"/>
        <v>0</v>
      </c>
      <c r="Z7" s="87">
        <f t="shared" si="2"/>
        <v>0</v>
      </c>
    </row>
    <row r="8" spans="1:26" s="17" customFormat="1" ht="21" x14ac:dyDescent="0.25">
      <c r="B8" s="2"/>
      <c r="C8" s="3"/>
      <c r="D8" s="2"/>
      <c r="E8" s="2"/>
      <c r="F8" s="20"/>
      <c r="G8" s="21"/>
      <c r="H8" s="21"/>
      <c r="I8" s="18"/>
      <c r="J8" s="18"/>
      <c r="K8" s="70" t="s">
        <v>45</v>
      </c>
      <c r="L8" s="19">
        <v>21</v>
      </c>
      <c r="M8" s="19">
        <v>112</v>
      </c>
      <c r="N8" s="19">
        <v>5</v>
      </c>
      <c r="O8" s="19">
        <v>147</v>
      </c>
      <c r="P8" s="19">
        <v>147</v>
      </c>
      <c r="Q8" s="19">
        <v>152</v>
      </c>
      <c r="R8" s="19">
        <v>147</v>
      </c>
      <c r="S8" s="19">
        <v>132</v>
      </c>
      <c r="T8" s="19">
        <v>132</v>
      </c>
      <c r="U8" s="19" t="e">
        <v>#N/A</v>
      </c>
      <c r="V8" s="19">
        <v>147</v>
      </c>
      <c r="W8" s="19">
        <v>147</v>
      </c>
      <c r="X8" s="19">
        <v>92</v>
      </c>
      <c r="Y8" s="19">
        <v>106</v>
      </c>
      <c r="Z8" s="19">
        <v>8</v>
      </c>
    </row>
    <row r="9" spans="1:26" s="17" customFormat="1" x14ac:dyDescent="0.25">
      <c r="B9" s="2"/>
      <c r="C9" s="3"/>
      <c r="D9" s="2"/>
      <c r="E9" s="2"/>
      <c r="F9" s="20"/>
      <c r="G9" s="21"/>
      <c r="H9" s="21"/>
      <c r="I9" s="21"/>
      <c r="J9" s="21"/>
      <c r="K9" s="20"/>
      <c r="L9" s="22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6" s="17" customFormat="1" x14ac:dyDescent="0.25">
      <c r="B10" s="41" t="s">
        <v>59</v>
      </c>
      <c r="C10" s="52">
        <f>SORTEMP!B2</f>
        <v>0</v>
      </c>
      <c r="D10" s="2"/>
      <c r="E10" s="2"/>
      <c r="F10" s="20"/>
      <c r="G10" s="21"/>
      <c r="H10" s="21"/>
      <c r="I10" s="21"/>
      <c r="J10" s="21"/>
      <c r="K10" s="20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spans="1:26" s="23" customFormat="1" x14ac:dyDescent="0.25">
      <c r="B11" s="24"/>
      <c r="C11" s="25"/>
      <c r="D11" s="24"/>
      <c r="E11" s="24"/>
      <c r="F11" s="26"/>
      <c r="G11" s="27"/>
      <c r="H11" s="27"/>
      <c r="I11" s="27"/>
      <c r="J11" s="27"/>
      <c r="K11" s="26"/>
      <c r="L11" s="77" t="s">
        <v>76</v>
      </c>
      <c r="M11" s="77" t="s">
        <v>76</v>
      </c>
      <c r="N11" s="77" t="s">
        <v>76</v>
      </c>
      <c r="O11" s="77" t="s">
        <v>76</v>
      </c>
      <c r="P11" s="77" t="s">
        <v>76</v>
      </c>
      <c r="Q11" s="77" t="s">
        <v>77</v>
      </c>
      <c r="R11" s="77" t="s">
        <v>77</v>
      </c>
      <c r="S11" s="77" t="s">
        <v>77</v>
      </c>
      <c r="T11" s="77" t="s">
        <v>77</v>
      </c>
      <c r="U11" s="77" t="s">
        <v>77</v>
      </c>
      <c r="V11" s="74" t="s">
        <v>24</v>
      </c>
      <c r="W11" s="74" t="s">
        <v>24</v>
      </c>
      <c r="X11" s="74" t="s">
        <v>24</v>
      </c>
      <c r="Y11" s="74" t="s">
        <v>24</v>
      </c>
      <c r="Z11" s="74" t="s">
        <v>24</v>
      </c>
    </row>
    <row r="12" spans="1:26" s="21" customFormat="1" ht="21" customHeight="1" x14ac:dyDescent="0.25">
      <c r="D12" s="2"/>
      <c r="E12" s="2"/>
      <c r="F12" s="29"/>
      <c r="G12" s="30"/>
      <c r="H12" s="30"/>
      <c r="I12" s="30"/>
      <c r="J12" s="30"/>
      <c r="K12" s="29"/>
      <c r="L12" s="64" t="s">
        <v>26</v>
      </c>
      <c r="M12" s="64" t="s">
        <v>25</v>
      </c>
      <c r="N12" s="65" t="s">
        <v>27</v>
      </c>
      <c r="O12" s="64" t="s">
        <v>30</v>
      </c>
      <c r="P12" s="64" t="s">
        <v>31</v>
      </c>
      <c r="Q12" s="64" t="s">
        <v>26</v>
      </c>
      <c r="R12" s="64" t="s">
        <v>25</v>
      </c>
      <c r="S12" s="64" t="s">
        <v>27</v>
      </c>
      <c r="T12" s="64" t="s">
        <v>30</v>
      </c>
      <c r="U12" s="75" t="s">
        <v>31</v>
      </c>
      <c r="V12" s="64" t="s">
        <v>26</v>
      </c>
      <c r="W12" s="64" t="s">
        <v>25</v>
      </c>
      <c r="X12" s="64" t="s">
        <v>27</v>
      </c>
      <c r="Y12" s="64" t="s">
        <v>30</v>
      </c>
      <c r="Z12" s="4" t="s">
        <v>31</v>
      </c>
    </row>
    <row r="13" spans="1:26" s="21" customFormat="1" ht="21" customHeight="1" x14ac:dyDescent="0.25">
      <c r="B13" s="2"/>
      <c r="C13" s="28"/>
      <c r="D13" s="2"/>
      <c r="E13" s="2"/>
      <c r="F13" s="29"/>
      <c r="G13" s="29"/>
      <c r="H13" s="29"/>
      <c r="I13" s="29"/>
      <c r="J13" s="29"/>
      <c r="K13" s="29"/>
      <c r="L13" s="72"/>
      <c r="M13" s="72"/>
      <c r="N13" s="73"/>
      <c r="O13" s="72"/>
      <c r="P13" s="72"/>
      <c r="Q13" s="72"/>
      <c r="R13" s="72"/>
      <c r="S13" s="72"/>
      <c r="T13" s="72"/>
      <c r="U13" s="76"/>
      <c r="V13" s="72"/>
      <c r="W13" s="72"/>
      <c r="X13" s="72"/>
      <c r="Y13" s="72"/>
      <c r="Z13" s="78"/>
    </row>
    <row r="14" spans="1:26" s="31" customFormat="1" ht="18" customHeight="1" x14ac:dyDescent="0.25">
      <c r="B14" s="32"/>
      <c r="C14" s="33"/>
      <c r="D14" s="32"/>
      <c r="E14" s="32"/>
      <c r="F14" s="34"/>
      <c r="G14" s="34"/>
      <c r="H14" s="34"/>
      <c r="I14" s="34"/>
      <c r="J14" s="34"/>
      <c r="K14" s="34"/>
    </row>
    <row r="15" spans="1:26" s="36" customFormat="1" ht="6" customHeight="1" x14ac:dyDescent="0.25">
      <c r="B15" s="37">
        <f>SUBTOTAL(3,B17:B70)</f>
        <v>0</v>
      </c>
      <c r="C15" s="38"/>
      <c r="D15" s="39"/>
      <c r="E15" s="39"/>
      <c r="F15" s="40"/>
      <c r="G15" s="40"/>
      <c r="H15" s="40"/>
      <c r="I15" s="40"/>
      <c r="J15" s="40"/>
      <c r="K15" s="40"/>
      <c r="L15" s="66" t="s">
        <v>78</v>
      </c>
      <c r="M15" s="66" t="s">
        <v>79</v>
      </c>
      <c r="N15" s="66" t="s">
        <v>80</v>
      </c>
      <c r="O15" s="66" t="s">
        <v>81</v>
      </c>
      <c r="P15" s="66" t="s">
        <v>82</v>
      </c>
      <c r="Q15" s="66" t="s">
        <v>83</v>
      </c>
      <c r="R15" s="66" t="s">
        <v>84</v>
      </c>
      <c r="S15" s="66" t="s">
        <v>85</v>
      </c>
      <c r="T15" s="66" t="s">
        <v>86</v>
      </c>
      <c r="U15" s="66" t="s">
        <v>87</v>
      </c>
      <c r="V15" s="66" t="s">
        <v>91</v>
      </c>
      <c r="W15" s="66" t="s">
        <v>92</v>
      </c>
      <c r="X15" s="66" t="s">
        <v>88</v>
      </c>
      <c r="Y15" s="66" t="s">
        <v>89</v>
      </c>
      <c r="Z15" s="66" t="s">
        <v>90</v>
      </c>
    </row>
    <row r="16" spans="1:26" s="21" customFormat="1" ht="20.25" customHeight="1" x14ac:dyDescent="0.25">
      <c r="A16" s="41" t="s">
        <v>46</v>
      </c>
      <c r="B16" s="42" t="s">
        <v>47</v>
      </c>
      <c r="C16" s="42" t="s">
        <v>48</v>
      </c>
      <c r="D16" s="42" t="s">
        <v>49</v>
      </c>
      <c r="E16" s="42" t="s">
        <v>50</v>
      </c>
      <c r="F16" s="42" t="s">
        <v>51</v>
      </c>
      <c r="G16" s="42" t="s">
        <v>52</v>
      </c>
      <c r="H16" s="42" t="s">
        <v>72</v>
      </c>
      <c r="I16" s="42" t="s">
        <v>53</v>
      </c>
      <c r="J16" s="42" t="s">
        <v>54</v>
      </c>
      <c r="K16" s="42" t="s">
        <v>44</v>
      </c>
      <c r="L16" s="43">
        <f>IFERROR(HLOOKUP(L15,'DIN SORTIM'!$4:$5,2,0),0)</f>
        <v>0</v>
      </c>
      <c r="M16" s="43">
        <f>IFERROR(HLOOKUP(M15,'DIN SORTIM'!$4:$5,2,0),0)</f>
        <v>0</v>
      </c>
      <c r="N16" s="43">
        <f>IFERROR(HLOOKUP(N15,'DIN SORTIM'!$4:$5,2,0),0)</f>
        <v>0</v>
      </c>
      <c r="O16" s="43">
        <f>IFERROR(HLOOKUP(O15,'DIN SORTIM'!$4:$5,2,0),0)</f>
        <v>0</v>
      </c>
      <c r="P16" s="43">
        <f>IFERROR(HLOOKUP(P15,'DIN SORTIM'!$4:$5,2,0),0)</f>
        <v>0</v>
      </c>
      <c r="Q16" s="43">
        <f>IFERROR(HLOOKUP(Q15,'DIN SORTIM'!$4:$5,2,0),0)</f>
        <v>0</v>
      </c>
      <c r="R16" s="43">
        <f>IFERROR(HLOOKUP(R15,'DIN SORTIM'!$4:$5,2,0),0)</f>
        <v>0</v>
      </c>
      <c r="S16" s="43">
        <f>IFERROR(HLOOKUP(S15,'DIN SORTIM'!$4:$5,2,0),0)</f>
        <v>0</v>
      </c>
      <c r="T16" s="43">
        <f>IFERROR(HLOOKUP(T15,'DIN SORTIM'!$4:$5,2,0),0)</f>
        <v>0</v>
      </c>
      <c r="U16" s="43">
        <f>IFERROR(HLOOKUP(U15,'DIN SORTIM'!$4:$5,2,0),0)</f>
        <v>0</v>
      </c>
      <c r="V16" s="43"/>
      <c r="W16" s="43"/>
      <c r="X16" s="43">
        <f>IFERROR(HLOOKUP(X15,'DIN SORTIM'!$4:$5,2,0),0)</f>
        <v>0</v>
      </c>
      <c r="Y16" s="43">
        <f>IFERROR(HLOOKUP(Y15,'DIN SORTIM'!$4:$5,2,0),0)</f>
        <v>0</v>
      </c>
      <c r="Z16" s="43">
        <f>IFERROR(HLOOKUP(Z15,'DIN SORTIM'!$4:$5,2,0),0)</f>
        <v>0</v>
      </c>
    </row>
    <row r="17" spans="1:26" s="48" customFormat="1" ht="20.25" customHeight="1" x14ac:dyDescent="0.25">
      <c r="A17" s="89"/>
      <c r="B17" s="90"/>
      <c r="C17" s="91"/>
      <c r="D17" s="90"/>
      <c r="E17" s="90"/>
      <c r="F17" s="90"/>
      <c r="G17" s="91"/>
      <c r="H17" s="71"/>
      <c r="I17" s="45"/>
      <c r="J17" s="45"/>
      <c r="K17" s="46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</row>
    <row r="18" spans="1:26" s="48" customFormat="1" ht="20.25" customHeight="1" x14ac:dyDescent="0.25">
      <c r="A18" s="89"/>
      <c r="B18" s="90"/>
      <c r="C18" s="91"/>
      <c r="D18" s="90"/>
      <c r="E18" s="90"/>
      <c r="F18" s="90"/>
      <c r="G18" s="91"/>
      <c r="H18" s="71"/>
      <c r="I18" s="45"/>
      <c r="J18" s="45"/>
      <c r="K18" s="46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</row>
    <row r="19" spans="1:26" s="48" customFormat="1" ht="20.25" customHeight="1" x14ac:dyDescent="0.25">
      <c r="A19" s="89"/>
      <c r="B19" s="90"/>
      <c r="C19" s="91"/>
      <c r="D19" s="90"/>
      <c r="E19" s="90"/>
      <c r="F19" s="90"/>
      <c r="G19" s="91"/>
      <c r="H19" s="71"/>
      <c r="I19" s="45"/>
      <c r="J19" s="45"/>
      <c r="K19" s="46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</row>
    <row r="20" spans="1:26" s="48" customFormat="1" ht="20.25" customHeight="1" x14ac:dyDescent="0.25">
      <c r="A20" s="89"/>
      <c r="B20" s="90"/>
      <c r="C20" s="91"/>
      <c r="D20" s="90"/>
      <c r="E20" s="90"/>
      <c r="F20" s="90"/>
      <c r="G20" s="91"/>
      <c r="H20" s="71"/>
      <c r="I20" s="45"/>
      <c r="J20" s="45"/>
      <c r="K20" s="46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</row>
    <row r="21" spans="1:26" s="48" customFormat="1" ht="20.25" customHeight="1" x14ac:dyDescent="0.25">
      <c r="A21" s="89"/>
      <c r="B21" s="90"/>
      <c r="C21" s="91"/>
      <c r="D21" s="90"/>
      <c r="E21" s="90"/>
      <c r="F21" s="90"/>
      <c r="G21" s="91"/>
      <c r="H21" s="71"/>
      <c r="I21" s="45"/>
      <c r="J21" s="45"/>
      <c r="K21" s="46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</row>
    <row r="22" spans="1:26" s="48" customFormat="1" ht="20.25" customHeight="1" x14ac:dyDescent="0.25">
      <c r="A22" s="89"/>
      <c r="B22" s="90"/>
      <c r="C22" s="91"/>
      <c r="D22" s="90"/>
      <c r="E22" s="90"/>
      <c r="F22" s="90"/>
      <c r="G22" s="91"/>
      <c r="H22" s="71"/>
      <c r="I22" s="45"/>
      <c r="J22" s="45"/>
      <c r="K22" s="46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</row>
    <row r="23" spans="1:26" s="48" customFormat="1" ht="20.25" customHeight="1" x14ac:dyDescent="0.25">
      <c r="A23" s="89"/>
      <c r="B23" s="90"/>
      <c r="C23" s="91"/>
      <c r="D23" s="90"/>
      <c r="E23" s="90"/>
      <c r="F23" s="90"/>
      <c r="G23" s="91"/>
      <c r="H23" s="71"/>
      <c r="I23" s="45"/>
      <c r="J23" s="45"/>
      <c r="K23" s="46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</row>
    <row r="24" spans="1:26" s="48" customFormat="1" ht="20.25" customHeight="1" x14ac:dyDescent="0.25">
      <c r="A24" s="89"/>
      <c r="B24" s="90"/>
      <c r="C24" s="91"/>
      <c r="D24" s="90"/>
      <c r="E24" s="90"/>
      <c r="F24" s="90"/>
      <c r="G24" s="91"/>
      <c r="H24" s="71"/>
      <c r="I24" s="45"/>
      <c r="J24" s="45"/>
      <c r="K24" s="46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</row>
    <row r="25" spans="1:26" s="48" customFormat="1" ht="20.25" customHeight="1" x14ac:dyDescent="0.25">
      <c r="A25" s="89"/>
      <c r="B25" s="90"/>
      <c r="C25" s="91"/>
      <c r="D25" s="90"/>
      <c r="E25" s="90"/>
      <c r="F25" s="90"/>
      <c r="G25" s="91"/>
      <c r="H25" s="71"/>
      <c r="I25" s="45"/>
      <c r="J25" s="45"/>
      <c r="K25" s="46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</row>
    <row r="26" spans="1:26" s="48" customFormat="1" ht="20.25" customHeight="1" x14ac:dyDescent="0.25">
      <c r="A26" s="89"/>
      <c r="B26" s="90"/>
      <c r="C26" s="91"/>
      <c r="D26" s="90"/>
      <c r="E26" s="90"/>
      <c r="F26" s="90"/>
      <c r="G26" s="91"/>
      <c r="H26" s="71"/>
      <c r="I26" s="45"/>
      <c r="J26" s="45"/>
      <c r="K26" s="46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</row>
    <row r="27" spans="1:26" s="48" customFormat="1" ht="20.25" customHeight="1" x14ac:dyDescent="0.25">
      <c r="A27" s="89"/>
      <c r="B27" s="90"/>
      <c r="C27" s="91"/>
      <c r="D27" s="90"/>
      <c r="E27" s="90"/>
      <c r="F27" s="90"/>
      <c r="G27" s="91"/>
      <c r="H27" s="71"/>
      <c r="I27" s="45"/>
      <c r="J27" s="45"/>
      <c r="K27" s="46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</row>
    <row r="28" spans="1:26" s="48" customFormat="1" ht="20.25" customHeight="1" x14ac:dyDescent="0.25">
      <c r="A28" s="89"/>
      <c r="B28" s="90"/>
      <c r="C28" s="91"/>
      <c r="D28" s="90"/>
      <c r="E28" s="90"/>
      <c r="F28" s="90"/>
      <c r="G28" s="91"/>
      <c r="H28" s="71"/>
      <c r="I28" s="45"/>
      <c r="J28" s="45"/>
      <c r="K28" s="46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</row>
    <row r="29" spans="1:26" s="48" customFormat="1" ht="20.25" customHeight="1" x14ac:dyDescent="0.25">
      <c r="A29" s="89"/>
      <c r="B29" s="90"/>
      <c r="C29" s="91"/>
      <c r="D29" s="90"/>
      <c r="E29" s="90"/>
      <c r="F29" s="90"/>
      <c r="G29" s="91"/>
      <c r="H29" s="71"/>
      <c r="I29" s="45"/>
      <c r="J29" s="45"/>
      <c r="K29" s="46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</row>
    <row r="30" spans="1:26" s="48" customFormat="1" ht="20.25" customHeight="1" x14ac:dyDescent="0.25">
      <c r="A30" s="89"/>
      <c r="B30" s="90"/>
      <c r="C30" s="91"/>
      <c r="D30" s="90"/>
      <c r="E30" s="90"/>
      <c r="F30" s="90"/>
      <c r="G30" s="91"/>
      <c r="H30" s="71"/>
      <c r="I30" s="45"/>
      <c r="J30" s="45"/>
      <c r="K30" s="46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</row>
    <row r="31" spans="1:26" s="48" customFormat="1" ht="20.25" customHeight="1" x14ac:dyDescent="0.25">
      <c r="A31" s="89"/>
      <c r="B31" s="90"/>
      <c r="C31" s="91"/>
      <c r="D31" s="90"/>
      <c r="E31" s="90"/>
      <c r="F31" s="90"/>
      <c r="G31" s="91"/>
      <c r="H31" s="71"/>
      <c r="I31" s="45"/>
      <c r="J31" s="45"/>
      <c r="K31" s="46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</row>
    <row r="32" spans="1:26" s="48" customFormat="1" ht="20.25" customHeight="1" x14ac:dyDescent="0.25">
      <c r="A32" s="89"/>
      <c r="B32" s="90"/>
      <c r="C32" s="91"/>
      <c r="D32" s="90"/>
      <c r="E32" s="90"/>
      <c r="F32" s="90"/>
      <c r="G32" s="91"/>
      <c r="H32" s="71"/>
      <c r="I32" s="45"/>
      <c r="J32" s="45"/>
      <c r="K32" s="46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s="48" customFormat="1" ht="20.25" customHeight="1" x14ac:dyDescent="0.25">
      <c r="A33" s="89"/>
      <c r="B33" s="90"/>
      <c r="C33" s="91"/>
      <c r="D33" s="90"/>
      <c r="E33" s="90"/>
      <c r="F33" s="90"/>
      <c r="G33" s="91"/>
      <c r="H33" s="71"/>
      <c r="I33" s="45"/>
      <c r="J33" s="45"/>
      <c r="K33" s="46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s="48" customFormat="1" ht="20.25" customHeight="1" x14ac:dyDescent="0.25">
      <c r="A34" s="89"/>
      <c r="B34" s="90"/>
      <c r="C34" s="91"/>
      <c r="D34" s="90"/>
      <c r="E34" s="90"/>
      <c r="F34" s="90"/>
      <c r="G34" s="91"/>
      <c r="H34" s="71"/>
      <c r="I34" s="45"/>
      <c r="J34" s="45"/>
      <c r="K34" s="46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s="48" customFormat="1" ht="20.25" customHeight="1" x14ac:dyDescent="0.25">
      <c r="A35" s="89"/>
      <c r="B35" s="90"/>
      <c r="C35" s="91"/>
      <c r="D35" s="90"/>
      <c r="E35" s="90"/>
      <c r="F35" s="90"/>
      <c r="G35" s="91"/>
      <c r="H35" s="71"/>
      <c r="I35" s="45"/>
      <c r="J35" s="45"/>
      <c r="K35" s="46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s="48" customFormat="1" ht="20.25" customHeight="1" x14ac:dyDescent="0.25">
      <c r="A36" s="89"/>
      <c r="B36" s="90"/>
      <c r="C36" s="91"/>
      <c r="D36" s="90"/>
      <c r="E36" s="90"/>
      <c r="F36" s="90"/>
      <c r="G36" s="91"/>
      <c r="H36" s="71"/>
      <c r="I36" s="45"/>
      <c r="J36" s="45"/>
      <c r="K36" s="46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s="48" customFormat="1" ht="20.25" customHeight="1" x14ac:dyDescent="0.25">
      <c r="A37" s="89"/>
      <c r="B37" s="90"/>
      <c r="C37" s="91"/>
      <c r="D37" s="90"/>
      <c r="E37" s="90"/>
      <c r="F37" s="90"/>
      <c r="G37" s="91"/>
      <c r="H37" s="71"/>
      <c r="I37" s="45"/>
      <c r="J37" s="45"/>
      <c r="K37" s="46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s="48" customFormat="1" ht="20.25" customHeight="1" x14ac:dyDescent="0.25">
      <c r="A38" s="89"/>
      <c r="B38" s="90"/>
      <c r="C38" s="91"/>
      <c r="D38" s="90"/>
      <c r="E38" s="90"/>
      <c r="F38" s="90"/>
      <c r="G38" s="91"/>
      <c r="H38" s="71"/>
      <c r="I38" s="45"/>
      <c r="J38" s="45"/>
      <c r="K38" s="46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s="48" customFormat="1" ht="20.25" customHeight="1" x14ac:dyDescent="0.25">
      <c r="A39" s="89"/>
      <c r="B39" s="90"/>
      <c r="C39" s="91"/>
      <c r="D39" s="90"/>
      <c r="E39" s="90"/>
      <c r="F39" s="90"/>
      <c r="G39" s="91"/>
      <c r="H39" s="71"/>
      <c r="I39" s="45"/>
      <c r="J39" s="45"/>
      <c r="K39" s="46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s="48" customFormat="1" ht="20.25" customHeight="1" x14ac:dyDescent="0.25">
      <c r="A40" s="89"/>
      <c r="B40" s="90"/>
      <c r="C40" s="91"/>
      <c r="D40" s="90"/>
      <c r="E40" s="90"/>
      <c r="F40" s="90"/>
      <c r="G40" s="91"/>
      <c r="H40" s="71"/>
      <c r="I40" s="45"/>
      <c r="J40" s="45"/>
      <c r="K40" s="46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</row>
    <row r="41" spans="1:26" s="48" customFormat="1" ht="20.25" customHeight="1" x14ac:dyDescent="0.25">
      <c r="A41" s="89"/>
      <c r="B41" s="90"/>
      <c r="C41" s="91"/>
      <c r="D41" s="90"/>
      <c r="E41" s="90"/>
      <c r="F41" s="90"/>
      <c r="G41" s="91"/>
      <c r="H41" s="71"/>
      <c r="I41" s="45"/>
      <c r="J41" s="45"/>
      <c r="K41" s="46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</row>
    <row r="42" spans="1:26" s="48" customFormat="1" ht="20.25" customHeight="1" x14ac:dyDescent="0.25">
      <c r="A42" s="89"/>
      <c r="B42" s="90"/>
      <c r="C42" s="91"/>
      <c r="D42" s="90"/>
      <c r="E42" s="90"/>
      <c r="F42" s="90"/>
      <c r="G42" s="91"/>
      <c r="H42" s="71"/>
      <c r="I42" s="45"/>
      <c r="J42" s="45"/>
      <c r="K42" s="46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</row>
    <row r="43" spans="1:26" s="48" customFormat="1" ht="20.25" customHeight="1" x14ac:dyDescent="0.25">
      <c r="A43" s="89"/>
      <c r="B43" s="95"/>
      <c r="C43" s="96"/>
      <c r="D43" s="95"/>
      <c r="E43" s="95"/>
      <c r="F43" s="95"/>
      <c r="G43" s="96"/>
      <c r="H43" s="71"/>
      <c r="I43" s="45"/>
      <c r="J43" s="45"/>
      <c r="K43" s="46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</row>
    <row r="44" spans="1:26" s="48" customFormat="1" ht="20.25" customHeight="1" x14ac:dyDescent="0.25">
      <c r="A44" s="89"/>
      <c r="B44" s="95"/>
      <c r="C44" s="96"/>
      <c r="D44" s="95"/>
      <c r="E44" s="95"/>
      <c r="F44" s="95"/>
      <c r="G44" s="96"/>
      <c r="H44" s="71"/>
      <c r="I44" s="45"/>
      <c r="J44" s="45"/>
      <c r="K44" s="46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</row>
    <row r="45" spans="1:26" s="48" customFormat="1" ht="20.25" customHeight="1" x14ac:dyDescent="0.25">
      <c r="A45" s="89"/>
      <c r="B45" s="95"/>
      <c r="C45" s="96"/>
      <c r="D45" s="95"/>
      <c r="E45" s="95"/>
      <c r="F45" s="95"/>
      <c r="G45" s="96"/>
      <c r="H45" s="71"/>
      <c r="I45" s="45"/>
      <c r="J45" s="45"/>
      <c r="K45" s="46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</row>
    <row r="46" spans="1:26" s="48" customFormat="1" ht="20.25" customHeight="1" x14ac:dyDescent="0.25">
      <c r="A46" s="89"/>
      <c r="B46" s="95"/>
      <c r="C46" s="96"/>
      <c r="D46" s="95"/>
      <c r="E46" s="95"/>
      <c r="F46" s="95"/>
      <c r="G46" s="96"/>
      <c r="H46" s="71"/>
      <c r="I46" s="45"/>
      <c r="J46" s="45"/>
      <c r="K46" s="46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</row>
    <row r="47" spans="1:26" s="48" customFormat="1" ht="20.25" customHeight="1" x14ac:dyDescent="0.25">
      <c r="A47" s="89"/>
      <c r="B47" s="95"/>
      <c r="C47" s="96"/>
      <c r="D47" s="95"/>
      <c r="E47" s="95"/>
      <c r="F47" s="95"/>
      <c r="G47" s="96"/>
      <c r="H47" s="71"/>
      <c r="I47" s="45"/>
      <c r="J47" s="45"/>
      <c r="K47" s="46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s="48" customFormat="1" ht="20.25" customHeight="1" x14ac:dyDescent="0.25">
      <c r="A48" s="89"/>
      <c r="B48" s="95"/>
      <c r="C48" s="96"/>
      <c r="D48" s="95"/>
      <c r="E48" s="95"/>
      <c r="F48" s="95"/>
      <c r="G48" s="96"/>
      <c r="H48" s="71"/>
      <c r="I48" s="45"/>
      <c r="J48" s="45"/>
      <c r="K48" s="46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</row>
    <row r="49" spans="1:26" s="48" customFormat="1" ht="20.25" customHeight="1" x14ac:dyDescent="0.25">
      <c r="A49" s="89"/>
      <c r="B49" s="95"/>
      <c r="C49" s="96"/>
      <c r="D49" s="95"/>
      <c r="E49" s="95"/>
      <c r="F49" s="95"/>
      <c r="G49" s="96"/>
      <c r="H49" s="71"/>
      <c r="I49" s="45"/>
      <c r="J49" s="45"/>
      <c r="K49" s="46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</row>
    <row r="50" spans="1:26" s="48" customFormat="1" ht="20.25" customHeight="1" x14ac:dyDescent="0.25">
      <c r="A50" s="89"/>
      <c r="B50" s="95"/>
      <c r="C50" s="96"/>
      <c r="D50" s="95"/>
      <c r="E50" s="95"/>
      <c r="F50" s="95"/>
      <c r="G50" s="96"/>
      <c r="H50" s="71"/>
      <c r="I50" s="45"/>
      <c r="J50" s="45"/>
      <c r="K50" s="46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</row>
    <row r="51" spans="1:26" s="48" customFormat="1" ht="20.25" customHeight="1" x14ac:dyDescent="0.25">
      <c r="A51" s="89"/>
      <c r="B51" s="95"/>
      <c r="C51" s="96"/>
      <c r="D51" s="95"/>
      <c r="E51" s="95"/>
      <c r="F51" s="95"/>
      <c r="G51" s="96"/>
      <c r="H51" s="71"/>
      <c r="I51" s="45"/>
      <c r="J51" s="45"/>
      <c r="K51" s="46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</row>
    <row r="52" spans="1:26" s="48" customFormat="1" ht="20.25" customHeight="1" x14ac:dyDescent="0.25">
      <c r="A52" s="89"/>
      <c r="B52" s="95"/>
      <c r="C52" s="96"/>
      <c r="D52" s="95"/>
      <c r="E52" s="95"/>
      <c r="F52" s="95"/>
      <c r="G52" s="96"/>
      <c r="H52" s="71"/>
      <c r="I52" s="45"/>
      <c r="J52" s="45"/>
      <c r="K52" s="46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</row>
    <row r="53" spans="1:26" s="48" customFormat="1" ht="20.25" customHeight="1" x14ac:dyDescent="0.25">
      <c r="A53" s="89"/>
      <c r="B53" s="95"/>
      <c r="C53" s="96"/>
      <c r="D53" s="95"/>
      <c r="E53" s="95"/>
      <c r="F53" s="95"/>
      <c r="G53" s="96"/>
      <c r="H53" s="71"/>
      <c r="I53" s="45"/>
      <c r="J53" s="45"/>
      <c r="K53" s="46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s="48" customFormat="1" ht="20.25" customHeight="1" x14ac:dyDescent="0.25">
      <c r="A54" s="89"/>
      <c r="B54" s="95"/>
      <c r="C54" s="96"/>
      <c r="D54" s="95"/>
      <c r="E54" s="95"/>
      <c r="F54" s="95"/>
      <c r="G54" s="96"/>
      <c r="H54" s="71"/>
      <c r="I54" s="45"/>
      <c r="J54" s="45"/>
      <c r="K54" s="46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</row>
    <row r="55" spans="1:26" s="48" customFormat="1" ht="20.25" customHeight="1" x14ac:dyDescent="0.25">
      <c r="A55" s="89"/>
      <c r="B55" s="95"/>
      <c r="C55" s="96"/>
      <c r="D55" s="95"/>
      <c r="E55" s="95"/>
      <c r="F55" s="95"/>
      <c r="G55" s="96"/>
      <c r="H55" s="71"/>
      <c r="I55" s="45"/>
      <c r="J55" s="45"/>
      <c r="K55" s="46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1:26" s="48" customFormat="1" ht="20.25" customHeight="1" x14ac:dyDescent="0.25">
      <c r="A56" s="89"/>
      <c r="B56" s="95"/>
      <c r="C56" s="96"/>
      <c r="D56" s="95"/>
      <c r="E56" s="95"/>
      <c r="F56" s="95"/>
      <c r="G56" s="96"/>
      <c r="H56" s="71"/>
      <c r="I56" s="45"/>
      <c r="J56" s="45"/>
      <c r="K56" s="46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</row>
    <row r="57" spans="1:26" s="48" customFormat="1" ht="20.25" customHeight="1" x14ac:dyDescent="0.25">
      <c r="A57" s="89"/>
      <c r="B57" s="95"/>
      <c r="C57" s="96"/>
      <c r="D57" s="95"/>
      <c r="E57" s="95"/>
      <c r="F57" s="95"/>
      <c r="G57" s="96"/>
      <c r="H57" s="71"/>
      <c r="I57" s="45"/>
      <c r="J57" s="45"/>
      <c r="K57" s="46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</row>
    <row r="58" spans="1:26" s="48" customFormat="1" ht="20.25" customHeight="1" x14ac:dyDescent="0.25">
      <c r="A58" s="89"/>
      <c r="B58" s="95"/>
      <c r="C58" s="96"/>
      <c r="D58" s="95"/>
      <c r="E58" s="95"/>
      <c r="F58" s="95"/>
      <c r="G58" s="96"/>
      <c r="H58" s="71"/>
      <c r="I58" s="45"/>
      <c r="J58" s="45"/>
      <c r="K58" s="46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</row>
    <row r="59" spans="1:26" s="48" customFormat="1" ht="20.25" customHeight="1" x14ac:dyDescent="0.25">
      <c r="A59" s="89"/>
      <c r="B59" s="95"/>
      <c r="C59" s="96"/>
      <c r="D59" s="95"/>
      <c r="E59" s="95"/>
      <c r="F59" s="95"/>
      <c r="G59" s="96"/>
      <c r="H59" s="71"/>
      <c r="I59" s="45"/>
      <c r="J59" s="45"/>
      <c r="K59" s="46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s="48" customFormat="1" ht="20.25" customHeight="1" x14ac:dyDescent="0.25">
      <c r="A60" s="89"/>
      <c r="B60" s="95"/>
      <c r="C60" s="96"/>
      <c r="D60" s="95"/>
      <c r="E60" s="95"/>
      <c r="F60" s="95"/>
      <c r="G60" s="96"/>
      <c r="H60" s="71"/>
      <c r="I60" s="45"/>
      <c r="J60" s="45"/>
      <c r="K60" s="46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</row>
    <row r="61" spans="1:26" s="48" customFormat="1" ht="20.25" customHeight="1" x14ac:dyDescent="0.25">
      <c r="A61" s="89"/>
      <c r="B61" s="95"/>
      <c r="C61" s="96"/>
      <c r="D61" s="95"/>
      <c r="E61" s="95"/>
      <c r="F61" s="95"/>
      <c r="G61" s="96"/>
      <c r="H61" s="71"/>
      <c r="I61" s="45"/>
      <c r="J61" s="45"/>
      <c r="K61" s="46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</row>
    <row r="62" spans="1:26" s="48" customFormat="1" ht="20.25" customHeight="1" x14ac:dyDescent="0.25">
      <c r="A62" s="89"/>
      <c r="B62" s="95"/>
      <c r="C62" s="96"/>
      <c r="D62" s="95"/>
      <c r="E62" s="95"/>
      <c r="F62" s="95"/>
      <c r="G62" s="96"/>
      <c r="H62" s="71"/>
      <c r="I62" s="45"/>
      <c r="J62" s="45"/>
      <c r="K62" s="46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</row>
    <row r="63" spans="1:26" s="48" customFormat="1" ht="20.25" customHeight="1" x14ac:dyDescent="0.25">
      <c r="A63" s="89"/>
      <c r="B63" s="95"/>
      <c r="C63" s="96"/>
      <c r="D63" s="95"/>
      <c r="E63" s="95"/>
      <c r="F63" s="95"/>
      <c r="G63" s="96"/>
      <c r="H63" s="71"/>
      <c r="I63" s="45"/>
      <c r="J63" s="45"/>
      <c r="K63" s="46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</row>
    <row r="64" spans="1:26" s="48" customFormat="1" ht="20.25" customHeight="1" x14ac:dyDescent="0.25">
      <c r="A64" s="89"/>
      <c r="B64" s="95"/>
      <c r="C64" s="96"/>
      <c r="D64" s="95"/>
      <c r="E64" s="95"/>
      <c r="F64" s="95"/>
      <c r="G64" s="96"/>
      <c r="H64" s="71"/>
      <c r="I64" s="45"/>
      <c r="J64" s="45"/>
      <c r="K64" s="46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</row>
    <row r="65" spans="1:26" s="48" customFormat="1" ht="20.25" customHeight="1" x14ac:dyDescent="0.25">
      <c r="A65" s="89"/>
      <c r="B65" s="95"/>
      <c r="C65" s="96"/>
      <c r="D65" s="95"/>
      <c r="E65" s="95"/>
      <c r="F65" s="95"/>
      <c r="G65" s="96"/>
      <c r="H65" s="71"/>
      <c r="I65" s="45"/>
      <c r="J65" s="45"/>
      <c r="K65" s="46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</row>
    <row r="66" spans="1:26" s="48" customFormat="1" ht="20.25" customHeight="1" x14ac:dyDescent="0.25">
      <c r="A66" s="89"/>
      <c r="B66" s="95"/>
      <c r="C66" s="96"/>
      <c r="D66" s="95"/>
      <c r="E66" s="95"/>
      <c r="F66" s="95"/>
      <c r="G66" s="96"/>
      <c r="H66" s="71"/>
      <c r="I66" s="45"/>
      <c r="J66" s="45"/>
      <c r="K66" s="46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</row>
    <row r="67" spans="1:26" s="48" customFormat="1" ht="20.25" customHeight="1" x14ac:dyDescent="0.25">
      <c r="A67" s="89"/>
      <c r="B67" s="95"/>
      <c r="C67" s="96"/>
      <c r="D67" s="95"/>
      <c r="E67" s="95"/>
      <c r="F67" s="95"/>
      <c r="G67" s="96"/>
      <c r="H67" s="71"/>
      <c r="I67" s="45"/>
      <c r="J67" s="45"/>
      <c r="K67" s="46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</row>
    <row r="68" spans="1:26" s="48" customFormat="1" ht="20.25" customHeight="1" x14ac:dyDescent="0.25">
      <c r="A68" s="89"/>
      <c r="B68" s="95"/>
      <c r="C68" s="96"/>
      <c r="D68" s="95"/>
      <c r="E68" s="95"/>
      <c r="F68" s="95"/>
      <c r="G68" s="96"/>
      <c r="H68" s="71"/>
      <c r="I68" s="45"/>
      <c r="J68" s="45"/>
      <c r="K68" s="46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</row>
    <row r="69" spans="1:26" s="48" customFormat="1" ht="20.25" customHeight="1" x14ac:dyDescent="0.25">
      <c r="A69" s="89"/>
      <c r="B69" s="95"/>
      <c r="C69" s="96"/>
      <c r="D69" s="95"/>
      <c r="E69" s="95"/>
      <c r="F69" s="95"/>
      <c r="G69" s="96"/>
      <c r="H69" s="71"/>
      <c r="I69" s="45"/>
      <c r="J69" s="45"/>
      <c r="K69" s="46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</row>
    <row r="70" spans="1:26" s="48" customFormat="1" ht="20.25" customHeight="1" x14ac:dyDescent="0.25">
      <c r="A70" s="89"/>
      <c r="B70" s="95"/>
      <c r="C70" s="96"/>
      <c r="D70" s="95"/>
      <c r="E70" s="95"/>
      <c r="F70" s="95"/>
      <c r="G70" s="96"/>
      <c r="H70" s="71"/>
      <c r="I70" s="45"/>
      <c r="J70" s="45"/>
      <c r="K70" s="46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</row>
  </sheetData>
  <autoFilter ref="A16:AA70" xr:uid="{00000000-0009-0000-0000-000001000000}"/>
  <mergeCells count="8">
    <mergeCell ref="X2:Z2"/>
    <mergeCell ref="L3:N3"/>
    <mergeCell ref="O3:P3"/>
    <mergeCell ref="Q3:R3"/>
    <mergeCell ref="S3:U3"/>
    <mergeCell ref="X3:Z3"/>
    <mergeCell ref="V3:W3"/>
    <mergeCell ref="L2:W2"/>
  </mergeCells>
  <conditionalFormatting sqref="L17:Z70">
    <cfRule type="cellIs" dxfId="15" priority="39" operator="equal">
      <formula>3</formula>
    </cfRule>
    <cfRule type="cellIs" dxfId="14" priority="40" operator="equal">
      <formula>1</formula>
    </cfRule>
  </conditionalFormatting>
  <conditionalFormatting sqref="A17:A70">
    <cfRule type="cellIs" dxfId="13" priority="37" operator="equal">
      <formula>"Sim"</formula>
    </cfRule>
  </conditionalFormatting>
  <conditionalFormatting sqref="B51:B52">
    <cfRule type="duplicateValues" dxfId="12" priority="32"/>
  </conditionalFormatting>
  <conditionalFormatting sqref="B32:B33">
    <cfRule type="duplicateValues" dxfId="11" priority="452"/>
  </conditionalFormatting>
  <conditionalFormatting sqref="B49">
    <cfRule type="duplicateValues" dxfId="10" priority="469"/>
  </conditionalFormatting>
  <conditionalFormatting sqref="B36">
    <cfRule type="duplicateValues" dxfId="9" priority="1019"/>
  </conditionalFormatting>
  <conditionalFormatting sqref="B30">
    <cfRule type="duplicateValues" dxfId="8" priority="1037"/>
  </conditionalFormatting>
  <conditionalFormatting sqref="B17:B18">
    <cfRule type="duplicateValues" dxfId="7" priority="1070"/>
  </conditionalFormatting>
  <conditionalFormatting sqref="B19:B29 B50 B37:B48 B53:B61 B69:B70 B31 B34:B35">
    <cfRule type="duplicateValues" dxfId="6" priority="1088"/>
  </conditionalFormatting>
  <conditionalFormatting sqref="B17:B70">
    <cfRule type="duplicateValues" dxfId="5" priority="1095"/>
  </conditionalFormatting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ortemp"/>
  <dimension ref="A1:Z6151"/>
  <sheetViews>
    <sheetView workbookViewId="0">
      <selection activeCell="A2" sqref="A2:Z6151"/>
    </sheetView>
  </sheetViews>
  <sheetFormatPr defaultRowHeight="15" x14ac:dyDescent="0.25"/>
  <cols>
    <col min="1" max="1" width="19.7109375" bestFit="1" customWidth="1"/>
    <col min="2" max="2" width="13.42578125" bestFit="1" customWidth="1"/>
    <col min="3" max="3" width="28.42578125" bestFit="1" customWidth="1"/>
    <col min="4" max="4" width="17.28515625" bestFit="1" customWidth="1"/>
    <col min="5" max="5" width="38.42578125" customWidth="1"/>
    <col min="6" max="6" width="15.42578125" bestFit="1" customWidth="1"/>
    <col min="7" max="7" width="16" bestFit="1" customWidth="1"/>
    <col min="8" max="8" width="20" bestFit="1" customWidth="1"/>
    <col min="9" max="9" width="51.7109375" customWidth="1"/>
    <col min="10" max="10" width="14.85546875" bestFit="1" customWidth="1"/>
    <col min="11" max="11" width="14.140625" bestFit="1" customWidth="1"/>
    <col min="12" max="12" width="8" bestFit="1" customWidth="1"/>
    <col min="13" max="13" width="13.42578125" bestFit="1" customWidth="1"/>
    <col min="14" max="14" width="18.28515625" bestFit="1" customWidth="1"/>
    <col min="15" max="15" width="16" bestFit="1" customWidth="1"/>
    <col min="16" max="16" width="9" customWidth="1"/>
    <col min="17" max="17" width="12.42578125" bestFit="1" customWidth="1"/>
    <col min="18" max="18" width="10.28515625" customWidth="1"/>
    <col min="19" max="19" width="15.5703125" bestFit="1" customWidth="1"/>
    <col min="20" max="20" width="12.85546875" bestFit="1" customWidth="1"/>
    <col min="21" max="21" width="12.28515625" bestFit="1" customWidth="1"/>
    <col min="22" max="22" width="10" bestFit="1" customWidth="1"/>
    <col min="23" max="23" width="23.42578125" bestFit="1" customWidth="1"/>
    <col min="24" max="24" width="33.42578125" bestFit="1" customWidth="1"/>
    <col min="25" max="25" width="27.140625" bestFit="1" customWidth="1"/>
    <col min="26" max="26" width="34.28515625" style="61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93</v>
      </c>
      <c r="T1" t="s">
        <v>18</v>
      </c>
      <c r="U1" t="s">
        <v>19</v>
      </c>
      <c r="V1" t="s">
        <v>94</v>
      </c>
      <c r="W1" t="s">
        <v>20</v>
      </c>
      <c r="X1" t="s">
        <v>21</v>
      </c>
      <c r="Y1" t="s">
        <v>95</v>
      </c>
      <c r="Z1" s="61" t="s">
        <v>96</v>
      </c>
    </row>
    <row r="2" spans="1:26" x14ac:dyDescent="0.25">
      <c r="N2" s="55"/>
    </row>
    <row r="3" spans="1:26" x14ac:dyDescent="0.25">
      <c r="N3" s="55"/>
    </row>
    <row r="4" spans="1:26" x14ac:dyDescent="0.25">
      <c r="N4" s="55"/>
    </row>
    <row r="5" spans="1:26" x14ac:dyDescent="0.25">
      <c r="N5" s="55"/>
    </row>
    <row r="6" spans="1:26" x14ac:dyDescent="0.25">
      <c r="N6" s="55"/>
    </row>
    <row r="7" spans="1:26" x14ac:dyDescent="0.25">
      <c r="N7" s="55"/>
    </row>
    <row r="8" spans="1:26" x14ac:dyDescent="0.25">
      <c r="N8" s="55"/>
    </row>
    <row r="9" spans="1:26" x14ac:dyDescent="0.25">
      <c r="N9" s="55"/>
    </row>
    <row r="10" spans="1:26" x14ac:dyDescent="0.25">
      <c r="N10" s="55"/>
    </row>
    <row r="11" spans="1:26" x14ac:dyDescent="0.25">
      <c r="N11" s="55"/>
    </row>
    <row r="12" spans="1:26" x14ac:dyDescent="0.25">
      <c r="N12" s="55"/>
    </row>
    <row r="13" spans="1:26" x14ac:dyDescent="0.25">
      <c r="N13" s="55"/>
    </row>
    <row r="14" spans="1:26" x14ac:dyDescent="0.25">
      <c r="N14" s="55"/>
    </row>
    <row r="15" spans="1:26" x14ac:dyDescent="0.25">
      <c r="N15" s="55"/>
    </row>
    <row r="16" spans="1:26" x14ac:dyDescent="0.25">
      <c r="N16" s="55"/>
    </row>
    <row r="17" spans="14:14" x14ac:dyDescent="0.25">
      <c r="N17" s="55"/>
    </row>
    <row r="18" spans="14:14" x14ac:dyDescent="0.25">
      <c r="N18" s="55"/>
    </row>
    <row r="19" spans="14:14" x14ac:dyDescent="0.25">
      <c r="N19" s="55"/>
    </row>
    <row r="20" spans="14:14" x14ac:dyDescent="0.25">
      <c r="N20" s="55"/>
    </row>
    <row r="21" spans="14:14" x14ac:dyDescent="0.25">
      <c r="N21" s="55"/>
    </row>
    <row r="22" spans="14:14" x14ac:dyDescent="0.25">
      <c r="N22" s="55"/>
    </row>
    <row r="23" spans="14:14" x14ac:dyDescent="0.25">
      <c r="N23" s="55"/>
    </row>
    <row r="24" spans="14:14" x14ac:dyDescent="0.25">
      <c r="N24" s="55"/>
    </row>
    <row r="25" spans="14:14" x14ac:dyDescent="0.25">
      <c r="N25" s="55"/>
    </row>
    <row r="26" spans="14:14" x14ac:dyDescent="0.25">
      <c r="N26" s="55"/>
    </row>
    <row r="27" spans="14:14" x14ac:dyDescent="0.25">
      <c r="N27" s="55"/>
    </row>
    <row r="28" spans="14:14" x14ac:dyDescent="0.25">
      <c r="N28" s="55"/>
    </row>
    <row r="29" spans="14:14" x14ac:dyDescent="0.25">
      <c r="N29" s="55"/>
    </row>
    <row r="30" spans="14:14" x14ac:dyDescent="0.25">
      <c r="N30" s="55"/>
    </row>
    <row r="31" spans="14:14" x14ac:dyDescent="0.25">
      <c r="N31" s="55"/>
    </row>
    <row r="32" spans="14:14" x14ac:dyDescent="0.25">
      <c r="N32" s="55"/>
    </row>
    <row r="33" spans="14:14" x14ac:dyDescent="0.25">
      <c r="N33" s="55"/>
    </row>
    <row r="34" spans="14:14" x14ac:dyDescent="0.25">
      <c r="N34" s="55"/>
    </row>
    <row r="35" spans="14:14" x14ac:dyDescent="0.25">
      <c r="N35" s="55"/>
    </row>
    <row r="36" spans="14:14" x14ac:dyDescent="0.25">
      <c r="N36" s="55"/>
    </row>
    <row r="37" spans="14:14" x14ac:dyDescent="0.25">
      <c r="N37" s="55"/>
    </row>
    <row r="38" spans="14:14" x14ac:dyDescent="0.25">
      <c r="N38" s="55"/>
    </row>
    <row r="39" spans="14:14" x14ac:dyDescent="0.25">
      <c r="N39" s="55"/>
    </row>
    <row r="40" spans="14:14" x14ac:dyDescent="0.25">
      <c r="N40" s="55"/>
    </row>
    <row r="41" spans="14:14" x14ac:dyDescent="0.25">
      <c r="N41" s="55"/>
    </row>
    <row r="42" spans="14:14" x14ac:dyDescent="0.25">
      <c r="N42" s="55"/>
    </row>
    <row r="43" spans="14:14" x14ac:dyDescent="0.25">
      <c r="N43" s="55"/>
    </row>
    <row r="44" spans="14:14" x14ac:dyDescent="0.25">
      <c r="N44" s="55"/>
    </row>
    <row r="45" spans="14:14" x14ac:dyDescent="0.25">
      <c r="N45" s="55"/>
    </row>
    <row r="46" spans="14:14" x14ac:dyDescent="0.25">
      <c r="N46" s="55"/>
    </row>
    <row r="47" spans="14:14" x14ac:dyDescent="0.25">
      <c r="N47" s="55"/>
    </row>
    <row r="48" spans="14:14" x14ac:dyDescent="0.25">
      <c r="N48" s="55"/>
    </row>
    <row r="49" spans="14:14" x14ac:dyDescent="0.25">
      <c r="N49" s="55"/>
    </row>
    <row r="50" spans="14:14" x14ac:dyDescent="0.25">
      <c r="N50" s="55"/>
    </row>
    <row r="51" spans="14:14" x14ac:dyDescent="0.25">
      <c r="N51" s="55"/>
    </row>
    <row r="52" spans="14:14" x14ac:dyDescent="0.25">
      <c r="N52" s="55"/>
    </row>
    <row r="53" spans="14:14" x14ac:dyDescent="0.25">
      <c r="N53" s="55"/>
    </row>
    <row r="54" spans="14:14" x14ac:dyDescent="0.25">
      <c r="N54" s="55"/>
    </row>
    <row r="55" spans="14:14" x14ac:dyDescent="0.25">
      <c r="N55" s="55"/>
    </row>
    <row r="56" spans="14:14" x14ac:dyDescent="0.25">
      <c r="N56" s="55"/>
    </row>
    <row r="57" spans="14:14" x14ac:dyDescent="0.25">
      <c r="N57" s="55"/>
    </row>
    <row r="58" spans="14:14" x14ac:dyDescent="0.25">
      <c r="N58" s="55"/>
    </row>
    <row r="59" spans="14:14" x14ac:dyDescent="0.25">
      <c r="N59" s="55"/>
    </row>
    <row r="60" spans="14:14" x14ac:dyDescent="0.25">
      <c r="N60" s="55"/>
    </row>
    <row r="61" spans="14:14" x14ac:dyDescent="0.25">
      <c r="N61" s="55"/>
    </row>
    <row r="62" spans="14:14" x14ac:dyDescent="0.25">
      <c r="N62" s="55"/>
    </row>
    <row r="63" spans="14:14" x14ac:dyDescent="0.25">
      <c r="N63" s="55"/>
    </row>
    <row r="64" spans="14:14" x14ac:dyDescent="0.25">
      <c r="N64" s="55"/>
    </row>
    <row r="65" spans="14:14" x14ac:dyDescent="0.25">
      <c r="N65" s="55"/>
    </row>
    <row r="66" spans="14:14" x14ac:dyDescent="0.25">
      <c r="N66" s="55"/>
    </row>
    <row r="67" spans="14:14" x14ac:dyDescent="0.25">
      <c r="N67" s="55"/>
    </row>
    <row r="68" spans="14:14" x14ac:dyDescent="0.25">
      <c r="N68" s="55"/>
    </row>
    <row r="69" spans="14:14" x14ac:dyDescent="0.25">
      <c r="N69" s="55"/>
    </row>
    <row r="70" spans="14:14" x14ac:dyDescent="0.25">
      <c r="N70" s="55"/>
    </row>
    <row r="71" spans="14:14" x14ac:dyDescent="0.25">
      <c r="N71" s="55"/>
    </row>
    <row r="72" spans="14:14" x14ac:dyDescent="0.25">
      <c r="N72" s="55"/>
    </row>
    <row r="73" spans="14:14" x14ac:dyDescent="0.25">
      <c r="N73" s="55"/>
    </row>
    <row r="74" spans="14:14" x14ac:dyDescent="0.25">
      <c r="N74" s="55"/>
    </row>
    <row r="75" spans="14:14" x14ac:dyDescent="0.25">
      <c r="N75" s="55"/>
    </row>
    <row r="76" spans="14:14" x14ac:dyDescent="0.25">
      <c r="N76" s="55"/>
    </row>
    <row r="77" spans="14:14" x14ac:dyDescent="0.25">
      <c r="N77" s="55"/>
    </row>
    <row r="78" spans="14:14" x14ac:dyDescent="0.25">
      <c r="N78" s="55"/>
    </row>
    <row r="79" spans="14:14" x14ac:dyDescent="0.25">
      <c r="N79" s="55"/>
    </row>
    <row r="80" spans="14:14" x14ac:dyDescent="0.25">
      <c r="N80" s="55"/>
    </row>
    <row r="81" spans="14:14" x14ac:dyDescent="0.25">
      <c r="N81" s="55"/>
    </row>
    <row r="82" spans="14:14" x14ac:dyDescent="0.25">
      <c r="N82" s="55"/>
    </row>
    <row r="83" spans="14:14" x14ac:dyDescent="0.25">
      <c r="N83" s="55"/>
    </row>
    <row r="84" spans="14:14" x14ac:dyDescent="0.25">
      <c r="N84" s="55"/>
    </row>
    <row r="85" spans="14:14" x14ac:dyDescent="0.25">
      <c r="N85" s="55"/>
    </row>
    <row r="86" spans="14:14" x14ac:dyDescent="0.25">
      <c r="N86" s="55"/>
    </row>
    <row r="87" spans="14:14" x14ac:dyDescent="0.25">
      <c r="N87" s="55"/>
    </row>
    <row r="88" spans="14:14" x14ac:dyDescent="0.25">
      <c r="N88" s="55"/>
    </row>
    <row r="89" spans="14:14" x14ac:dyDescent="0.25">
      <c r="N89" s="55"/>
    </row>
    <row r="90" spans="14:14" x14ac:dyDescent="0.25">
      <c r="N90" s="55"/>
    </row>
    <row r="91" spans="14:14" x14ac:dyDescent="0.25">
      <c r="N91" s="55"/>
    </row>
    <row r="92" spans="14:14" x14ac:dyDescent="0.25">
      <c r="N92" s="55"/>
    </row>
    <row r="93" spans="14:14" x14ac:dyDescent="0.25">
      <c r="N93" s="55"/>
    </row>
    <row r="94" spans="14:14" x14ac:dyDescent="0.25">
      <c r="N94" s="55"/>
    </row>
    <row r="95" spans="14:14" x14ac:dyDescent="0.25">
      <c r="N95" s="55"/>
    </row>
    <row r="96" spans="14:14" x14ac:dyDescent="0.25">
      <c r="N96" s="55"/>
    </row>
    <row r="97" spans="14:14" x14ac:dyDescent="0.25">
      <c r="N97" s="55"/>
    </row>
    <row r="98" spans="14:14" x14ac:dyDescent="0.25">
      <c r="N98" s="55"/>
    </row>
    <row r="99" spans="14:14" x14ac:dyDescent="0.25">
      <c r="N99" s="55"/>
    </row>
    <row r="100" spans="14:14" x14ac:dyDescent="0.25">
      <c r="N100" s="55"/>
    </row>
    <row r="101" spans="14:14" x14ac:dyDescent="0.25">
      <c r="N101" s="55"/>
    </row>
    <row r="102" spans="14:14" x14ac:dyDescent="0.25">
      <c r="N102" s="55"/>
    </row>
    <row r="103" spans="14:14" x14ac:dyDescent="0.25">
      <c r="N103" s="55"/>
    </row>
    <row r="104" spans="14:14" x14ac:dyDescent="0.25">
      <c r="N104" s="55"/>
    </row>
    <row r="105" spans="14:14" x14ac:dyDescent="0.25">
      <c r="N105" s="55"/>
    </row>
    <row r="106" spans="14:14" x14ac:dyDescent="0.25">
      <c r="N106" s="55"/>
    </row>
    <row r="107" spans="14:14" x14ac:dyDescent="0.25">
      <c r="N107" s="55"/>
    </row>
    <row r="108" spans="14:14" x14ac:dyDescent="0.25">
      <c r="N108" s="55"/>
    </row>
    <row r="109" spans="14:14" x14ac:dyDescent="0.25">
      <c r="N109" s="55"/>
    </row>
    <row r="110" spans="14:14" x14ac:dyDescent="0.25">
      <c r="N110" s="55"/>
    </row>
    <row r="111" spans="14:14" x14ac:dyDescent="0.25">
      <c r="N111" s="55"/>
    </row>
    <row r="112" spans="14:14" x14ac:dyDescent="0.25">
      <c r="N112" s="55"/>
    </row>
    <row r="113" spans="14:14" x14ac:dyDescent="0.25">
      <c r="N113" s="55"/>
    </row>
    <row r="114" spans="14:14" x14ac:dyDescent="0.25">
      <c r="N114" s="55"/>
    </row>
    <row r="115" spans="14:14" x14ac:dyDescent="0.25">
      <c r="N115" s="55"/>
    </row>
    <row r="116" spans="14:14" x14ac:dyDescent="0.25">
      <c r="N116" s="55"/>
    </row>
    <row r="117" spans="14:14" x14ac:dyDescent="0.25">
      <c r="N117" s="55"/>
    </row>
    <row r="118" spans="14:14" x14ac:dyDescent="0.25">
      <c r="N118" s="55"/>
    </row>
    <row r="119" spans="14:14" x14ac:dyDescent="0.25">
      <c r="N119" s="55"/>
    </row>
    <row r="120" spans="14:14" x14ac:dyDescent="0.25">
      <c r="N120" s="55"/>
    </row>
    <row r="121" spans="14:14" x14ac:dyDescent="0.25">
      <c r="N121" s="55"/>
    </row>
    <row r="122" spans="14:14" x14ac:dyDescent="0.25">
      <c r="N122" s="55"/>
    </row>
    <row r="123" spans="14:14" x14ac:dyDescent="0.25">
      <c r="N123" s="55"/>
    </row>
    <row r="124" spans="14:14" x14ac:dyDescent="0.25">
      <c r="N124" s="55"/>
    </row>
    <row r="125" spans="14:14" x14ac:dyDescent="0.25">
      <c r="N125" s="55"/>
    </row>
    <row r="126" spans="14:14" x14ac:dyDescent="0.25">
      <c r="N126" s="55"/>
    </row>
    <row r="127" spans="14:14" x14ac:dyDescent="0.25">
      <c r="N127" s="55"/>
    </row>
    <row r="128" spans="14:14" x14ac:dyDescent="0.25">
      <c r="N128" s="55"/>
    </row>
    <row r="129" spans="14:14" x14ac:dyDescent="0.25">
      <c r="N129" s="55"/>
    </row>
    <row r="130" spans="14:14" x14ac:dyDescent="0.25">
      <c r="N130" s="55"/>
    </row>
    <row r="131" spans="14:14" x14ac:dyDescent="0.25">
      <c r="N131" s="55"/>
    </row>
    <row r="132" spans="14:14" x14ac:dyDescent="0.25">
      <c r="N132" s="55"/>
    </row>
    <row r="133" spans="14:14" x14ac:dyDescent="0.25">
      <c r="N133" s="55"/>
    </row>
    <row r="134" spans="14:14" x14ac:dyDescent="0.25">
      <c r="N134" s="55"/>
    </row>
    <row r="135" spans="14:14" x14ac:dyDescent="0.25">
      <c r="N135" s="55"/>
    </row>
    <row r="136" spans="14:14" x14ac:dyDescent="0.25">
      <c r="N136" s="55"/>
    </row>
    <row r="137" spans="14:14" x14ac:dyDescent="0.25">
      <c r="N137" s="55"/>
    </row>
    <row r="138" spans="14:14" x14ac:dyDescent="0.25">
      <c r="N138" s="55"/>
    </row>
    <row r="139" spans="14:14" x14ac:dyDescent="0.25">
      <c r="N139" s="55"/>
    </row>
    <row r="140" spans="14:14" x14ac:dyDescent="0.25">
      <c r="N140" s="55"/>
    </row>
    <row r="141" spans="14:14" x14ac:dyDescent="0.25">
      <c r="N141" s="55"/>
    </row>
    <row r="142" spans="14:14" x14ac:dyDescent="0.25">
      <c r="N142" s="55"/>
    </row>
    <row r="143" spans="14:14" x14ac:dyDescent="0.25">
      <c r="N143" s="55"/>
    </row>
    <row r="144" spans="14:14" x14ac:dyDescent="0.25">
      <c r="N144" s="55"/>
    </row>
    <row r="145" spans="14:14" x14ac:dyDescent="0.25">
      <c r="N145" s="55"/>
    </row>
    <row r="146" spans="14:14" x14ac:dyDescent="0.25">
      <c r="N146" s="55"/>
    </row>
    <row r="147" spans="14:14" x14ac:dyDescent="0.25">
      <c r="N147" s="55"/>
    </row>
    <row r="148" spans="14:14" x14ac:dyDescent="0.25">
      <c r="N148" s="55"/>
    </row>
    <row r="149" spans="14:14" x14ac:dyDescent="0.25">
      <c r="N149" s="55"/>
    </row>
    <row r="150" spans="14:14" x14ac:dyDescent="0.25">
      <c r="N150" s="55"/>
    </row>
    <row r="151" spans="14:14" x14ac:dyDescent="0.25">
      <c r="N151" s="55"/>
    </row>
    <row r="152" spans="14:14" x14ac:dyDescent="0.25">
      <c r="N152" s="55"/>
    </row>
    <row r="153" spans="14:14" x14ac:dyDescent="0.25">
      <c r="N153" s="55"/>
    </row>
    <row r="154" spans="14:14" x14ac:dyDescent="0.25">
      <c r="N154" s="55"/>
    </row>
    <row r="155" spans="14:14" x14ac:dyDescent="0.25">
      <c r="N155" s="55"/>
    </row>
    <row r="156" spans="14:14" x14ac:dyDescent="0.25">
      <c r="N156" s="55"/>
    </row>
    <row r="157" spans="14:14" x14ac:dyDescent="0.25">
      <c r="N157" s="55"/>
    </row>
    <row r="158" spans="14:14" x14ac:dyDescent="0.25">
      <c r="N158" s="55"/>
    </row>
    <row r="159" spans="14:14" x14ac:dyDescent="0.25">
      <c r="N159" s="55"/>
    </row>
    <row r="160" spans="14:14" x14ac:dyDescent="0.25">
      <c r="N160" s="55"/>
    </row>
    <row r="161" spans="14:14" x14ac:dyDescent="0.25">
      <c r="N161" s="55"/>
    </row>
    <row r="162" spans="14:14" x14ac:dyDescent="0.25">
      <c r="N162" s="55"/>
    </row>
    <row r="163" spans="14:14" x14ac:dyDescent="0.25">
      <c r="N163" s="55"/>
    </row>
    <row r="164" spans="14:14" x14ac:dyDescent="0.25">
      <c r="N164" s="55"/>
    </row>
    <row r="165" spans="14:14" x14ac:dyDescent="0.25">
      <c r="N165" s="55"/>
    </row>
    <row r="166" spans="14:14" x14ac:dyDescent="0.25">
      <c r="N166" s="55"/>
    </row>
    <row r="167" spans="14:14" x14ac:dyDescent="0.25">
      <c r="N167" s="55"/>
    </row>
    <row r="168" spans="14:14" x14ac:dyDescent="0.25">
      <c r="N168" s="55"/>
    </row>
    <row r="169" spans="14:14" x14ac:dyDescent="0.25">
      <c r="N169" s="55"/>
    </row>
    <row r="170" spans="14:14" x14ac:dyDescent="0.25">
      <c r="N170" s="55"/>
    </row>
    <row r="171" spans="14:14" x14ac:dyDescent="0.25">
      <c r="N171" s="55"/>
    </row>
    <row r="172" spans="14:14" x14ac:dyDescent="0.25">
      <c r="N172" s="55"/>
    </row>
    <row r="173" spans="14:14" x14ac:dyDescent="0.25">
      <c r="N173" s="55"/>
    </row>
    <row r="174" spans="14:14" x14ac:dyDescent="0.25">
      <c r="N174" s="55"/>
    </row>
    <row r="175" spans="14:14" x14ac:dyDescent="0.25">
      <c r="N175" s="55"/>
    </row>
    <row r="176" spans="14:14" x14ac:dyDescent="0.25">
      <c r="N176" s="55"/>
    </row>
    <row r="177" spans="14:14" x14ac:dyDescent="0.25">
      <c r="N177" s="55"/>
    </row>
    <row r="178" spans="14:14" x14ac:dyDescent="0.25">
      <c r="N178" s="55"/>
    </row>
    <row r="179" spans="14:14" x14ac:dyDescent="0.25">
      <c r="N179" s="55"/>
    </row>
    <row r="180" spans="14:14" x14ac:dyDescent="0.25">
      <c r="N180" s="55"/>
    </row>
    <row r="181" spans="14:14" x14ac:dyDescent="0.25">
      <c r="N181" s="55"/>
    </row>
    <row r="182" spans="14:14" x14ac:dyDescent="0.25">
      <c r="N182" s="55"/>
    </row>
    <row r="183" spans="14:14" x14ac:dyDescent="0.25">
      <c r="N183" s="55"/>
    </row>
    <row r="184" spans="14:14" x14ac:dyDescent="0.25">
      <c r="N184" s="55"/>
    </row>
    <row r="185" spans="14:14" x14ac:dyDescent="0.25">
      <c r="N185" s="55"/>
    </row>
    <row r="186" spans="14:14" x14ac:dyDescent="0.25">
      <c r="N186" s="55"/>
    </row>
    <row r="187" spans="14:14" x14ac:dyDescent="0.25">
      <c r="N187" s="55"/>
    </row>
    <row r="188" spans="14:14" x14ac:dyDescent="0.25">
      <c r="N188" s="55"/>
    </row>
    <row r="189" spans="14:14" x14ac:dyDescent="0.25">
      <c r="N189" s="55"/>
    </row>
    <row r="190" spans="14:14" x14ac:dyDescent="0.25">
      <c r="N190" s="55"/>
    </row>
    <row r="191" spans="14:14" x14ac:dyDescent="0.25">
      <c r="N191" s="55"/>
    </row>
    <row r="192" spans="14:14" x14ac:dyDescent="0.25">
      <c r="N192" s="55"/>
    </row>
    <row r="193" spans="14:14" x14ac:dyDescent="0.25">
      <c r="N193" s="55"/>
    </row>
    <row r="194" spans="14:14" x14ac:dyDescent="0.25">
      <c r="N194" s="55"/>
    </row>
    <row r="195" spans="14:14" x14ac:dyDescent="0.25">
      <c r="N195" s="55"/>
    </row>
    <row r="196" spans="14:14" x14ac:dyDescent="0.25">
      <c r="N196" s="55"/>
    </row>
    <row r="197" spans="14:14" x14ac:dyDescent="0.25">
      <c r="N197" s="55"/>
    </row>
    <row r="198" spans="14:14" x14ac:dyDescent="0.25">
      <c r="N198" s="55"/>
    </row>
    <row r="199" spans="14:14" x14ac:dyDescent="0.25">
      <c r="N199" s="55"/>
    </row>
    <row r="200" spans="14:14" x14ac:dyDescent="0.25">
      <c r="N200" s="55"/>
    </row>
    <row r="201" spans="14:14" x14ac:dyDescent="0.25">
      <c r="N201" s="55"/>
    </row>
    <row r="202" spans="14:14" x14ac:dyDescent="0.25">
      <c r="N202" s="55"/>
    </row>
    <row r="203" spans="14:14" x14ac:dyDescent="0.25">
      <c r="N203" s="55"/>
    </row>
    <row r="204" spans="14:14" x14ac:dyDescent="0.25">
      <c r="N204" s="55"/>
    </row>
    <row r="205" spans="14:14" x14ac:dyDescent="0.25">
      <c r="N205" s="55"/>
    </row>
    <row r="206" spans="14:14" x14ac:dyDescent="0.25">
      <c r="N206" s="55"/>
    </row>
    <row r="207" spans="14:14" x14ac:dyDescent="0.25">
      <c r="N207" s="55"/>
    </row>
    <row r="208" spans="14:14" x14ac:dyDescent="0.25">
      <c r="N208" s="55"/>
    </row>
    <row r="209" spans="14:14" x14ac:dyDescent="0.25">
      <c r="N209" s="55"/>
    </row>
    <row r="210" spans="14:14" x14ac:dyDescent="0.25">
      <c r="N210" s="55"/>
    </row>
    <row r="211" spans="14:14" x14ac:dyDescent="0.25">
      <c r="N211" s="55"/>
    </row>
    <row r="212" spans="14:14" x14ac:dyDescent="0.25">
      <c r="N212" s="55"/>
    </row>
    <row r="213" spans="14:14" x14ac:dyDescent="0.25">
      <c r="N213" s="55"/>
    </row>
    <row r="214" spans="14:14" x14ac:dyDescent="0.25">
      <c r="N214" s="55"/>
    </row>
    <row r="215" spans="14:14" x14ac:dyDescent="0.25">
      <c r="N215" s="55"/>
    </row>
    <row r="216" spans="14:14" x14ac:dyDescent="0.25">
      <c r="N216" s="55"/>
    </row>
    <row r="217" spans="14:14" x14ac:dyDescent="0.25">
      <c r="N217" s="55"/>
    </row>
    <row r="218" spans="14:14" x14ac:dyDescent="0.25">
      <c r="N218" s="55"/>
    </row>
    <row r="219" spans="14:14" x14ac:dyDescent="0.25">
      <c r="N219" s="55"/>
    </row>
    <row r="220" spans="14:14" x14ac:dyDescent="0.25">
      <c r="N220" s="55"/>
    </row>
    <row r="221" spans="14:14" x14ac:dyDescent="0.25">
      <c r="N221" s="55"/>
    </row>
    <row r="222" spans="14:14" x14ac:dyDescent="0.25">
      <c r="N222" s="55"/>
    </row>
    <row r="223" spans="14:14" x14ac:dyDescent="0.25">
      <c r="N223" s="55"/>
    </row>
    <row r="224" spans="14:14" x14ac:dyDescent="0.25">
      <c r="N224" s="55"/>
    </row>
    <row r="225" spans="14:14" x14ac:dyDescent="0.25">
      <c r="N225" s="55"/>
    </row>
    <row r="226" spans="14:14" x14ac:dyDescent="0.25">
      <c r="N226" s="55"/>
    </row>
    <row r="227" spans="14:14" x14ac:dyDescent="0.25">
      <c r="N227" s="55"/>
    </row>
    <row r="228" spans="14:14" x14ac:dyDescent="0.25">
      <c r="N228" s="55"/>
    </row>
    <row r="229" spans="14:14" x14ac:dyDescent="0.25">
      <c r="N229" s="55"/>
    </row>
    <row r="230" spans="14:14" x14ac:dyDescent="0.25">
      <c r="N230" s="55"/>
    </row>
    <row r="231" spans="14:14" x14ac:dyDescent="0.25">
      <c r="N231" s="55"/>
    </row>
    <row r="232" spans="14:14" x14ac:dyDescent="0.25">
      <c r="N232" s="55"/>
    </row>
    <row r="233" spans="14:14" x14ac:dyDescent="0.25">
      <c r="N233" s="55"/>
    </row>
    <row r="234" spans="14:14" x14ac:dyDescent="0.25">
      <c r="N234" s="55"/>
    </row>
    <row r="235" spans="14:14" x14ac:dyDescent="0.25">
      <c r="N235" s="55"/>
    </row>
    <row r="236" spans="14:14" x14ac:dyDescent="0.25">
      <c r="N236" s="55"/>
    </row>
    <row r="237" spans="14:14" x14ac:dyDescent="0.25">
      <c r="N237" s="55"/>
    </row>
    <row r="238" spans="14:14" x14ac:dyDescent="0.25">
      <c r="N238" s="55"/>
    </row>
    <row r="239" spans="14:14" x14ac:dyDescent="0.25">
      <c r="N239" s="55"/>
    </row>
    <row r="240" spans="14:14" x14ac:dyDescent="0.25">
      <c r="N240" s="55"/>
    </row>
    <row r="241" spans="14:14" x14ac:dyDescent="0.25">
      <c r="N241" s="55"/>
    </row>
    <row r="242" spans="14:14" x14ac:dyDescent="0.25">
      <c r="N242" s="55"/>
    </row>
    <row r="243" spans="14:14" x14ac:dyDescent="0.25">
      <c r="N243" s="55"/>
    </row>
    <row r="244" spans="14:14" x14ac:dyDescent="0.25">
      <c r="N244" s="55"/>
    </row>
    <row r="245" spans="14:14" x14ac:dyDescent="0.25">
      <c r="N245" s="55"/>
    </row>
    <row r="246" spans="14:14" x14ac:dyDescent="0.25">
      <c r="N246" s="55"/>
    </row>
    <row r="247" spans="14:14" x14ac:dyDescent="0.25">
      <c r="N247" s="55"/>
    </row>
    <row r="248" spans="14:14" x14ac:dyDescent="0.25">
      <c r="N248" s="55"/>
    </row>
    <row r="249" spans="14:14" x14ac:dyDescent="0.25">
      <c r="N249" s="55"/>
    </row>
    <row r="250" spans="14:14" x14ac:dyDescent="0.25">
      <c r="N250" s="55"/>
    </row>
    <row r="251" spans="14:14" x14ac:dyDescent="0.25">
      <c r="N251" s="55"/>
    </row>
    <row r="252" spans="14:14" x14ac:dyDescent="0.25">
      <c r="N252" s="55"/>
    </row>
    <row r="253" spans="14:14" x14ac:dyDescent="0.25">
      <c r="N253" s="55"/>
    </row>
    <row r="254" spans="14:14" x14ac:dyDescent="0.25">
      <c r="N254" s="55"/>
    </row>
    <row r="255" spans="14:14" x14ac:dyDescent="0.25">
      <c r="N255" s="55"/>
    </row>
    <row r="256" spans="14:14" x14ac:dyDescent="0.25">
      <c r="N256" s="55"/>
    </row>
    <row r="257" spans="14:14" x14ac:dyDescent="0.25">
      <c r="N257" s="55"/>
    </row>
    <row r="258" spans="14:14" x14ac:dyDescent="0.25">
      <c r="N258" s="55"/>
    </row>
    <row r="259" spans="14:14" x14ac:dyDescent="0.25">
      <c r="N259" s="55"/>
    </row>
    <row r="260" spans="14:14" x14ac:dyDescent="0.25">
      <c r="N260" s="55"/>
    </row>
    <row r="261" spans="14:14" x14ac:dyDescent="0.25">
      <c r="N261" s="55"/>
    </row>
    <row r="262" spans="14:14" x14ac:dyDescent="0.25">
      <c r="N262" s="55"/>
    </row>
    <row r="263" spans="14:14" x14ac:dyDescent="0.25">
      <c r="N263" s="55"/>
    </row>
    <row r="264" spans="14:14" x14ac:dyDescent="0.25">
      <c r="N264" s="55"/>
    </row>
    <row r="265" spans="14:14" x14ac:dyDescent="0.25">
      <c r="N265" s="55"/>
    </row>
    <row r="266" spans="14:14" x14ac:dyDescent="0.25">
      <c r="N266" s="55"/>
    </row>
    <row r="267" spans="14:14" x14ac:dyDescent="0.25">
      <c r="N267" s="55"/>
    </row>
    <row r="268" spans="14:14" x14ac:dyDescent="0.25">
      <c r="N268" s="55"/>
    </row>
    <row r="269" spans="14:14" x14ac:dyDescent="0.25">
      <c r="N269" s="55"/>
    </row>
    <row r="270" spans="14:14" x14ac:dyDescent="0.25">
      <c r="N270" s="55"/>
    </row>
    <row r="271" spans="14:14" x14ac:dyDescent="0.25">
      <c r="N271" s="55"/>
    </row>
    <row r="272" spans="14:14" x14ac:dyDescent="0.25">
      <c r="N272" s="55"/>
    </row>
    <row r="273" spans="14:14" x14ac:dyDescent="0.25">
      <c r="N273" s="55"/>
    </row>
    <row r="274" spans="14:14" x14ac:dyDescent="0.25">
      <c r="N274" s="55"/>
    </row>
    <row r="275" spans="14:14" x14ac:dyDescent="0.25">
      <c r="N275" s="55"/>
    </row>
    <row r="276" spans="14:14" x14ac:dyDescent="0.25">
      <c r="N276" s="55"/>
    </row>
    <row r="277" spans="14:14" x14ac:dyDescent="0.25">
      <c r="N277" s="55"/>
    </row>
    <row r="278" spans="14:14" x14ac:dyDescent="0.25">
      <c r="N278" s="55"/>
    </row>
    <row r="279" spans="14:14" x14ac:dyDescent="0.25">
      <c r="N279" s="55"/>
    </row>
    <row r="280" spans="14:14" x14ac:dyDescent="0.25">
      <c r="N280" s="55"/>
    </row>
    <row r="281" spans="14:14" x14ac:dyDescent="0.25">
      <c r="N281" s="55"/>
    </row>
    <row r="282" spans="14:14" x14ac:dyDescent="0.25">
      <c r="N282" s="55"/>
    </row>
    <row r="283" spans="14:14" x14ac:dyDescent="0.25">
      <c r="N283" s="55"/>
    </row>
    <row r="284" spans="14:14" x14ac:dyDescent="0.25">
      <c r="N284" s="55"/>
    </row>
    <row r="285" spans="14:14" x14ac:dyDescent="0.25">
      <c r="N285" s="55"/>
    </row>
    <row r="286" spans="14:14" x14ac:dyDescent="0.25">
      <c r="N286" s="55"/>
    </row>
    <row r="287" spans="14:14" x14ac:dyDescent="0.25">
      <c r="N287" s="55"/>
    </row>
    <row r="288" spans="14:14" x14ac:dyDescent="0.25">
      <c r="N288" s="55"/>
    </row>
    <row r="289" spans="14:14" x14ac:dyDescent="0.25">
      <c r="N289" s="55"/>
    </row>
    <row r="290" spans="14:14" x14ac:dyDescent="0.25">
      <c r="N290" s="55"/>
    </row>
    <row r="291" spans="14:14" x14ac:dyDescent="0.25">
      <c r="N291" s="55"/>
    </row>
    <row r="292" spans="14:14" x14ac:dyDescent="0.25">
      <c r="N292" s="55"/>
    </row>
    <row r="293" spans="14:14" x14ac:dyDescent="0.25">
      <c r="N293" s="55"/>
    </row>
    <row r="294" spans="14:14" x14ac:dyDescent="0.25">
      <c r="N294" s="55"/>
    </row>
    <row r="295" spans="14:14" x14ac:dyDescent="0.25">
      <c r="N295" s="55"/>
    </row>
    <row r="296" spans="14:14" x14ac:dyDescent="0.25">
      <c r="N296" s="55"/>
    </row>
    <row r="297" spans="14:14" x14ac:dyDescent="0.25">
      <c r="N297" s="55"/>
    </row>
    <row r="298" spans="14:14" x14ac:dyDescent="0.25">
      <c r="N298" s="55"/>
    </row>
    <row r="299" spans="14:14" x14ac:dyDescent="0.25">
      <c r="N299" s="55"/>
    </row>
    <row r="300" spans="14:14" x14ac:dyDescent="0.25">
      <c r="N300" s="55"/>
    </row>
    <row r="301" spans="14:14" x14ac:dyDescent="0.25">
      <c r="N301" s="55"/>
    </row>
    <row r="302" spans="14:14" x14ac:dyDescent="0.25">
      <c r="N302" s="55"/>
    </row>
    <row r="303" spans="14:14" x14ac:dyDescent="0.25">
      <c r="N303" s="55"/>
    </row>
    <row r="304" spans="14:14" x14ac:dyDescent="0.25">
      <c r="N304" s="55"/>
    </row>
    <row r="305" spans="14:14" x14ac:dyDescent="0.25">
      <c r="N305" s="55"/>
    </row>
    <row r="306" spans="14:14" x14ac:dyDescent="0.25">
      <c r="N306" s="55"/>
    </row>
    <row r="307" spans="14:14" x14ac:dyDescent="0.25">
      <c r="N307" s="55"/>
    </row>
    <row r="308" spans="14:14" x14ac:dyDescent="0.25">
      <c r="N308" s="55"/>
    </row>
    <row r="309" spans="14:14" x14ac:dyDescent="0.25">
      <c r="N309" s="55"/>
    </row>
    <row r="310" spans="14:14" x14ac:dyDescent="0.25">
      <c r="N310" s="55"/>
    </row>
    <row r="311" spans="14:14" x14ac:dyDescent="0.25">
      <c r="N311" s="55"/>
    </row>
    <row r="312" spans="14:14" x14ac:dyDescent="0.25">
      <c r="N312" s="55"/>
    </row>
    <row r="313" spans="14:14" x14ac:dyDescent="0.25">
      <c r="N313" s="55"/>
    </row>
    <row r="314" spans="14:14" x14ac:dyDescent="0.25">
      <c r="N314" s="55"/>
    </row>
    <row r="315" spans="14:14" x14ac:dyDescent="0.25">
      <c r="N315" s="55"/>
    </row>
    <row r="316" spans="14:14" x14ac:dyDescent="0.25">
      <c r="N316" s="55"/>
    </row>
    <row r="317" spans="14:14" x14ac:dyDescent="0.25">
      <c r="N317" s="55"/>
    </row>
    <row r="318" spans="14:14" x14ac:dyDescent="0.25">
      <c r="N318" s="55"/>
    </row>
    <row r="319" spans="14:14" x14ac:dyDescent="0.25">
      <c r="N319" s="55"/>
    </row>
    <row r="320" spans="14:14" x14ac:dyDescent="0.25">
      <c r="N320" s="55"/>
    </row>
    <row r="321" spans="14:14" x14ac:dyDescent="0.25">
      <c r="N321" s="55"/>
    </row>
    <row r="322" spans="14:14" x14ac:dyDescent="0.25">
      <c r="N322" s="55"/>
    </row>
    <row r="323" spans="14:14" x14ac:dyDescent="0.25">
      <c r="N323" s="55"/>
    </row>
    <row r="324" spans="14:14" x14ac:dyDescent="0.25">
      <c r="N324" s="55"/>
    </row>
    <row r="325" spans="14:14" x14ac:dyDescent="0.25">
      <c r="N325" s="55"/>
    </row>
    <row r="326" spans="14:14" x14ac:dyDescent="0.25">
      <c r="N326" s="55"/>
    </row>
    <row r="327" spans="14:14" x14ac:dyDescent="0.25">
      <c r="N327" s="55"/>
    </row>
    <row r="328" spans="14:14" x14ac:dyDescent="0.25">
      <c r="N328" s="55"/>
    </row>
    <row r="329" spans="14:14" x14ac:dyDescent="0.25">
      <c r="N329" s="55"/>
    </row>
    <row r="330" spans="14:14" x14ac:dyDescent="0.25">
      <c r="N330" s="55"/>
    </row>
    <row r="331" spans="14:14" x14ac:dyDescent="0.25">
      <c r="N331" s="55"/>
    </row>
    <row r="332" spans="14:14" x14ac:dyDescent="0.25">
      <c r="N332" s="55"/>
    </row>
    <row r="333" spans="14:14" x14ac:dyDescent="0.25">
      <c r="N333" s="55"/>
    </row>
    <row r="334" spans="14:14" x14ac:dyDescent="0.25">
      <c r="N334" s="55"/>
    </row>
    <row r="335" spans="14:14" x14ac:dyDescent="0.25">
      <c r="N335" s="55"/>
    </row>
    <row r="336" spans="14:14" x14ac:dyDescent="0.25">
      <c r="N336" s="55"/>
    </row>
    <row r="337" spans="14:14" x14ac:dyDescent="0.25">
      <c r="N337" s="55"/>
    </row>
    <row r="338" spans="14:14" x14ac:dyDescent="0.25">
      <c r="N338" s="55"/>
    </row>
    <row r="339" spans="14:14" x14ac:dyDescent="0.25">
      <c r="N339" s="55"/>
    </row>
    <row r="340" spans="14:14" x14ac:dyDescent="0.25">
      <c r="N340" s="55"/>
    </row>
    <row r="341" spans="14:14" x14ac:dyDescent="0.25">
      <c r="N341" s="55"/>
    </row>
    <row r="342" spans="14:14" x14ac:dyDescent="0.25">
      <c r="N342" s="55"/>
    </row>
    <row r="343" spans="14:14" x14ac:dyDescent="0.25">
      <c r="N343" s="55"/>
    </row>
    <row r="344" spans="14:14" x14ac:dyDescent="0.25">
      <c r="N344" s="55"/>
    </row>
    <row r="345" spans="14:14" x14ac:dyDescent="0.25">
      <c r="N345" s="55"/>
    </row>
    <row r="346" spans="14:14" x14ac:dyDescent="0.25">
      <c r="N346" s="55"/>
    </row>
    <row r="347" spans="14:14" x14ac:dyDescent="0.25">
      <c r="N347" s="55"/>
    </row>
    <row r="348" spans="14:14" x14ac:dyDescent="0.25">
      <c r="N348" s="55"/>
    </row>
    <row r="349" spans="14:14" x14ac:dyDescent="0.25">
      <c r="N349" s="55"/>
    </row>
    <row r="350" spans="14:14" x14ac:dyDescent="0.25">
      <c r="N350" s="55"/>
    </row>
    <row r="351" spans="14:14" x14ac:dyDescent="0.25">
      <c r="N351" s="55"/>
    </row>
    <row r="352" spans="14:14" x14ac:dyDescent="0.25">
      <c r="N352" s="55"/>
    </row>
    <row r="353" spans="14:14" x14ac:dyDescent="0.25">
      <c r="N353" s="55"/>
    </row>
    <row r="354" spans="14:14" x14ac:dyDescent="0.25">
      <c r="N354" s="55"/>
    </row>
    <row r="355" spans="14:14" x14ac:dyDescent="0.25">
      <c r="N355" s="55"/>
    </row>
    <row r="356" spans="14:14" x14ac:dyDescent="0.25">
      <c r="N356" s="55"/>
    </row>
    <row r="357" spans="14:14" x14ac:dyDescent="0.25">
      <c r="N357" s="55"/>
    </row>
    <row r="358" spans="14:14" x14ac:dyDescent="0.25">
      <c r="N358" s="55"/>
    </row>
    <row r="359" spans="14:14" x14ac:dyDescent="0.25">
      <c r="N359" s="55"/>
    </row>
    <row r="360" spans="14:14" x14ac:dyDescent="0.25">
      <c r="N360" s="55"/>
    </row>
    <row r="361" spans="14:14" x14ac:dyDescent="0.25">
      <c r="N361" s="55"/>
    </row>
    <row r="362" spans="14:14" x14ac:dyDescent="0.25">
      <c r="N362" s="55"/>
    </row>
    <row r="363" spans="14:14" x14ac:dyDescent="0.25">
      <c r="N363" s="55"/>
    </row>
    <row r="364" spans="14:14" x14ac:dyDescent="0.25">
      <c r="N364" s="55"/>
    </row>
    <row r="365" spans="14:14" x14ac:dyDescent="0.25">
      <c r="N365" s="55"/>
    </row>
    <row r="366" spans="14:14" x14ac:dyDescent="0.25">
      <c r="N366" s="55"/>
    </row>
    <row r="367" spans="14:14" x14ac:dyDescent="0.25">
      <c r="N367" s="55"/>
    </row>
    <row r="368" spans="14:14" x14ac:dyDescent="0.25">
      <c r="N368" s="55"/>
    </row>
    <row r="369" spans="14:14" x14ac:dyDescent="0.25">
      <c r="N369" s="55"/>
    </row>
    <row r="370" spans="14:14" x14ac:dyDescent="0.25">
      <c r="N370" s="55"/>
    </row>
    <row r="371" spans="14:14" x14ac:dyDescent="0.25">
      <c r="N371" s="55"/>
    </row>
    <row r="372" spans="14:14" x14ac:dyDescent="0.25">
      <c r="N372" s="55"/>
    </row>
    <row r="373" spans="14:14" x14ac:dyDescent="0.25">
      <c r="N373" s="55"/>
    </row>
    <row r="374" spans="14:14" x14ac:dyDescent="0.25">
      <c r="N374" s="55"/>
    </row>
    <row r="375" spans="14:14" x14ac:dyDescent="0.25">
      <c r="N375" s="55"/>
    </row>
    <row r="376" spans="14:14" x14ac:dyDescent="0.25">
      <c r="N376" s="55"/>
    </row>
    <row r="377" spans="14:14" x14ac:dyDescent="0.25">
      <c r="N377" s="55"/>
    </row>
    <row r="378" spans="14:14" x14ac:dyDescent="0.25">
      <c r="N378" s="55"/>
    </row>
    <row r="379" spans="14:14" x14ac:dyDescent="0.25">
      <c r="N379" s="55"/>
    </row>
    <row r="380" spans="14:14" x14ac:dyDescent="0.25">
      <c r="N380" s="55"/>
    </row>
    <row r="381" spans="14:14" x14ac:dyDescent="0.25">
      <c r="N381" s="55"/>
    </row>
    <row r="382" spans="14:14" x14ac:dyDescent="0.25">
      <c r="N382" s="55"/>
    </row>
    <row r="383" spans="14:14" x14ac:dyDescent="0.25">
      <c r="N383" s="55"/>
    </row>
    <row r="384" spans="14:14" x14ac:dyDescent="0.25">
      <c r="N384" s="55"/>
    </row>
    <row r="385" spans="14:14" x14ac:dyDescent="0.25">
      <c r="N385" s="55"/>
    </row>
    <row r="386" spans="14:14" x14ac:dyDescent="0.25">
      <c r="N386" s="55"/>
    </row>
    <row r="387" spans="14:14" x14ac:dyDescent="0.25">
      <c r="N387" s="55"/>
    </row>
    <row r="388" spans="14:14" x14ac:dyDescent="0.25">
      <c r="N388" s="55"/>
    </row>
    <row r="389" spans="14:14" x14ac:dyDescent="0.25">
      <c r="N389" s="55"/>
    </row>
    <row r="390" spans="14:14" x14ac:dyDescent="0.25">
      <c r="N390" s="55"/>
    </row>
    <row r="391" spans="14:14" x14ac:dyDescent="0.25">
      <c r="N391" s="55"/>
    </row>
    <row r="392" spans="14:14" x14ac:dyDescent="0.25">
      <c r="N392" s="55"/>
    </row>
    <row r="393" spans="14:14" x14ac:dyDescent="0.25">
      <c r="N393" s="55"/>
    </row>
    <row r="394" spans="14:14" x14ac:dyDescent="0.25">
      <c r="N394" s="55"/>
    </row>
    <row r="395" spans="14:14" x14ac:dyDescent="0.25">
      <c r="N395" s="55"/>
    </row>
    <row r="396" spans="14:14" x14ac:dyDescent="0.25">
      <c r="N396" s="55"/>
    </row>
    <row r="397" spans="14:14" x14ac:dyDescent="0.25">
      <c r="N397" s="55"/>
    </row>
    <row r="398" spans="14:14" x14ac:dyDescent="0.25">
      <c r="N398" s="55"/>
    </row>
    <row r="399" spans="14:14" x14ac:dyDescent="0.25">
      <c r="N399" s="55"/>
    </row>
    <row r="400" spans="14:14" x14ac:dyDescent="0.25">
      <c r="N400" s="55"/>
    </row>
    <row r="401" spans="14:14" x14ac:dyDescent="0.25">
      <c r="N401" s="55"/>
    </row>
    <row r="402" spans="14:14" x14ac:dyDescent="0.25">
      <c r="N402" s="55"/>
    </row>
    <row r="403" spans="14:14" x14ac:dyDescent="0.25">
      <c r="N403" s="55"/>
    </row>
    <row r="404" spans="14:14" x14ac:dyDescent="0.25">
      <c r="N404" s="55"/>
    </row>
    <row r="405" spans="14:14" x14ac:dyDescent="0.25">
      <c r="N405" s="55"/>
    </row>
    <row r="406" spans="14:14" x14ac:dyDescent="0.25">
      <c r="N406" s="55"/>
    </row>
    <row r="407" spans="14:14" x14ac:dyDescent="0.25">
      <c r="N407" s="55"/>
    </row>
    <row r="408" spans="14:14" x14ac:dyDescent="0.25">
      <c r="N408" s="55"/>
    </row>
    <row r="409" spans="14:14" x14ac:dyDescent="0.25">
      <c r="N409" s="55"/>
    </row>
    <row r="410" spans="14:14" x14ac:dyDescent="0.25">
      <c r="N410" s="55"/>
    </row>
    <row r="411" spans="14:14" x14ac:dyDescent="0.25">
      <c r="N411" s="55"/>
    </row>
    <row r="412" spans="14:14" x14ac:dyDescent="0.25">
      <c r="N412" s="55"/>
    </row>
    <row r="413" spans="14:14" x14ac:dyDescent="0.25">
      <c r="N413" s="55"/>
    </row>
    <row r="414" spans="14:14" x14ac:dyDescent="0.25">
      <c r="N414" s="55"/>
    </row>
    <row r="415" spans="14:14" x14ac:dyDescent="0.25">
      <c r="N415" s="55"/>
    </row>
    <row r="416" spans="14:14" x14ac:dyDescent="0.25">
      <c r="N416" s="55"/>
    </row>
    <row r="417" spans="14:14" x14ac:dyDescent="0.25">
      <c r="N417" s="55"/>
    </row>
    <row r="418" spans="14:14" x14ac:dyDescent="0.25">
      <c r="N418" s="55"/>
    </row>
    <row r="419" spans="14:14" x14ac:dyDescent="0.25">
      <c r="N419" s="55"/>
    </row>
    <row r="420" spans="14:14" x14ac:dyDescent="0.25">
      <c r="N420" s="55"/>
    </row>
    <row r="421" spans="14:14" x14ac:dyDescent="0.25">
      <c r="N421" s="55"/>
    </row>
    <row r="422" spans="14:14" x14ac:dyDescent="0.25">
      <c r="N422" s="55"/>
    </row>
    <row r="423" spans="14:14" x14ac:dyDescent="0.25">
      <c r="N423" s="55"/>
    </row>
    <row r="424" spans="14:14" x14ac:dyDescent="0.25">
      <c r="N424" s="55"/>
    </row>
    <row r="425" spans="14:14" x14ac:dyDescent="0.25">
      <c r="N425" s="55"/>
    </row>
    <row r="426" spans="14:14" x14ac:dyDescent="0.25">
      <c r="N426" s="55"/>
    </row>
    <row r="427" spans="14:14" x14ac:dyDescent="0.25">
      <c r="N427" s="55"/>
    </row>
    <row r="428" spans="14:14" x14ac:dyDescent="0.25">
      <c r="N428" s="55"/>
    </row>
    <row r="429" spans="14:14" x14ac:dyDescent="0.25">
      <c r="N429" s="55"/>
    </row>
    <row r="430" spans="14:14" x14ac:dyDescent="0.25">
      <c r="N430" s="55"/>
    </row>
    <row r="431" spans="14:14" x14ac:dyDescent="0.25">
      <c r="N431" s="55"/>
    </row>
    <row r="432" spans="14:14" x14ac:dyDescent="0.25">
      <c r="N432" s="55"/>
    </row>
    <row r="433" spans="14:14" x14ac:dyDescent="0.25">
      <c r="N433" s="55"/>
    </row>
    <row r="434" spans="14:14" x14ac:dyDescent="0.25">
      <c r="N434" s="55"/>
    </row>
    <row r="435" spans="14:14" x14ac:dyDescent="0.25">
      <c r="N435" s="55"/>
    </row>
    <row r="436" spans="14:14" x14ac:dyDescent="0.25">
      <c r="N436" s="55"/>
    </row>
    <row r="437" spans="14:14" x14ac:dyDescent="0.25">
      <c r="N437" s="55"/>
    </row>
    <row r="438" spans="14:14" x14ac:dyDescent="0.25">
      <c r="N438" s="55"/>
    </row>
    <row r="439" spans="14:14" x14ac:dyDescent="0.25">
      <c r="N439" s="55"/>
    </row>
    <row r="440" spans="14:14" x14ac:dyDescent="0.25">
      <c r="N440" s="55"/>
    </row>
    <row r="441" spans="14:14" x14ac:dyDescent="0.25">
      <c r="N441" s="55"/>
    </row>
    <row r="442" spans="14:14" x14ac:dyDescent="0.25">
      <c r="N442" s="55"/>
    </row>
    <row r="443" spans="14:14" x14ac:dyDescent="0.25">
      <c r="N443" s="55"/>
    </row>
    <row r="444" spans="14:14" x14ac:dyDescent="0.25">
      <c r="N444" s="55"/>
    </row>
    <row r="445" spans="14:14" x14ac:dyDescent="0.25">
      <c r="N445" s="55"/>
    </row>
    <row r="446" spans="14:14" x14ac:dyDescent="0.25">
      <c r="N446" s="55"/>
    </row>
    <row r="447" spans="14:14" x14ac:dyDescent="0.25">
      <c r="N447" s="55"/>
    </row>
    <row r="448" spans="14:14" x14ac:dyDescent="0.25">
      <c r="N448" s="55"/>
    </row>
    <row r="449" spans="14:14" x14ac:dyDescent="0.25">
      <c r="N449" s="55"/>
    </row>
    <row r="450" spans="14:14" x14ac:dyDescent="0.25">
      <c r="N450" s="55"/>
    </row>
    <row r="451" spans="14:14" x14ac:dyDescent="0.25">
      <c r="N451" s="55"/>
    </row>
    <row r="452" spans="14:14" x14ac:dyDescent="0.25">
      <c r="N452" s="55"/>
    </row>
    <row r="453" spans="14:14" x14ac:dyDescent="0.25">
      <c r="N453" s="55"/>
    </row>
    <row r="454" spans="14:14" x14ac:dyDescent="0.25">
      <c r="N454" s="55"/>
    </row>
    <row r="455" spans="14:14" x14ac:dyDescent="0.25">
      <c r="N455" s="55"/>
    </row>
    <row r="456" spans="14:14" x14ac:dyDescent="0.25">
      <c r="N456" s="55"/>
    </row>
    <row r="457" spans="14:14" x14ac:dyDescent="0.25">
      <c r="N457" s="55"/>
    </row>
    <row r="458" spans="14:14" x14ac:dyDescent="0.25">
      <c r="N458" s="55"/>
    </row>
    <row r="459" spans="14:14" x14ac:dyDescent="0.25">
      <c r="N459" s="55"/>
    </row>
    <row r="460" spans="14:14" x14ac:dyDescent="0.25">
      <c r="N460" s="55"/>
    </row>
    <row r="461" spans="14:14" x14ac:dyDescent="0.25">
      <c r="N461" s="55"/>
    </row>
    <row r="462" spans="14:14" x14ac:dyDescent="0.25">
      <c r="N462" s="55"/>
    </row>
    <row r="463" spans="14:14" x14ac:dyDescent="0.25">
      <c r="N463" s="55"/>
    </row>
    <row r="464" spans="14:14" x14ac:dyDescent="0.25">
      <c r="N464" s="55"/>
    </row>
    <row r="465" spans="14:14" x14ac:dyDescent="0.25">
      <c r="N465" s="55"/>
    </row>
    <row r="466" spans="14:14" x14ac:dyDescent="0.25">
      <c r="N466" s="55"/>
    </row>
    <row r="467" spans="14:14" x14ac:dyDescent="0.25">
      <c r="N467" s="55"/>
    </row>
    <row r="468" spans="14:14" x14ac:dyDescent="0.25">
      <c r="N468" s="55"/>
    </row>
    <row r="469" spans="14:14" x14ac:dyDescent="0.25">
      <c r="N469" s="55"/>
    </row>
    <row r="470" spans="14:14" x14ac:dyDescent="0.25">
      <c r="N470" s="55"/>
    </row>
    <row r="471" spans="14:14" x14ac:dyDescent="0.25">
      <c r="N471" s="55"/>
    </row>
    <row r="472" spans="14:14" x14ac:dyDescent="0.25">
      <c r="N472" s="55"/>
    </row>
    <row r="473" spans="14:14" x14ac:dyDescent="0.25">
      <c r="N473" s="55"/>
    </row>
    <row r="474" spans="14:14" x14ac:dyDescent="0.25">
      <c r="N474" s="55"/>
    </row>
    <row r="475" spans="14:14" x14ac:dyDescent="0.25">
      <c r="N475" s="55"/>
    </row>
    <row r="476" spans="14:14" x14ac:dyDescent="0.25">
      <c r="N476" s="55"/>
    </row>
    <row r="477" spans="14:14" x14ac:dyDescent="0.25">
      <c r="N477" s="55"/>
    </row>
    <row r="478" spans="14:14" x14ac:dyDescent="0.25">
      <c r="N478" s="55"/>
    </row>
    <row r="479" spans="14:14" x14ac:dyDescent="0.25">
      <c r="N479" s="55"/>
    </row>
    <row r="480" spans="14:14" x14ac:dyDescent="0.25">
      <c r="N480" s="55"/>
    </row>
    <row r="481" spans="14:14" x14ac:dyDescent="0.25">
      <c r="N481" s="55"/>
    </row>
    <row r="482" spans="14:14" x14ac:dyDescent="0.25">
      <c r="N482" s="55"/>
    </row>
    <row r="483" spans="14:14" x14ac:dyDescent="0.25">
      <c r="N483" s="55"/>
    </row>
    <row r="484" spans="14:14" x14ac:dyDescent="0.25">
      <c r="N484" s="55"/>
    </row>
    <row r="485" spans="14:14" x14ac:dyDescent="0.25">
      <c r="N485" s="55"/>
    </row>
    <row r="486" spans="14:14" x14ac:dyDescent="0.25">
      <c r="N486" s="55"/>
    </row>
    <row r="487" spans="14:14" x14ac:dyDescent="0.25">
      <c r="N487" s="55"/>
    </row>
    <row r="488" spans="14:14" x14ac:dyDescent="0.25">
      <c r="N488" s="55"/>
    </row>
    <row r="489" spans="14:14" x14ac:dyDescent="0.25">
      <c r="N489" s="55"/>
    </row>
    <row r="490" spans="14:14" x14ac:dyDescent="0.25">
      <c r="N490" s="55"/>
    </row>
    <row r="491" spans="14:14" x14ac:dyDescent="0.25">
      <c r="N491" s="55"/>
    </row>
    <row r="492" spans="14:14" x14ac:dyDescent="0.25">
      <c r="N492" s="55"/>
    </row>
    <row r="493" spans="14:14" x14ac:dyDescent="0.25">
      <c r="N493" s="55"/>
    </row>
    <row r="494" spans="14:14" x14ac:dyDescent="0.25">
      <c r="N494" s="55"/>
    </row>
    <row r="495" spans="14:14" x14ac:dyDescent="0.25">
      <c r="N495" s="55"/>
    </row>
    <row r="496" spans="14:14" x14ac:dyDescent="0.25">
      <c r="N496" s="55"/>
    </row>
    <row r="497" spans="14:14" x14ac:dyDescent="0.25">
      <c r="N497" s="55"/>
    </row>
    <row r="498" spans="14:14" x14ac:dyDescent="0.25">
      <c r="N498" s="55"/>
    </row>
    <row r="499" spans="14:14" x14ac:dyDescent="0.25">
      <c r="N499" s="55"/>
    </row>
    <row r="500" spans="14:14" x14ac:dyDescent="0.25">
      <c r="N500" s="55"/>
    </row>
    <row r="501" spans="14:14" x14ac:dyDescent="0.25">
      <c r="N501" s="55"/>
    </row>
    <row r="502" spans="14:14" x14ac:dyDescent="0.25">
      <c r="N502" s="55"/>
    </row>
    <row r="503" spans="14:14" x14ac:dyDescent="0.25">
      <c r="N503" s="55"/>
    </row>
    <row r="504" spans="14:14" x14ac:dyDescent="0.25">
      <c r="N504" s="55"/>
    </row>
    <row r="505" spans="14:14" x14ac:dyDescent="0.25">
      <c r="N505" s="55"/>
    </row>
    <row r="506" spans="14:14" x14ac:dyDescent="0.25">
      <c r="N506" s="55"/>
    </row>
    <row r="507" spans="14:14" x14ac:dyDescent="0.25">
      <c r="N507" s="55"/>
    </row>
    <row r="508" spans="14:14" x14ac:dyDescent="0.25">
      <c r="N508" s="55"/>
    </row>
    <row r="509" spans="14:14" x14ac:dyDescent="0.25">
      <c r="N509" s="55"/>
    </row>
    <row r="510" spans="14:14" x14ac:dyDescent="0.25">
      <c r="N510" s="55"/>
    </row>
    <row r="511" spans="14:14" x14ac:dyDescent="0.25">
      <c r="N511" s="55"/>
    </row>
    <row r="512" spans="14:14" x14ac:dyDescent="0.25">
      <c r="N512" s="55"/>
    </row>
    <row r="513" spans="14:14" x14ac:dyDescent="0.25">
      <c r="N513" s="55"/>
    </row>
    <row r="514" spans="14:14" x14ac:dyDescent="0.25">
      <c r="N514" s="55"/>
    </row>
    <row r="515" spans="14:14" x14ac:dyDescent="0.25">
      <c r="N515" s="55"/>
    </row>
    <row r="516" spans="14:14" x14ac:dyDescent="0.25">
      <c r="N516" s="55"/>
    </row>
    <row r="517" spans="14:14" x14ac:dyDescent="0.25">
      <c r="N517" s="55"/>
    </row>
    <row r="518" spans="14:14" x14ac:dyDescent="0.25">
      <c r="N518" s="55"/>
    </row>
    <row r="519" spans="14:14" x14ac:dyDescent="0.25">
      <c r="N519" s="55"/>
    </row>
    <row r="520" spans="14:14" x14ac:dyDescent="0.25">
      <c r="N520" s="55"/>
    </row>
    <row r="521" spans="14:14" x14ac:dyDescent="0.25">
      <c r="N521" s="55"/>
    </row>
    <row r="522" spans="14:14" x14ac:dyDescent="0.25">
      <c r="N522" s="55"/>
    </row>
    <row r="523" spans="14:14" x14ac:dyDescent="0.25">
      <c r="N523" s="55"/>
    </row>
    <row r="524" spans="14:14" x14ac:dyDescent="0.25">
      <c r="N524" s="55"/>
    </row>
    <row r="525" spans="14:14" x14ac:dyDescent="0.25">
      <c r="N525" s="55"/>
    </row>
    <row r="526" spans="14:14" x14ac:dyDescent="0.25">
      <c r="N526" s="55"/>
    </row>
    <row r="527" spans="14:14" x14ac:dyDescent="0.25">
      <c r="N527" s="55"/>
    </row>
    <row r="528" spans="14:14" x14ac:dyDescent="0.25">
      <c r="N528" s="55"/>
    </row>
    <row r="529" spans="14:14" x14ac:dyDescent="0.25">
      <c r="N529" s="55"/>
    </row>
    <row r="530" spans="14:14" x14ac:dyDescent="0.25">
      <c r="N530" s="55"/>
    </row>
    <row r="531" spans="14:14" x14ac:dyDescent="0.25">
      <c r="N531" s="55"/>
    </row>
    <row r="532" spans="14:14" x14ac:dyDescent="0.25">
      <c r="N532" s="55"/>
    </row>
    <row r="533" spans="14:14" x14ac:dyDescent="0.25">
      <c r="N533" s="55"/>
    </row>
    <row r="534" spans="14:14" x14ac:dyDescent="0.25">
      <c r="N534" s="55"/>
    </row>
    <row r="535" spans="14:14" x14ac:dyDescent="0.25">
      <c r="N535" s="55"/>
    </row>
    <row r="536" spans="14:14" x14ac:dyDescent="0.25">
      <c r="N536" s="55"/>
    </row>
    <row r="537" spans="14:14" x14ac:dyDescent="0.25">
      <c r="N537" s="55"/>
    </row>
    <row r="538" spans="14:14" x14ac:dyDescent="0.25">
      <c r="N538" s="55"/>
    </row>
    <row r="539" spans="14:14" x14ac:dyDescent="0.25">
      <c r="N539" s="55"/>
    </row>
    <row r="540" spans="14:14" x14ac:dyDescent="0.25">
      <c r="N540" s="55"/>
    </row>
    <row r="541" spans="14:14" x14ac:dyDescent="0.25">
      <c r="N541" s="55"/>
    </row>
    <row r="542" spans="14:14" x14ac:dyDescent="0.25">
      <c r="N542" s="55"/>
    </row>
    <row r="543" spans="14:14" x14ac:dyDescent="0.25">
      <c r="N543" s="55"/>
    </row>
    <row r="544" spans="14:14" x14ac:dyDescent="0.25">
      <c r="N544" s="55"/>
    </row>
    <row r="545" spans="14:14" x14ac:dyDescent="0.25">
      <c r="N545" s="55"/>
    </row>
    <row r="546" spans="14:14" x14ac:dyDescent="0.25">
      <c r="N546" s="55"/>
    </row>
    <row r="547" spans="14:14" x14ac:dyDescent="0.25">
      <c r="N547" s="55"/>
    </row>
    <row r="548" spans="14:14" x14ac:dyDescent="0.25">
      <c r="N548" s="55"/>
    </row>
    <row r="549" spans="14:14" x14ac:dyDescent="0.25">
      <c r="N549" s="55"/>
    </row>
    <row r="550" spans="14:14" x14ac:dyDescent="0.25">
      <c r="N550" s="55"/>
    </row>
    <row r="551" spans="14:14" x14ac:dyDescent="0.25">
      <c r="N551" s="55"/>
    </row>
    <row r="552" spans="14:14" x14ac:dyDescent="0.25">
      <c r="N552" s="55"/>
    </row>
    <row r="553" spans="14:14" x14ac:dyDescent="0.25">
      <c r="N553" s="55"/>
    </row>
    <row r="554" spans="14:14" x14ac:dyDescent="0.25">
      <c r="N554" s="55"/>
    </row>
    <row r="555" spans="14:14" x14ac:dyDescent="0.25">
      <c r="N555" s="55"/>
    </row>
    <row r="556" spans="14:14" x14ac:dyDescent="0.25">
      <c r="N556" s="55"/>
    </row>
    <row r="557" spans="14:14" x14ac:dyDescent="0.25">
      <c r="N557" s="55"/>
    </row>
    <row r="558" spans="14:14" x14ac:dyDescent="0.25">
      <c r="N558" s="55"/>
    </row>
    <row r="559" spans="14:14" x14ac:dyDescent="0.25">
      <c r="N559" s="55"/>
    </row>
    <row r="560" spans="14:14" x14ac:dyDescent="0.25">
      <c r="N560" s="55"/>
    </row>
    <row r="561" spans="14:14" x14ac:dyDescent="0.25">
      <c r="N561" s="55"/>
    </row>
    <row r="562" spans="14:14" x14ac:dyDescent="0.25">
      <c r="N562" s="55"/>
    </row>
    <row r="563" spans="14:14" x14ac:dyDescent="0.25">
      <c r="N563" s="55"/>
    </row>
    <row r="564" spans="14:14" x14ac:dyDescent="0.25">
      <c r="N564" s="55"/>
    </row>
    <row r="565" spans="14:14" x14ac:dyDescent="0.25">
      <c r="N565" s="55"/>
    </row>
    <row r="566" spans="14:14" x14ac:dyDescent="0.25">
      <c r="N566" s="55"/>
    </row>
    <row r="567" spans="14:14" x14ac:dyDescent="0.25">
      <c r="N567" s="55"/>
    </row>
    <row r="568" spans="14:14" x14ac:dyDescent="0.25">
      <c r="N568" s="55"/>
    </row>
    <row r="569" spans="14:14" x14ac:dyDescent="0.25">
      <c r="N569" s="55"/>
    </row>
    <row r="570" spans="14:14" x14ac:dyDescent="0.25">
      <c r="N570" s="55"/>
    </row>
    <row r="571" spans="14:14" x14ac:dyDescent="0.25">
      <c r="N571" s="55"/>
    </row>
    <row r="572" spans="14:14" x14ac:dyDescent="0.25">
      <c r="N572" s="55"/>
    </row>
    <row r="573" spans="14:14" x14ac:dyDescent="0.25">
      <c r="N573" s="55"/>
    </row>
    <row r="574" spans="14:14" x14ac:dyDescent="0.25">
      <c r="N574" s="55"/>
    </row>
    <row r="575" spans="14:14" x14ac:dyDescent="0.25">
      <c r="N575" s="55"/>
    </row>
    <row r="576" spans="14:14" x14ac:dyDescent="0.25">
      <c r="N576" s="55"/>
    </row>
    <row r="577" spans="14:14" x14ac:dyDescent="0.25">
      <c r="N577" s="55"/>
    </row>
    <row r="578" spans="14:14" x14ac:dyDescent="0.25">
      <c r="N578" s="55"/>
    </row>
    <row r="579" spans="14:14" x14ac:dyDescent="0.25">
      <c r="N579" s="55"/>
    </row>
    <row r="580" spans="14:14" x14ac:dyDescent="0.25">
      <c r="N580" s="55"/>
    </row>
    <row r="581" spans="14:14" x14ac:dyDescent="0.25">
      <c r="N581" s="55"/>
    </row>
    <row r="582" spans="14:14" x14ac:dyDescent="0.25">
      <c r="N582" s="55"/>
    </row>
    <row r="583" spans="14:14" x14ac:dyDescent="0.25">
      <c r="N583" s="55"/>
    </row>
    <row r="584" spans="14:14" x14ac:dyDescent="0.25">
      <c r="N584" s="55"/>
    </row>
    <row r="585" spans="14:14" x14ac:dyDescent="0.25">
      <c r="N585" s="55"/>
    </row>
    <row r="586" spans="14:14" x14ac:dyDescent="0.25">
      <c r="N586" s="55"/>
    </row>
    <row r="587" spans="14:14" x14ac:dyDescent="0.25">
      <c r="N587" s="55"/>
    </row>
    <row r="588" spans="14:14" x14ac:dyDescent="0.25">
      <c r="N588" s="55"/>
    </row>
    <row r="589" spans="14:14" x14ac:dyDescent="0.25">
      <c r="N589" s="55"/>
    </row>
    <row r="590" spans="14:14" x14ac:dyDescent="0.25">
      <c r="N590" s="55"/>
    </row>
    <row r="591" spans="14:14" x14ac:dyDescent="0.25">
      <c r="N591" s="55"/>
    </row>
    <row r="592" spans="14:14" x14ac:dyDescent="0.25">
      <c r="N592" s="55"/>
    </row>
    <row r="593" spans="14:14" x14ac:dyDescent="0.25">
      <c r="N593" s="55"/>
    </row>
    <row r="594" spans="14:14" x14ac:dyDescent="0.25">
      <c r="N594" s="55"/>
    </row>
    <row r="595" spans="14:14" x14ac:dyDescent="0.25">
      <c r="N595" s="55"/>
    </row>
    <row r="596" spans="14:14" x14ac:dyDescent="0.25">
      <c r="N596" s="55"/>
    </row>
    <row r="597" spans="14:14" x14ac:dyDescent="0.25">
      <c r="N597" s="55"/>
    </row>
    <row r="598" spans="14:14" x14ac:dyDescent="0.25">
      <c r="N598" s="55"/>
    </row>
    <row r="599" spans="14:14" x14ac:dyDescent="0.25">
      <c r="N599" s="55"/>
    </row>
    <row r="600" spans="14:14" x14ac:dyDescent="0.25">
      <c r="N600" s="55"/>
    </row>
    <row r="601" spans="14:14" x14ac:dyDescent="0.25">
      <c r="N601" s="55"/>
    </row>
    <row r="602" spans="14:14" x14ac:dyDescent="0.25">
      <c r="N602" s="55"/>
    </row>
    <row r="603" spans="14:14" x14ac:dyDescent="0.25">
      <c r="N603" s="55"/>
    </row>
    <row r="604" spans="14:14" x14ac:dyDescent="0.25">
      <c r="N604" s="55"/>
    </row>
    <row r="605" spans="14:14" x14ac:dyDescent="0.25">
      <c r="N605" s="55"/>
    </row>
    <row r="606" spans="14:14" x14ac:dyDescent="0.25">
      <c r="N606" s="55"/>
    </row>
    <row r="607" spans="14:14" x14ac:dyDescent="0.25">
      <c r="N607" s="55"/>
    </row>
    <row r="608" spans="14:14" x14ac:dyDescent="0.25">
      <c r="N608" s="55"/>
    </row>
    <row r="609" spans="14:14" x14ac:dyDescent="0.25">
      <c r="N609" s="55"/>
    </row>
    <row r="610" spans="14:14" x14ac:dyDescent="0.25">
      <c r="N610" s="55"/>
    </row>
    <row r="611" spans="14:14" x14ac:dyDescent="0.25">
      <c r="N611" s="55"/>
    </row>
    <row r="612" spans="14:14" x14ac:dyDescent="0.25">
      <c r="N612" s="55"/>
    </row>
    <row r="613" spans="14:14" x14ac:dyDescent="0.25">
      <c r="N613" s="55"/>
    </row>
    <row r="614" spans="14:14" x14ac:dyDescent="0.25">
      <c r="N614" s="55"/>
    </row>
    <row r="615" spans="14:14" x14ac:dyDescent="0.25">
      <c r="N615" s="55"/>
    </row>
    <row r="616" spans="14:14" x14ac:dyDescent="0.25">
      <c r="N616" s="55"/>
    </row>
    <row r="617" spans="14:14" x14ac:dyDescent="0.25">
      <c r="N617" s="55"/>
    </row>
    <row r="618" spans="14:14" x14ac:dyDescent="0.25">
      <c r="N618" s="55"/>
    </row>
    <row r="619" spans="14:14" x14ac:dyDescent="0.25">
      <c r="N619" s="55"/>
    </row>
    <row r="620" spans="14:14" x14ac:dyDescent="0.25">
      <c r="N620" s="55"/>
    </row>
    <row r="621" spans="14:14" x14ac:dyDescent="0.25">
      <c r="N621" s="55"/>
    </row>
    <row r="622" spans="14:14" x14ac:dyDescent="0.25">
      <c r="N622" s="55"/>
    </row>
    <row r="623" spans="14:14" x14ac:dyDescent="0.25">
      <c r="N623" s="55"/>
    </row>
    <row r="624" spans="14:14" x14ac:dyDescent="0.25">
      <c r="N624" s="55"/>
    </row>
    <row r="625" spans="14:14" x14ac:dyDescent="0.25">
      <c r="N625" s="55"/>
    </row>
    <row r="626" spans="14:14" x14ac:dyDescent="0.25">
      <c r="N626" s="55"/>
    </row>
    <row r="627" spans="14:14" x14ac:dyDescent="0.25">
      <c r="N627" s="55"/>
    </row>
    <row r="628" spans="14:14" x14ac:dyDescent="0.25">
      <c r="N628" s="55"/>
    </row>
    <row r="629" spans="14:14" x14ac:dyDescent="0.25">
      <c r="N629" s="55"/>
    </row>
    <row r="630" spans="14:14" x14ac:dyDescent="0.25">
      <c r="N630" s="55"/>
    </row>
    <row r="631" spans="14:14" x14ac:dyDescent="0.25">
      <c r="N631" s="55"/>
    </row>
    <row r="632" spans="14:14" x14ac:dyDescent="0.25">
      <c r="N632" s="55"/>
    </row>
    <row r="633" spans="14:14" x14ac:dyDescent="0.25">
      <c r="N633" s="55"/>
    </row>
    <row r="634" spans="14:14" x14ac:dyDescent="0.25">
      <c r="N634" s="55"/>
    </row>
    <row r="635" spans="14:14" x14ac:dyDescent="0.25">
      <c r="N635" s="55"/>
    </row>
    <row r="636" spans="14:14" x14ac:dyDescent="0.25">
      <c r="N636" s="55"/>
    </row>
    <row r="637" spans="14:14" x14ac:dyDescent="0.25">
      <c r="N637" s="55"/>
    </row>
    <row r="638" spans="14:14" x14ac:dyDescent="0.25">
      <c r="N638" s="55"/>
    </row>
    <row r="639" spans="14:14" x14ac:dyDescent="0.25">
      <c r="N639" s="55"/>
    </row>
    <row r="640" spans="14:14" x14ac:dyDescent="0.25">
      <c r="N640" s="55"/>
    </row>
    <row r="641" spans="14:14" x14ac:dyDescent="0.25">
      <c r="N641" s="55"/>
    </row>
    <row r="642" spans="14:14" x14ac:dyDescent="0.25">
      <c r="N642" s="55"/>
    </row>
    <row r="643" spans="14:14" x14ac:dyDescent="0.25">
      <c r="N643" s="55"/>
    </row>
    <row r="644" spans="14:14" x14ac:dyDescent="0.25">
      <c r="N644" s="55"/>
    </row>
    <row r="645" spans="14:14" x14ac:dyDescent="0.25">
      <c r="N645" s="55"/>
    </row>
    <row r="646" spans="14:14" x14ac:dyDescent="0.25">
      <c r="N646" s="55"/>
    </row>
    <row r="647" spans="14:14" x14ac:dyDescent="0.25">
      <c r="N647" s="55"/>
    </row>
    <row r="648" spans="14:14" x14ac:dyDescent="0.25">
      <c r="N648" s="55"/>
    </row>
    <row r="649" spans="14:14" x14ac:dyDescent="0.25">
      <c r="N649" s="55"/>
    </row>
    <row r="650" spans="14:14" x14ac:dyDescent="0.25">
      <c r="N650" s="55"/>
    </row>
    <row r="651" spans="14:14" x14ac:dyDescent="0.25">
      <c r="N651" s="55"/>
    </row>
    <row r="652" spans="14:14" x14ac:dyDescent="0.25">
      <c r="N652" s="55"/>
    </row>
    <row r="653" spans="14:14" x14ac:dyDescent="0.25">
      <c r="N653" s="55"/>
    </row>
    <row r="654" spans="14:14" x14ac:dyDescent="0.25">
      <c r="N654" s="55"/>
    </row>
    <row r="655" spans="14:14" x14ac:dyDescent="0.25">
      <c r="N655" s="55"/>
    </row>
    <row r="656" spans="14:14" x14ac:dyDescent="0.25">
      <c r="N656" s="55"/>
    </row>
    <row r="657" spans="14:14" x14ac:dyDescent="0.25">
      <c r="N657" s="55"/>
    </row>
    <row r="658" spans="14:14" x14ac:dyDescent="0.25">
      <c r="N658" s="55"/>
    </row>
    <row r="659" spans="14:14" x14ac:dyDescent="0.25">
      <c r="N659" s="55"/>
    </row>
    <row r="660" spans="14:14" x14ac:dyDescent="0.25">
      <c r="N660" s="55"/>
    </row>
    <row r="661" spans="14:14" x14ac:dyDescent="0.25">
      <c r="N661" s="55"/>
    </row>
    <row r="662" spans="14:14" x14ac:dyDescent="0.25">
      <c r="N662" s="55"/>
    </row>
    <row r="663" spans="14:14" x14ac:dyDescent="0.25">
      <c r="N663" s="55"/>
    </row>
    <row r="664" spans="14:14" x14ac:dyDescent="0.25">
      <c r="N664" s="55"/>
    </row>
    <row r="665" spans="14:14" x14ac:dyDescent="0.25">
      <c r="N665" s="55"/>
    </row>
    <row r="666" spans="14:14" x14ac:dyDescent="0.25">
      <c r="N666" s="55"/>
    </row>
    <row r="667" spans="14:14" x14ac:dyDescent="0.25">
      <c r="N667" s="55"/>
    </row>
    <row r="668" spans="14:14" x14ac:dyDescent="0.25">
      <c r="N668" s="55"/>
    </row>
    <row r="669" spans="14:14" x14ac:dyDescent="0.25">
      <c r="N669" s="55"/>
    </row>
    <row r="670" spans="14:14" x14ac:dyDescent="0.25">
      <c r="N670" s="55"/>
    </row>
    <row r="671" spans="14:14" x14ac:dyDescent="0.25">
      <c r="N671" s="55"/>
    </row>
    <row r="672" spans="14:14" x14ac:dyDescent="0.25">
      <c r="N672" s="55"/>
    </row>
    <row r="673" spans="14:14" x14ac:dyDescent="0.25">
      <c r="N673" s="55"/>
    </row>
    <row r="674" spans="14:14" x14ac:dyDescent="0.25">
      <c r="N674" s="55"/>
    </row>
    <row r="675" spans="14:14" x14ac:dyDescent="0.25">
      <c r="N675" s="55"/>
    </row>
    <row r="676" spans="14:14" x14ac:dyDescent="0.25">
      <c r="N676" s="55"/>
    </row>
    <row r="677" spans="14:14" x14ac:dyDescent="0.25">
      <c r="N677" s="55"/>
    </row>
    <row r="678" spans="14:14" x14ac:dyDescent="0.25">
      <c r="N678" s="55"/>
    </row>
    <row r="679" spans="14:14" x14ac:dyDescent="0.25">
      <c r="N679" s="55"/>
    </row>
    <row r="680" spans="14:14" x14ac:dyDescent="0.25">
      <c r="N680" s="55"/>
    </row>
    <row r="681" spans="14:14" x14ac:dyDescent="0.25">
      <c r="N681" s="55"/>
    </row>
    <row r="682" spans="14:14" x14ac:dyDescent="0.25">
      <c r="N682" s="55"/>
    </row>
    <row r="683" spans="14:14" x14ac:dyDescent="0.25">
      <c r="N683" s="55"/>
    </row>
    <row r="684" spans="14:14" x14ac:dyDescent="0.25">
      <c r="N684" s="55"/>
    </row>
    <row r="685" spans="14:14" x14ac:dyDescent="0.25">
      <c r="N685" s="55"/>
    </row>
    <row r="686" spans="14:14" x14ac:dyDescent="0.25">
      <c r="N686" s="55"/>
    </row>
    <row r="687" spans="14:14" x14ac:dyDescent="0.25">
      <c r="N687" s="55"/>
    </row>
    <row r="688" spans="14:14" x14ac:dyDescent="0.25">
      <c r="N688" s="55"/>
    </row>
    <row r="689" spans="14:14" x14ac:dyDescent="0.25">
      <c r="N689" s="55"/>
    </row>
    <row r="690" spans="14:14" x14ac:dyDescent="0.25">
      <c r="N690" s="55"/>
    </row>
    <row r="691" spans="14:14" x14ac:dyDescent="0.25">
      <c r="N691" s="55"/>
    </row>
    <row r="692" spans="14:14" x14ac:dyDescent="0.25">
      <c r="N692" s="55"/>
    </row>
    <row r="693" spans="14:14" x14ac:dyDescent="0.25">
      <c r="N693" s="55"/>
    </row>
    <row r="694" spans="14:14" x14ac:dyDescent="0.25">
      <c r="N694" s="55"/>
    </row>
    <row r="695" spans="14:14" x14ac:dyDescent="0.25">
      <c r="N695" s="55"/>
    </row>
    <row r="696" spans="14:14" x14ac:dyDescent="0.25">
      <c r="N696" s="55"/>
    </row>
    <row r="697" spans="14:14" x14ac:dyDescent="0.25">
      <c r="N697" s="55"/>
    </row>
    <row r="698" spans="14:14" x14ac:dyDescent="0.25">
      <c r="N698" s="55"/>
    </row>
    <row r="699" spans="14:14" x14ac:dyDescent="0.25">
      <c r="N699" s="55"/>
    </row>
    <row r="700" spans="14:14" x14ac:dyDescent="0.25">
      <c r="N700" s="55"/>
    </row>
    <row r="701" spans="14:14" x14ac:dyDescent="0.25">
      <c r="N701" s="55"/>
    </row>
    <row r="702" spans="14:14" x14ac:dyDescent="0.25">
      <c r="N702" s="55"/>
    </row>
    <row r="703" spans="14:14" x14ac:dyDescent="0.25">
      <c r="N703" s="55"/>
    </row>
    <row r="704" spans="14:14" x14ac:dyDescent="0.25">
      <c r="N704" s="55"/>
    </row>
    <row r="705" spans="14:14" x14ac:dyDescent="0.25">
      <c r="N705" s="55"/>
    </row>
    <row r="706" spans="14:14" x14ac:dyDescent="0.25">
      <c r="N706" s="55"/>
    </row>
    <row r="707" spans="14:14" x14ac:dyDescent="0.25">
      <c r="N707" s="55"/>
    </row>
    <row r="708" spans="14:14" x14ac:dyDescent="0.25">
      <c r="N708" s="55"/>
    </row>
    <row r="709" spans="14:14" x14ac:dyDescent="0.25">
      <c r="N709" s="55"/>
    </row>
    <row r="710" spans="14:14" x14ac:dyDescent="0.25">
      <c r="N710" s="55"/>
    </row>
    <row r="711" spans="14:14" x14ac:dyDescent="0.25">
      <c r="N711" s="55"/>
    </row>
    <row r="712" spans="14:14" x14ac:dyDescent="0.25">
      <c r="N712" s="55"/>
    </row>
    <row r="713" spans="14:14" x14ac:dyDescent="0.25">
      <c r="N713" s="55"/>
    </row>
    <row r="714" spans="14:14" x14ac:dyDescent="0.25">
      <c r="N714" s="55"/>
    </row>
    <row r="715" spans="14:14" x14ac:dyDescent="0.25">
      <c r="N715" s="55"/>
    </row>
    <row r="716" spans="14:14" x14ac:dyDescent="0.25">
      <c r="N716" s="55"/>
    </row>
    <row r="717" spans="14:14" x14ac:dyDescent="0.25">
      <c r="N717" s="55"/>
    </row>
    <row r="718" spans="14:14" x14ac:dyDescent="0.25">
      <c r="N718" s="55"/>
    </row>
    <row r="719" spans="14:14" x14ac:dyDescent="0.25">
      <c r="N719" s="55"/>
    </row>
    <row r="720" spans="14:14" x14ac:dyDescent="0.25">
      <c r="N720" s="55"/>
    </row>
    <row r="721" spans="14:14" x14ac:dyDescent="0.25">
      <c r="N721" s="55"/>
    </row>
    <row r="722" spans="14:14" x14ac:dyDescent="0.25">
      <c r="N722" s="55"/>
    </row>
    <row r="723" spans="14:14" x14ac:dyDescent="0.25">
      <c r="N723" s="55"/>
    </row>
    <row r="724" spans="14:14" x14ac:dyDescent="0.25">
      <c r="N724" s="55"/>
    </row>
    <row r="725" spans="14:14" x14ac:dyDescent="0.25">
      <c r="N725" s="55"/>
    </row>
    <row r="726" spans="14:14" x14ac:dyDescent="0.25">
      <c r="N726" s="55"/>
    </row>
    <row r="727" spans="14:14" x14ac:dyDescent="0.25">
      <c r="N727" s="55"/>
    </row>
    <row r="728" spans="14:14" x14ac:dyDescent="0.25">
      <c r="N728" s="55"/>
    </row>
    <row r="729" spans="14:14" x14ac:dyDescent="0.25">
      <c r="N729" s="55"/>
    </row>
    <row r="730" spans="14:14" x14ac:dyDescent="0.25">
      <c r="N730" s="55"/>
    </row>
    <row r="731" spans="14:14" x14ac:dyDescent="0.25">
      <c r="N731" s="55"/>
    </row>
    <row r="732" spans="14:14" x14ac:dyDescent="0.25">
      <c r="N732" s="55"/>
    </row>
    <row r="733" spans="14:14" x14ac:dyDescent="0.25">
      <c r="N733" s="55"/>
    </row>
    <row r="734" spans="14:14" x14ac:dyDescent="0.25">
      <c r="N734" s="55"/>
    </row>
    <row r="735" spans="14:14" x14ac:dyDescent="0.25">
      <c r="N735" s="55"/>
    </row>
    <row r="736" spans="14:14" x14ac:dyDescent="0.25">
      <c r="N736" s="55"/>
    </row>
    <row r="737" spans="14:14" x14ac:dyDescent="0.25">
      <c r="N737" s="55"/>
    </row>
    <row r="738" spans="14:14" x14ac:dyDescent="0.25">
      <c r="N738" s="55"/>
    </row>
    <row r="739" spans="14:14" x14ac:dyDescent="0.25">
      <c r="N739" s="55"/>
    </row>
    <row r="740" spans="14:14" x14ac:dyDescent="0.25">
      <c r="N740" s="55"/>
    </row>
    <row r="741" spans="14:14" x14ac:dyDescent="0.25">
      <c r="N741" s="55"/>
    </row>
    <row r="742" spans="14:14" x14ac:dyDescent="0.25">
      <c r="N742" s="55"/>
    </row>
    <row r="743" spans="14:14" x14ac:dyDescent="0.25">
      <c r="N743" s="55"/>
    </row>
    <row r="744" spans="14:14" x14ac:dyDescent="0.25">
      <c r="N744" s="55"/>
    </row>
    <row r="745" spans="14:14" x14ac:dyDescent="0.25">
      <c r="N745" s="55"/>
    </row>
    <row r="746" spans="14:14" x14ac:dyDescent="0.25">
      <c r="N746" s="55"/>
    </row>
    <row r="747" spans="14:14" x14ac:dyDescent="0.25">
      <c r="N747" s="55"/>
    </row>
    <row r="748" spans="14:14" x14ac:dyDescent="0.25">
      <c r="N748" s="55"/>
    </row>
    <row r="749" spans="14:14" x14ac:dyDescent="0.25">
      <c r="N749" s="55"/>
    </row>
    <row r="750" spans="14:14" x14ac:dyDescent="0.25">
      <c r="N750" s="55"/>
    </row>
    <row r="751" spans="14:14" x14ac:dyDescent="0.25">
      <c r="N751" s="55"/>
    </row>
    <row r="752" spans="14:14" x14ac:dyDescent="0.25">
      <c r="N752" s="55"/>
    </row>
    <row r="753" spans="14:14" x14ac:dyDescent="0.25">
      <c r="N753" s="55"/>
    </row>
    <row r="754" spans="14:14" x14ac:dyDescent="0.25">
      <c r="N754" s="55"/>
    </row>
    <row r="755" spans="14:14" x14ac:dyDescent="0.25">
      <c r="N755" s="55"/>
    </row>
    <row r="756" spans="14:14" x14ac:dyDescent="0.25">
      <c r="N756" s="55"/>
    </row>
    <row r="757" spans="14:14" x14ac:dyDescent="0.25">
      <c r="N757" s="55"/>
    </row>
    <row r="758" spans="14:14" x14ac:dyDescent="0.25">
      <c r="N758" s="55"/>
    </row>
    <row r="759" spans="14:14" x14ac:dyDescent="0.25">
      <c r="N759" s="55"/>
    </row>
    <row r="760" spans="14:14" x14ac:dyDescent="0.25">
      <c r="N760" s="55"/>
    </row>
    <row r="761" spans="14:14" x14ac:dyDescent="0.25">
      <c r="N761" s="55"/>
    </row>
    <row r="762" spans="14:14" x14ac:dyDescent="0.25">
      <c r="N762" s="55"/>
    </row>
    <row r="763" spans="14:14" x14ac:dyDescent="0.25">
      <c r="N763" s="55"/>
    </row>
    <row r="764" spans="14:14" x14ac:dyDescent="0.25">
      <c r="N764" s="55"/>
    </row>
    <row r="765" spans="14:14" x14ac:dyDescent="0.25">
      <c r="N765" s="55"/>
    </row>
    <row r="766" spans="14:14" x14ac:dyDescent="0.25">
      <c r="N766" s="55"/>
    </row>
    <row r="767" spans="14:14" x14ac:dyDescent="0.25">
      <c r="N767" s="55"/>
    </row>
    <row r="768" spans="14:14" x14ac:dyDescent="0.25">
      <c r="N768" s="55"/>
    </row>
    <row r="769" spans="14:14" x14ac:dyDescent="0.25">
      <c r="N769" s="55"/>
    </row>
    <row r="770" spans="14:14" x14ac:dyDescent="0.25">
      <c r="N770" s="55"/>
    </row>
    <row r="771" spans="14:14" x14ac:dyDescent="0.25">
      <c r="N771" s="55"/>
    </row>
    <row r="772" spans="14:14" x14ac:dyDescent="0.25">
      <c r="N772" s="55"/>
    </row>
    <row r="773" spans="14:14" x14ac:dyDescent="0.25">
      <c r="N773" s="55"/>
    </row>
    <row r="774" spans="14:14" x14ac:dyDescent="0.25">
      <c r="N774" s="55"/>
    </row>
    <row r="775" spans="14:14" x14ac:dyDescent="0.25">
      <c r="N775" s="55"/>
    </row>
    <row r="776" spans="14:14" x14ac:dyDescent="0.25">
      <c r="N776" s="55"/>
    </row>
    <row r="777" spans="14:14" x14ac:dyDescent="0.25">
      <c r="N777" s="55"/>
    </row>
    <row r="778" spans="14:14" x14ac:dyDescent="0.25">
      <c r="N778" s="55"/>
    </row>
    <row r="779" spans="14:14" x14ac:dyDescent="0.25">
      <c r="N779" s="55"/>
    </row>
    <row r="780" spans="14:14" x14ac:dyDescent="0.25">
      <c r="N780" s="55"/>
    </row>
    <row r="781" spans="14:14" x14ac:dyDescent="0.25">
      <c r="N781" s="55"/>
    </row>
    <row r="782" spans="14:14" x14ac:dyDescent="0.25">
      <c r="N782" s="55"/>
    </row>
    <row r="783" spans="14:14" x14ac:dyDescent="0.25">
      <c r="N783" s="55"/>
    </row>
    <row r="784" spans="14:14" x14ac:dyDescent="0.25">
      <c r="N784" s="55"/>
    </row>
    <row r="785" spans="14:14" x14ac:dyDescent="0.25">
      <c r="N785" s="55"/>
    </row>
    <row r="786" spans="14:14" x14ac:dyDescent="0.25">
      <c r="N786" s="55"/>
    </row>
    <row r="787" spans="14:14" x14ac:dyDescent="0.25">
      <c r="N787" s="55"/>
    </row>
    <row r="788" spans="14:14" x14ac:dyDescent="0.25">
      <c r="N788" s="55"/>
    </row>
    <row r="789" spans="14:14" x14ac:dyDescent="0.25">
      <c r="N789" s="55"/>
    </row>
    <row r="790" spans="14:14" x14ac:dyDescent="0.25">
      <c r="N790" s="55"/>
    </row>
    <row r="791" spans="14:14" x14ac:dyDescent="0.25">
      <c r="N791" s="55"/>
    </row>
    <row r="792" spans="14:14" x14ac:dyDescent="0.25">
      <c r="N792" s="55"/>
    </row>
    <row r="793" spans="14:14" x14ac:dyDescent="0.25">
      <c r="N793" s="55"/>
    </row>
    <row r="794" spans="14:14" x14ac:dyDescent="0.25">
      <c r="N794" s="55"/>
    </row>
    <row r="795" spans="14:14" x14ac:dyDescent="0.25">
      <c r="N795" s="55"/>
    </row>
    <row r="796" spans="14:14" x14ac:dyDescent="0.25">
      <c r="N796" s="55"/>
    </row>
    <row r="797" spans="14:14" x14ac:dyDescent="0.25">
      <c r="N797" s="55"/>
    </row>
    <row r="798" spans="14:14" x14ac:dyDescent="0.25">
      <c r="N798" s="55"/>
    </row>
    <row r="799" spans="14:14" x14ac:dyDescent="0.25">
      <c r="N799" s="55"/>
    </row>
    <row r="800" spans="14:14" x14ac:dyDescent="0.25">
      <c r="N800" s="55"/>
    </row>
    <row r="801" spans="14:14" x14ac:dyDescent="0.25">
      <c r="N801" s="55"/>
    </row>
    <row r="802" spans="14:14" x14ac:dyDescent="0.25">
      <c r="N802" s="55"/>
    </row>
    <row r="803" spans="14:14" x14ac:dyDescent="0.25">
      <c r="N803" s="55"/>
    </row>
    <row r="804" spans="14:14" x14ac:dyDescent="0.25">
      <c r="N804" s="55"/>
    </row>
    <row r="805" spans="14:14" x14ac:dyDescent="0.25">
      <c r="N805" s="55"/>
    </row>
    <row r="806" spans="14:14" x14ac:dyDescent="0.25">
      <c r="N806" s="55"/>
    </row>
    <row r="807" spans="14:14" x14ac:dyDescent="0.25">
      <c r="N807" s="55"/>
    </row>
    <row r="808" spans="14:14" x14ac:dyDescent="0.25">
      <c r="N808" s="55"/>
    </row>
    <row r="809" spans="14:14" x14ac:dyDescent="0.25">
      <c r="N809" s="55"/>
    </row>
    <row r="810" spans="14:14" x14ac:dyDescent="0.25">
      <c r="N810" s="55"/>
    </row>
    <row r="811" spans="14:14" x14ac:dyDescent="0.25">
      <c r="N811" s="55"/>
    </row>
    <row r="812" spans="14:14" x14ac:dyDescent="0.25">
      <c r="N812" s="55"/>
    </row>
    <row r="813" spans="14:14" x14ac:dyDescent="0.25">
      <c r="N813" s="55"/>
    </row>
    <row r="814" spans="14:14" x14ac:dyDescent="0.25">
      <c r="N814" s="55"/>
    </row>
    <row r="815" spans="14:14" x14ac:dyDescent="0.25">
      <c r="N815" s="55"/>
    </row>
    <row r="816" spans="14:14" x14ac:dyDescent="0.25">
      <c r="N816" s="55"/>
    </row>
    <row r="817" spans="14:14" x14ac:dyDescent="0.25">
      <c r="N817" s="55"/>
    </row>
    <row r="818" spans="14:14" x14ac:dyDescent="0.25">
      <c r="N818" s="55"/>
    </row>
    <row r="819" spans="14:14" x14ac:dyDescent="0.25">
      <c r="N819" s="55"/>
    </row>
    <row r="820" spans="14:14" x14ac:dyDescent="0.25">
      <c r="N820" s="55"/>
    </row>
    <row r="821" spans="14:14" x14ac:dyDescent="0.25">
      <c r="N821" s="55"/>
    </row>
    <row r="822" spans="14:14" x14ac:dyDescent="0.25">
      <c r="N822" s="55"/>
    </row>
    <row r="823" spans="14:14" x14ac:dyDescent="0.25">
      <c r="N823" s="55"/>
    </row>
    <row r="824" spans="14:14" x14ac:dyDescent="0.25">
      <c r="N824" s="55"/>
    </row>
    <row r="825" spans="14:14" x14ac:dyDescent="0.25">
      <c r="N825" s="55"/>
    </row>
    <row r="826" spans="14:14" x14ac:dyDescent="0.25">
      <c r="N826" s="55"/>
    </row>
    <row r="827" spans="14:14" x14ac:dyDescent="0.25">
      <c r="N827" s="55"/>
    </row>
    <row r="828" spans="14:14" x14ac:dyDescent="0.25">
      <c r="N828" s="55"/>
    </row>
    <row r="829" spans="14:14" x14ac:dyDescent="0.25">
      <c r="N829" s="55"/>
    </row>
    <row r="830" spans="14:14" x14ac:dyDescent="0.25">
      <c r="N830" s="55"/>
    </row>
    <row r="831" spans="14:14" x14ac:dyDescent="0.25">
      <c r="N831" s="55"/>
    </row>
    <row r="832" spans="14:14" x14ac:dyDescent="0.25">
      <c r="N832" s="55"/>
    </row>
    <row r="833" spans="14:14" x14ac:dyDescent="0.25">
      <c r="N833" s="55"/>
    </row>
    <row r="834" spans="14:14" x14ac:dyDescent="0.25">
      <c r="N834" s="55"/>
    </row>
    <row r="835" spans="14:14" x14ac:dyDescent="0.25">
      <c r="N835" s="55"/>
    </row>
    <row r="836" spans="14:14" x14ac:dyDescent="0.25">
      <c r="N836" s="55"/>
    </row>
    <row r="837" spans="14:14" x14ac:dyDescent="0.25">
      <c r="N837" s="55"/>
    </row>
    <row r="838" spans="14:14" x14ac:dyDescent="0.25">
      <c r="N838" s="55"/>
    </row>
    <row r="839" spans="14:14" x14ac:dyDescent="0.25">
      <c r="N839" s="55"/>
    </row>
    <row r="840" spans="14:14" x14ac:dyDescent="0.25">
      <c r="N840" s="55"/>
    </row>
    <row r="841" spans="14:14" x14ac:dyDescent="0.25">
      <c r="N841" s="55"/>
    </row>
    <row r="842" spans="14:14" x14ac:dyDescent="0.25">
      <c r="N842" s="55"/>
    </row>
    <row r="843" spans="14:14" x14ac:dyDescent="0.25">
      <c r="N843" s="55"/>
    </row>
    <row r="844" spans="14:14" x14ac:dyDescent="0.25">
      <c r="N844" s="55"/>
    </row>
    <row r="845" spans="14:14" x14ac:dyDescent="0.25">
      <c r="N845" s="55"/>
    </row>
    <row r="846" spans="14:14" x14ac:dyDescent="0.25">
      <c r="N846" s="55"/>
    </row>
    <row r="847" spans="14:14" x14ac:dyDescent="0.25">
      <c r="N847" s="55"/>
    </row>
    <row r="848" spans="14:14" x14ac:dyDescent="0.25">
      <c r="N848" s="55"/>
    </row>
    <row r="849" spans="14:14" x14ac:dyDescent="0.25">
      <c r="N849" s="55"/>
    </row>
    <row r="850" spans="14:14" x14ac:dyDescent="0.25">
      <c r="N850" s="55"/>
    </row>
    <row r="851" spans="14:14" x14ac:dyDescent="0.25">
      <c r="N851" s="55"/>
    </row>
    <row r="852" spans="14:14" x14ac:dyDescent="0.25">
      <c r="N852" s="55"/>
    </row>
    <row r="853" spans="14:14" x14ac:dyDescent="0.25">
      <c r="N853" s="55"/>
    </row>
    <row r="854" spans="14:14" x14ac:dyDescent="0.25">
      <c r="N854" s="55"/>
    </row>
    <row r="855" spans="14:14" x14ac:dyDescent="0.25">
      <c r="N855" s="55"/>
    </row>
    <row r="856" spans="14:14" x14ac:dyDescent="0.25">
      <c r="N856" s="55"/>
    </row>
    <row r="857" spans="14:14" x14ac:dyDescent="0.25">
      <c r="N857" s="55"/>
    </row>
    <row r="858" spans="14:14" x14ac:dyDescent="0.25">
      <c r="N858" s="55"/>
    </row>
    <row r="859" spans="14:14" x14ac:dyDescent="0.25">
      <c r="N859" s="55"/>
    </row>
    <row r="860" spans="14:14" x14ac:dyDescent="0.25">
      <c r="N860" s="55"/>
    </row>
    <row r="861" spans="14:14" x14ac:dyDescent="0.25">
      <c r="N861" s="55"/>
    </row>
    <row r="862" spans="14:14" x14ac:dyDescent="0.25">
      <c r="N862" s="55"/>
    </row>
    <row r="863" spans="14:14" x14ac:dyDescent="0.25">
      <c r="N863" s="55"/>
    </row>
    <row r="864" spans="14:14" x14ac:dyDescent="0.25">
      <c r="N864" s="55"/>
    </row>
    <row r="865" spans="14:14" x14ac:dyDescent="0.25">
      <c r="N865" s="55"/>
    </row>
    <row r="866" spans="14:14" x14ac:dyDescent="0.25">
      <c r="N866" s="55"/>
    </row>
    <row r="867" spans="14:14" x14ac:dyDescent="0.25">
      <c r="N867" s="55"/>
    </row>
    <row r="868" spans="14:14" x14ac:dyDescent="0.25">
      <c r="N868" s="55"/>
    </row>
    <row r="869" spans="14:14" x14ac:dyDescent="0.25">
      <c r="N869" s="55"/>
    </row>
    <row r="870" spans="14:14" x14ac:dyDescent="0.25">
      <c r="N870" s="55"/>
    </row>
    <row r="871" spans="14:14" x14ac:dyDescent="0.25">
      <c r="N871" s="55"/>
    </row>
    <row r="872" spans="14:14" x14ac:dyDescent="0.25">
      <c r="N872" s="55"/>
    </row>
    <row r="873" spans="14:14" x14ac:dyDescent="0.25">
      <c r="N873" s="55"/>
    </row>
    <row r="874" spans="14:14" x14ac:dyDescent="0.25">
      <c r="N874" s="55"/>
    </row>
    <row r="875" spans="14:14" x14ac:dyDescent="0.25">
      <c r="N875" s="55"/>
    </row>
    <row r="876" spans="14:14" x14ac:dyDescent="0.25">
      <c r="N876" s="55"/>
    </row>
    <row r="877" spans="14:14" x14ac:dyDescent="0.25">
      <c r="N877" s="55"/>
    </row>
    <row r="878" spans="14:14" x14ac:dyDescent="0.25">
      <c r="N878" s="55"/>
    </row>
    <row r="879" spans="14:14" x14ac:dyDescent="0.25">
      <c r="N879" s="55"/>
    </row>
    <row r="880" spans="14:14" x14ac:dyDescent="0.25">
      <c r="N880" s="55"/>
    </row>
    <row r="881" spans="14:14" x14ac:dyDescent="0.25">
      <c r="N881" s="55"/>
    </row>
    <row r="882" spans="14:14" x14ac:dyDescent="0.25">
      <c r="N882" s="55"/>
    </row>
    <row r="883" spans="14:14" x14ac:dyDescent="0.25">
      <c r="N883" s="55"/>
    </row>
    <row r="884" spans="14:14" x14ac:dyDescent="0.25">
      <c r="N884" s="55"/>
    </row>
    <row r="885" spans="14:14" x14ac:dyDescent="0.25">
      <c r="N885" s="55"/>
    </row>
    <row r="886" spans="14:14" x14ac:dyDescent="0.25">
      <c r="N886" s="55"/>
    </row>
    <row r="887" spans="14:14" x14ac:dyDescent="0.25">
      <c r="N887" s="55"/>
    </row>
    <row r="888" spans="14:14" x14ac:dyDescent="0.25">
      <c r="N888" s="55"/>
    </row>
    <row r="889" spans="14:14" x14ac:dyDescent="0.25">
      <c r="N889" s="55"/>
    </row>
    <row r="890" spans="14:14" x14ac:dyDescent="0.25">
      <c r="N890" s="55"/>
    </row>
    <row r="891" spans="14:14" x14ac:dyDescent="0.25">
      <c r="N891" s="55"/>
    </row>
    <row r="892" spans="14:14" x14ac:dyDescent="0.25">
      <c r="N892" s="55"/>
    </row>
    <row r="893" spans="14:14" x14ac:dyDescent="0.25">
      <c r="N893" s="55"/>
    </row>
    <row r="894" spans="14:14" x14ac:dyDescent="0.25">
      <c r="N894" s="55"/>
    </row>
    <row r="895" spans="14:14" x14ac:dyDescent="0.25">
      <c r="N895" s="55"/>
    </row>
    <row r="896" spans="14:14" x14ac:dyDescent="0.25">
      <c r="N896" s="55"/>
    </row>
    <row r="897" spans="14:14" x14ac:dyDescent="0.25">
      <c r="N897" s="55"/>
    </row>
    <row r="898" spans="14:14" x14ac:dyDescent="0.25">
      <c r="N898" s="55"/>
    </row>
    <row r="899" spans="14:14" x14ac:dyDescent="0.25">
      <c r="N899" s="55"/>
    </row>
    <row r="900" spans="14:14" x14ac:dyDescent="0.25">
      <c r="N900" s="55"/>
    </row>
    <row r="901" spans="14:14" x14ac:dyDescent="0.25">
      <c r="N901" s="55"/>
    </row>
    <row r="902" spans="14:14" x14ac:dyDescent="0.25">
      <c r="N902" s="55"/>
    </row>
    <row r="903" spans="14:14" x14ac:dyDescent="0.25">
      <c r="N903" s="55"/>
    </row>
    <row r="904" spans="14:14" x14ac:dyDescent="0.25">
      <c r="N904" s="55"/>
    </row>
    <row r="905" spans="14:14" x14ac:dyDescent="0.25">
      <c r="N905" s="55"/>
    </row>
    <row r="906" spans="14:14" x14ac:dyDescent="0.25">
      <c r="N906" s="55"/>
    </row>
    <row r="907" spans="14:14" x14ac:dyDescent="0.25">
      <c r="N907" s="55"/>
    </row>
    <row r="908" spans="14:14" x14ac:dyDescent="0.25">
      <c r="N908" s="55"/>
    </row>
    <row r="909" spans="14:14" x14ac:dyDescent="0.25">
      <c r="N909" s="55"/>
    </row>
    <row r="910" spans="14:14" x14ac:dyDescent="0.25">
      <c r="N910" s="55"/>
    </row>
    <row r="911" spans="14:14" x14ac:dyDescent="0.25">
      <c r="N911" s="55"/>
    </row>
    <row r="912" spans="14:14" x14ac:dyDescent="0.25">
      <c r="N912" s="55"/>
    </row>
    <row r="913" spans="14:14" x14ac:dyDescent="0.25">
      <c r="N913" s="55"/>
    </row>
    <row r="914" spans="14:14" x14ac:dyDescent="0.25">
      <c r="N914" s="55"/>
    </row>
    <row r="915" spans="14:14" x14ac:dyDescent="0.25">
      <c r="N915" s="55"/>
    </row>
    <row r="916" spans="14:14" x14ac:dyDescent="0.25">
      <c r="N916" s="55"/>
    </row>
    <row r="917" spans="14:14" x14ac:dyDescent="0.25">
      <c r="N917" s="55"/>
    </row>
    <row r="918" spans="14:14" x14ac:dyDescent="0.25">
      <c r="N918" s="55"/>
    </row>
    <row r="919" spans="14:14" x14ac:dyDescent="0.25">
      <c r="N919" s="55"/>
    </row>
    <row r="920" spans="14:14" x14ac:dyDescent="0.25">
      <c r="N920" s="55"/>
    </row>
    <row r="921" spans="14:14" x14ac:dyDescent="0.25">
      <c r="N921" s="55"/>
    </row>
    <row r="922" spans="14:14" x14ac:dyDescent="0.25">
      <c r="N922" s="55"/>
    </row>
    <row r="923" spans="14:14" x14ac:dyDescent="0.25">
      <c r="N923" s="55"/>
    </row>
    <row r="924" spans="14:14" x14ac:dyDescent="0.25">
      <c r="N924" s="55"/>
    </row>
    <row r="925" spans="14:14" x14ac:dyDescent="0.25">
      <c r="N925" s="55"/>
    </row>
    <row r="926" spans="14:14" x14ac:dyDescent="0.25">
      <c r="N926" s="55"/>
    </row>
    <row r="927" spans="14:14" x14ac:dyDescent="0.25">
      <c r="N927" s="55"/>
    </row>
    <row r="928" spans="14:14" x14ac:dyDescent="0.25">
      <c r="N928" s="55"/>
    </row>
    <row r="929" spans="14:14" x14ac:dyDescent="0.25">
      <c r="N929" s="55"/>
    </row>
    <row r="930" spans="14:14" x14ac:dyDescent="0.25">
      <c r="N930" s="55"/>
    </row>
    <row r="931" spans="14:14" x14ac:dyDescent="0.25">
      <c r="N931" s="55"/>
    </row>
    <row r="932" spans="14:14" x14ac:dyDescent="0.25">
      <c r="N932" s="55"/>
    </row>
    <row r="933" spans="14:14" x14ac:dyDescent="0.25">
      <c r="N933" s="55"/>
    </row>
    <row r="934" spans="14:14" x14ac:dyDescent="0.25">
      <c r="N934" s="55"/>
    </row>
    <row r="935" spans="14:14" x14ac:dyDescent="0.25">
      <c r="N935" s="55"/>
    </row>
    <row r="936" spans="14:14" x14ac:dyDescent="0.25">
      <c r="N936" s="55"/>
    </row>
    <row r="937" spans="14:14" x14ac:dyDescent="0.25">
      <c r="N937" s="55"/>
    </row>
    <row r="938" spans="14:14" x14ac:dyDescent="0.25">
      <c r="N938" s="55"/>
    </row>
    <row r="939" spans="14:14" x14ac:dyDescent="0.25">
      <c r="N939" s="55"/>
    </row>
    <row r="940" spans="14:14" x14ac:dyDescent="0.25">
      <c r="N940" s="55"/>
    </row>
    <row r="941" spans="14:14" x14ac:dyDescent="0.25">
      <c r="N941" s="55"/>
    </row>
    <row r="942" spans="14:14" x14ac:dyDescent="0.25">
      <c r="N942" s="55"/>
    </row>
    <row r="943" spans="14:14" x14ac:dyDescent="0.25">
      <c r="N943" s="55"/>
    </row>
    <row r="944" spans="14:14" x14ac:dyDescent="0.25">
      <c r="N944" s="55"/>
    </row>
    <row r="945" spans="14:14" x14ac:dyDescent="0.25">
      <c r="N945" s="55"/>
    </row>
    <row r="946" spans="14:14" x14ac:dyDescent="0.25">
      <c r="N946" s="55"/>
    </row>
    <row r="947" spans="14:14" x14ac:dyDescent="0.25">
      <c r="N947" s="55"/>
    </row>
    <row r="948" spans="14:14" x14ac:dyDescent="0.25">
      <c r="N948" s="55"/>
    </row>
    <row r="949" spans="14:14" x14ac:dyDescent="0.25">
      <c r="N949" s="55"/>
    </row>
    <row r="950" spans="14:14" x14ac:dyDescent="0.25">
      <c r="N950" s="55"/>
    </row>
    <row r="951" spans="14:14" x14ac:dyDescent="0.25">
      <c r="N951" s="55"/>
    </row>
    <row r="952" spans="14:14" x14ac:dyDescent="0.25">
      <c r="N952" s="55"/>
    </row>
    <row r="953" spans="14:14" x14ac:dyDescent="0.25">
      <c r="N953" s="55"/>
    </row>
    <row r="954" spans="14:14" x14ac:dyDescent="0.25">
      <c r="N954" s="55"/>
    </row>
    <row r="955" spans="14:14" x14ac:dyDescent="0.25">
      <c r="N955" s="55"/>
    </row>
    <row r="956" spans="14:14" x14ac:dyDescent="0.25">
      <c r="N956" s="55"/>
    </row>
    <row r="957" spans="14:14" x14ac:dyDescent="0.25">
      <c r="N957" s="55"/>
    </row>
    <row r="958" spans="14:14" x14ac:dyDescent="0.25">
      <c r="N958" s="55"/>
    </row>
    <row r="959" spans="14:14" x14ac:dyDescent="0.25">
      <c r="N959" s="55"/>
    </row>
    <row r="960" spans="14:14" x14ac:dyDescent="0.25">
      <c r="N960" s="55"/>
    </row>
    <row r="961" spans="14:14" x14ac:dyDescent="0.25">
      <c r="N961" s="55"/>
    </row>
    <row r="962" spans="14:14" x14ac:dyDescent="0.25">
      <c r="N962" s="55"/>
    </row>
    <row r="963" spans="14:14" x14ac:dyDescent="0.25">
      <c r="N963" s="55"/>
    </row>
    <row r="964" spans="14:14" x14ac:dyDescent="0.25">
      <c r="N964" s="55"/>
    </row>
    <row r="965" spans="14:14" x14ac:dyDescent="0.25">
      <c r="N965" s="55"/>
    </row>
    <row r="966" spans="14:14" x14ac:dyDescent="0.25">
      <c r="N966" s="55"/>
    </row>
    <row r="967" spans="14:14" x14ac:dyDescent="0.25">
      <c r="N967" s="55"/>
    </row>
    <row r="968" spans="14:14" x14ac:dyDescent="0.25">
      <c r="N968" s="55"/>
    </row>
    <row r="969" spans="14:14" x14ac:dyDescent="0.25">
      <c r="N969" s="55"/>
    </row>
    <row r="970" spans="14:14" x14ac:dyDescent="0.25">
      <c r="N970" s="55"/>
    </row>
    <row r="971" spans="14:14" x14ac:dyDescent="0.25">
      <c r="N971" s="55"/>
    </row>
    <row r="972" spans="14:14" x14ac:dyDescent="0.25">
      <c r="N972" s="55"/>
    </row>
    <row r="973" spans="14:14" x14ac:dyDescent="0.25">
      <c r="N973" s="55"/>
    </row>
    <row r="974" spans="14:14" x14ac:dyDescent="0.25">
      <c r="N974" s="55"/>
    </row>
    <row r="975" spans="14:14" x14ac:dyDescent="0.25">
      <c r="N975" s="55"/>
    </row>
    <row r="976" spans="14:14" x14ac:dyDescent="0.25">
      <c r="N976" s="55"/>
    </row>
    <row r="977" spans="14:14" x14ac:dyDescent="0.25">
      <c r="N977" s="55"/>
    </row>
    <row r="978" spans="14:14" x14ac:dyDescent="0.25">
      <c r="N978" s="55"/>
    </row>
    <row r="979" spans="14:14" x14ac:dyDescent="0.25">
      <c r="N979" s="55"/>
    </row>
    <row r="980" spans="14:14" x14ac:dyDescent="0.25">
      <c r="N980" s="55"/>
    </row>
    <row r="981" spans="14:14" x14ac:dyDescent="0.25">
      <c r="N981" s="55"/>
    </row>
    <row r="982" spans="14:14" x14ac:dyDescent="0.25">
      <c r="N982" s="55"/>
    </row>
    <row r="983" spans="14:14" x14ac:dyDescent="0.25">
      <c r="N983" s="55"/>
    </row>
    <row r="984" spans="14:14" x14ac:dyDescent="0.25">
      <c r="N984" s="55"/>
    </row>
    <row r="985" spans="14:14" x14ac:dyDescent="0.25">
      <c r="N985" s="55"/>
    </row>
    <row r="986" spans="14:14" x14ac:dyDescent="0.25">
      <c r="N986" s="55"/>
    </row>
    <row r="987" spans="14:14" x14ac:dyDescent="0.25">
      <c r="N987" s="55"/>
    </row>
    <row r="988" spans="14:14" x14ac:dyDescent="0.25">
      <c r="N988" s="55"/>
    </row>
    <row r="989" spans="14:14" x14ac:dyDescent="0.25">
      <c r="N989" s="55"/>
    </row>
    <row r="990" spans="14:14" x14ac:dyDescent="0.25">
      <c r="N990" s="55"/>
    </row>
    <row r="991" spans="14:14" x14ac:dyDescent="0.25">
      <c r="N991" s="55"/>
    </row>
    <row r="992" spans="14:14" x14ac:dyDescent="0.25">
      <c r="N992" s="55"/>
    </row>
    <row r="993" spans="14:14" x14ac:dyDescent="0.25">
      <c r="N993" s="55"/>
    </row>
    <row r="994" spans="14:14" x14ac:dyDescent="0.25">
      <c r="N994" s="55"/>
    </row>
    <row r="995" spans="14:14" x14ac:dyDescent="0.25">
      <c r="N995" s="55"/>
    </row>
    <row r="996" spans="14:14" x14ac:dyDescent="0.25">
      <c r="N996" s="55"/>
    </row>
    <row r="997" spans="14:14" x14ac:dyDescent="0.25">
      <c r="N997" s="55"/>
    </row>
    <row r="998" spans="14:14" x14ac:dyDescent="0.25">
      <c r="N998" s="55"/>
    </row>
    <row r="999" spans="14:14" x14ac:dyDescent="0.25">
      <c r="N999" s="55"/>
    </row>
    <row r="1000" spans="14:14" x14ac:dyDescent="0.25">
      <c r="N1000" s="55"/>
    </row>
    <row r="1001" spans="14:14" x14ac:dyDescent="0.25">
      <c r="N1001" s="55"/>
    </row>
    <row r="1002" spans="14:14" x14ac:dyDescent="0.25">
      <c r="N1002" s="55"/>
    </row>
    <row r="1003" spans="14:14" x14ac:dyDescent="0.25">
      <c r="N1003" s="55"/>
    </row>
    <row r="1004" spans="14:14" x14ac:dyDescent="0.25">
      <c r="N1004" s="55"/>
    </row>
    <row r="1005" spans="14:14" x14ac:dyDescent="0.25">
      <c r="N1005" s="55"/>
    </row>
    <row r="1006" spans="14:14" x14ac:dyDescent="0.25">
      <c r="N1006" s="55"/>
    </row>
    <row r="1007" spans="14:14" x14ac:dyDescent="0.25">
      <c r="N1007" s="55"/>
    </row>
    <row r="1008" spans="14:14" x14ac:dyDescent="0.25">
      <c r="N1008" s="55"/>
    </row>
    <row r="1009" spans="14:14" x14ac:dyDescent="0.25">
      <c r="N1009" s="55"/>
    </row>
    <row r="1010" spans="14:14" x14ac:dyDescent="0.25">
      <c r="N1010" s="55"/>
    </row>
    <row r="1011" spans="14:14" x14ac:dyDescent="0.25">
      <c r="N1011" s="55"/>
    </row>
    <row r="1012" spans="14:14" x14ac:dyDescent="0.25">
      <c r="N1012" s="55"/>
    </row>
    <row r="1013" spans="14:14" x14ac:dyDescent="0.25">
      <c r="N1013" s="55"/>
    </row>
    <row r="1014" spans="14:14" x14ac:dyDescent="0.25">
      <c r="N1014" s="55"/>
    </row>
    <row r="1015" spans="14:14" x14ac:dyDescent="0.25">
      <c r="N1015" s="55"/>
    </row>
    <row r="1016" spans="14:14" x14ac:dyDescent="0.25">
      <c r="N1016" s="55"/>
    </row>
    <row r="1017" spans="14:14" x14ac:dyDescent="0.25">
      <c r="N1017" s="55"/>
    </row>
    <row r="1018" spans="14:14" x14ac:dyDescent="0.25">
      <c r="N1018" s="55"/>
    </row>
    <row r="1019" spans="14:14" x14ac:dyDescent="0.25">
      <c r="N1019" s="55"/>
    </row>
    <row r="1020" spans="14:14" x14ac:dyDescent="0.25">
      <c r="N1020" s="55"/>
    </row>
    <row r="1021" spans="14:14" x14ac:dyDescent="0.25">
      <c r="N1021" s="55"/>
    </row>
    <row r="1022" spans="14:14" x14ac:dyDescent="0.25">
      <c r="N1022" s="55"/>
    </row>
    <row r="1023" spans="14:14" x14ac:dyDescent="0.25">
      <c r="N1023" s="55"/>
    </row>
    <row r="1024" spans="14:14" x14ac:dyDescent="0.25">
      <c r="N1024" s="55"/>
    </row>
    <row r="1025" spans="14:14" x14ac:dyDescent="0.25">
      <c r="N1025" s="55"/>
    </row>
    <row r="1026" spans="14:14" x14ac:dyDescent="0.25">
      <c r="N1026" s="55"/>
    </row>
    <row r="1027" spans="14:14" x14ac:dyDescent="0.25">
      <c r="N1027" s="55"/>
    </row>
    <row r="1028" spans="14:14" x14ac:dyDescent="0.25">
      <c r="N1028" s="55"/>
    </row>
    <row r="1029" spans="14:14" x14ac:dyDescent="0.25">
      <c r="N1029" s="55"/>
    </row>
    <row r="1030" spans="14:14" x14ac:dyDescent="0.25">
      <c r="N1030" s="55"/>
    </row>
    <row r="1031" spans="14:14" x14ac:dyDescent="0.25">
      <c r="N1031" s="55"/>
    </row>
    <row r="1032" spans="14:14" x14ac:dyDescent="0.25">
      <c r="N1032" s="55"/>
    </row>
    <row r="1033" spans="14:14" x14ac:dyDescent="0.25">
      <c r="N1033" s="55"/>
    </row>
    <row r="1034" spans="14:14" x14ac:dyDescent="0.25">
      <c r="N1034" s="55"/>
    </row>
    <row r="1035" spans="14:14" x14ac:dyDescent="0.25">
      <c r="N1035" s="55"/>
    </row>
    <row r="1036" spans="14:14" x14ac:dyDescent="0.25">
      <c r="N1036" s="55"/>
    </row>
    <row r="1037" spans="14:14" x14ac:dyDescent="0.25">
      <c r="N1037" s="55"/>
    </row>
    <row r="1038" spans="14:14" x14ac:dyDescent="0.25">
      <c r="N1038" s="55"/>
    </row>
    <row r="1039" spans="14:14" x14ac:dyDescent="0.25">
      <c r="N1039" s="55"/>
    </row>
    <row r="1040" spans="14:14" x14ac:dyDescent="0.25">
      <c r="N1040" s="55"/>
    </row>
    <row r="1041" spans="14:14" x14ac:dyDescent="0.25">
      <c r="N1041" s="55"/>
    </row>
    <row r="1042" spans="14:14" x14ac:dyDescent="0.25">
      <c r="N1042" s="55"/>
    </row>
    <row r="1043" spans="14:14" x14ac:dyDescent="0.25">
      <c r="N1043" s="55"/>
    </row>
    <row r="1044" spans="14:14" x14ac:dyDescent="0.25">
      <c r="N1044" s="55"/>
    </row>
    <row r="1045" spans="14:14" x14ac:dyDescent="0.25">
      <c r="N1045" s="55"/>
    </row>
    <row r="1046" spans="14:14" x14ac:dyDescent="0.25">
      <c r="N1046" s="55"/>
    </row>
    <row r="1047" spans="14:14" x14ac:dyDescent="0.25">
      <c r="N1047" s="55"/>
    </row>
    <row r="1048" spans="14:14" x14ac:dyDescent="0.25">
      <c r="N1048" s="55"/>
    </row>
    <row r="1049" spans="14:14" x14ac:dyDescent="0.25">
      <c r="N1049" s="55"/>
    </row>
    <row r="1050" spans="14:14" x14ac:dyDescent="0.25">
      <c r="N1050" s="55"/>
    </row>
    <row r="1051" spans="14:14" x14ac:dyDescent="0.25">
      <c r="N1051" s="55"/>
    </row>
    <row r="1052" spans="14:14" x14ac:dyDescent="0.25">
      <c r="N1052" s="55"/>
    </row>
    <row r="1053" spans="14:14" x14ac:dyDescent="0.25">
      <c r="N1053" s="55"/>
    </row>
    <row r="1054" spans="14:14" x14ac:dyDescent="0.25">
      <c r="N1054" s="55"/>
    </row>
    <row r="1055" spans="14:14" x14ac:dyDescent="0.25">
      <c r="N1055" s="55"/>
    </row>
    <row r="1056" spans="14:14" x14ac:dyDescent="0.25">
      <c r="N1056" s="55"/>
    </row>
    <row r="1057" spans="14:14" x14ac:dyDescent="0.25">
      <c r="N1057" s="55"/>
    </row>
    <row r="1058" spans="14:14" x14ac:dyDescent="0.25">
      <c r="N1058" s="55"/>
    </row>
    <row r="1059" spans="14:14" x14ac:dyDescent="0.25">
      <c r="N1059" s="55"/>
    </row>
    <row r="1060" spans="14:14" x14ac:dyDescent="0.25">
      <c r="N1060" s="55"/>
    </row>
    <row r="1061" spans="14:14" x14ac:dyDescent="0.25">
      <c r="N1061" s="55"/>
    </row>
    <row r="1062" spans="14:14" x14ac:dyDescent="0.25">
      <c r="N1062" s="55"/>
    </row>
    <row r="1063" spans="14:14" x14ac:dyDescent="0.25">
      <c r="N1063" s="55"/>
    </row>
    <row r="1064" spans="14:14" x14ac:dyDescent="0.25">
      <c r="N1064" s="55"/>
    </row>
    <row r="1065" spans="14:14" x14ac:dyDescent="0.25">
      <c r="N1065" s="55"/>
    </row>
    <row r="1066" spans="14:14" x14ac:dyDescent="0.25">
      <c r="N1066" s="55"/>
    </row>
    <row r="1067" spans="14:14" x14ac:dyDescent="0.25">
      <c r="N1067" s="55"/>
    </row>
    <row r="1068" spans="14:14" x14ac:dyDescent="0.25">
      <c r="N1068" s="55"/>
    </row>
    <row r="1069" spans="14:14" x14ac:dyDescent="0.25">
      <c r="N1069" s="55"/>
    </row>
    <row r="1070" spans="14:14" x14ac:dyDescent="0.25">
      <c r="N1070" s="55"/>
    </row>
    <row r="1071" spans="14:14" x14ac:dyDescent="0.25">
      <c r="N1071" s="55"/>
    </row>
    <row r="1072" spans="14:14" x14ac:dyDescent="0.25">
      <c r="N1072" s="55"/>
    </row>
    <row r="1073" spans="14:14" x14ac:dyDescent="0.25">
      <c r="N1073" s="55"/>
    </row>
    <row r="1074" spans="14:14" x14ac:dyDescent="0.25">
      <c r="N1074" s="55"/>
    </row>
    <row r="1075" spans="14:14" x14ac:dyDescent="0.25">
      <c r="N1075" s="55"/>
    </row>
    <row r="1076" spans="14:14" x14ac:dyDescent="0.25">
      <c r="N1076" s="55"/>
    </row>
    <row r="1077" spans="14:14" x14ac:dyDescent="0.25">
      <c r="N1077" s="55"/>
    </row>
    <row r="1078" spans="14:14" x14ac:dyDescent="0.25">
      <c r="N1078" s="55"/>
    </row>
    <row r="1079" spans="14:14" x14ac:dyDescent="0.25">
      <c r="N1079" s="55"/>
    </row>
    <row r="1080" spans="14:14" x14ac:dyDescent="0.25">
      <c r="N1080" s="55"/>
    </row>
    <row r="1081" spans="14:14" x14ac:dyDescent="0.25">
      <c r="N1081" s="55"/>
    </row>
    <row r="1082" spans="14:14" x14ac:dyDescent="0.25">
      <c r="N1082" s="55"/>
    </row>
    <row r="1083" spans="14:14" x14ac:dyDescent="0.25">
      <c r="N1083" s="55"/>
    </row>
    <row r="1084" spans="14:14" x14ac:dyDescent="0.25">
      <c r="N1084" s="55"/>
    </row>
    <row r="1085" spans="14:14" x14ac:dyDescent="0.25">
      <c r="N1085" s="55"/>
    </row>
    <row r="1086" spans="14:14" x14ac:dyDescent="0.25">
      <c r="N1086" s="55"/>
    </row>
    <row r="1087" spans="14:14" x14ac:dyDescent="0.25">
      <c r="N1087" s="55"/>
    </row>
    <row r="1088" spans="14:14" x14ac:dyDescent="0.25">
      <c r="N1088" s="55"/>
    </row>
    <row r="1089" spans="14:14" x14ac:dyDescent="0.25">
      <c r="N1089" s="55"/>
    </row>
    <row r="1090" spans="14:14" x14ac:dyDescent="0.25">
      <c r="N1090" s="55"/>
    </row>
    <row r="1091" spans="14:14" x14ac:dyDescent="0.25">
      <c r="N1091" s="55"/>
    </row>
    <row r="1092" spans="14:14" x14ac:dyDescent="0.25">
      <c r="N1092" s="55"/>
    </row>
    <row r="1093" spans="14:14" x14ac:dyDescent="0.25">
      <c r="N1093" s="55"/>
    </row>
    <row r="1094" spans="14:14" x14ac:dyDescent="0.25">
      <c r="N1094" s="55"/>
    </row>
    <row r="1095" spans="14:14" x14ac:dyDescent="0.25">
      <c r="N1095" s="55"/>
    </row>
    <row r="1096" spans="14:14" x14ac:dyDescent="0.25">
      <c r="N1096" s="55"/>
    </row>
    <row r="1097" spans="14:14" x14ac:dyDescent="0.25">
      <c r="N1097" s="55"/>
    </row>
    <row r="1098" spans="14:14" x14ac:dyDescent="0.25">
      <c r="N1098" s="55"/>
    </row>
    <row r="1099" spans="14:14" x14ac:dyDescent="0.25">
      <c r="N1099" s="55"/>
    </row>
    <row r="1100" spans="14:14" x14ac:dyDescent="0.25">
      <c r="N1100" s="55"/>
    </row>
    <row r="1101" spans="14:14" x14ac:dyDescent="0.25">
      <c r="N1101" s="55"/>
    </row>
    <row r="1102" spans="14:14" x14ac:dyDescent="0.25">
      <c r="N1102" s="55"/>
    </row>
    <row r="1103" spans="14:14" x14ac:dyDescent="0.25">
      <c r="N1103" s="55"/>
    </row>
    <row r="1104" spans="14:14" x14ac:dyDescent="0.25">
      <c r="N1104" s="55"/>
    </row>
    <row r="1105" spans="14:14" x14ac:dyDescent="0.25">
      <c r="N1105" s="55"/>
    </row>
    <row r="1106" spans="14:14" x14ac:dyDescent="0.25">
      <c r="N1106" s="55"/>
    </row>
    <row r="1107" spans="14:14" x14ac:dyDescent="0.25">
      <c r="N1107" s="55"/>
    </row>
    <row r="1108" spans="14:14" x14ac:dyDescent="0.25">
      <c r="N1108" s="55"/>
    </row>
    <row r="1109" spans="14:14" x14ac:dyDescent="0.25">
      <c r="N1109" s="55"/>
    </row>
    <row r="1110" spans="14:14" x14ac:dyDescent="0.25">
      <c r="N1110" s="55"/>
    </row>
    <row r="1111" spans="14:14" x14ac:dyDescent="0.25">
      <c r="N1111" s="55"/>
    </row>
    <row r="1112" spans="14:14" x14ac:dyDescent="0.25">
      <c r="N1112" s="55"/>
    </row>
    <row r="1113" spans="14:14" x14ac:dyDescent="0.25">
      <c r="N1113" s="55"/>
    </row>
    <row r="1114" spans="14:14" x14ac:dyDescent="0.25">
      <c r="N1114" s="55"/>
    </row>
    <row r="1115" spans="14:14" x14ac:dyDescent="0.25">
      <c r="N1115" s="55"/>
    </row>
    <row r="1116" spans="14:14" x14ac:dyDescent="0.25">
      <c r="N1116" s="55"/>
    </row>
    <row r="1117" spans="14:14" x14ac:dyDescent="0.25">
      <c r="N1117" s="55"/>
    </row>
    <row r="1118" spans="14:14" x14ac:dyDescent="0.25">
      <c r="N1118" s="55"/>
    </row>
    <row r="1119" spans="14:14" x14ac:dyDescent="0.25">
      <c r="N1119" s="55"/>
    </row>
    <row r="1120" spans="14:14" x14ac:dyDescent="0.25">
      <c r="N1120" s="55"/>
    </row>
    <row r="1121" spans="14:14" x14ac:dyDescent="0.25">
      <c r="N1121" s="55"/>
    </row>
    <row r="1122" spans="14:14" x14ac:dyDescent="0.25">
      <c r="N1122" s="55"/>
    </row>
    <row r="1123" spans="14:14" x14ac:dyDescent="0.25">
      <c r="N1123" s="55"/>
    </row>
    <row r="1124" spans="14:14" x14ac:dyDescent="0.25">
      <c r="N1124" s="55"/>
    </row>
    <row r="1125" spans="14:14" x14ac:dyDescent="0.25">
      <c r="N1125" s="55"/>
    </row>
    <row r="1126" spans="14:14" x14ac:dyDescent="0.25">
      <c r="N1126" s="55"/>
    </row>
    <row r="1127" spans="14:14" x14ac:dyDescent="0.25">
      <c r="N1127" s="55"/>
    </row>
    <row r="1128" spans="14:14" x14ac:dyDescent="0.25">
      <c r="N1128" s="55"/>
    </row>
    <row r="1129" spans="14:14" x14ac:dyDescent="0.25">
      <c r="N1129" s="55"/>
    </row>
    <row r="1130" spans="14:14" x14ac:dyDescent="0.25">
      <c r="N1130" s="55"/>
    </row>
    <row r="1131" spans="14:14" x14ac:dyDescent="0.25">
      <c r="N1131" s="55"/>
    </row>
    <row r="1132" spans="14:14" x14ac:dyDescent="0.25">
      <c r="N1132" s="55"/>
    </row>
    <row r="1133" spans="14:14" x14ac:dyDescent="0.25">
      <c r="N1133" s="55"/>
    </row>
    <row r="1134" spans="14:14" x14ac:dyDescent="0.25">
      <c r="N1134" s="55"/>
    </row>
    <row r="1135" spans="14:14" x14ac:dyDescent="0.25">
      <c r="N1135" s="55"/>
    </row>
    <row r="1136" spans="14:14" x14ac:dyDescent="0.25">
      <c r="N1136" s="55"/>
    </row>
    <row r="1137" spans="14:14" x14ac:dyDescent="0.25">
      <c r="N1137" s="55"/>
    </row>
    <row r="1138" spans="14:14" x14ac:dyDescent="0.25">
      <c r="N1138" s="55"/>
    </row>
    <row r="1139" spans="14:14" x14ac:dyDescent="0.25">
      <c r="N1139" s="55"/>
    </row>
    <row r="1140" spans="14:14" x14ac:dyDescent="0.25">
      <c r="N1140" s="55"/>
    </row>
    <row r="1141" spans="14:14" x14ac:dyDescent="0.25">
      <c r="N1141" s="55"/>
    </row>
    <row r="1142" spans="14:14" x14ac:dyDescent="0.25">
      <c r="N1142" s="55"/>
    </row>
    <row r="1143" spans="14:14" x14ac:dyDescent="0.25">
      <c r="N1143" s="55"/>
    </row>
    <row r="1144" spans="14:14" x14ac:dyDescent="0.25">
      <c r="N1144" s="55"/>
    </row>
    <row r="1145" spans="14:14" x14ac:dyDescent="0.25">
      <c r="N1145" s="55"/>
    </row>
    <row r="1146" spans="14:14" x14ac:dyDescent="0.25">
      <c r="N1146" s="55"/>
    </row>
    <row r="1147" spans="14:14" x14ac:dyDescent="0.25">
      <c r="N1147" s="55"/>
    </row>
    <row r="1148" spans="14:14" x14ac:dyDescent="0.25">
      <c r="N1148" s="55"/>
    </row>
    <row r="1149" spans="14:14" x14ac:dyDescent="0.25">
      <c r="N1149" s="55"/>
    </row>
    <row r="1150" spans="14:14" x14ac:dyDescent="0.25">
      <c r="N1150" s="55"/>
    </row>
    <row r="1151" spans="14:14" x14ac:dyDescent="0.25">
      <c r="N1151" s="55"/>
    </row>
    <row r="1152" spans="14:14" x14ac:dyDescent="0.25">
      <c r="N1152" s="55"/>
    </row>
    <row r="1153" spans="14:14" x14ac:dyDescent="0.25">
      <c r="N1153" s="55"/>
    </row>
    <row r="1154" spans="14:14" x14ac:dyDescent="0.25">
      <c r="N1154" s="55"/>
    </row>
    <row r="1155" spans="14:14" x14ac:dyDescent="0.25">
      <c r="N1155" s="55"/>
    </row>
    <row r="1156" spans="14:14" x14ac:dyDescent="0.25">
      <c r="N1156" s="55"/>
    </row>
    <row r="1157" spans="14:14" x14ac:dyDescent="0.25">
      <c r="N1157" s="55"/>
    </row>
    <row r="1158" spans="14:14" x14ac:dyDescent="0.25">
      <c r="N1158" s="55"/>
    </row>
    <row r="1159" spans="14:14" x14ac:dyDescent="0.25">
      <c r="N1159" s="55"/>
    </row>
    <row r="1160" spans="14:14" x14ac:dyDescent="0.25">
      <c r="N1160" s="55"/>
    </row>
    <row r="1161" spans="14:14" x14ac:dyDescent="0.25">
      <c r="N1161" s="55"/>
    </row>
    <row r="1162" spans="14:14" x14ac:dyDescent="0.25">
      <c r="N1162" s="55"/>
    </row>
    <row r="1163" spans="14:14" x14ac:dyDescent="0.25">
      <c r="N1163" s="55"/>
    </row>
    <row r="1164" spans="14:14" x14ac:dyDescent="0.25">
      <c r="N1164" s="55"/>
    </row>
    <row r="1165" spans="14:14" x14ac:dyDescent="0.25">
      <c r="N1165" s="55"/>
    </row>
    <row r="1166" spans="14:14" x14ac:dyDescent="0.25">
      <c r="N1166" s="55"/>
    </row>
    <row r="1167" spans="14:14" x14ac:dyDescent="0.25">
      <c r="N1167" s="55"/>
    </row>
    <row r="1168" spans="14:14" x14ac:dyDescent="0.25">
      <c r="N1168" s="55"/>
    </row>
    <row r="1169" spans="14:14" x14ac:dyDescent="0.25">
      <c r="N1169" s="55"/>
    </row>
    <row r="1170" spans="14:14" x14ac:dyDescent="0.25">
      <c r="N1170" s="55"/>
    </row>
    <row r="1171" spans="14:14" x14ac:dyDescent="0.25">
      <c r="N1171" s="55"/>
    </row>
    <row r="1172" spans="14:14" x14ac:dyDescent="0.25">
      <c r="N1172" s="55"/>
    </row>
    <row r="1173" spans="14:14" x14ac:dyDescent="0.25">
      <c r="N1173" s="55"/>
    </row>
    <row r="1174" spans="14:14" x14ac:dyDescent="0.25">
      <c r="N1174" s="55"/>
    </row>
    <row r="1175" spans="14:14" x14ac:dyDescent="0.25">
      <c r="N1175" s="55"/>
    </row>
    <row r="1176" spans="14:14" x14ac:dyDescent="0.25">
      <c r="N1176" s="55"/>
    </row>
    <row r="1177" spans="14:14" x14ac:dyDescent="0.25">
      <c r="N1177" s="55"/>
    </row>
    <row r="1178" spans="14:14" x14ac:dyDescent="0.25">
      <c r="N1178" s="55"/>
    </row>
    <row r="1179" spans="14:14" x14ac:dyDescent="0.25">
      <c r="N1179" s="55"/>
    </row>
    <row r="1180" spans="14:14" x14ac:dyDescent="0.25">
      <c r="N1180" s="55"/>
    </row>
    <row r="1181" spans="14:14" x14ac:dyDescent="0.25">
      <c r="N1181" s="55"/>
    </row>
    <row r="1182" spans="14:14" x14ac:dyDescent="0.25">
      <c r="N1182" s="55"/>
    </row>
    <row r="1183" spans="14:14" x14ac:dyDescent="0.25">
      <c r="N1183" s="55"/>
    </row>
    <row r="1184" spans="14:14" x14ac:dyDescent="0.25">
      <c r="N1184" s="55"/>
    </row>
    <row r="1185" spans="14:14" x14ac:dyDescent="0.25">
      <c r="N1185" s="55"/>
    </row>
    <row r="1186" spans="14:14" x14ac:dyDescent="0.25">
      <c r="N1186" s="55"/>
    </row>
    <row r="1187" spans="14:14" x14ac:dyDescent="0.25">
      <c r="N1187" s="55"/>
    </row>
    <row r="1188" spans="14:14" x14ac:dyDescent="0.25">
      <c r="N1188" s="55"/>
    </row>
    <row r="1189" spans="14:14" x14ac:dyDescent="0.25">
      <c r="N1189" s="55"/>
    </row>
    <row r="1190" spans="14:14" x14ac:dyDescent="0.25">
      <c r="N1190" s="55"/>
    </row>
    <row r="1191" spans="14:14" x14ac:dyDescent="0.25">
      <c r="N1191" s="55"/>
    </row>
    <row r="1192" spans="14:14" x14ac:dyDescent="0.25">
      <c r="N1192" s="55"/>
    </row>
    <row r="1193" spans="14:14" x14ac:dyDescent="0.25">
      <c r="N1193" s="55"/>
    </row>
    <row r="1194" spans="14:14" x14ac:dyDescent="0.25">
      <c r="N1194" s="55"/>
    </row>
    <row r="1195" spans="14:14" x14ac:dyDescent="0.25">
      <c r="N1195" s="55"/>
    </row>
    <row r="1196" spans="14:14" x14ac:dyDescent="0.25">
      <c r="N1196" s="55"/>
    </row>
    <row r="1197" spans="14:14" x14ac:dyDescent="0.25">
      <c r="N1197" s="55"/>
    </row>
    <row r="1198" spans="14:14" x14ac:dyDescent="0.25">
      <c r="N1198" s="55"/>
    </row>
    <row r="1199" spans="14:14" x14ac:dyDescent="0.25">
      <c r="N1199" s="55"/>
    </row>
    <row r="1200" spans="14:14" x14ac:dyDescent="0.25">
      <c r="N1200" s="55"/>
    </row>
    <row r="1201" spans="14:14" x14ac:dyDescent="0.25">
      <c r="N1201" s="55"/>
    </row>
    <row r="1202" spans="14:14" x14ac:dyDescent="0.25">
      <c r="N1202" s="55"/>
    </row>
    <row r="1203" spans="14:14" x14ac:dyDescent="0.25">
      <c r="N1203" s="55"/>
    </row>
    <row r="1204" spans="14:14" x14ac:dyDescent="0.25">
      <c r="N1204" s="55"/>
    </row>
    <row r="1205" spans="14:14" x14ac:dyDescent="0.25">
      <c r="N1205" s="55"/>
    </row>
    <row r="1206" spans="14:14" x14ac:dyDescent="0.25">
      <c r="N1206" s="55"/>
    </row>
    <row r="1207" spans="14:14" x14ac:dyDescent="0.25">
      <c r="N1207" s="55"/>
    </row>
    <row r="1208" spans="14:14" x14ac:dyDescent="0.25">
      <c r="N1208" s="55"/>
    </row>
    <row r="1209" spans="14:14" x14ac:dyDescent="0.25">
      <c r="N1209" s="55"/>
    </row>
    <row r="1210" spans="14:14" x14ac:dyDescent="0.25">
      <c r="N1210" s="55"/>
    </row>
    <row r="1211" spans="14:14" x14ac:dyDescent="0.25">
      <c r="N1211" s="55"/>
    </row>
    <row r="1212" spans="14:14" x14ac:dyDescent="0.25">
      <c r="N1212" s="55"/>
    </row>
    <row r="1213" spans="14:14" x14ac:dyDescent="0.25">
      <c r="N1213" s="55"/>
    </row>
    <row r="1214" spans="14:14" x14ac:dyDescent="0.25">
      <c r="N1214" s="55"/>
    </row>
    <row r="1215" spans="14:14" x14ac:dyDescent="0.25">
      <c r="N1215" s="55"/>
    </row>
    <row r="1216" spans="14:14" x14ac:dyDescent="0.25">
      <c r="N1216" s="55"/>
    </row>
    <row r="1217" spans="14:14" x14ac:dyDescent="0.25">
      <c r="N1217" s="55"/>
    </row>
    <row r="1218" spans="14:14" x14ac:dyDescent="0.25">
      <c r="N1218" s="55"/>
    </row>
    <row r="1219" spans="14:14" x14ac:dyDescent="0.25">
      <c r="N1219" s="55"/>
    </row>
    <row r="1220" spans="14:14" x14ac:dyDescent="0.25">
      <c r="N1220" s="55"/>
    </row>
    <row r="1221" spans="14:14" x14ac:dyDescent="0.25">
      <c r="N1221" s="55"/>
    </row>
    <row r="1222" spans="14:14" x14ac:dyDescent="0.25">
      <c r="N1222" s="55"/>
    </row>
    <row r="1223" spans="14:14" x14ac:dyDescent="0.25">
      <c r="N1223" s="55"/>
    </row>
    <row r="1224" spans="14:14" x14ac:dyDescent="0.25">
      <c r="N1224" s="55"/>
    </row>
    <row r="1225" spans="14:14" x14ac:dyDescent="0.25">
      <c r="N1225" s="55"/>
    </row>
    <row r="1226" spans="14:14" x14ac:dyDescent="0.25">
      <c r="N1226" s="55"/>
    </row>
    <row r="1227" spans="14:14" x14ac:dyDescent="0.25">
      <c r="N1227" s="55"/>
    </row>
    <row r="1228" spans="14:14" x14ac:dyDescent="0.25">
      <c r="N1228" s="55"/>
    </row>
    <row r="1229" spans="14:14" x14ac:dyDescent="0.25">
      <c r="N1229" s="55"/>
    </row>
    <row r="1230" spans="14:14" x14ac:dyDescent="0.25">
      <c r="N1230" s="55"/>
    </row>
    <row r="1231" spans="14:14" x14ac:dyDescent="0.25">
      <c r="N1231" s="55"/>
    </row>
    <row r="1232" spans="14:14" x14ac:dyDescent="0.25">
      <c r="N1232" s="55"/>
    </row>
    <row r="1233" spans="14:14" x14ac:dyDescent="0.25">
      <c r="N1233" s="55"/>
    </row>
    <row r="1234" spans="14:14" x14ac:dyDescent="0.25">
      <c r="N1234" s="55"/>
    </row>
    <row r="1235" spans="14:14" x14ac:dyDescent="0.25">
      <c r="N1235" s="55"/>
    </row>
    <row r="1236" spans="14:14" x14ac:dyDescent="0.25">
      <c r="N1236" s="55"/>
    </row>
    <row r="1237" spans="14:14" x14ac:dyDescent="0.25">
      <c r="N1237" s="55"/>
    </row>
    <row r="1238" spans="14:14" x14ac:dyDescent="0.25">
      <c r="N1238" s="55"/>
    </row>
    <row r="1239" spans="14:14" x14ac:dyDescent="0.25">
      <c r="N1239" s="55"/>
    </row>
    <row r="1240" spans="14:14" x14ac:dyDescent="0.25">
      <c r="N1240" s="55"/>
    </row>
    <row r="1241" spans="14:14" x14ac:dyDescent="0.25">
      <c r="N1241" s="55"/>
    </row>
    <row r="1242" spans="14:14" x14ac:dyDescent="0.25">
      <c r="N1242" s="55"/>
    </row>
    <row r="1243" spans="14:14" x14ac:dyDescent="0.25">
      <c r="N1243" s="55"/>
    </row>
    <row r="1244" spans="14:14" x14ac:dyDescent="0.25">
      <c r="N1244" s="55"/>
    </row>
    <row r="1245" spans="14:14" x14ac:dyDescent="0.25">
      <c r="N1245" s="55"/>
    </row>
    <row r="1246" spans="14:14" x14ac:dyDescent="0.25">
      <c r="N1246" s="55"/>
    </row>
    <row r="1247" spans="14:14" x14ac:dyDescent="0.25">
      <c r="N1247" s="55"/>
    </row>
    <row r="1248" spans="14:14" x14ac:dyDescent="0.25">
      <c r="N1248" s="55"/>
    </row>
    <row r="1249" spans="14:14" x14ac:dyDescent="0.25">
      <c r="N1249" s="55"/>
    </row>
    <row r="1250" spans="14:14" x14ac:dyDescent="0.25">
      <c r="N1250" s="55"/>
    </row>
    <row r="1251" spans="14:14" x14ac:dyDescent="0.25">
      <c r="N1251" s="55"/>
    </row>
    <row r="1252" spans="14:14" x14ac:dyDescent="0.25">
      <c r="N1252" s="55"/>
    </row>
    <row r="1253" spans="14:14" x14ac:dyDescent="0.25">
      <c r="N1253" s="55"/>
    </row>
    <row r="1254" spans="14:14" x14ac:dyDescent="0.25">
      <c r="N1254" s="55"/>
    </row>
    <row r="1255" spans="14:14" x14ac:dyDescent="0.25">
      <c r="N1255" s="55"/>
    </row>
    <row r="1256" spans="14:14" x14ac:dyDescent="0.25">
      <c r="N1256" s="55"/>
    </row>
    <row r="1257" spans="14:14" x14ac:dyDescent="0.25">
      <c r="N1257" s="55"/>
    </row>
    <row r="1258" spans="14:14" x14ac:dyDescent="0.25">
      <c r="N1258" s="55"/>
    </row>
    <row r="1259" spans="14:14" x14ac:dyDescent="0.25">
      <c r="N1259" s="55"/>
    </row>
    <row r="1260" spans="14:14" x14ac:dyDescent="0.25">
      <c r="N1260" s="55"/>
    </row>
    <row r="1261" spans="14:14" x14ac:dyDescent="0.25">
      <c r="N1261" s="55"/>
    </row>
    <row r="1262" spans="14:14" x14ac:dyDescent="0.25">
      <c r="N1262" s="55"/>
    </row>
    <row r="1263" spans="14:14" x14ac:dyDescent="0.25">
      <c r="N1263" s="55"/>
    </row>
    <row r="1264" spans="14:14" x14ac:dyDescent="0.25">
      <c r="N1264" s="55"/>
    </row>
    <row r="1265" spans="14:14" x14ac:dyDescent="0.25">
      <c r="N1265" s="55"/>
    </row>
    <row r="1266" spans="14:14" x14ac:dyDescent="0.25">
      <c r="N1266" s="55"/>
    </row>
    <row r="1267" spans="14:14" x14ac:dyDescent="0.25">
      <c r="N1267" s="55"/>
    </row>
    <row r="1268" spans="14:14" x14ac:dyDescent="0.25">
      <c r="N1268" s="55"/>
    </row>
    <row r="1269" spans="14:14" x14ac:dyDescent="0.25">
      <c r="N1269" s="55"/>
    </row>
    <row r="1270" spans="14:14" x14ac:dyDescent="0.25">
      <c r="N1270" s="55"/>
    </row>
    <row r="1271" spans="14:14" x14ac:dyDescent="0.25">
      <c r="N1271" s="55"/>
    </row>
    <row r="1272" spans="14:14" x14ac:dyDescent="0.25">
      <c r="N1272" s="55"/>
    </row>
    <row r="1273" spans="14:14" x14ac:dyDescent="0.25">
      <c r="N1273" s="55"/>
    </row>
    <row r="1274" spans="14:14" x14ac:dyDescent="0.25">
      <c r="N1274" s="55"/>
    </row>
    <row r="1275" spans="14:14" x14ac:dyDescent="0.25">
      <c r="N1275" s="55"/>
    </row>
    <row r="1276" spans="14:14" x14ac:dyDescent="0.25">
      <c r="N1276" s="55"/>
    </row>
    <row r="1277" spans="14:14" x14ac:dyDescent="0.25">
      <c r="N1277" s="55"/>
    </row>
    <row r="1278" spans="14:14" x14ac:dyDescent="0.25">
      <c r="N1278" s="55"/>
    </row>
    <row r="1279" spans="14:14" x14ac:dyDescent="0.25">
      <c r="N1279" s="55"/>
    </row>
    <row r="1280" spans="14:14" x14ac:dyDescent="0.25">
      <c r="N1280" s="55"/>
    </row>
    <row r="1281" spans="14:14" x14ac:dyDescent="0.25">
      <c r="N1281" s="55"/>
    </row>
    <row r="1282" spans="14:14" x14ac:dyDescent="0.25">
      <c r="N1282" s="55"/>
    </row>
    <row r="1283" spans="14:14" x14ac:dyDescent="0.25">
      <c r="N1283" s="55"/>
    </row>
    <row r="1284" spans="14:14" x14ac:dyDescent="0.25">
      <c r="N1284" s="55"/>
    </row>
    <row r="1285" spans="14:14" x14ac:dyDescent="0.25">
      <c r="N1285" s="55"/>
    </row>
    <row r="1286" spans="14:14" x14ac:dyDescent="0.25">
      <c r="N1286" s="55"/>
    </row>
    <row r="1287" spans="14:14" x14ac:dyDescent="0.25">
      <c r="N1287" s="55"/>
    </row>
    <row r="1288" spans="14:14" x14ac:dyDescent="0.25">
      <c r="N1288" s="55"/>
    </row>
    <row r="1289" spans="14:14" x14ac:dyDescent="0.25">
      <c r="N1289" s="55"/>
    </row>
    <row r="1290" spans="14:14" x14ac:dyDescent="0.25">
      <c r="N1290" s="55"/>
    </row>
    <row r="1291" spans="14:14" x14ac:dyDescent="0.25">
      <c r="N1291" s="55"/>
    </row>
    <row r="1292" spans="14:14" x14ac:dyDescent="0.25">
      <c r="N1292" s="55"/>
    </row>
    <row r="1293" spans="14:14" x14ac:dyDescent="0.25">
      <c r="N1293" s="55"/>
    </row>
    <row r="1294" spans="14:14" x14ac:dyDescent="0.25">
      <c r="N1294" s="55"/>
    </row>
    <row r="1295" spans="14:14" x14ac:dyDescent="0.25">
      <c r="N1295" s="55"/>
    </row>
    <row r="1296" spans="14:14" x14ac:dyDescent="0.25">
      <c r="N1296" s="55"/>
    </row>
    <row r="1297" spans="14:14" x14ac:dyDescent="0.25">
      <c r="N1297" s="55"/>
    </row>
    <row r="1298" spans="14:14" x14ac:dyDescent="0.25">
      <c r="N1298" s="55"/>
    </row>
    <row r="1299" spans="14:14" x14ac:dyDescent="0.25">
      <c r="N1299" s="55"/>
    </row>
    <row r="1300" spans="14:14" x14ac:dyDescent="0.25">
      <c r="N1300" s="55"/>
    </row>
    <row r="1301" spans="14:14" x14ac:dyDescent="0.25">
      <c r="N1301" s="55"/>
    </row>
    <row r="1302" spans="14:14" x14ac:dyDescent="0.25">
      <c r="N1302" s="55"/>
    </row>
    <row r="1303" spans="14:14" x14ac:dyDescent="0.25">
      <c r="N1303" s="55"/>
    </row>
    <row r="1304" spans="14:14" x14ac:dyDescent="0.25">
      <c r="N1304" s="55"/>
    </row>
    <row r="1305" spans="14:14" x14ac:dyDescent="0.25">
      <c r="N1305" s="55"/>
    </row>
    <row r="1306" spans="14:14" x14ac:dyDescent="0.25">
      <c r="N1306" s="55"/>
    </row>
    <row r="1307" spans="14:14" x14ac:dyDescent="0.25">
      <c r="N1307" s="55"/>
    </row>
    <row r="1308" spans="14:14" x14ac:dyDescent="0.25">
      <c r="N1308" s="55"/>
    </row>
    <row r="1309" spans="14:14" x14ac:dyDescent="0.25">
      <c r="N1309" s="55"/>
    </row>
    <row r="1310" spans="14:14" x14ac:dyDescent="0.25">
      <c r="N1310" s="55"/>
    </row>
    <row r="1311" spans="14:14" x14ac:dyDescent="0.25">
      <c r="N1311" s="55"/>
    </row>
    <row r="1312" spans="14:14" x14ac:dyDescent="0.25">
      <c r="N1312" s="55"/>
    </row>
    <row r="1313" spans="14:14" x14ac:dyDescent="0.25">
      <c r="N1313" s="55"/>
    </row>
    <row r="1314" spans="14:14" x14ac:dyDescent="0.25">
      <c r="N1314" s="55"/>
    </row>
    <row r="1315" spans="14:14" x14ac:dyDescent="0.25">
      <c r="N1315" s="55"/>
    </row>
    <row r="1316" spans="14:14" x14ac:dyDescent="0.25">
      <c r="N1316" s="55"/>
    </row>
    <row r="1317" spans="14:14" x14ac:dyDescent="0.25">
      <c r="N1317" s="55"/>
    </row>
    <row r="1318" spans="14:14" x14ac:dyDescent="0.25">
      <c r="N1318" s="55"/>
    </row>
    <row r="1319" spans="14:14" x14ac:dyDescent="0.25">
      <c r="N1319" s="55"/>
    </row>
    <row r="1320" spans="14:14" x14ac:dyDescent="0.25">
      <c r="N1320" s="55"/>
    </row>
    <row r="1321" spans="14:14" x14ac:dyDescent="0.25">
      <c r="N1321" s="55"/>
    </row>
    <row r="1322" spans="14:14" x14ac:dyDescent="0.25">
      <c r="N1322" s="55"/>
    </row>
    <row r="1323" spans="14:14" x14ac:dyDescent="0.25">
      <c r="N1323" s="55"/>
    </row>
    <row r="1324" spans="14:14" x14ac:dyDescent="0.25">
      <c r="N1324" s="55"/>
    </row>
    <row r="1325" spans="14:14" x14ac:dyDescent="0.25">
      <c r="N1325" s="55"/>
    </row>
    <row r="1326" spans="14:14" x14ac:dyDescent="0.25">
      <c r="N1326" s="55"/>
    </row>
    <row r="1327" spans="14:14" x14ac:dyDescent="0.25">
      <c r="N1327" s="55"/>
    </row>
    <row r="1328" spans="14:14" x14ac:dyDescent="0.25">
      <c r="N1328" s="55"/>
    </row>
    <row r="1329" spans="14:14" x14ac:dyDescent="0.25">
      <c r="N1329" s="55"/>
    </row>
    <row r="1330" spans="14:14" x14ac:dyDescent="0.25">
      <c r="N1330" s="55"/>
    </row>
    <row r="1331" spans="14:14" x14ac:dyDescent="0.25">
      <c r="N1331" s="55"/>
    </row>
    <row r="1332" spans="14:14" x14ac:dyDescent="0.25">
      <c r="N1332" s="55"/>
    </row>
    <row r="1333" spans="14:14" x14ac:dyDescent="0.25">
      <c r="N1333" s="55"/>
    </row>
    <row r="1334" spans="14:14" x14ac:dyDescent="0.25">
      <c r="N1334" s="55"/>
    </row>
    <row r="1335" spans="14:14" x14ac:dyDescent="0.25">
      <c r="N1335" s="55"/>
    </row>
    <row r="1336" spans="14:14" x14ac:dyDescent="0.25">
      <c r="N1336" s="55"/>
    </row>
    <row r="1337" spans="14:14" x14ac:dyDescent="0.25">
      <c r="N1337" s="55"/>
    </row>
    <row r="1338" spans="14:14" x14ac:dyDescent="0.25">
      <c r="N1338" s="55"/>
    </row>
    <row r="1339" spans="14:14" x14ac:dyDescent="0.25">
      <c r="N1339" s="55"/>
    </row>
    <row r="1340" spans="14:14" x14ac:dyDescent="0.25">
      <c r="N1340" s="55"/>
    </row>
    <row r="1341" spans="14:14" x14ac:dyDescent="0.25">
      <c r="N1341" s="55"/>
    </row>
    <row r="1342" spans="14:14" x14ac:dyDescent="0.25">
      <c r="N1342" s="55"/>
    </row>
    <row r="1343" spans="14:14" x14ac:dyDescent="0.25">
      <c r="N1343" s="55"/>
    </row>
    <row r="1344" spans="14:14" x14ac:dyDescent="0.25">
      <c r="N1344" s="55"/>
    </row>
    <row r="1345" spans="14:14" x14ac:dyDescent="0.25">
      <c r="N1345" s="55"/>
    </row>
    <row r="1346" spans="14:14" x14ac:dyDescent="0.25">
      <c r="N1346" s="55"/>
    </row>
    <row r="1347" spans="14:14" x14ac:dyDescent="0.25">
      <c r="N1347" s="55"/>
    </row>
    <row r="1348" spans="14:14" x14ac:dyDescent="0.25">
      <c r="N1348" s="55"/>
    </row>
    <row r="1349" spans="14:14" x14ac:dyDescent="0.25">
      <c r="N1349" s="55"/>
    </row>
    <row r="1350" spans="14:14" x14ac:dyDescent="0.25">
      <c r="N1350" s="55"/>
    </row>
    <row r="1351" spans="14:14" x14ac:dyDescent="0.25">
      <c r="N1351" s="55"/>
    </row>
    <row r="1352" spans="14:14" x14ac:dyDescent="0.25">
      <c r="N1352" s="55"/>
    </row>
    <row r="1353" spans="14:14" x14ac:dyDescent="0.25">
      <c r="N1353" s="55"/>
    </row>
    <row r="1354" spans="14:14" x14ac:dyDescent="0.25">
      <c r="N1354" s="55"/>
    </row>
    <row r="1355" spans="14:14" x14ac:dyDescent="0.25">
      <c r="N1355" s="55"/>
    </row>
    <row r="1356" spans="14:14" x14ac:dyDescent="0.25">
      <c r="N1356" s="55"/>
    </row>
    <row r="1357" spans="14:14" x14ac:dyDescent="0.25">
      <c r="N1357" s="55"/>
    </row>
    <row r="1358" spans="14:14" x14ac:dyDescent="0.25">
      <c r="N1358" s="55"/>
    </row>
    <row r="1359" spans="14:14" x14ac:dyDescent="0.25">
      <c r="N1359" s="55"/>
    </row>
    <row r="1360" spans="14:14" x14ac:dyDescent="0.25">
      <c r="N1360" s="55"/>
    </row>
    <row r="1361" spans="14:14" x14ac:dyDescent="0.25">
      <c r="N1361" s="55"/>
    </row>
    <row r="1362" spans="14:14" x14ac:dyDescent="0.25">
      <c r="N1362" s="55"/>
    </row>
    <row r="1363" spans="14:14" x14ac:dyDescent="0.25">
      <c r="N1363" s="55"/>
    </row>
    <row r="1364" spans="14:14" x14ac:dyDescent="0.25">
      <c r="N1364" s="55"/>
    </row>
    <row r="1365" spans="14:14" x14ac:dyDescent="0.25">
      <c r="N1365" s="55"/>
    </row>
    <row r="1366" spans="14:14" x14ac:dyDescent="0.25">
      <c r="N1366" s="55"/>
    </row>
    <row r="1367" spans="14:14" x14ac:dyDescent="0.25">
      <c r="N1367" s="55"/>
    </row>
    <row r="1368" spans="14:14" x14ac:dyDescent="0.25">
      <c r="N1368" s="55"/>
    </row>
    <row r="1369" spans="14:14" x14ac:dyDescent="0.25">
      <c r="N1369" s="55"/>
    </row>
    <row r="1370" spans="14:14" x14ac:dyDescent="0.25">
      <c r="N1370" s="55"/>
    </row>
    <row r="1371" spans="14:14" x14ac:dyDescent="0.25">
      <c r="N1371" s="55"/>
    </row>
    <row r="1372" spans="14:14" x14ac:dyDescent="0.25">
      <c r="N1372" s="55"/>
    </row>
    <row r="1373" spans="14:14" x14ac:dyDescent="0.25">
      <c r="N1373" s="55"/>
    </row>
    <row r="1374" spans="14:14" x14ac:dyDescent="0.25">
      <c r="N1374" s="55"/>
    </row>
    <row r="1375" spans="14:14" x14ac:dyDescent="0.25">
      <c r="N1375" s="55"/>
    </row>
    <row r="1376" spans="14:14" x14ac:dyDescent="0.25">
      <c r="N1376" s="55"/>
    </row>
    <row r="1377" spans="14:14" x14ac:dyDescent="0.25">
      <c r="N1377" s="55"/>
    </row>
    <row r="1378" spans="14:14" x14ac:dyDescent="0.25">
      <c r="N1378" s="55"/>
    </row>
    <row r="1379" spans="14:14" x14ac:dyDescent="0.25">
      <c r="N1379" s="55"/>
    </row>
    <row r="1380" spans="14:14" x14ac:dyDescent="0.25">
      <c r="N1380" s="55"/>
    </row>
    <row r="1381" spans="14:14" x14ac:dyDescent="0.25">
      <c r="N1381" s="55"/>
    </row>
    <row r="1382" spans="14:14" x14ac:dyDescent="0.25">
      <c r="N1382" s="55"/>
    </row>
    <row r="1383" spans="14:14" x14ac:dyDescent="0.25">
      <c r="N1383" s="55"/>
    </row>
    <row r="1384" spans="14:14" x14ac:dyDescent="0.25">
      <c r="N1384" s="55"/>
    </row>
    <row r="1385" spans="14:14" x14ac:dyDescent="0.25">
      <c r="N1385" s="55"/>
    </row>
    <row r="1386" spans="14:14" x14ac:dyDescent="0.25">
      <c r="N1386" s="55"/>
    </row>
    <row r="1387" spans="14:14" x14ac:dyDescent="0.25">
      <c r="N1387" s="55"/>
    </row>
    <row r="1388" spans="14:14" x14ac:dyDescent="0.25">
      <c r="N1388" s="55"/>
    </row>
    <row r="1389" spans="14:14" x14ac:dyDescent="0.25">
      <c r="N1389" s="55"/>
    </row>
    <row r="1390" spans="14:14" x14ac:dyDescent="0.25">
      <c r="N1390" s="55"/>
    </row>
    <row r="1391" spans="14:14" x14ac:dyDescent="0.25">
      <c r="N1391" s="55"/>
    </row>
    <row r="1392" spans="14:14" x14ac:dyDescent="0.25">
      <c r="N1392" s="55"/>
    </row>
    <row r="1393" spans="14:14" x14ac:dyDescent="0.25">
      <c r="N1393" s="55"/>
    </row>
    <row r="1394" spans="14:14" x14ac:dyDescent="0.25">
      <c r="N1394" s="55"/>
    </row>
    <row r="1395" spans="14:14" x14ac:dyDescent="0.25">
      <c r="N1395" s="55"/>
    </row>
    <row r="1396" spans="14:14" x14ac:dyDescent="0.25">
      <c r="N1396" s="55"/>
    </row>
    <row r="1397" spans="14:14" x14ac:dyDescent="0.25">
      <c r="N1397" s="55"/>
    </row>
    <row r="1398" spans="14:14" x14ac:dyDescent="0.25">
      <c r="N1398" s="55"/>
    </row>
    <row r="1399" spans="14:14" x14ac:dyDescent="0.25">
      <c r="N1399" s="55"/>
    </row>
    <row r="1400" spans="14:14" x14ac:dyDescent="0.25">
      <c r="N1400" s="55"/>
    </row>
    <row r="1401" spans="14:14" x14ac:dyDescent="0.25">
      <c r="N1401" s="55"/>
    </row>
    <row r="1402" spans="14:14" x14ac:dyDescent="0.25">
      <c r="N1402" s="55"/>
    </row>
    <row r="1403" spans="14:14" x14ac:dyDescent="0.25">
      <c r="N1403" s="55"/>
    </row>
    <row r="1404" spans="14:14" x14ac:dyDescent="0.25">
      <c r="N1404" s="55"/>
    </row>
    <row r="1405" spans="14:14" x14ac:dyDescent="0.25">
      <c r="N1405" s="55"/>
    </row>
    <row r="1406" spans="14:14" x14ac:dyDescent="0.25">
      <c r="N1406" s="55"/>
    </row>
    <row r="1407" spans="14:14" x14ac:dyDescent="0.25">
      <c r="N1407" s="55"/>
    </row>
    <row r="1408" spans="14:14" x14ac:dyDescent="0.25">
      <c r="N1408" s="55"/>
    </row>
    <row r="1409" spans="14:14" x14ac:dyDescent="0.25">
      <c r="N1409" s="55"/>
    </row>
    <row r="1410" spans="14:14" x14ac:dyDescent="0.25">
      <c r="N1410" s="55"/>
    </row>
    <row r="1411" spans="14:14" x14ac:dyDescent="0.25">
      <c r="N1411" s="55"/>
    </row>
    <row r="1412" spans="14:14" x14ac:dyDescent="0.25">
      <c r="N1412" s="55"/>
    </row>
    <row r="1413" spans="14:14" x14ac:dyDescent="0.25">
      <c r="N1413" s="55"/>
    </row>
    <row r="1414" spans="14:14" x14ac:dyDescent="0.25">
      <c r="N1414" s="55"/>
    </row>
    <row r="1415" spans="14:14" x14ac:dyDescent="0.25">
      <c r="N1415" s="55"/>
    </row>
    <row r="1416" spans="14:14" x14ac:dyDescent="0.25">
      <c r="N1416" s="55"/>
    </row>
    <row r="1417" spans="14:14" x14ac:dyDescent="0.25">
      <c r="N1417" s="55"/>
    </row>
    <row r="1418" spans="14:14" x14ac:dyDescent="0.25">
      <c r="N1418" s="55"/>
    </row>
    <row r="1419" spans="14:14" x14ac:dyDescent="0.25">
      <c r="N1419" s="55"/>
    </row>
    <row r="1420" spans="14:14" x14ac:dyDescent="0.25">
      <c r="N1420" s="55"/>
    </row>
    <row r="1421" spans="14:14" x14ac:dyDescent="0.25">
      <c r="N1421" s="55"/>
    </row>
    <row r="1422" spans="14:14" x14ac:dyDescent="0.25">
      <c r="N1422" s="55"/>
    </row>
    <row r="1423" spans="14:14" x14ac:dyDescent="0.25">
      <c r="N1423" s="55"/>
    </row>
    <row r="1424" spans="14:14" x14ac:dyDescent="0.25">
      <c r="N1424" s="55"/>
    </row>
    <row r="1425" spans="14:14" x14ac:dyDescent="0.25">
      <c r="N1425" s="55"/>
    </row>
    <row r="1426" spans="14:14" x14ac:dyDescent="0.25">
      <c r="N1426" s="55"/>
    </row>
    <row r="1427" spans="14:14" x14ac:dyDescent="0.25">
      <c r="N1427" s="55"/>
    </row>
    <row r="1428" spans="14:14" x14ac:dyDescent="0.25">
      <c r="N1428" s="55"/>
    </row>
    <row r="1429" spans="14:14" x14ac:dyDescent="0.25">
      <c r="N1429" s="55"/>
    </row>
    <row r="1430" spans="14:14" x14ac:dyDescent="0.25">
      <c r="N1430" s="55"/>
    </row>
    <row r="1431" spans="14:14" x14ac:dyDescent="0.25">
      <c r="N1431" s="55"/>
    </row>
    <row r="1432" spans="14:14" x14ac:dyDescent="0.25">
      <c r="N1432" s="55"/>
    </row>
    <row r="1433" spans="14:14" x14ac:dyDescent="0.25">
      <c r="N1433" s="55"/>
    </row>
    <row r="1434" spans="14:14" x14ac:dyDescent="0.25">
      <c r="N1434" s="55"/>
    </row>
    <row r="1435" spans="14:14" x14ac:dyDescent="0.25">
      <c r="N1435" s="55"/>
    </row>
    <row r="1436" spans="14:14" x14ac:dyDescent="0.25">
      <c r="N1436" s="55"/>
    </row>
    <row r="1437" spans="14:14" x14ac:dyDescent="0.25">
      <c r="N1437" s="55"/>
    </row>
    <row r="1438" spans="14:14" x14ac:dyDescent="0.25">
      <c r="N1438" s="55"/>
    </row>
    <row r="1439" spans="14:14" x14ac:dyDescent="0.25">
      <c r="N1439" s="55"/>
    </row>
    <row r="1440" spans="14:14" x14ac:dyDescent="0.25">
      <c r="N1440" s="55"/>
    </row>
    <row r="1441" spans="14:14" x14ac:dyDescent="0.25">
      <c r="N1441" s="55"/>
    </row>
    <row r="1442" spans="14:14" x14ac:dyDescent="0.25">
      <c r="N1442" s="55"/>
    </row>
    <row r="1443" spans="14:14" x14ac:dyDescent="0.25">
      <c r="N1443" s="55"/>
    </row>
    <row r="1444" spans="14:14" x14ac:dyDescent="0.25">
      <c r="N1444" s="55"/>
    </row>
    <row r="1445" spans="14:14" x14ac:dyDescent="0.25">
      <c r="N1445" s="55"/>
    </row>
    <row r="1446" spans="14:14" x14ac:dyDescent="0.25">
      <c r="N1446" s="55"/>
    </row>
    <row r="1447" spans="14:14" x14ac:dyDescent="0.25">
      <c r="N1447" s="55"/>
    </row>
    <row r="1448" spans="14:14" x14ac:dyDescent="0.25">
      <c r="N1448" s="55"/>
    </row>
    <row r="1449" spans="14:14" x14ac:dyDescent="0.25">
      <c r="N1449" s="55"/>
    </row>
    <row r="1450" spans="14:14" x14ac:dyDescent="0.25">
      <c r="N1450" s="55"/>
    </row>
    <row r="1451" spans="14:14" x14ac:dyDescent="0.25">
      <c r="N1451" s="55"/>
    </row>
    <row r="1452" spans="14:14" x14ac:dyDescent="0.25">
      <c r="N1452" s="55"/>
    </row>
    <row r="1453" spans="14:14" x14ac:dyDescent="0.25">
      <c r="N1453" s="55"/>
    </row>
    <row r="1454" spans="14:14" x14ac:dyDescent="0.25">
      <c r="N1454" s="55"/>
    </row>
    <row r="1455" spans="14:14" x14ac:dyDescent="0.25">
      <c r="N1455" s="55"/>
    </row>
    <row r="1456" spans="14:14" x14ac:dyDescent="0.25">
      <c r="N1456" s="55"/>
    </row>
    <row r="1457" spans="14:14" x14ac:dyDescent="0.25">
      <c r="N1457" s="55"/>
    </row>
    <row r="1458" spans="14:14" x14ac:dyDescent="0.25">
      <c r="N1458" s="55"/>
    </row>
    <row r="1459" spans="14:14" x14ac:dyDescent="0.25">
      <c r="N1459" s="55"/>
    </row>
    <row r="1460" spans="14:14" x14ac:dyDescent="0.25">
      <c r="N1460" s="55"/>
    </row>
    <row r="1461" spans="14:14" x14ac:dyDescent="0.25">
      <c r="N1461" s="55"/>
    </row>
    <row r="1462" spans="14:14" x14ac:dyDescent="0.25">
      <c r="N1462" s="55"/>
    </row>
    <row r="1463" spans="14:14" x14ac:dyDescent="0.25">
      <c r="N1463" s="55"/>
    </row>
    <row r="1464" spans="14:14" x14ac:dyDescent="0.25">
      <c r="N1464" s="55"/>
    </row>
    <row r="1465" spans="14:14" x14ac:dyDescent="0.25">
      <c r="N1465" s="55"/>
    </row>
    <row r="1466" spans="14:14" x14ac:dyDescent="0.25">
      <c r="N1466" s="55"/>
    </row>
    <row r="1467" spans="14:14" x14ac:dyDescent="0.25">
      <c r="N1467" s="55"/>
    </row>
    <row r="1468" spans="14:14" x14ac:dyDescent="0.25">
      <c r="N1468" s="55"/>
    </row>
    <row r="1469" spans="14:14" x14ac:dyDescent="0.25">
      <c r="N1469" s="55"/>
    </row>
    <row r="1470" spans="14:14" x14ac:dyDescent="0.25">
      <c r="N1470" s="55"/>
    </row>
    <row r="1471" spans="14:14" x14ac:dyDescent="0.25">
      <c r="N1471" s="55"/>
    </row>
    <row r="1472" spans="14:14" x14ac:dyDescent="0.25">
      <c r="N1472" s="55"/>
    </row>
    <row r="1473" spans="14:14" x14ac:dyDescent="0.25">
      <c r="N1473" s="55"/>
    </row>
    <row r="1474" spans="14:14" x14ac:dyDescent="0.25">
      <c r="N1474" s="55"/>
    </row>
    <row r="1475" spans="14:14" x14ac:dyDescent="0.25">
      <c r="N1475" s="55"/>
    </row>
    <row r="1476" spans="14:14" x14ac:dyDescent="0.25">
      <c r="N1476" s="55"/>
    </row>
    <row r="1477" spans="14:14" x14ac:dyDescent="0.25">
      <c r="N1477" s="55"/>
    </row>
    <row r="1478" spans="14:14" x14ac:dyDescent="0.25">
      <c r="N1478" s="55"/>
    </row>
    <row r="1479" spans="14:14" x14ac:dyDescent="0.25">
      <c r="N1479" s="55"/>
    </row>
    <row r="1480" spans="14:14" x14ac:dyDescent="0.25">
      <c r="N1480" s="55"/>
    </row>
    <row r="1481" spans="14:14" x14ac:dyDescent="0.25">
      <c r="N1481" s="55"/>
    </row>
    <row r="1482" spans="14:14" x14ac:dyDescent="0.25">
      <c r="N1482" s="55"/>
    </row>
    <row r="1483" spans="14:14" x14ac:dyDescent="0.25">
      <c r="N1483" s="55"/>
    </row>
    <row r="1484" spans="14:14" x14ac:dyDescent="0.25">
      <c r="N1484" s="55"/>
    </row>
    <row r="1485" spans="14:14" x14ac:dyDescent="0.25">
      <c r="N1485" s="55"/>
    </row>
    <row r="1486" spans="14:14" x14ac:dyDescent="0.25">
      <c r="N1486" s="55"/>
    </row>
    <row r="1487" spans="14:14" x14ac:dyDescent="0.25">
      <c r="N1487" s="55"/>
    </row>
    <row r="1488" spans="14:14" x14ac:dyDescent="0.25">
      <c r="N1488" s="55"/>
    </row>
    <row r="1489" spans="14:14" x14ac:dyDescent="0.25">
      <c r="N1489" s="55"/>
    </row>
    <row r="1490" spans="14:14" x14ac:dyDescent="0.25">
      <c r="N1490" s="55"/>
    </row>
    <row r="1491" spans="14:14" x14ac:dyDescent="0.25">
      <c r="N1491" s="55"/>
    </row>
    <row r="1492" spans="14:14" x14ac:dyDescent="0.25">
      <c r="N1492" s="55"/>
    </row>
    <row r="1493" spans="14:14" x14ac:dyDescent="0.25">
      <c r="N1493" s="55"/>
    </row>
    <row r="1494" spans="14:14" x14ac:dyDescent="0.25">
      <c r="N1494" s="55"/>
    </row>
    <row r="1495" spans="14:14" x14ac:dyDescent="0.25">
      <c r="N1495" s="55"/>
    </row>
    <row r="1496" spans="14:14" x14ac:dyDescent="0.25">
      <c r="N1496" s="55"/>
    </row>
    <row r="1497" spans="14:14" x14ac:dyDescent="0.25">
      <c r="N1497" s="55"/>
    </row>
    <row r="1498" spans="14:14" x14ac:dyDescent="0.25">
      <c r="N1498" s="55"/>
    </row>
    <row r="1499" spans="14:14" x14ac:dyDescent="0.25">
      <c r="N1499" s="55"/>
    </row>
    <row r="1500" spans="14:14" x14ac:dyDescent="0.25">
      <c r="N1500" s="55"/>
    </row>
    <row r="1501" spans="14:14" x14ac:dyDescent="0.25">
      <c r="N1501" s="55"/>
    </row>
    <row r="1502" spans="14:14" x14ac:dyDescent="0.25">
      <c r="N1502" s="55"/>
    </row>
    <row r="1503" spans="14:14" x14ac:dyDescent="0.25">
      <c r="N1503" s="55"/>
    </row>
    <row r="1504" spans="14:14" x14ac:dyDescent="0.25">
      <c r="N1504" s="55"/>
    </row>
    <row r="1505" spans="14:14" x14ac:dyDescent="0.25">
      <c r="N1505" s="55"/>
    </row>
    <row r="1506" spans="14:14" x14ac:dyDescent="0.25">
      <c r="N1506" s="55"/>
    </row>
    <row r="1507" spans="14:14" x14ac:dyDescent="0.25">
      <c r="N1507" s="55"/>
    </row>
    <row r="1508" spans="14:14" x14ac:dyDescent="0.25">
      <c r="N1508" s="55"/>
    </row>
    <row r="1509" spans="14:14" x14ac:dyDescent="0.25">
      <c r="N1509" s="55"/>
    </row>
    <row r="1510" spans="14:14" x14ac:dyDescent="0.25">
      <c r="N1510" s="55"/>
    </row>
    <row r="1511" spans="14:14" x14ac:dyDescent="0.25">
      <c r="N1511" s="55"/>
    </row>
    <row r="1512" spans="14:14" x14ac:dyDescent="0.25">
      <c r="N1512" s="55"/>
    </row>
    <row r="1513" spans="14:14" x14ac:dyDescent="0.25">
      <c r="N1513" s="55"/>
    </row>
    <row r="1514" spans="14:14" x14ac:dyDescent="0.25">
      <c r="N1514" s="55"/>
    </row>
    <row r="1515" spans="14:14" x14ac:dyDescent="0.25">
      <c r="N1515" s="55"/>
    </row>
    <row r="1516" spans="14:14" x14ac:dyDescent="0.25">
      <c r="N1516" s="55"/>
    </row>
    <row r="1517" spans="14:14" x14ac:dyDescent="0.25">
      <c r="N1517" s="55"/>
    </row>
    <row r="1518" spans="14:14" x14ac:dyDescent="0.25">
      <c r="N1518" s="55"/>
    </row>
    <row r="1519" spans="14:14" x14ac:dyDescent="0.25">
      <c r="N1519" s="55"/>
    </row>
    <row r="1520" spans="14:14" x14ac:dyDescent="0.25">
      <c r="N1520" s="55"/>
    </row>
    <row r="1521" spans="14:14" x14ac:dyDescent="0.25">
      <c r="N1521" s="55"/>
    </row>
    <row r="1522" spans="14:14" x14ac:dyDescent="0.25">
      <c r="N1522" s="55"/>
    </row>
    <row r="1523" spans="14:14" x14ac:dyDescent="0.25">
      <c r="N1523" s="55"/>
    </row>
    <row r="1524" spans="14:14" x14ac:dyDescent="0.25">
      <c r="N1524" s="55"/>
    </row>
    <row r="1525" spans="14:14" x14ac:dyDescent="0.25">
      <c r="N1525" s="55"/>
    </row>
    <row r="1526" spans="14:14" x14ac:dyDescent="0.25">
      <c r="N1526" s="55"/>
    </row>
    <row r="1527" spans="14:14" x14ac:dyDescent="0.25">
      <c r="N1527" s="55"/>
    </row>
    <row r="1528" spans="14:14" x14ac:dyDescent="0.25">
      <c r="N1528" s="55"/>
    </row>
    <row r="1529" spans="14:14" x14ac:dyDescent="0.25">
      <c r="N1529" s="55"/>
    </row>
    <row r="1530" spans="14:14" x14ac:dyDescent="0.25">
      <c r="N1530" s="55"/>
    </row>
    <row r="1531" spans="14:14" x14ac:dyDescent="0.25">
      <c r="N1531" s="55"/>
    </row>
    <row r="1532" spans="14:14" x14ac:dyDescent="0.25">
      <c r="N1532" s="55"/>
    </row>
    <row r="1533" spans="14:14" x14ac:dyDescent="0.25">
      <c r="N1533" s="55"/>
    </row>
    <row r="1534" spans="14:14" x14ac:dyDescent="0.25">
      <c r="N1534" s="55"/>
    </row>
    <row r="1535" spans="14:14" x14ac:dyDescent="0.25">
      <c r="N1535" s="55"/>
    </row>
    <row r="1536" spans="14:14" x14ac:dyDescent="0.25">
      <c r="N1536" s="55"/>
    </row>
    <row r="1537" spans="14:14" x14ac:dyDescent="0.25">
      <c r="N1537" s="55"/>
    </row>
    <row r="1538" spans="14:14" x14ac:dyDescent="0.25">
      <c r="N1538" s="55"/>
    </row>
    <row r="1539" spans="14:14" x14ac:dyDescent="0.25">
      <c r="N1539" s="55"/>
    </row>
    <row r="1540" spans="14:14" x14ac:dyDescent="0.25">
      <c r="N1540" s="55"/>
    </row>
    <row r="1541" spans="14:14" x14ac:dyDescent="0.25">
      <c r="N1541" s="55"/>
    </row>
    <row r="1542" spans="14:14" x14ac:dyDescent="0.25">
      <c r="N1542" s="55"/>
    </row>
    <row r="1543" spans="14:14" x14ac:dyDescent="0.25">
      <c r="N1543" s="55"/>
    </row>
    <row r="1544" spans="14:14" x14ac:dyDescent="0.25">
      <c r="N1544" s="55"/>
    </row>
    <row r="1545" spans="14:14" x14ac:dyDescent="0.25">
      <c r="N1545" s="55"/>
    </row>
    <row r="1546" spans="14:14" x14ac:dyDescent="0.25">
      <c r="N1546" s="55"/>
    </row>
    <row r="1547" spans="14:14" x14ac:dyDescent="0.25">
      <c r="N1547" s="55"/>
    </row>
    <row r="1548" spans="14:14" x14ac:dyDescent="0.25">
      <c r="N1548" s="55"/>
    </row>
    <row r="1549" spans="14:14" x14ac:dyDescent="0.25">
      <c r="N1549" s="55"/>
    </row>
    <row r="1550" spans="14:14" x14ac:dyDescent="0.25">
      <c r="N1550" s="55"/>
    </row>
    <row r="1551" spans="14:14" x14ac:dyDescent="0.25">
      <c r="N1551" s="55"/>
    </row>
    <row r="1552" spans="14:14" x14ac:dyDescent="0.25">
      <c r="N1552" s="55"/>
    </row>
    <row r="1553" spans="14:14" x14ac:dyDescent="0.25">
      <c r="N1553" s="55"/>
    </row>
    <row r="1554" spans="14:14" x14ac:dyDescent="0.25">
      <c r="N1554" s="55"/>
    </row>
    <row r="1555" spans="14:14" x14ac:dyDescent="0.25">
      <c r="N1555" s="55"/>
    </row>
    <row r="1556" spans="14:14" x14ac:dyDescent="0.25">
      <c r="N1556" s="55"/>
    </row>
    <row r="1557" spans="14:14" x14ac:dyDescent="0.25">
      <c r="N1557" s="55"/>
    </row>
    <row r="1558" spans="14:14" x14ac:dyDescent="0.25">
      <c r="N1558" s="55"/>
    </row>
    <row r="1559" spans="14:14" x14ac:dyDescent="0.25">
      <c r="N1559" s="55"/>
    </row>
    <row r="1560" spans="14:14" x14ac:dyDescent="0.25">
      <c r="N1560" s="55"/>
    </row>
    <row r="1561" spans="14:14" x14ac:dyDescent="0.25">
      <c r="N1561" s="55"/>
    </row>
    <row r="1562" spans="14:14" x14ac:dyDescent="0.25">
      <c r="N1562" s="55"/>
    </row>
    <row r="1563" spans="14:14" x14ac:dyDescent="0.25">
      <c r="N1563" s="55"/>
    </row>
    <row r="1564" spans="14:14" x14ac:dyDescent="0.25">
      <c r="N1564" s="55"/>
    </row>
    <row r="1565" spans="14:14" x14ac:dyDescent="0.25">
      <c r="N1565" s="55"/>
    </row>
    <row r="1566" spans="14:14" x14ac:dyDescent="0.25">
      <c r="N1566" s="55"/>
    </row>
    <row r="1567" spans="14:14" x14ac:dyDescent="0.25">
      <c r="N1567" s="55"/>
    </row>
    <row r="1568" spans="14:14" x14ac:dyDescent="0.25">
      <c r="N1568" s="55"/>
    </row>
    <row r="1569" spans="14:14" x14ac:dyDescent="0.25">
      <c r="N1569" s="55"/>
    </row>
    <row r="1570" spans="14:14" x14ac:dyDescent="0.25">
      <c r="N1570" s="55"/>
    </row>
    <row r="1571" spans="14:14" x14ac:dyDescent="0.25">
      <c r="N1571" s="55"/>
    </row>
    <row r="1572" spans="14:14" x14ac:dyDescent="0.25">
      <c r="N1572" s="55"/>
    </row>
    <row r="1573" spans="14:14" x14ac:dyDescent="0.25">
      <c r="N1573" s="55"/>
    </row>
    <row r="1574" spans="14:14" x14ac:dyDescent="0.25">
      <c r="N1574" s="55"/>
    </row>
    <row r="1575" spans="14:14" x14ac:dyDescent="0.25">
      <c r="N1575" s="55"/>
    </row>
    <row r="1576" spans="14:14" x14ac:dyDescent="0.25">
      <c r="N1576" s="55"/>
    </row>
    <row r="1577" spans="14:14" x14ac:dyDescent="0.25">
      <c r="N1577" s="55"/>
    </row>
    <row r="1578" spans="14:14" x14ac:dyDescent="0.25">
      <c r="N1578" s="55"/>
    </row>
    <row r="1579" spans="14:14" x14ac:dyDescent="0.25">
      <c r="N1579" s="55"/>
    </row>
    <row r="1580" spans="14:14" x14ac:dyDescent="0.25">
      <c r="N1580" s="55"/>
    </row>
    <row r="1581" spans="14:14" x14ac:dyDescent="0.25">
      <c r="N1581" s="55"/>
    </row>
    <row r="1582" spans="14:14" x14ac:dyDescent="0.25">
      <c r="N1582" s="55"/>
    </row>
    <row r="1583" spans="14:14" x14ac:dyDescent="0.25">
      <c r="N1583" s="55"/>
    </row>
    <row r="1584" spans="14:14" x14ac:dyDescent="0.25">
      <c r="N1584" s="55"/>
    </row>
    <row r="1585" spans="14:14" x14ac:dyDescent="0.25">
      <c r="N1585" s="55"/>
    </row>
    <row r="1586" spans="14:14" x14ac:dyDescent="0.25">
      <c r="N1586" s="55"/>
    </row>
    <row r="1587" spans="14:14" x14ac:dyDescent="0.25">
      <c r="N1587" s="55"/>
    </row>
    <row r="1588" spans="14:14" x14ac:dyDescent="0.25">
      <c r="N1588" s="55"/>
    </row>
    <row r="1589" spans="14:14" x14ac:dyDescent="0.25">
      <c r="N1589" s="55"/>
    </row>
    <row r="1590" spans="14:14" x14ac:dyDescent="0.25">
      <c r="N1590" s="55"/>
    </row>
    <row r="1591" spans="14:14" x14ac:dyDescent="0.25">
      <c r="N1591" s="55"/>
    </row>
    <row r="1592" spans="14:14" x14ac:dyDescent="0.25">
      <c r="N1592" s="55"/>
    </row>
    <row r="1593" spans="14:14" x14ac:dyDescent="0.25">
      <c r="N1593" s="55"/>
    </row>
    <row r="1594" spans="14:14" x14ac:dyDescent="0.25">
      <c r="N1594" s="55"/>
    </row>
    <row r="1595" spans="14:14" x14ac:dyDescent="0.25">
      <c r="N1595" s="55"/>
    </row>
    <row r="1596" spans="14:14" x14ac:dyDescent="0.25">
      <c r="N1596" s="55"/>
    </row>
    <row r="1597" spans="14:14" x14ac:dyDescent="0.25">
      <c r="N1597" s="55"/>
    </row>
    <row r="1598" spans="14:14" x14ac:dyDescent="0.25">
      <c r="N1598" s="55"/>
    </row>
    <row r="1599" spans="14:14" x14ac:dyDescent="0.25">
      <c r="N1599" s="55"/>
    </row>
    <row r="1600" spans="14:14" x14ac:dyDescent="0.25">
      <c r="N1600" s="55"/>
    </row>
    <row r="1601" spans="14:14" x14ac:dyDescent="0.25">
      <c r="N1601" s="55"/>
    </row>
    <row r="1602" spans="14:14" x14ac:dyDescent="0.25">
      <c r="N1602" s="55"/>
    </row>
    <row r="1603" spans="14:14" x14ac:dyDescent="0.25">
      <c r="N1603" s="55"/>
    </row>
    <row r="1604" spans="14:14" x14ac:dyDescent="0.25">
      <c r="N1604" s="55"/>
    </row>
    <row r="1605" spans="14:14" x14ac:dyDescent="0.25">
      <c r="N1605" s="55"/>
    </row>
    <row r="1606" spans="14:14" x14ac:dyDescent="0.25">
      <c r="N1606" s="55"/>
    </row>
    <row r="1607" spans="14:14" x14ac:dyDescent="0.25">
      <c r="N1607" s="55"/>
    </row>
    <row r="1608" spans="14:14" x14ac:dyDescent="0.25">
      <c r="N1608" s="55"/>
    </row>
    <row r="1609" spans="14:14" x14ac:dyDescent="0.25">
      <c r="N1609" s="55"/>
    </row>
    <row r="1610" spans="14:14" x14ac:dyDescent="0.25">
      <c r="N1610" s="55"/>
    </row>
    <row r="1611" spans="14:14" x14ac:dyDescent="0.25">
      <c r="N1611" s="55"/>
    </row>
    <row r="1612" spans="14:14" x14ac:dyDescent="0.25">
      <c r="N1612" s="55"/>
    </row>
    <row r="1613" spans="14:14" x14ac:dyDescent="0.25">
      <c r="N1613" s="55"/>
    </row>
    <row r="1614" spans="14:14" x14ac:dyDescent="0.25">
      <c r="N1614" s="55"/>
    </row>
    <row r="1615" spans="14:14" x14ac:dyDescent="0.25">
      <c r="N1615" s="55"/>
    </row>
    <row r="1616" spans="14:14" x14ac:dyDescent="0.25">
      <c r="N1616" s="55"/>
    </row>
    <row r="1617" spans="14:14" x14ac:dyDescent="0.25">
      <c r="N1617" s="55"/>
    </row>
    <row r="1618" spans="14:14" x14ac:dyDescent="0.25">
      <c r="N1618" s="55"/>
    </row>
    <row r="1619" spans="14:14" x14ac:dyDescent="0.25">
      <c r="N1619" s="55"/>
    </row>
    <row r="1620" spans="14:14" x14ac:dyDescent="0.25">
      <c r="N1620" s="55"/>
    </row>
    <row r="1621" spans="14:14" x14ac:dyDescent="0.25">
      <c r="N1621" s="55"/>
    </row>
    <row r="1622" spans="14:14" x14ac:dyDescent="0.25">
      <c r="N1622" s="55"/>
    </row>
    <row r="1623" spans="14:14" x14ac:dyDescent="0.25">
      <c r="N1623" s="55"/>
    </row>
    <row r="1624" spans="14:14" x14ac:dyDescent="0.25">
      <c r="N1624" s="55"/>
    </row>
    <row r="1625" spans="14:14" x14ac:dyDescent="0.25">
      <c r="N1625" s="55"/>
    </row>
    <row r="1626" spans="14:14" x14ac:dyDescent="0.25">
      <c r="N1626" s="55"/>
    </row>
    <row r="1627" spans="14:14" x14ac:dyDescent="0.25">
      <c r="N1627" s="55"/>
    </row>
    <row r="1628" spans="14:14" x14ac:dyDescent="0.25">
      <c r="N1628" s="55"/>
    </row>
    <row r="1629" spans="14:14" x14ac:dyDescent="0.25">
      <c r="N1629" s="55"/>
    </row>
    <row r="1630" spans="14:14" x14ac:dyDescent="0.25">
      <c r="N1630" s="55"/>
    </row>
    <row r="1631" spans="14:14" x14ac:dyDescent="0.25">
      <c r="N1631" s="55"/>
    </row>
    <row r="1632" spans="14:14" x14ac:dyDescent="0.25">
      <c r="N1632" s="55"/>
    </row>
    <row r="1633" spans="14:14" x14ac:dyDescent="0.25">
      <c r="N1633" s="55"/>
    </row>
    <row r="1634" spans="14:14" x14ac:dyDescent="0.25">
      <c r="N1634" s="55"/>
    </row>
    <row r="1635" spans="14:14" x14ac:dyDescent="0.25">
      <c r="N1635" s="55"/>
    </row>
    <row r="1636" spans="14:14" x14ac:dyDescent="0.25">
      <c r="N1636" s="55"/>
    </row>
    <row r="1637" spans="14:14" x14ac:dyDescent="0.25">
      <c r="N1637" s="55"/>
    </row>
    <row r="1638" spans="14:14" x14ac:dyDescent="0.25">
      <c r="N1638" s="55"/>
    </row>
    <row r="1639" spans="14:14" x14ac:dyDescent="0.25">
      <c r="N1639" s="55"/>
    </row>
    <row r="1640" spans="14:14" x14ac:dyDescent="0.25">
      <c r="N1640" s="55"/>
    </row>
    <row r="1641" spans="14:14" x14ac:dyDescent="0.25">
      <c r="N1641" s="55"/>
    </row>
    <row r="1642" spans="14:14" x14ac:dyDescent="0.25">
      <c r="N1642" s="55"/>
    </row>
    <row r="1643" spans="14:14" x14ac:dyDescent="0.25">
      <c r="N1643" s="55"/>
    </row>
    <row r="1644" spans="14:14" x14ac:dyDescent="0.25">
      <c r="N1644" s="55"/>
    </row>
    <row r="1645" spans="14:14" x14ac:dyDescent="0.25">
      <c r="N1645" s="55"/>
    </row>
    <row r="1646" spans="14:14" x14ac:dyDescent="0.25">
      <c r="N1646" s="55"/>
    </row>
    <row r="1647" spans="14:14" x14ac:dyDescent="0.25">
      <c r="N1647" s="55"/>
    </row>
    <row r="1648" spans="14:14" x14ac:dyDescent="0.25">
      <c r="N1648" s="55"/>
    </row>
    <row r="1649" spans="14:14" x14ac:dyDescent="0.25">
      <c r="N1649" s="55"/>
    </row>
    <row r="1650" spans="14:14" x14ac:dyDescent="0.25">
      <c r="N1650" s="55"/>
    </row>
    <row r="1651" spans="14:14" x14ac:dyDescent="0.25">
      <c r="N1651" s="55"/>
    </row>
    <row r="1652" spans="14:14" x14ac:dyDescent="0.25">
      <c r="N1652" s="55"/>
    </row>
    <row r="1653" spans="14:14" x14ac:dyDescent="0.25">
      <c r="N1653" s="55"/>
    </row>
    <row r="1654" spans="14:14" x14ac:dyDescent="0.25">
      <c r="N1654" s="55"/>
    </row>
    <row r="1655" spans="14:14" x14ac:dyDescent="0.25">
      <c r="N1655" s="55"/>
    </row>
    <row r="1656" spans="14:14" x14ac:dyDescent="0.25">
      <c r="N1656" s="55"/>
    </row>
    <row r="1657" spans="14:14" x14ac:dyDescent="0.25">
      <c r="N1657" s="55"/>
    </row>
    <row r="1658" spans="14:14" x14ac:dyDescent="0.25">
      <c r="N1658" s="55"/>
    </row>
    <row r="1659" spans="14:14" x14ac:dyDescent="0.25">
      <c r="N1659" s="55"/>
    </row>
    <row r="1660" spans="14:14" x14ac:dyDescent="0.25">
      <c r="N1660" s="55"/>
    </row>
    <row r="1661" spans="14:14" x14ac:dyDescent="0.25">
      <c r="N1661" s="55"/>
    </row>
    <row r="1662" spans="14:14" x14ac:dyDescent="0.25">
      <c r="N1662" s="55"/>
    </row>
    <row r="1663" spans="14:14" x14ac:dyDescent="0.25">
      <c r="N1663" s="55"/>
    </row>
    <row r="1664" spans="14:14" x14ac:dyDescent="0.25">
      <c r="N1664" s="55"/>
    </row>
    <row r="1665" spans="14:14" x14ac:dyDescent="0.25">
      <c r="N1665" s="55"/>
    </row>
    <row r="1666" spans="14:14" x14ac:dyDescent="0.25">
      <c r="N1666" s="55"/>
    </row>
    <row r="1667" spans="14:14" x14ac:dyDescent="0.25">
      <c r="N1667" s="55"/>
    </row>
    <row r="1668" spans="14:14" x14ac:dyDescent="0.25">
      <c r="N1668" s="55"/>
    </row>
    <row r="1669" spans="14:14" x14ac:dyDescent="0.25">
      <c r="N1669" s="55"/>
    </row>
    <row r="1670" spans="14:14" x14ac:dyDescent="0.25">
      <c r="N1670" s="55"/>
    </row>
    <row r="1671" spans="14:14" x14ac:dyDescent="0.25">
      <c r="N1671" s="55"/>
    </row>
    <row r="1672" spans="14:14" x14ac:dyDescent="0.25">
      <c r="N1672" s="55"/>
    </row>
    <row r="1673" spans="14:14" x14ac:dyDescent="0.25">
      <c r="N1673" s="55"/>
    </row>
    <row r="1674" spans="14:14" x14ac:dyDescent="0.25">
      <c r="N1674" s="55"/>
    </row>
    <row r="1675" spans="14:14" x14ac:dyDescent="0.25">
      <c r="N1675" s="55"/>
    </row>
    <row r="1676" spans="14:14" x14ac:dyDescent="0.25">
      <c r="N1676" s="55"/>
    </row>
    <row r="1677" spans="14:14" x14ac:dyDescent="0.25">
      <c r="N1677" s="55"/>
    </row>
    <row r="1678" spans="14:14" x14ac:dyDescent="0.25">
      <c r="N1678" s="55"/>
    </row>
    <row r="1679" spans="14:14" x14ac:dyDescent="0.25">
      <c r="N1679" s="55"/>
    </row>
    <row r="1680" spans="14:14" x14ac:dyDescent="0.25">
      <c r="N1680" s="55"/>
    </row>
    <row r="1681" spans="14:14" x14ac:dyDescent="0.25">
      <c r="N1681" s="55"/>
    </row>
    <row r="1682" spans="14:14" x14ac:dyDescent="0.25">
      <c r="N1682" s="55"/>
    </row>
    <row r="1683" spans="14:14" x14ac:dyDescent="0.25">
      <c r="N1683" s="55"/>
    </row>
    <row r="1684" spans="14:14" x14ac:dyDescent="0.25">
      <c r="N1684" s="55"/>
    </row>
    <row r="1685" spans="14:14" x14ac:dyDescent="0.25">
      <c r="N1685" s="55"/>
    </row>
    <row r="1686" spans="14:14" x14ac:dyDescent="0.25">
      <c r="N1686" s="55"/>
    </row>
    <row r="1687" spans="14:14" x14ac:dyDescent="0.25">
      <c r="N1687" s="55"/>
    </row>
    <row r="1688" spans="14:14" x14ac:dyDescent="0.25">
      <c r="N1688" s="55"/>
    </row>
    <row r="1689" spans="14:14" x14ac:dyDescent="0.25">
      <c r="N1689" s="55"/>
    </row>
    <row r="1690" spans="14:14" x14ac:dyDescent="0.25">
      <c r="N1690" s="55"/>
    </row>
    <row r="1691" spans="14:14" x14ac:dyDescent="0.25">
      <c r="N1691" s="55"/>
    </row>
    <row r="1692" spans="14:14" x14ac:dyDescent="0.25">
      <c r="N1692" s="55"/>
    </row>
    <row r="1693" spans="14:14" x14ac:dyDescent="0.25">
      <c r="N1693" s="55"/>
    </row>
    <row r="1694" spans="14:14" x14ac:dyDescent="0.25">
      <c r="N1694" s="55"/>
    </row>
    <row r="1695" spans="14:14" x14ac:dyDescent="0.25">
      <c r="N1695" s="55"/>
    </row>
    <row r="1696" spans="14:14" x14ac:dyDescent="0.25">
      <c r="N1696" s="55"/>
    </row>
    <row r="1697" spans="14:14" x14ac:dyDescent="0.25">
      <c r="N1697" s="55"/>
    </row>
    <row r="1698" spans="14:14" x14ac:dyDescent="0.25">
      <c r="N1698" s="55"/>
    </row>
    <row r="1699" spans="14:14" x14ac:dyDescent="0.25">
      <c r="N1699" s="55"/>
    </row>
    <row r="1700" spans="14:14" x14ac:dyDescent="0.25">
      <c r="N1700" s="55"/>
    </row>
    <row r="1701" spans="14:14" x14ac:dyDescent="0.25">
      <c r="N1701" s="55"/>
    </row>
    <row r="1702" spans="14:14" x14ac:dyDescent="0.25">
      <c r="N1702" s="55"/>
    </row>
    <row r="1703" spans="14:14" x14ac:dyDescent="0.25">
      <c r="N1703" s="55"/>
    </row>
    <row r="1704" spans="14:14" x14ac:dyDescent="0.25">
      <c r="N1704" s="55"/>
    </row>
    <row r="1705" spans="14:14" x14ac:dyDescent="0.25">
      <c r="N1705" s="55"/>
    </row>
    <row r="1706" spans="14:14" x14ac:dyDescent="0.25">
      <c r="N1706" s="55"/>
    </row>
    <row r="1707" spans="14:14" x14ac:dyDescent="0.25">
      <c r="N1707" s="55"/>
    </row>
    <row r="1708" spans="14:14" x14ac:dyDescent="0.25">
      <c r="N1708" s="55"/>
    </row>
    <row r="1709" spans="14:14" x14ac:dyDescent="0.25">
      <c r="N1709" s="55"/>
    </row>
    <row r="1710" spans="14:14" x14ac:dyDescent="0.25">
      <c r="N1710" s="55"/>
    </row>
    <row r="1711" spans="14:14" x14ac:dyDescent="0.25">
      <c r="N1711" s="55"/>
    </row>
    <row r="1712" spans="14:14" x14ac:dyDescent="0.25">
      <c r="N1712" s="55"/>
    </row>
    <row r="1713" spans="14:14" x14ac:dyDescent="0.25">
      <c r="N1713" s="55"/>
    </row>
    <row r="1714" spans="14:14" x14ac:dyDescent="0.25">
      <c r="N1714" s="55"/>
    </row>
    <row r="1715" spans="14:14" x14ac:dyDescent="0.25">
      <c r="N1715" s="55"/>
    </row>
    <row r="1716" spans="14:14" x14ac:dyDescent="0.25">
      <c r="N1716" s="55"/>
    </row>
    <row r="1717" spans="14:14" x14ac:dyDescent="0.25">
      <c r="N1717" s="55"/>
    </row>
    <row r="1718" spans="14:14" x14ac:dyDescent="0.25">
      <c r="N1718" s="55"/>
    </row>
    <row r="1719" spans="14:14" x14ac:dyDescent="0.25">
      <c r="N1719" s="55"/>
    </row>
    <row r="1720" spans="14:14" x14ac:dyDescent="0.25">
      <c r="N1720" s="55"/>
    </row>
    <row r="1721" spans="14:14" x14ac:dyDescent="0.25">
      <c r="N1721" s="55"/>
    </row>
    <row r="1722" spans="14:14" x14ac:dyDescent="0.25">
      <c r="N1722" s="55"/>
    </row>
    <row r="1723" spans="14:14" x14ac:dyDescent="0.25">
      <c r="N1723" s="55"/>
    </row>
    <row r="1724" spans="14:14" x14ac:dyDescent="0.25">
      <c r="N1724" s="55"/>
    </row>
    <row r="1725" spans="14:14" x14ac:dyDescent="0.25">
      <c r="N1725" s="55"/>
    </row>
    <row r="1726" spans="14:14" x14ac:dyDescent="0.25">
      <c r="N1726" s="55"/>
    </row>
    <row r="1727" spans="14:14" x14ac:dyDescent="0.25">
      <c r="N1727" s="55"/>
    </row>
    <row r="1728" spans="14:14" x14ac:dyDescent="0.25">
      <c r="N1728" s="55"/>
    </row>
    <row r="1729" spans="14:14" x14ac:dyDescent="0.25">
      <c r="N1729" s="55"/>
    </row>
    <row r="1730" spans="14:14" x14ac:dyDescent="0.25">
      <c r="N1730" s="55"/>
    </row>
    <row r="1731" spans="14:14" x14ac:dyDescent="0.25">
      <c r="N1731" s="55"/>
    </row>
    <row r="1732" spans="14:14" x14ac:dyDescent="0.25">
      <c r="N1732" s="55"/>
    </row>
    <row r="1733" spans="14:14" x14ac:dyDescent="0.25">
      <c r="N1733" s="55"/>
    </row>
    <row r="1734" spans="14:14" x14ac:dyDescent="0.25">
      <c r="N1734" s="55"/>
    </row>
    <row r="1735" spans="14:14" x14ac:dyDescent="0.25">
      <c r="N1735" s="55"/>
    </row>
    <row r="1736" spans="14:14" x14ac:dyDescent="0.25">
      <c r="N1736" s="55"/>
    </row>
    <row r="1737" spans="14:14" x14ac:dyDescent="0.25">
      <c r="N1737" s="55"/>
    </row>
    <row r="1738" spans="14:14" x14ac:dyDescent="0.25">
      <c r="N1738" s="55"/>
    </row>
    <row r="1739" spans="14:14" x14ac:dyDescent="0.25">
      <c r="N1739" s="55"/>
    </row>
    <row r="1740" spans="14:14" x14ac:dyDescent="0.25">
      <c r="N1740" s="55"/>
    </row>
    <row r="1741" spans="14:14" x14ac:dyDescent="0.25">
      <c r="N1741" s="55"/>
    </row>
    <row r="1742" spans="14:14" x14ac:dyDescent="0.25">
      <c r="N1742" s="55"/>
    </row>
    <row r="1743" spans="14:14" x14ac:dyDescent="0.25">
      <c r="N1743" s="55"/>
    </row>
    <row r="1744" spans="14:14" x14ac:dyDescent="0.25">
      <c r="N1744" s="55"/>
    </row>
    <row r="1745" spans="14:14" x14ac:dyDescent="0.25">
      <c r="N1745" s="55"/>
    </row>
    <row r="1746" spans="14:14" x14ac:dyDescent="0.25">
      <c r="N1746" s="55"/>
    </row>
    <row r="1747" spans="14:14" x14ac:dyDescent="0.25">
      <c r="N1747" s="55"/>
    </row>
    <row r="1748" spans="14:14" x14ac:dyDescent="0.25">
      <c r="N1748" s="55"/>
    </row>
    <row r="1749" spans="14:14" x14ac:dyDescent="0.25">
      <c r="N1749" s="55"/>
    </row>
    <row r="1750" spans="14:14" x14ac:dyDescent="0.25">
      <c r="N1750" s="55"/>
    </row>
    <row r="1751" spans="14:14" x14ac:dyDescent="0.25">
      <c r="N1751" s="55"/>
    </row>
    <row r="1752" spans="14:14" x14ac:dyDescent="0.25">
      <c r="N1752" s="55"/>
    </row>
    <row r="1753" spans="14:14" x14ac:dyDescent="0.25">
      <c r="N1753" s="55"/>
    </row>
    <row r="1754" spans="14:14" x14ac:dyDescent="0.25">
      <c r="N1754" s="55"/>
    </row>
    <row r="1755" spans="14:14" x14ac:dyDescent="0.25">
      <c r="N1755" s="55"/>
    </row>
    <row r="1756" spans="14:14" x14ac:dyDescent="0.25">
      <c r="N1756" s="55"/>
    </row>
    <row r="1757" spans="14:14" x14ac:dyDescent="0.25">
      <c r="N1757" s="55"/>
    </row>
    <row r="1758" spans="14:14" x14ac:dyDescent="0.25">
      <c r="N1758" s="55"/>
    </row>
    <row r="1759" spans="14:14" x14ac:dyDescent="0.25">
      <c r="N1759" s="55"/>
    </row>
    <row r="1760" spans="14:14" x14ac:dyDescent="0.25">
      <c r="N1760" s="55"/>
    </row>
    <row r="1761" spans="14:14" x14ac:dyDescent="0.25">
      <c r="N1761" s="55"/>
    </row>
    <row r="1762" spans="14:14" x14ac:dyDescent="0.25">
      <c r="N1762" s="55"/>
    </row>
    <row r="1763" spans="14:14" x14ac:dyDescent="0.25">
      <c r="N1763" s="55"/>
    </row>
    <row r="1764" spans="14:14" x14ac:dyDescent="0.25">
      <c r="N1764" s="55"/>
    </row>
    <row r="1765" spans="14:14" x14ac:dyDescent="0.25">
      <c r="N1765" s="55"/>
    </row>
    <row r="1766" spans="14:14" x14ac:dyDescent="0.25">
      <c r="N1766" s="55"/>
    </row>
    <row r="1767" spans="14:14" x14ac:dyDescent="0.25">
      <c r="N1767" s="55"/>
    </row>
    <row r="1768" spans="14:14" x14ac:dyDescent="0.25">
      <c r="N1768" s="55"/>
    </row>
    <row r="1769" spans="14:14" x14ac:dyDescent="0.25">
      <c r="N1769" s="55"/>
    </row>
    <row r="1770" spans="14:14" x14ac:dyDescent="0.25">
      <c r="N1770" s="55"/>
    </row>
    <row r="1771" spans="14:14" x14ac:dyDescent="0.25">
      <c r="N1771" s="55"/>
    </row>
    <row r="1772" spans="14:14" x14ac:dyDescent="0.25">
      <c r="N1772" s="55"/>
    </row>
    <row r="1773" spans="14:14" x14ac:dyDescent="0.25">
      <c r="N1773" s="55"/>
    </row>
    <row r="1774" spans="14:14" x14ac:dyDescent="0.25">
      <c r="N1774" s="55"/>
    </row>
    <row r="1775" spans="14:14" x14ac:dyDescent="0.25">
      <c r="N1775" s="55"/>
    </row>
    <row r="1776" spans="14:14" x14ac:dyDescent="0.25">
      <c r="N1776" s="55"/>
    </row>
    <row r="1777" spans="14:14" x14ac:dyDescent="0.25">
      <c r="N1777" s="55"/>
    </row>
    <row r="1778" spans="14:14" x14ac:dyDescent="0.25">
      <c r="N1778" s="55"/>
    </row>
    <row r="1779" spans="14:14" x14ac:dyDescent="0.25">
      <c r="N1779" s="55"/>
    </row>
    <row r="1780" spans="14:14" x14ac:dyDescent="0.25">
      <c r="N1780" s="55"/>
    </row>
    <row r="1781" spans="14:14" x14ac:dyDescent="0.25">
      <c r="N1781" s="55"/>
    </row>
    <row r="1782" spans="14:14" x14ac:dyDescent="0.25">
      <c r="N1782" s="55"/>
    </row>
    <row r="1783" spans="14:14" x14ac:dyDescent="0.25">
      <c r="N1783" s="55"/>
    </row>
    <row r="1784" spans="14:14" x14ac:dyDescent="0.25">
      <c r="N1784" s="55"/>
    </row>
    <row r="1785" spans="14:14" x14ac:dyDescent="0.25">
      <c r="N1785" s="55"/>
    </row>
    <row r="1786" spans="14:14" x14ac:dyDescent="0.25">
      <c r="N1786" s="55"/>
    </row>
    <row r="1787" spans="14:14" x14ac:dyDescent="0.25">
      <c r="N1787" s="55"/>
    </row>
    <row r="1788" spans="14:14" x14ac:dyDescent="0.25">
      <c r="N1788" s="55"/>
    </row>
    <row r="1789" spans="14:14" x14ac:dyDescent="0.25">
      <c r="N1789" s="55"/>
    </row>
    <row r="1790" spans="14:14" x14ac:dyDescent="0.25">
      <c r="N1790" s="55"/>
    </row>
    <row r="1791" spans="14:14" x14ac:dyDescent="0.25">
      <c r="N1791" s="55"/>
    </row>
    <row r="1792" spans="14:14" x14ac:dyDescent="0.25">
      <c r="N1792" s="55"/>
    </row>
    <row r="1793" spans="14:14" x14ac:dyDescent="0.25">
      <c r="N1793" s="55"/>
    </row>
    <row r="1794" spans="14:14" x14ac:dyDescent="0.25">
      <c r="N1794" s="55"/>
    </row>
    <row r="1795" spans="14:14" x14ac:dyDescent="0.25">
      <c r="N1795" s="55"/>
    </row>
    <row r="1796" spans="14:14" x14ac:dyDescent="0.25">
      <c r="N1796" s="55"/>
    </row>
    <row r="1797" spans="14:14" x14ac:dyDescent="0.25">
      <c r="N1797" s="55"/>
    </row>
    <row r="1798" spans="14:14" x14ac:dyDescent="0.25">
      <c r="N1798" s="55"/>
    </row>
    <row r="1799" spans="14:14" x14ac:dyDescent="0.25">
      <c r="N1799" s="55"/>
    </row>
    <row r="1800" spans="14:14" x14ac:dyDescent="0.25">
      <c r="N1800" s="55"/>
    </row>
    <row r="1801" spans="14:14" x14ac:dyDescent="0.25">
      <c r="N1801" s="55"/>
    </row>
    <row r="1802" spans="14:14" x14ac:dyDescent="0.25">
      <c r="N1802" s="55"/>
    </row>
    <row r="1803" spans="14:14" x14ac:dyDescent="0.25">
      <c r="N1803" s="55"/>
    </row>
    <row r="1804" spans="14:14" x14ac:dyDescent="0.25">
      <c r="N1804" s="55"/>
    </row>
    <row r="1805" spans="14:14" x14ac:dyDescent="0.25">
      <c r="N1805" s="55"/>
    </row>
    <row r="1806" spans="14:14" x14ac:dyDescent="0.25">
      <c r="N1806" s="55"/>
    </row>
    <row r="1807" spans="14:14" x14ac:dyDescent="0.25">
      <c r="N1807" s="55"/>
    </row>
    <row r="1808" spans="14:14" x14ac:dyDescent="0.25">
      <c r="N1808" s="55"/>
    </row>
    <row r="1809" spans="14:14" x14ac:dyDescent="0.25">
      <c r="N1809" s="55"/>
    </row>
    <row r="1810" spans="14:14" x14ac:dyDescent="0.25">
      <c r="N1810" s="55"/>
    </row>
    <row r="1811" spans="14:14" x14ac:dyDescent="0.25">
      <c r="N1811" s="55"/>
    </row>
    <row r="1812" spans="14:14" x14ac:dyDescent="0.25">
      <c r="N1812" s="55"/>
    </row>
    <row r="1813" spans="14:14" x14ac:dyDescent="0.25">
      <c r="N1813" s="55"/>
    </row>
    <row r="1814" spans="14:14" x14ac:dyDescent="0.25">
      <c r="N1814" s="55"/>
    </row>
    <row r="1815" spans="14:14" x14ac:dyDescent="0.25">
      <c r="N1815" s="55"/>
    </row>
    <row r="1816" spans="14:14" x14ac:dyDescent="0.25">
      <c r="N1816" s="55"/>
    </row>
    <row r="1817" spans="14:14" x14ac:dyDescent="0.25">
      <c r="N1817" s="55"/>
    </row>
    <row r="1818" spans="14:14" x14ac:dyDescent="0.25">
      <c r="N1818" s="55"/>
    </row>
    <row r="1819" spans="14:14" x14ac:dyDescent="0.25">
      <c r="N1819" s="55"/>
    </row>
    <row r="1820" spans="14:14" x14ac:dyDescent="0.25">
      <c r="N1820" s="55"/>
    </row>
    <row r="1821" spans="14:14" x14ac:dyDescent="0.25">
      <c r="N1821" s="55"/>
    </row>
    <row r="1822" spans="14:14" x14ac:dyDescent="0.25">
      <c r="N1822" s="55"/>
    </row>
    <row r="1823" spans="14:14" x14ac:dyDescent="0.25">
      <c r="N1823" s="55"/>
    </row>
    <row r="1824" spans="14:14" x14ac:dyDescent="0.25">
      <c r="N1824" s="55"/>
    </row>
    <row r="1825" spans="14:14" x14ac:dyDescent="0.25">
      <c r="N1825" s="55"/>
    </row>
    <row r="1826" spans="14:14" x14ac:dyDescent="0.25">
      <c r="N1826" s="55"/>
    </row>
    <row r="1827" spans="14:14" x14ac:dyDescent="0.25">
      <c r="N1827" s="55"/>
    </row>
    <row r="1828" spans="14:14" x14ac:dyDescent="0.25">
      <c r="N1828" s="55"/>
    </row>
    <row r="1829" spans="14:14" x14ac:dyDescent="0.25">
      <c r="N1829" s="55"/>
    </row>
    <row r="1830" spans="14:14" x14ac:dyDescent="0.25">
      <c r="N1830" s="55"/>
    </row>
    <row r="1831" spans="14:14" x14ac:dyDescent="0.25">
      <c r="N1831" s="55"/>
    </row>
    <row r="1832" spans="14:14" x14ac:dyDescent="0.25">
      <c r="N1832" s="55"/>
    </row>
    <row r="1833" spans="14:14" x14ac:dyDescent="0.25">
      <c r="N1833" s="55"/>
    </row>
    <row r="1834" spans="14:14" x14ac:dyDescent="0.25">
      <c r="N1834" s="55"/>
    </row>
    <row r="1835" spans="14:14" x14ac:dyDescent="0.25">
      <c r="N1835" s="55"/>
    </row>
    <row r="1836" spans="14:14" x14ac:dyDescent="0.25">
      <c r="N1836" s="55"/>
    </row>
    <row r="1837" spans="14:14" x14ac:dyDescent="0.25">
      <c r="N1837" s="55"/>
    </row>
    <row r="1838" spans="14:14" x14ac:dyDescent="0.25">
      <c r="N1838" s="55"/>
    </row>
    <row r="1839" spans="14:14" x14ac:dyDescent="0.25">
      <c r="N1839" s="55"/>
    </row>
    <row r="1840" spans="14:14" x14ac:dyDescent="0.25">
      <c r="N1840" s="55"/>
    </row>
    <row r="1841" spans="14:14" x14ac:dyDescent="0.25">
      <c r="N1841" s="55"/>
    </row>
    <row r="1842" spans="14:14" x14ac:dyDescent="0.25">
      <c r="N1842" s="55"/>
    </row>
    <row r="1843" spans="14:14" x14ac:dyDescent="0.25">
      <c r="N1843" s="55"/>
    </row>
    <row r="1844" spans="14:14" x14ac:dyDescent="0.25">
      <c r="N1844" s="55"/>
    </row>
    <row r="1845" spans="14:14" x14ac:dyDescent="0.25">
      <c r="N1845" s="55"/>
    </row>
    <row r="1846" spans="14:14" x14ac:dyDescent="0.25">
      <c r="N1846" s="55"/>
    </row>
    <row r="1847" spans="14:14" x14ac:dyDescent="0.25">
      <c r="N1847" s="55"/>
    </row>
    <row r="1848" spans="14:14" x14ac:dyDescent="0.25">
      <c r="N1848" s="55"/>
    </row>
    <row r="1849" spans="14:14" x14ac:dyDescent="0.25">
      <c r="N1849" s="55"/>
    </row>
    <row r="1850" spans="14:14" x14ac:dyDescent="0.25">
      <c r="N1850" s="55"/>
    </row>
    <row r="1851" spans="14:14" x14ac:dyDescent="0.25">
      <c r="N1851" s="55"/>
    </row>
    <row r="1852" spans="14:14" x14ac:dyDescent="0.25">
      <c r="N1852" s="55"/>
    </row>
    <row r="1853" spans="14:14" x14ac:dyDescent="0.25">
      <c r="N1853" s="55"/>
    </row>
    <row r="1854" spans="14:14" x14ac:dyDescent="0.25">
      <c r="N1854" s="55"/>
    </row>
    <row r="1855" spans="14:14" x14ac:dyDescent="0.25">
      <c r="N1855" s="55"/>
    </row>
    <row r="1856" spans="14:14" x14ac:dyDescent="0.25">
      <c r="N1856" s="55"/>
    </row>
    <row r="1857" spans="14:14" x14ac:dyDescent="0.25">
      <c r="N1857" s="55"/>
    </row>
    <row r="1858" spans="14:14" x14ac:dyDescent="0.25">
      <c r="N1858" s="55"/>
    </row>
    <row r="1859" spans="14:14" x14ac:dyDescent="0.25">
      <c r="N1859" s="55"/>
    </row>
    <row r="1860" spans="14:14" x14ac:dyDescent="0.25">
      <c r="N1860" s="55"/>
    </row>
    <row r="1861" spans="14:14" x14ac:dyDescent="0.25">
      <c r="N1861" s="55"/>
    </row>
    <row r="1862" spans="14:14" x14ac:dyDescent="0.25">
      <c r="N1862" s="55"/>
    </row>
    <row r="1863" spans="14:14" x14ac:dyDescent="0.25">
      <c r="N1863" s="55"/>
    </row>
    <row r="1864" spans="14:14" x14ac:dyDescent="0.25">
      <c r="N1864" s="55"/>
    </row>
    <row r="1865" spans="14:14" x14ac:dyDescent="0.25">
      <c r="N1865" s="55"/>
    </row>
    <row r="1866" spans="14:14" x14ac:dyDescent="0.25">
      <c r="N1866" s="55"/>
    </row>
    <row r="1867" spans="14:14" x14ac:dyDescent="0.25">
      <c r="N1867" s="55"/>
    </row>
    <row r="1868" spans="14:14" x14ac:dyDescent="0.25">
      <c r="N1868" s="55"/>
    </row>
    <row r="1869" spans="14:14" x14ac:dyDescent="0.25">
      <c r="N1869" s="55"/>
    </row>
    <row r="1870" spans="14:14" x14ac:dyDescent="0.25">
      <c r="N1870" s="55"/>
    </row>
    <row r="1871" spans="14:14" x14ac:dyDescent="0.25">
      <c r="N1871" s="55"/>
    </row>
    <row r="1872" spans="14:14" x14ac:dyDescent="0.25">
      <c r="N1872" s="55"/>
    </row>
    <row r="1873" spans="14:14" x14ac:dyDescent="0.25">
      <c r="N1873" s="55"/>
    </row>
    <row r="1874" spans="14:14" x14ac:dyDescent="0.25">
      <c r="N1874" s="55"/>
    </row>
    <row r="1875" spans="14:14" x14ac:dyDescent="0.25">
      <c r="N1875" s="55"/>
    </row>
    <row r="1876" spans="14:14" x14ac:dyDescent="0.25">
      <c r="N1876" s="55"/>
    </row>
    <row r="1877" spans="14:14" x14ac:dyDescent="0.25">
      <c r="N1877" s="55"/>
    </row>
    <row r="1878" spans="14:14" x14ac:dyDescent="0.25">
      <c r="N1878" s="55"/>
    </row>
    <row r="1879" spans="14:14" x14ac:dyDescent="0.25">
      <c r="N1879" s="55"/>
    </row>
    <row r="1880" spans="14:14" x14ac:dyDescent="0.25">
      <c r="N1880" s="55"/>
    </row>
    <row r="1881" spans="14:14" x14ac:dyDescent="0.25">
      <c r="N1881" s="55"/>
    </row>
    <row r="1882" spans="14:14" x14ac:dyDescent="0.25">
      <c r="N1882" s="55"/>
    </row>
    <row r="1883" spans="14:14" x14ac:dyDescent="0.25">
      <c r="N1883" s="55"/>
    </row>
    <row r="1884" spans="14:14" x14ac:dyDescent="0.25">
      <c r="N1884" s="55"/>
    </row>
    <row r="1885" spans="14:14" x14ac:dyDescent="0.25">
      <c r="N1885" s="55"/>
    </row>
    <row r="1886" spans="14:14" x14ac:dyDescent="0.25">
      <c r="N1886" s="55"/>
    </row>
    <row r="1887" spans="14:14" x14ac:dyDescent="0.25">
      <c r="N1887" s="55"/>
    </row>
    <row r="1888" spans="14:14" x14ac:dyDescent="0.25">
      <c r="N1888" s="55"/>
    </row>
    <row r="1889" spans="14:14" x14ac:dyDescent="0.25">
      <c r="N1889" s="55"/>
    </row>
    <row r="1890" spans="14:14" x14ac:dyDescent="0.25">
      <c r="N1890" s="55"/>
    </row>
    <row r="1891" spans="14:14" x14ac:dyDescent="0.25">
      <c r="N1891" s="55"/>
    </row>
    <row r="1892" spans="14:14" x14ac:dyDescent="0.25">
      <c r="N1892" s="55"/>
    </row>
    <row r="1893" spans="14:14" x14ac:dyDescent="0.25">
      <c r="N1893" s="55"/>
    </row>
    <row r="1894" spans="14:14" x14ac:dyDescent="0.25">
      <c r="N1894" s="55"/>
    </row>
    <row r="1895" spans="14:14" x14ac:dyDescent="0.25">
      <c r="N1895" s="55"/>
    </row>
    <row r="1896" spans="14:14" x14ac:dyDescent="0.25">
      <c r="N1896" s="55"/>
    </row>
    <row r="1897" spans="14:14" x14ac:dyDescent="0.25">
      <c r="N1897" s="55"/>
    </row>
    <row r="1898" spans="14:14" x14ac:dyDescent="0.25">
      <c r="N1898" s="55"/>
    </row>
    <row r="1899" spans="14:14" x14ac:dyDescent="0.25">
      <c r="N1899" s="55"/>
    </row>
    <row r="1900" spans="14:14" x14ac:dyDescent="0.25">
      <c r="N1900" s="55"/>
    </row>
    <row r="1901" spans="14:14" x14ac:dyDescent="0.25">
      <c r="N1901" s="55"/>
    </row>
    <row r="1902" spans="14:14" x14ac:dyDescent="0.25">
      <c r="N1902" s="55"/>
    </row>
    <row r="1903" spans="14:14" x14ac:dyDescent="0.25">
      <c r="N1903" s="55"/>
    </row>
    <row r="1904" spans="14:14" x14ac:dyDescent="0.25">
      <c r="N1904" s="55"/>
    </row>
    <row r="1905" spans="14:14" x14ac:dyDescent="0.25">
      <c r="N1905" s="55"/>
    </row>
    <row r="1906" spans="14:14" x14ac:dyDescent="0.25">
      <c r="N1906" s="55"/>
    </row>
    <row r="1907" spans="14:14" x14ac:dyDescent="0.25">
      <c r="N1907" s="55"/>
    </row>
    <row r="1908" spans="14:14" x14ac:dyDescent="0.25">
      <c r="N1908" s="55"/>
    </row>
    <row r="1909" spans="14:14" x14ac:dyDescent="0.25">
      <c r="N1909" s="55"/>
    </row>
    <row r="1910" spans="14:14" x14ac:dyDescent="0.25">
      <c r="N1910" s="55"/>
    </row>
    <row r="1911" spans="14:14" x14ac:dyDescent="0.25">
      <c r="N1911" s="55"/>
    </row>
    <row r="1912" spans="14:14" x14ac:dyDescent="0.25">
      <c r="N1912" s="55"/>
    </row>
    <row r="1913" spans="14:14" x14ac:dyDescent="0.25">
      <c r="N1913" s="55"/>
    </row>
    <row r="1914" spans="14:14" x14ac:dyDescent="0.25">
      <c r="N1914" s="55"/>
    </row>
    <row r="1915" spans="14:14" x14ac:dyDescent="0.25">
      <c r="N1915" s="55"/>
    </row>
    <row r="1916" spans="14:14" x14ac:dyDescent="0.25">
      <c r="N1916" s="55"/>
    </row>
    <row r="1917" spans="14:14" x14ac:dyDescent="0.25">
      <c r="N1917" s="55"/>
    </row>
    <row r="1918" spans="14:14" x14ac:dyDescent="0.25">
      <c r="N1918" s="55"/>
    </row>
    <row r="1919" spans="14:14" x14ac:dyDescent="0.25">
      <c r="N1919" s="55"/>
    </row>
    <row r="1920" spans="14:14" x14ac:dyDescent="0.25">
      <c r="N1920" s="55"/>
    </row>
    <row r="1921" spans="14:14" x14ac:dyDescent="0.25">
      <c r="N1921" s="55"/>
    </row>
    <row r="1922" spans="14:14" x14ac:dyDescent="0.25">
      <c r="N1922" s="55"/>
    </row>
    <row r="1923" spans="14:14" x14ac:dyDescent="0.25">
      <c r="N1923" s="55"/>
    </row>
    <row r="1924" spans="14:14" x14ac:dyDescent="0.25">
      <c r="N1924" s="55"/>
    </row>
    <row r="1925" spans="14:14" x14ac:dyDescent="0.25">
      <c r="N1925" s="55"/>
    </row>
    <row r="1926" spans="14:14" x14ac:dyDescent="0.25">
      <c r="N1926" s="55"/>
    </row>
    <row r="1927" spans="14:14" x14ac:dyDescent="0.25">
      <c r="N1927" s="55"/>
    </row>
    <row r="1928" spans="14:14" x14ac:dyDescent="0.25">
      <c r="N1928" s="55"/>
    </row>
    <row r="1929" spans="14:14" x14ac:dyDescent="0.25">
      <c r="N1929" s="55"/>
    </row>
    <row r="1930" spans="14:14" x14ac:dyDescent="0.25">
      <c r="N1930" s="55"/>
    </row>
    <row r="1931" spans="14:14" x14ac:dyDescent="0.25">
      <c r="N1931" s="55"/>
    </row>
    <row r="1932" spans="14:14" x14ac:dyDescent="0.25">
      <c r="N1932" s="55"/>
    </row>
    <row r="1933" spans="14:14" x14ac:dyDescent="0.25">
      <c r="N1933" s="55"/>
    </row>
    <row r="1934" spans="14:14" x14ac:dyDescent="0.25">
      <c r="N1934" s="55"/>
    </row>
    <row r="1935" spans="14:14" x14ac:dyDescent="0.25">
      <c r="N1935" s="55"/>
    </row>
    <row r="1936" spans="14:14" x14ac:dyDescent="0.25">
      <c r="N1936" s="55"/>
    </row>
    <row r="1937" spans="14:14" x14ac:dyDescent="0.25">
      <c r="N1937" s="55"/>
    </row>
    <row r="1938" spans="14:14" x14ac:dyDescent="0.25">
      <c r="N1938" s="55"/>
    </row>
    <row r="1939" spans="14:14" x14ac:dyDescent="0.25">
      <c r="N1939" s="55"/>
    </row>
    <row r="1940" spans="14:14" x14ac:dyDescent="0.25">
      <c r="N1940" s="55"/>
    </row>
    <row r="1941" spans="14:14" x14ac:dyDescent="0.25">
      <c r="N1941" s="55"/>
    </row>
    <row r="1942" spans="14:14" x14ac:dyDescent="0.25">
      <c r="N1942" s="55"/>
    </row>
    <row r="1943" spans="14:14" x14ac:dyDescent="0.25">
      <c r="N1943" s="55"/>
    </row>
    <row r="1944" spans="14:14" x14ac:dyDescent="0.25">
      <c r="N1944" s="55"/>
    </row>
    <row r="1945" spans="14:14" x14ac:dyDescent="0.25">
      <c r="N1945" s="55"/>
    </row>
    <row r="1946" spans="14:14" x14ac:dyDescent="0.25">
      <c r="N1946" s="55"/>
    </row>
    <row r="1947" spans="14:14" x14ac:dyDescent="0.25">
      <c r="N1947" s="55"/>
    </row>
    <row r="1948" spans="14:14" x14ac:dyDescent="0.25">
      <c r="N1948" s="55"/>
    </row>
    <row r="1949" spans="14:14" x14ac:dyDescent="0.25">
      <c r="N1949" s="55"/>
    </row>
    <row r="1950" spans="14:14" x14ac:dyDescent="0.25">
      <c r="N1950" s="55"/>
    </row>
    <row r="1951" spans="14:14" x14ac:dyDescent="0.25">
      <c r="N1951" s="55"/>
    </row>
    <row r="1952" spans="14:14" x14ac:dyDescent="0.25">
      <c r="N1952" s="55"/>
    </row>
    <row r="1953" spans="14:14" x14ac:dyDescent="0.25">
      <c r="N1953" s="55"/>
    </row>
    <row r="1954" spans="14:14" x14ac:dyDescent="0.25">
      <c r="N1954" s="55"/>
    </row>
    <row r="1955" spans="14:14" x14ac:dyDescent="0.25">
      <c r="N1955" s="55"/>
    </row>
    <row r="1956" spans="14:14" x14ac:dyDescent="0.25">
      <c r="N1956" s="55"/>
    </row>
    <row r="1957" spans="14:14" x14ac:dyDescent="0.25">
      <c r="N1957" s="55"/>
    </row>
    <row r="1958" spans="14:14" x14ac:dyDescent="0.25">
      <c r="N1958" s="55"/>
    </row>
    <row r="1959" spans="14:14" x14ac:dyDescent="0.25">
      <c r="N1959" s="55"/>
    </row>
    <row r="1960" spans="14:14" x14ac:dyDescent="0.25">
      <c r="N1960" s="55"/>
    </row>
    <row r="1961" spans="14:14" x14ac:dyDescent="0.25">
      <c r="N1961" s="55"/>
    </row>
    <row r="1962" spans="14:14" x14ac:dyDescent="0.25">
      <c r="N1962" s="55"/>
    </row>
    <row r="1963" spans="14:14" x14ac:dyDescent="0.25">
      <c r="N1963" s="55"/>
    </row>
    <row r="1964" spans="14:14" x14ac:dyDescent="0.25">
      <c r="N1964" s="55"/>
    </row>
    <row r="1965" spans="14:14" x14ac:dyDescent="0.25">
      <c r="N1965" s="55"/>
    </row>
    <row r="1966" spans="14:14" x14ac:dyDescent="0.25">
      <c r="N1966" s="55"/>
    </row>
    <row r="1967" spans="14:14" x14ac:dyDescent="0.25">
      <c r="N1967" s="55"/>
    </row>
    <row r="1968" spans="14:14" x14ac:dyDescent="0.25">
      <c r="N1968" s="55"/>
    </row>
    <row r="1969" spans="14:14" x14ac:dyDescent="0.25">
      <c r="N1969" s="55"/>
    </row>
    <row r="1970" spans="14:14" x14ac:dyDescent="0.25">
      <c r="N1970" s="55"/>
    </row>
    <row r="1971" spans="14:14" x14ac:dyDescent="0.25">
      <c r="N1971" s="55"/>
    </row>
    <row r="1972" spans="14:14" x14ac:dyDescent="0.25">
      <c r="N1972" s="55"/>
    </row>
    <row r="1973" spans="14:14" x14ac:dyDescent="0.25">
      <c r="N1973" s="55"/>
    </row>
    <row r="1974" spans="14:14" x14ac:dyDescent="0.25">
      <c r="N1974" s="55"/>
    </row>
    <row r="1975" spans="14:14" x14ac:dyDescent="0.25">
      <c r="N1975" s="55"/>
    </row>
    <row r="1976" spans="14:14" x14ac:dyDescent="0.25">
      <c r="N1976" s="55"/>
    </row>
    <row r="1977" spans="14:14" x14ac:dyDescent="0.25">
      <c r="N1977" s="55"/>
    </row>
    <row r="1978" spans="14:14" x14ac:dyDescent="0.25">
      <c r="N1978" s="55"/>
    </row>
    <row r="1979" spans="14:14" x14ac:dyDescent="0.25">
      <c r="N1979" s="55"/>
    </row>
    <row r="1980" spans="14:14" x14ac:dyDescent="0.25">
      <c r="N1980" s="55"/>
    </row>
    <row r="1981" spans="14:14" x14ac:dyDescent="0.25">
      <c r="N1981" s="55"/>
    </row>
    <row r="1982" spans="14:14" x14ac:dyDescent="0.25">
      <c r="N1982" s="55"/>
    </row>
    <row r="1983" spans="14:14" x14ac:dyDescent="0.25">
      <c r="N1983" s="55"/>
    </row>
    <row r="1984" spans="14:14" x14ac:dyDescent="0.25">
      <c r="N1984" s="55"/>
    </row>
    <row r="1985" spans="14:14" x14ac:dyDescent="0.25">
      <c r="N1985" s="55"/>
    </row>
    <row r="1986" spans="14:14" x14ac:dyDescent="0.25">
      <c r="N1986" s="55"/>
    </row>
    <row r="1987" spans="14:14" x14ac:dyDescent="0.25">
      <c r="N1987" s="55"/>
    </row>
    <row r="1988" spans="14:14" x14ac:dyDescent="0.25">
      <c r="N1988" s="55"/>
    </row>
    <row r="1989" spans="14:14" x14ac:dyDescent="0.25">
      <c r="N1989" s="55"/>
    </row>
    <row r="1990" spans="14:14" x14ac:dyDescent="0.25">
      <c r="N1990" s="55"/>
    </row>
    <row r="1991" spans="14:14" x14ac:dyDescent="0.25">
      <c r="N1991" s="55"/>
    </row>
    <row r="1992" spans="14:14" x14ac:dyDescent="0.25">
      <c r="N1992" s="55"/>
    </row>
    <row r="1993" spans="14:14" x14ac:dyDescent="0.25">
      <c r="N1993" s="55"/>
    </row>
    <row r="1994" spans="14:14" x14ac:dyDescent="0.25">
      <c r="N1994" s="55"/>
    </row>
    <row r="1995" spans="14:14" x14ac:dyDescent="0.25">
      <c r="N1995" s="55"/>
    </row>
    <row r="1996" spans="14:14" x14ac:dyDescent="0.25">
      <c r="N1996" s="55"/>
    </row>
    <row r="1997" spans="14:14" x14ac:dyDescent="0.25">
      <c r="N1997" s="55"/>
    </row>
    <row r="1998" spans="14:14" x14ac:dyDescent="0.25">
      <c r="N1998" s="55"/>
    </row>
    <row r="1999" spans="14:14" x14ac:dyDescent="0.25">
      <c r="N1999" s="55"/>
    </row>
    <row r="2000" spans="14:14" x14ac:dyDescent="0.25">
      <c r="N2000" s="55"/>
    </row>
    <row r="2001" spans="14:14" x14ac:dyDescent="0.25">
      <c r="N2001" s="55"/>
    </row>
    <row r="2002" spans="14:14" x14ac:dyDescent="0.25">
      <c r="N2002" s="55"/>
    </row>
    <row r="2003" spans="14:14" x14ac:dyDescent="0.25">
      <c r="N2003" s="55"/>
    </row>
    <row r="2004" spans="14:14" x14ac:dyDescent="0.25">
      <c r="N2004" s="55"/>
    </row>
    <row r="2005" spans="14:14" x14ac:dyDescent="0.25">
      <c r="N2005" s="55"/>
    </row>
    <row r="2006" spans="14:14" x14ac:dyDescent="0.25">
      <c r="N2006" s="55"/>
    </row>
    <row r="2007" spans="14:14" x14ac:dyDescent="0.25">
      <c r="N2007" s="55"/>
    </row>
    <row r="2008" spans="14:14" x14ac:dyDescent="0.25">
      <c r="N2008" s="55"/>
    </row>
    <row r="2009" spans="14:14" x14ac:dyDescent="0.25">
      <c r="N2009" s="55"/>
    </row>
    <row r="2010" spans="14:14" x14ac:dyDescent="0.25">
      <c r="N2010" s="55"/>
    </row>
    <row r="2011" spans="14:14" x14ac:dyDescent="0.25">
      <c r="N2011" s="55"/>
    </row>
    <row r="2012" spans="14:14" x14ac:dyDescent="0.25">
      <c r="N2012" s="55"/>
    </row>
    <row r="2013" spans="14:14" x14ac:dyDescent="0.25">
      <c r="N2013" s="55"/>
    </row>
    <row r="2014" spans="14:14" x14ac:dyDescent="0.25">
      <c r="N2014" s="55"/>
    </row>
    <row r="2015" spans="14:14" x14ac:dyDescent="0.25">
      <c r="N2015" s="55"/>
    </row>
    <row r="2016" spans="14:14" x14ac:dyDescent="0.25">
      <c r="N2016" s="55"/>
    </row>
    <row r="2017" spans="14:14" x14ac:dyDescent="0.25">
      <c r="N2017" s="55"/>
    </row>
    <row r="2018" spans="14:14" x14ac:dyDescent="0.25">
      <c r="N2018" s="55"/>
    </row>
    <row r="2019" spans="14:14" x14ac:dyDescent="0.25">
      <c r="N2019" s="55"/>
    </row>
    <row r="2020" spans="14:14" x14ac:dyDescent="0.25">
      <c r="N2020" s="55"/>
    </row>
    <row r="2021" spans="14:14" x14ac:dyDescent="0.25">
      <c r="N2021" s="55"/>
    </row>
    <row r="2022" spans="14:14" x14ac:dyDescent="0.25">
      <c r="N2022" s="55"/>
    </row>
    <row r="2023" spans="14:14" x14ac:dyDescent="0.25">
      <c r="N2023" s="55"/>
    </row>
    <row r="2024" spans="14:14" x14ac:dyDescent="0.25">
      <c r="N2024" s="55"/>
    </row>
    <row r="2025" spans="14:14" x14ac:dyDescent="0.25">
      <c r="N2025" s="55"/>
    </row>
    <row r="2026" spans="14:14" x14ac:dyDescent="0.25">
      <c r="N2026" s="55"/>
    </row>
    <row r="2027" spans="14:14" x14ac:dyDescent="0.25">
      <c r="N2027" s="55"/>
    </row>
    <row r="2028" spans="14:14" x14ac:dyDescent="0.25">
      <c r="N2028" s="55"/>
    </row>
    <row r="2029" spans="14:14" x14ac:dyDescent="0.25">
      <c r="N2029" s="55"/>
    </row>
    <row r="2030" spans="14:14" x14ac:dyDescent="0.25">
      <c r="N2030" s="55"/>
    </row>
    <row r="2031" spans="14:14" x14ac:dyDescent="0.25">
      <c r="N2031" s="55"/>
    </row>
    <row r="2032" spans="14:14" x14ac:dyDescent="0.25">
      <c r="N2032" s="55"/>
    </row>
    <row r="2033" spans="14:14" x14ac:dyDescent="0.25">
      <c r="N2033" s="55"/>
    </row>
    <row r="2034" spans="14:14" x14ac:dyDescent="0.25">
      <c r="N2034" s="55"/>
    </row>
    <row r="2035" spans="14:14" x14ac:dyDescent="0.25">
      <c r="N2035" s="55"/>
    </row>
    <row r="2036" spans="14:14" x14ac:dyDescent="0.25">
      <c r="N2036" s="55"/>
    </row>
    <row r="2037" spans="14:14" x14ac:dyDescent="0.25">
      <c r="N2037" s="55"/>
    </row>
    <row r="2038" spans="14:14" x14ac:dyDescent="0.25">
      <c r="N2038" s="55"/>
    </row>
    <row r="2039" spans="14:14" x14ac:dyDescent="0.25">
      <c r="N2039" s="55"/>
    </row>
    <row r="2040" spans="14:14" x14ac:dyDescent="0.25">
      <c r="N2040" s="55"/>
    </row>
    <row r="2041" spans="14:14" x14ac:dyDescent="0.25">
      <c r="N2041" s="55"/>
    </row>
    <row r="2042" spans="14:14" x14ac:dyDescent="0.25">
      <c r="N2042" s="55"/>
    </row>
    <row r="2043" spans="14:14" x14ac:dyDescent="0.25">
      <c r="N2043" s="55"/>
    </row>
    <row r="2044" spans="14:14" x14ac:dyDescent="0.25">
      <c r="N2044" s="55"/>
    </row>
    <row r="2045" spans="14:14" x14ac:dyDescent="0.25">
      <c r="N2045" s="55"/>
    </row>
    <row r="2046" spans="14:14" x14ac:dyDescent="0.25">
      <c r="N2046" s="55"/>
    </row>
    <row r="2047" spans="14:14" x14ac:dyDescent="0.25">
      <c r="N2047" s="55"/>
    </row>
    <row r="2048" spans="14:14" x14ac:dyDescent="0.25">
      <c r="N2048" s="55"/>
    </row>
    <row r="2049" spans="14:14" x14ac:dyDescent="0.25">
      <c r="N2049" s="55"/>
    </row>
    <row r="2050" spans="14:14" x14ac:dyDescent="0.25">
      <c r="N2050" s="55"/>
    </row>
    <row r="2051" spans="14:14" x14ac:dyDescent="0.25">
      <c r="N2051" s="55"/>
    </row>
    <row r="2052" spans="14:14" x14ac:dyDescent="0.25">
      <c r="N2052" s="55"/>
    </row>
    <row r="2053" spans="14:14" x14ac:dyDescent="0.25">
      <c r="N2053" s="55"/>
    </row>
    <row r="2054" spans="14:14" x14ac:dyDescent="0.25">
      <c r="N2054" s="55"/>
    </row>
    <row r="2055" spans="14:14" x14ac:dyDescent="0.25">
      <c r="N2055" s="55"/>
    </row>
    <row r="2056" spans="14:14" x14ac:dyDescent="0.25">
      <c r="N2056" s="55"/>
    </row>
    <row r="2057" spans="14:14" x14ac:dyDescent="0.25">
      <c r="N2057" s="55"/>
    </row>
    <row r="2058" spans="14:14" x14ac:dyDescent="0.25">
      <c r="N2058" s="55"/>
    </row>
    <row r="2059" spans="14:14" x14ac:dyDescent="0.25">
      <c r="N2059" s="55"/>
    </row>
    <row r="2060" spans="14:14" x14ac:dyDescent="0.25">
      <c r="N2060" s="55"/>
    </row>
    <row r="2061" spans="14:14" x14ac:dyDescent="0.25">
      <c r="N2061" s="55"/>
    </row>
    <row r="2062" spans="14:14" x14ac:dyDescent="0.25">
      <c r="N2062" s="55"/>
    </row>
    <row r="2063" spans="14:14" x14ac:dyDescent="0.25">
      <c r="N2063" s="55"/>
    </row>
    <row r="2064" spans="14:14" x14ac:dyDescent="0.25">
      <c r="N2064" s="55"/>
    </row>
    <row r="2065" spans="14:14" x14ac:dyDescent="0.25">
      <c r="N2065" s="55"/>
    </row>
    <row r="2066" spans="14:14" x14ac:dyDescent="0.25">
      <c r="N2066" s="55"/>
    </row>
    <row r="2067" spans="14:14" x14ac:dyDescent="0.25">
      <c r="N2067" s="55"/>
    </row>
    <row r="2068" spans="14:14" x14ac:dyDescent="0.25">
      <c r="N2068" s="55"/>
    </row>
    <row r="2069" spans="14:14" x14ac:dyDescent="0.25">
      <c r="N2069" s="55"/>
    </row>
    <row r="2070" spans="14:14" x14ac:dyDescent="0.25">
      <c r="N2070" s="55"/>
    </row>
    <row r="2071" spans="14:14" x14ac:dyDescent="0.25">
      <c r="N2071" s="55"/>
    </row>
    <row r="2072" spans="14:14" x14ac:dyDescent="0.25">
      <c r="N2072" s="55"/>
    </row>
    <row r="2073" spans="14:14" x14ac:dyDescent="0.25">
      <c r="N2073" s="55"/>
    </row>
    <row r="2074" spans="14:14" x14ac:dyDescent="0.25">
      <c r="N2074" s="55"/>
    </row>
    <row r="2075" spans="14:14" x14ac:dyDescent="0.25">
      <c r="N2075" s="55"/>
    </row>
    <row r="2076" spans="14:14" x14ac:dyDescent="0.25">
      <c r="N2076" s="55"/>
    </row>
    <row r="2077" spans="14:14" x14ac:dyDescent="0.25">
      <c r="N2077" s="55"/>
    </row>
    <row r="2078" spans="14:14" x14ac:dyDescent="0.25">
      <c r="N2078" s="55"/>
    </row>
    <row r="2079" spans="14:14" x14ac:dyDescent="0.25">
      <c r="N2079" s="55"/>
    </row>
    <row r="2080" spans="14:14" x14ac:dyDescent="0.25">
      <c r="N2080" s="55"/>
    </row>
    <row r="2081" spans="14:14" x14ac:dyDescent="0.25">
      <c r="N2081" s="55"/>
    </row>
    <row r="2082" spans="14:14" x14ac:dyDescent="0.25">
      <c r="N2082" s="55"/>
    </row>
    <row r="2083" spans="14:14" x14ac:dyDescent="0.25">
      <c r="N2083" s="55"/>
    </row>
    <row r="2084" spans="14:14" x14ac:dyDescent="0.25">
      <c r="N2084" s="55"/>
    </row>
    <row r="2085" spans="14:14" x14ac:dyDescent="0.25">
      <c r="N2085" s="55"/>
    </row>
    <row r="2086" spans="14:14" x14ac:dyDescent="0.25">
      <c r="N2086" s="55"/>
    </row>
    <row r="2087" spans="14:14" x14ac:dyDescent="0.25">
      <c r="N2087" s="55"/>
    </row>
    <row r="2088" spans="14:14" x14ac:dyDescent="0.25">
      <c r="N2088" s="55"/>
    </row>
    <row r="2089" spans="14:14" x14ac:dyDescent="0.25">
      <c r="N2089" s="55"/>
    </row>
    <row r="2090" spans="14:14" x14ac:dyDescent="0.25">
      <c r="N2090" s="55"/>
    </row>
    <row r="2091" spans="14:14" x14ac:dyDescent="0.25">
      <c r="N2091" s="55"/>
    </row>
    <row r="2092" spans="14:14" x14ac:dyDescent="0.25">
      <c r="N2092" s="55"/>
    </row>
    <row r="2093" spans="14:14" x14ac:dyDescent="0.25">
      <c r="N2093" s="55"/>
    </row>
    <row r="2094" spans="14:14" x14ac:dyDescent="0.25">
      <c r="N2094" s="55"/>
    </row>
    <row r="2095" spans="14:14" x14ac:dyDescent="0.25">
      <c r="N2095" s="55"/>
    </row>
    <row r="2096" spans="14:14" x14ac:dyDescent="0.25">
      <c r="N2096" s="55"/>
    </row>
    <row r="2097" spans="14:14" x14ac:dyDescent="0.25">
      <c r="N2097" s="55"/>
    </row>
    <row r="2098" spans="14:14" x14ac:dyDescent="0.25">
      <c r="N2098" s="55"/>
    </row>
    <row r="2099" spans="14:14" x14ac:dyDescent="0.25">
      <c r="N2099" s="55"/>
    </row>
    <row r="2100" spans="14:14" x14ac:dyDescent="0.25">
      <c r="N2100" s="55"/>
    </row>
    <row r="2101" spans="14:14" x14ac:dyDescent="0.25">
      <c r="N2101" s="55"/>
    </row>
    <row r="2102" spans="14:14" x14ac:dyDescent="0.25">
      <c r="N2102" s="55"/>
    </row>
    <row r="2103" spans="14:14" x14ac:dyDescent="0.25">
      <c r="N2103" s="55"/>
    </row>
    <row r="2104" spans="14:14" x14ac:dyDescent="0.25">
      <c r="N2104" s="55"/>
    </row>
    <row r="2105" spans="14:14" x14ac:dyDescent="0.25">
      <c r="N2105" s="55"/>
    </row>
    <row r="2106" spans="14:14" x14ac:dyDescent="0.25">
      <c r="N2106" s="55"/>
    </row>
    <row r="2107" spans="14:14" x14ac:dyDescent="0.25">
      <c r="N2107" s="55"/>
    </row>
    <row r="2108" spans="14:14" x14ac:dyDescent="0.25">
      <c r="N2108" s="55"/>
    </row>
    <row r="2109" spans="14:14" x14ac:dyDescent="0.25">
      <c r="N2109" s="55"/>
    </row>
    <row r="2110" spans="14:14" x14ac:dyDescent="0.25">
      <c r="N2110" s="55"/>
    </row>
    <row r="2111" spans="14:14" x14ac:dyDescent="0.25">
      <c r="N2111" s="55"/>
    </row>
    <row r="2112" spans="14:14" x14ac:dyDescent="0.25">
      <c r="N2112" s="55"/>
    </row>
    <row r="2113" spans="14:14" x14ac:dyDescent="0.25">
      <c r="N2113" s="55"/>
    </row>
    <row r="2114" spans="14:14" x14ac:dyDescent="0.25">
      <c r="N2114" s="55"/>
    </row>
    <row r="2115" spans="14:14" x14ac:dyDescent="0.25">
      <c r="N2115" s="55"/>
    </row>
    <row r="2116" spans="14:14" x14ac:dyDescent="0.25">
      <c r="N2116" s="55"/>
    </row>
    <row r="2117" spans="14:14" x14ac:dyDescent="0.25">
      <c r="N2117" s="55"/>
    </row>
    <row r="2118" spans="14:14" x14ac:dyDescent="0.25">
      <c r="N2118" s="55"/>
    </row>
    <row r="2119" spans="14:14" x14ac:dyDescent="0.25">
      <c r="N2119" s="55"/>
    </row>
    <row r="2120" spans="14:14" x14ac:dyDescent="0.25">
      <c r="N2120" s="55"/>
    </row>
    <row r="2121" spans="14:14" x14ac:dyDescent="0.25">
      <c r="N2121" s="55"/>
    </row>
    <row r="2122" spans="14:14" x14ac:dyDescent="0.25">
      <c r="N2122" s="55"/>
    </row>
    <row r="2123" spans="14:14" x14ac:dyDescent="0.25">
      <c r="N2123" s="55"/>
    </row>
    <row r="2124" spans="14:14" x14ac:dyDescent="0.25">
      <c r="N2124" s="55"/>
    </row>
    <row r="2125" spans="14:14" x14ac:dyDescent="0.25">
      <c r="N2125" s="55"/>
    </row>
    <row r="2126" spans="14:14" x14ac:dyDescent="0.25">
      <c r="N2126" s="55"/>
    </row>
    <row r="2127" spans="14:14" x14ac:dyDescent="0.25">
      <c r="N2127" s="55"/>
    </row>
    <row r="2128" spans="14:14" x14ac:dyDescent="0.25">
      <c r="N2128" s="55"/>
    </row>
    <row r="2129" spans="14:14" x14ac:dyDescent="0.25">
      <c r="N2129" s="55"/>
    </row>
    <row r="2130" spans="14:14" x14ac:dyDescent="0.25">
      <c r="N2130" s="55"/>
    </row>
    <row r="2131" spans="14:14" x14ac:dyDescent="0.25">
      <c r="N2131" s="55"/>
    </row>
    <row r="2132" spans="14:14" x14ac:dyDescent="0.25">
      <c r="N2132" s="55"/>
    </row>
    <row r="2133" spans="14:14" x14ac:dyDescent="0.25">
      <c r="N2133" s="55"/>
    </row>
    <row r="2134" spans="14:14" x14ac:dyDescent="0.25">
      <c r="N2134" s="55"/>
    </row>
    <row r="2135" spans="14:14" x14ac:dyDescent="0.25">
      <c r="N2135" s="55"/>
    </row>
    <row r="2136" spans="14:14" x14ac:dyDescent="0.25">
      <c r="N2136" s="55"/>
    </row>
    <row r="2137" spans="14:14" x14ac:dyDescent="0.25">
      <c r="N2137" s="55"/>
    </row>
    <row r="2138" spans="14:14" x14ac:dyDescent="0.25">
      <c r="N2138" s="55"/>
    </row>
    <row r="2139" spans="14:14" x14ac:dyDescent="0.25">
      <c r="N2139" s="55"/>
    </row>
    <row r="2140" spans="14:14" x14ac:dyDescent="0.25">
      <c r="N2140" s="55"/>
    </row>
    <row r="2141" spans="14:14" x14ac:dyDescent="0.25">
      <c r="N2141" s="55"/>
    </row>
    <row r="2142" spans="14:14" x14ac:dyDescent="0.25">
      <c r="N2142" s="55"/>
    </row>
    <row r="2143" spans="14:14" x14ac:dyDescent="0.25">
      <c r="N2143" s="55"/>
    </row>
    <row r="2144" spans="14:14" x14ac:dyDescent="0.25">
      <c r="N2144" s="55"/>
    </row>
    <row r="2145" spans="14:14" x14ac:dyDescent="0.25">
      <c r="N2145" s="55"/>
    </row>
    <row r="2146" spans="14:14" x14ac:dyDescent="0.25">
      <c r="N2146" s="55"/>
    </row>
    <row r="2147" spans="14:14" x14ac:dyDescent="0.25">
      <c r="N2147" s="55"/>
    </row>
    <row r="2148" spans="14:14" x14ac:dyDescent="0.25">
      <c r="N2148" s="55"/>
    </row>
    <row r="2149" spans="14:14" x14ac:dyDescent="0.25">
      <c r="N2149" s="55"/>
    </row>
    <row r="2150" spans="14:14" x14ac:dyDescent="0.25">
      <c r="N2150" s="55"/>
    </row>
    <row r="2151" spans="14:14" x14ac:dyDescent="0.25">
      <c r="N2151" s="55"/>
    </row>
    <row r="2152" spans="14:14" x14ac:dyDescent="0.25">
      <c r="N2152" s="55"/>
    </row>
    <row r="2153" spans="14:14" x14ac:dyDescent="0.25">
      <c r="N2153" s="55"/>
    </row>
    <row r="2154" spans="14:14" x14ac:dyDescent="0.25">
      <c r="N2154" s="55"/>
    </row>
    <row r="2155" spans="14:14" x14ac:dyDescent="0.25">
      <c r="N2155" s="55"/>
    </row>
    <row r="2156" spans="14:14" x14ac:dyDescent="0.25">
      <c r="N2156" s="55"/>
    </row>
    <row r="2157" spans="14:14" x14ac:dyDescent="0.25">
      <c r="N2157" s="55"/>
    </row>
    <row r="2158" spans="14:14" x14ac:dyDescent="0.25">
      <c r="N2158" s="55"/>
    </row>
    <row r="2159" spans="14:14" x14ac:dyDescent="0.25">
      <c r="N2159" s="55"/>
    </row>
    <row r="2160" spans="14:14" x14ac:dyDescent="0.25">
      <c r="N2160" s="55"/>
    </row>
    <row r="2161" spans="14:14" x14ac:dyDescent="0.25">
      <c r="N2161" s="55"/>
    </row>
    <row r="2162" spans="14:14" x14ac:dyDescent="0.25">
      <c r="N2162" s="55"/>
    </row>
    <row r="2163" spans="14:14" x14ac:dyDescent="0.25">
      <c r="N2163" s="55"/>
    </row>
    <row r="2164" spans="14:14" x14ac:dyDescent="0.25">
      <c r="N2164" s="55"/>
    </row>
    <row r="2165" spans="14:14" x14ac:dyDescent="0.25">
      <c r="N2165" s="55"/>
    </row>
    <row r="2166" spans="14:14" x14ac:dyDescent="0.25">
      <c r="N2166" s="55"/>
    </row>
    <row r="2167" spans="14:14" x14ac:dyDescent="0.25">
      <c r="N2167" s="55"/>
    </row>
    <row r="2168" spans="14:14" x14ac:dyDescent="0.25">
      <c r="N2168" s="55"/>
    </row>
    <row r="2169" spans="14:14" x14ac:dyDescent="0.25">
      <c r="N2169" s="55"/>
    </row>
    <row r="2170" spans="14:14" x14ac:dyDescent="0.25">
      <c r="N2170" s="55"/>
    </row>
    <row r="2171" spans="14:14" x14ac:dyDescent="0.25">
      <c r="N2171" s="55"/>
    </row>
    <row r="2172" spans="14:14" x14ac:dyDescent="0.25">
      <c r="N2172" s="55"/>
    </row>
    <row r="2173" spans="14:14" x14ac:dyDescent="0.25">
      <c r="N2173" s="55"/>
    </row>
    <row r="2174" spans="14:14" x14ac:dyDescent="0.25">
      <c r="N2174" s="55"/>
    </row>
    <row r="2175" spans="14:14" x14ac:dyDescent="0.25">
      <c r="N2175" s="55"/>
    </row>
    <row r="2176" spans="14:14" x14ac:dyDescent="0.25">
      <c r="N2176" s="55"/>
    </row>
    <row r="2177" spans="14:14" x14ac:dyDescent="0.25">
      <c r="N2177" s="55"/>
    </row>
    <row r="2178" spans="14:14" x14ac:dyDescent="0.25">
      <c r="N2178" s="55"/>
    </row>
    <row r="2179" spans="14:14" x14ac:dyDescent="0.25">
      <c r="N2179" s="55"/>
    </row>
    <row r="2180" spans="14:14" x14ac:dyDescent="0.25">
      <c r="N2180" s="55"/>
    </row>
    <row r="2181" spans="14:14" x14ac:dyDescent="0.25">
      <c r="N2181" s="55"/>
    </row>
    <row r="2182" spans="14:14" x14ac:dyDescent="0.25">
      <c r="N2182" s="55"/>
    </row>
    <row r="2183" spans="14:14" x14ac:dyDescent="0.25">
      <c r="N2183" s="55"/>
    </row>
    <row r="2184" spans="14:14" x14ac:dyDescent="0.25">
      <c r="N2184" s="55"/>
    </row>
    <row r="2185" spans="14:14" x14ac:dyDescent="0.25">
      <c r="N2185" s="55"/>
    </row>
    <row r="2186" spans="14:14" x14ac:dyDescent="0.25">
      <c r="N2186" s="55"/>
    </row>
    <row r="2187" spans="14:14" x14ac:dyDescent="0.25">
      <c r="N2187" s="55"/>
    </row>
    <row r="2188" spans="14:14" x14ac:dyDescent="0.25">
      <c r="N2188" s="55"/>
    </row>
    <row r="2189" spans="14:14" x14ac:dyDescent="0.25">
      <c r="N2189" s="55"/>
    </row>
    <row r="2190" spans="14:14" x14ac:dyDescent="0.25">
      <c r="N2190" s="55"/>
    </row>
    <row r="2191" spans="14:14" x14ac:dyDescent="0.25">
      <c r="N2191" s="55"/>
    </row>
    <row r="2192" spans="14:14" x14ac:dyDescent="0.25">
      <c r="N2192" s="55"/>
    </row>
    <row r="2193" spans="14:14" x14ac:dyDescent="0.25">
      <c r="N2193" s="55"/>
    </row>
    <row r="2194" spans="14:14" x14ac:dyDescent="0.25">
      <c r="N2194" s="55"/>
    </row>
    <row r="2195" spans="14:14" x14ac:dyDescent="0.25">
      <c r="N2195" s="55"/>
    </row>
    <row r="2196" spans="14:14" x14ac:dyDescent="0.25">
      <c r="N2196" s="55"/>
    </row>
    <row r="2197" spans="14:14" x14ac:dyDescent="0.25">
      <c r="N2197" s="55"/>
    </row>
    <row r="2198" spans="14:14" x14ac:dyDescent="0.25">
      <c r="N2198" s="55"/>
    </row>
    <row r="2199" spans="14:14" x14ac:dyDescent="0.25">
      <c r="N2199" s="55"/>
    </row>
    <row r="2200" spans="14:14" x14ac:dyDescent="0.25">
      <c r="N2200" s="55"/>
    </row>
    <row r="2201" spans="14:14" x14ac:dyDescent="0.25">
      <c r="N2201" s="55"/>
    </row>
    <row r="2202" spans="14:14" x14ac:dyDescent="0.25">
      <c r="N2202" s="55"/>
    </row>
    <row r="2203" spans="14:14" x14ac:dyDescent="0.25">
      <c r="N2203" s="55"/>
    </row>
    <row r="2204" spans="14:14" x14ac:dyDescent="0.25">
      <c r="N2204" s="55"/>
    </row>
    <row r="2205" spans="14:14" x14ac:dyDescent="0.25">
      <c r="N2205" s="55"/>
    </row>
    <row r="2206" spans="14:14" x14ac:dyDescent="0.25">
      <c r="N2206" s="55"/>
    </row>
    <row r="2207" spans="14:14" x14ac:dyDescent="0.25">
      <c r="N2207" s="55"/>
    </row>
    <row r="2208" spans="14:14" x14ac:dyDescent="0.25">
      <c r="N2208" s="55"/>
    </row>
    <row r="2209" spans="14:14" x14ac:dyDescent="0.25">
      <c r="N2209" s="55"/>
    </row>
    <row r="2210" spans="14:14" x14ac:dyDescent="0.25">
      <c r="N2210" s="55"/>
    </row>
    <row r="2211" spans="14:14" x14ac:dyDescent="0.25">
      <c r="N2211" s="55"/>
    </row>
    <row r="2212" spans="14:14" x14ac:dyDescent="0.25">
      <c r="N2212" s="55"/>
    </row>
    <row r="2213" spans="14:14" x14ac:dyDescent="0.25">
      <c r="N2213" s="55"/>
    </row>
    <row r="2214" spans="14:14" x14ac:dyDescent="0.25">
      <c r="N2214" s="55"/>
    </row>
    <row r="2215" spans="14:14" x14ac:dyDescent="0.25">
      <c r="N2215" s="55"/>
    </row>
    <row r="2216" spans="14:14" x14ac:dyDescent="0.25">
      <c r="N2216" s="55"/>
    </row>
    <row r="2217" spans="14:14" x14ac:dyDescent="0.25">
      <c r="N2217" s="55"/>
    </row>
    <row r="2218" spans="14:14" x14ac:dyDescent="0.25">
      <c r="N2218" s="55"/>
    </row>
    <row r="2219" spans="14:14" x14ac:dyDescent="0.25">
      <c r="N2219" s="55"/>
    </row>
    <row r="2220" spans="14:14" x14ac:dyDescent="0.25">
      <c r="N2220" s="55"/>
    </row>
    <row r="2221" spans="14:14" x14ac:dyDescent="0.25">
      <c r="N2221" s="55"/>
    </row>
    <row r="2222" spans="14:14" x14ac:dyDescent="0.25">
      <c r="N2222" s="55"/>
    </row>
    <row r="2223" spans="14:14" x14ac:dyDescent="0.25">
      <c r="N2223" s="55"/>
    </row>
    <row r="2224" spans="14:14" x14ac:dyDescent="0.25">
      <c r="N2224" s="55"/>
    </row>
    <row r="2225" spans="14:14" x14ac:dyDescent="0.25">
      <c r="N2225" s="55"/>
    </row>
    <row r="2226" spans="14:14" x14ac:dyDescent="0.25">
      <c r="N2226" s="55"/>
    </row>
    <row r="2227" spans="14:14" x14ac:dyDescent="0.25">
      <c r="N2227" s="55"/>
    </row>
    <row r="2228" spans="14:14" x14ac:dyDescent="0.25">
      <c r="N2228" s="55"/>
    </row>
    <row r="2229" spans="14:14" x14ac:dyDescent="0.25">
      <c r="N2229" s="55"/>
    </row>
    <row r="2230" spans="14:14" x14ac:dyDescent="0.25">
      <c r="N2230" s="55"/>
    </row>
    <row r="2231" spans="14:14" x14ac:dyDescent="0.25">
      <c r="N2231" s="55"/>
    </row>
    <row r="2232" spans="14:14" x14ac:dyDescent="0.25">
      <c r="N2232" s="55"/>
    </row>
    <row r="2233" spans="14:14" x14ac:dyDescent="0.25">
      <c r="N2233" s="55"/>
    </row>
    <row r="2234" spans="14:14" x14ac:dyDescent="0.25">
      <c r="N2234" s="55"/>
    </row>
    <row r="2235" spans="14:14" x14ac:dyDescent="0.25">
      <c r="N2235" s="55"/>
    </row>
    <row r="2236" spans="14:14" x14ac:dyDescent="0.25">
      <c r="N2236" s="55"/>
    </row>
    <row r="2237" spans="14:14" x14ac:dyDescent="0.25">
      <c r="N2237" s="55"/>
    </row>
    <row r="2238" spans="14:14" x14ac:dyDescent="0.25">
      <c r="N2238" s="55"/>
    </row>
    <row r="2239" spans="14:14" x14ac:dyDescent="0.25">
      <c r="N2239" s="55"/>
    </row>
    <row r="2240" spans="14:14" x14ac:dyDescent="0.25">
      <c r="N2240" s="55"/>
    </row>
    <row r="2241" spans="14:14" x14ac:dyDescent="0.25">
      <c r="N2241" s="55"/>
    </row>
    <row r="2242" spans="14:14" x14ac:dyDescent="0.25">
      <c r="N2242" s="55"/>
    </row>
    <row r="2243" spans="14:14" x14ac:dyDescent="0.25">
      <c r="N2243" s="55"/>
    </row>
    <row r="2244" spans="14:14" x14ac:dyDescent="0.25">
      <c r="N2244" s="55"/>
    </row>
    <row r="2245" spans="14:14" x14ac:dyDescent="0.25">
      <c r="N2245" s="55"/>
    </row>
    <row r="2246" spans="14:14" x14ac:dyDescent="0.25">
      <c r="N2246" s="55"/>
    </row>
    <row r="2247" spans="14:14" x14ac:dyDescent="0.25">
      <c r="N2247" s="55"/>
    </row>
    <row r="2248" spans="14:14" x14ac:dyDescent="0.25">
      <c r="N2248" s="55"/>
    </row>
    <row r="2249" spans="14:14" x14ac:dyDescent="0.25">
      <c r="N2249" s="55"/>
    </row>
    <row r="2250" spans="14:14" x14ac:dyDescent="0.25">
      <c r="N2250" s="55"/>
    </row>
    <row r="2251" spans="14:14" x14ac:dyDescent="0.25">
      <c r="N2251" s="55"/>
    </row>
    <row r="2252" spans="14:14" x14ac:dyDescent="0.25">
      <c r="N2252" s="55"/>
    </row>
    <row r="2253" spans="14:14" x14ac:dyDescent="0.25">
      <c r="N2253" s="55"/>
    </row>
    <row r="2254" spans="14:14" x14ac:dyDescent="0.25">
      <c r="N2254" s="55"/>
    </row>
    <row r="2255" spans="14:14" x14ac:dyDescent="0.25">
      <c r="N2255" s="55"/>
    </row>
    <row r="2256" spans="14:14" x14ac:dyDescent="0.25">
      <c r="N2256" s="55"/>
    </row>
    <row r="2257" spans="14:14" x14ac:dyDescent="0.25">
      <c r="N2257" s="55"/>
    </row>
    <row r="2258" spans="14:14" x14ac:dyDescent="0.25">
      <c r="N2258" s="55"/>
    </row>
    <row r="2259" spans="14:14" x14ac:dyDescent="0.25">
      <c r="N2259" s="55"/>
    </row>
    <row r="2260" spans="14:14" x14ac:dyDescent="0.25">
      <c r="N2260" s="55"/>
    </row>
    <row r="2261" spans="14:14" x14ac:dyDescent="0.25">
      <c r="N2261" s="55"/>
    </row>
    <row r="2262" spans="14:14" x14ac:dyDescent="0.25">
      <c r="N2262" s="55"/>
    </row>
    <row r="2263" spans="14:14" x14ac:dyDescent="0.25">
      <c r="N2263" s="55"/>
    </row>
    <row r="2264" spans="14:14" x14ac:dyDescent="0.25">
      <c r="N2264" s="55"/>
    </row>
    <row r="2265" spans="14:14" x14ac:dyDescent="0.25">
      <c r="N2265" s="55"/>
    </row>
    <row r="2266" spans="14:14" x14ac:dyDescent="0.25">
      <c r="N2266" s="55"/>
    </row>
    <row r="2267" spans="14:14" x14ac:dyDescent="0.25">
      <c r="N2267" s="55"/>
    </row>
    <row r="2268" spans="14:14" x14ac:dyDescent="0.25">
      <c r="N2268" s="55"/>
    </row>
    <row r="2269" spans="14:14" x14ac:dyDescent="0.25">
      <c r="N2269" s="55"/>
    </row>
    <row r="2270" spans="14:14" x14ac:dyDescent="0.25">
      <c r="N2270" s="55"/>
    </row>
    <row r="2271" spans="14:14" x14ac:dyDescent="0.25">
      <c r="N2271" s="55"/>
    </row>
    <row r="2272" spans="14:14" x14ac:dyDescent="0.25">
      <c r="N2272" s="55"/>
    </row>
    <row r="2273" spans="14:14" x14ac:dyDescent="0.25">
      <c r="N2273" s="55"/>
    </row>
    <row r="2274" spans="14:14" x14ac:dyDescent="0.25">
      <c r="N2274" s="55"/>
    </row>
    <row r="2275" spans="14:14" x14ac:dyDescent="0.25">
      <c r="N2275" s="55"/>
    </row>
    <row r="2276" spans="14:14" x14ac:dyDescent="0.25">
      <c r="N2276" s="55"/>
    </row>
    <row r="2277" spans="14:14" x14ac:dyDescent="0.25">
      <c r="N2277" s="55"/>
    </row>
    <row r="2278" spans="14:14" x14ac:dyDescent="0.25">
      <c r="N2278" s="55"/>
    </row>
    <row r="2279" spans="14:14" x14ac:dyDescent="0.25">
      <c r="N2279" s="55"/>
    </row>
    <row r="2280" spans="14:14" x14ac:dyDescent="0.25">
      <c r="N2280" s="55"/>
    </row>
    <row r="2281" spans="14:14" x14ac:dyDescent="0.25">
      <c r="N2281" s="55"/>
    </row>
    <row r="2282" spans="14:14" x14ac:dyDescent="0.25">
      <c r="N2282" s="55"/>
    </row>
    <row r="2283" spans="14:14" x14ac:dyDescent="0.25">
      <c r="N2283" s="55"/>
    </row>
    <row r="2284" spans="14:14" x14ac:dyDescent="0.25">
      <c r="N2284" s="55"/>
    </row>
    <row r="2285" spans="14:14" x14ac:dyDescent="0.25">
      <c r="N2285" s="55"/>
    </row>
    <row r="2286" spans="14:14" x14ac:dyDescent="0.25">
      <c r="N2286" s="55"/>
    </row>
    <row r="2287" spans="14:14" x14ac:dyDescent="0.25">
      <c r="N2287" s="55"/>
    </row>
    <row r="2288" spans="14:14" x14ac:dyDescent="0.25">
      <c r="N2288" s="55"/>
    </row>
    <row r="2289" spans="14:14" x14ac:dyDescent="0.25">
      <c r="N2289" s="55"/>
    </row>
    <row r="2290" spans="14:14" x14ac:dyDescent="0.25">
      <c r="N2290" s="55"/>
    </row>
    <row r="2291" spans="14:14" x14ac:dyDescent="0.25">
      <c r="N2291" s="55"/>
    </row>
    <row r="2292" spans="14:14" x14ac:dyDescent="0.25">
      <c r="N2292" s="55"/>
    </row>
    <row r="2293" spans="14:14" x14ac:dyDescent="0.25">
      <c r="N2293" s="55"/>
    </row>
    <row r="2294" spans="14:14" x14ac:dyDescent="0.25">
      <c r="N2294" s="55"/>
    </row>
    <row r="2295" spans="14:14" x14ac:dyDescent="0.25">
      <c r="N2295" s="55"/>
    </row>
    <row r="2296" spans="14:14" x14ac:dyDescent="0.25">
      <c r="N2296" s="55"/>
    </row>
    <row r="2297" spans="14:14" x14ac:dyDescent="0.25">
      <c r="N2297" s="55"/>
    </row>
    <row r="2298" spans="14:14" x14ac:dyDescent="0.25">
      <c r="N2298" s="55"/>
    </row>
    <row r="2299" spans="14:14" x14ac:dyDescent="0.25">
      <c r="N2299" s="55"/>
    </row>
    <row r="2300" spans="14:14" x14ac:dyDescent="0.25">
      <c r="N2300" s="55"/>
    </row>
    <row r="2301" spans="14:14" x14ac:dyDescent="0.25">
      <c r="N2301" s="55"/>
    </row>
    <row r="2302" spans="14:14" x14ac:dyDescent="0.25">
      <c r="N2302" s="55"/>
    </row>
    <row r="2303" spans="14:14" x14ac:dyDescent="0.25">
      <c r="N2303" s="55"/>
    </row>
    <row r="2304" spans="14:14" x14ac:dyDescent="0.25">
      <c r="N2304" s="55"/>
    </row>
    <row r="2305" spans="14:14" x14ac:dyDescent="0.25">
      <c r="N2305" s="55"/>
    </row>
    <row r="2306" spans="14:14" x14ac:dyDescent="0.25">
      <c r="N2306" s="55"/>
    </row>
    <row r="2307" spans="14:14" x14ac:dyDescent="0.25">
      <c r="N2307" s="55"/>
    </row>
    <row r="2308" spans="14:14" x14ac:dyDescent="0.25">
      <c r="N2308" s="55"/>
    </row>
    <row r="2309" spans="14:14" x14ac:dyDescent="0.25">
      <c r="N2309" s="55"/>
    </row>
    <row r="2310" spans="14:14" x14ac:dyDescent="0.25">
      <c r="N2310" s="55"/>
    </row>
    <row r="2311" spans="14:14" x14ac:dyDescent="0.25">
      <c r="N2311" s="55"/>
    </row>
    <row r="2312" spans="14:14" x14ac:dyDescent="0.25">
      <c r="N2312" s="55"/>
    </row>
    <row r="2313" spans="14:14" x14ac:dyDescent="0.25">
      <c r="N2313" s="55"/>
    </row>
    <row r="2314" spans="14:14" x14ac:dyDescent="0.25">
      <c r="N2314" s="55"/>
    </row>
    <row r="2315" spans="14:14" x14ac:dyDescent="0.25">
      <c r="N2315" s="55"/>
    </row>
    <row r="2316" spans="14:14" x14ac:dyDescent="0.25">
      <c r="N2316" s="55"/>
    </row>
    <row r="2317" spans="14:14" x14ac:dyDescent="0.25">
      <c r="N2317" s="55"/>
    </row>
    <row r="2318" spans="14:14" x14ac:dyDescent="0.25">
      <c r="N2318" s="55"/>
    </row>
    <row r="2319" spans="14:14" x14ac:dyDescent="0.25">
      <c r="N2319" s="55"/>
    </row>
    <row r="2320" spans="14:14" x14ac:dyDescent="0.25">
      <c r="N2320" s="55"/>
    </row>
    <row r="2321" spans="14:14" x14ac:dyDescent="0.25">
      <c r="N2321" s="55"/>
    </row>
    <row r="2322" spans="14:14" x14ac:dyDescent="0.25">
      <c r="N2322" s="55"/>
    </row>
    <row r="2323" spans="14:14" x14ac:dyDescent="0.25">
      <c r="N2323" s="55"/>
    </row>
    <row r="2324" spans="14:14" x14ac:dyDescent="0.25">
      <c r="N2324" s="55"/>
    </row>
    <row r="2325" spans="14:14" x14ac:dyDescent="0.25">
      <c r="N2325" s="55"/>
    </row>
    <row r="2326" spans="14:14" x14ac:dyDescent="0.25">
      <c r="N2326" s="55"/>
    </row>
    <row r="2327" spans="14:14" x14ac:dyDescent="0.25">
      <c r="N2327" s="55"/>
    </row>
    <row r="2328" spans="14:14" x14ac:dyDescent="0.25">
      <c r="N2328" s="55"/>
    </row>
    <row r="2329" spans="14:14" x14ac:dyDescent="0.25">
      <c r="N2329" s="55"/>
    </row>
    <row r="2330" spans="14:14" x14ac:dyDescent="0.25">
      <c r="N2330" s="55"/>
    </row>
    <row r="2331" spans="14:14" x14ac:dyDescent="0.25">
      <c r="N2331" s="55"/>
    </row>
    <row r="2332" spans="14:14" x14ac:dyDescent="0.25">
      <c r="N2332" s="55"/>
    </row>
    <row r="2333" spans="14:14" x14ac:dyDescent="0.25">
      <c r="N2333" s="55"/>
    </row>
    <row r="2334" spans="14:14" x14ac:dyDescent="0.25">
      <c r="N2334" s="55"/>
    </row>
    <row r="2335" spans="14:14" x14ac:dyDescent="0.25">
      <c r="N2335" s="55"/>
    </row>
    <row r="2336" spans="14:14" x14ac:dyDescent="0.25">
      <c r="N2336" s="55"/>
    </row>
    <row r="2337" spans="14:14" x14ac:dyDescent="0.25">
      <c r="N2337" s="55"/>
    </row>
    <row r="2338" spans="14:14" x14ac:dyDescent="0.25">
      <c r="N2338" s="55"/>
    </row>
    <row r="2339" spans="14:14" x14ac:dyDescent="0.25">
      <c r="N2339" s="55"/>
    </row>
    <row r="2340" spans="14:14" x14ac:dyDescent="0.25">
      <c r="N2340" s="55"/>
    </row>
    <row r="2341" spans="14:14" x14ac:dyDescent="0.25">
      <c r="N2341" s="55"/>
    </row>
    <row r="2342" spans="14:14" x14ac:dyDescent="0.25">
      <c r="N2342" s="55"/>
    </row>
    <row r="2343" spans="14:14" x14ac:dyDescent="0.25">
      <c r="N2343" s="55"/>
    </row>
    <row r="2344" spans="14:14" x14ac:dyDescent="0.25">
      <c r="N2344" s="55"/>
    </row>
    <row r="2345" spans="14:14" x14ac:dyDescent="0.25">
      <c r="N2345" s="55"/>
    </row>
    <row r="2346" spans="14:14" x14ac:dyDescent="0.25">
      <c r="N2346" s="55"/>
    </row>
    <row r="2347" spans="14:14" x14ac:dyDescent="0.25">
      <c r="N2347" s="55"/>
    </row>
    <row r="2348" spans="14:14" x14ac:dyDescent="0.25">
      <c r="N2348" s="55"/>
    </row>
    <row r="2349" spans="14:14" x14ac:dyDescent="0.25">
      <c r="N2349" s="55"/>
    </row>
    <row r="2350" spans="14:14" x14ac:dyDescent="0.25">
      <c r="N2350" s="55"/>
    </row>
    <row r="2351" spans="14:14" x14ac:dyDescent="0.25">
      <c r="N2351" s="55"/>
    </row>
    <row r="2352" spans="14:14" x14ac:dyDescent="0.25">
      <c r="N2352" s="55"/>
    </row>
    <row r="2353" spans="14:14" x14ac:dyDescent="0.25">
      <c r="N2353" s="55"/>
    </row>
    <row r="2354" spans="14:14" x14ac:dyDescent="0.25">
      <c r="N2354" s="55"/>
    </row>
    <row r="2355" spans="14:14" x14ac:dyDescent="0.25">
      <c r="N2355" s="55"/>
    </row>
    <row r="2356" spans="14:14" x14ac:dyDescent="0.25">
      <c r="N2356" s="55"/>
    </row>
    <row r="2357" spans="14:14" x14ac:dyDescent="0.25">
      <c r="N2357" s="55"/>
    </row>
    <row r="2358" spans="14:14" x14ac:dyDescent="0.25">
      <c r="N2358" s="55"/>
    </row>
    <row r="2359" spans="14:14" x14ac:dyDescent="0.25">
      <c r="N2359" s="55"/>
    </row>
    <row r="2360" spans="14:14" x14ac:dyDescent="0.25">
      <c r="N2360" s="55"/>
    </row>
    <row r="2361" spans="14:14" x14ac:dyDescent="0.25">
      <c r="N2361" s="55"/>
    </row>
    <row r="2362" spans="14:14" x14ac:dyDescent="0.25">
      <c r="N2362" s="55"/>
    </row>
    <row r="2363" spans="14:14" x14ac:dyDescent="0.25">
      <c r="N2363" s="55"/>
    </row>
    <row r="2364" spans="14:14" x14ac:dyDescent="0.25">
      <c r="N2364" s="55"/>
    </row>
    <row r="2365" spans="14:14" x14ac:dyDescent="0.25">
      <c r="N2365" s="55"/>
    </row>
    <row r="2366" spans="14:14" x14ac:dyDescent="0.25">
      <c r="N2366" s="55"/>
    </row>
    <row r="2367" spans="14:14" x14ac:dyDescent="0.25">
      <c r="N2367" s="55"/>
    </row>
    <row r="2368" spans="14:14" x14ac:dyDescent="0.25">
      <c r="N2368" s="55"/>
    </row>
    <row r="2369" spans="14:14" x14ac:dyDescent="0.25">
      <c r="N2369" s="55"/>
    </row>
    <row r="2370" spans="14:14" x14ac:dyDescent="0.25">
      <c r="N2370" s="55"/>
    </row>
    <row r="2371" spans="14:14" x14ac:dyDescent="0.25">
      <c r="N2371" s="55"/>
    </row>
    <row r="2372" spans="14:14" x14ac:dyDescent="0.25">
      <c r="N2372" s="55"/>
    </row>
    <row r="2373" spans="14:14" x14ac:dyDescent="0.25">
      <c r="N2373" s="55"/>
    </row>
    <row r="2374" spans="14:14" x14ac:dyDescent="0.25">
      <c r="N2374" s="55"/>
    </row>
    <row r="2375" spans="14:14" x14ac:dyDescent="0.25">
      <c r="N2375" s="55"/>
    </row>
    <row r="2376" spans="14:14" x14ac:dyDescent="0.25">
      <c r="N2376" s="55"/>
    </row>
    <row r="2377" spans="14:14" x14ac:dyDescent="0.25">
      <c r="N2377" s="55"/>
    </row>
    <row r="2378" spans="14:14" x14ac:dyDescent="0.25">
      <c r="N2378" s="55"/>
    </row>
    <row r="2379" spans="14:14" x14ac:dyDescent="0.25">
      <c r="N2379" s="55"/>
    </row>
    <row r="2380" spans="14:14" x14ac:dyDescent="0.25">
      <c r="N2380" s="55"/>
    </row>
    <row r="2381" spans="14:14" x14ac:dyDescent="0.25">
      <c r="N2381" s="55"/>
    </row>
    <row r="2382" spans="14:14" x14ac:dyDescent="0.25">
      <c r="N2382" s="55"/>
    </row>
    <row r="2383" spans="14:14" x14ac:dyDescent="0.25">
      <c r="N2383" s="55"/>
    </row>
    <row r="2384" spans="14:14" x14ac:dyDescent="0.25">
      <c r="N2384" s="55"/>
    </row>
    <row r="2385" spans="14:14" x14ac:dyDescent="0.25">
      <c r="N2385" s="55"/>
    </row>
    <row r="2386" spans="14:14" x14ac:dyDescent="0.25">
      <c r="N2386" s="55"/>
    </row>
    <row r="2387" spans="14:14" x14ac:dyDescent="0.25">
      <c r="N2387" s="55"/>
    </row>
    <row r="2388" spans="14:14" x14ac:dyDescent="0.25">
      <c r="N2388" s="55"/>
    </row>
    <row r="2389" spans="14:14" x14ac:dyDescent="0.25">
      <c r="N2389" s="55"/>
    </row>
    <row r="2390" spans="14:14" x14ac:dyDescent="0.25">
      <c r="N2390" s="55"/>
    </row>
    <row r="2391" spans="14:14" x14ac:dyDescent="0.25">
      <c r="N2391" s="55"/>
    </row>
    <row r="2392" spans="14:14" x14ac:dyDescent="0.25">
      <c r="N2392" s="55"/>
    </row>
    <row r="2393" spans="14:14" x14ac:dyDescent="0.25">
      <c r="N2393" s="55"/>
    </row>
    <row r="2394" spans="14:14" x14ac:dyDescent="0.25">
      <c r="N2394" s="55"/>
    </row>
    <row r="2395" spans="14:14" x14ac:dyDescent="0.25">
      <c r="N2395" s="55"/>
    </row>
    <row r="2396" spans="14:14" x14ac:dyDescent="0.25">
      <c r="N2396" s="55"/>
    </row>
    <row r="2397" spans="14:14" x14ac:dyDescent="0.25">
      <c r="N2397" s="55"/>
    </row>
    <row r="2398" spans="14:14" x14ac:dyDescent="0.25">
      <c r="N2398" s="55"/>
    </row>
    <row r="2399" spans="14:14" x14ac:dyDescent="0.25">
      <c r="N2399" s="55"/>
    </row>
    <row r="2400" spans="14:14" x14ac:dyDescent="0.25">
      <c r="N2400" s="55"/>
    </row>
    <row r="2401" spans="14:14" x14ac:dyDescent="0.25">
      <c r="N2401" s="55"/>
    </row>
    <row r="2402" spans="14:14" x14ac:dyDescent="0.25">
      <c r="N2402" s="55"/>
    </row>
    <row r="2403" spans="14:14" x14ac:dyDescent="0.25">
      <c r="N2403" s="55"/>
    </row>
    <row r="2404" spans="14:14" x14ac:dyDescent="0.25">
      <c r="N2404" s="55"/>
    </row>
    <row r="2405" spans="14:14" x14ac:dyDescent="0.25">
      <c r="N2405" s="55"/>
    </row>
    <row r="2406" spans="14:14" x14ac:dyDescent="0.25">
      <c r="N2406" s="55"/>
    </row>
    <row r="2407" spans="14:14" x14ac:dyDescent="0.25">
      <c r="N2407" s="55"/>
    </row>
    <row r="2408" spans="14:14" x14ac:dyDescent="0.25">
      <c r="N2408" s="55"/>
    </row>
    <row r="2409" spans="14:14" x14ac:dyDescent="0.25">
      <c r="N2409" s="55"/>
    </row>
    <row r="2410" spans="14:14" x14ac:dyDescent="0.25">
      <c r="N2410" s="55"/>
    </row>
    <row r="2411" spans="14:14" x14ac:dyDescent="0.25">
      <c r="N2411" s="55"/>
    </row>
    <row r="2412" spans="14:14" x14ac:dyDescent="0.25">
      <c r="N2412" s="55"/>
    </row>
    <row r="2413" spans="14:14" x14ac:dyDescent="0.25">
      <c r="N2413" s="55"/>
    </row>
    <row r="2414" spans="14:14" x14ac:dyDescent="0.25">
      <c r="N2414" s="55"/>
    </row>
    <row r="2415" spans="14:14" x14ac:dyDescent="0.25">
      <c r="N2415" s="55"/>
    </row>
    <row r="2416" spans="14:14" x14ac:dyDescent="0.25">
      <c r="N2416" s="55"/>
    </row>
    <row r="2417" spans="14:14" x14ac:dyDescent="0.25">
      <c r="N2417" s="55"/>
    </row>
    <row r="2418" spans="14:14" x14ac:dyDescent="0.25">
      <c r="N2418" s="55"/>
    </row>
    <row r="2419" spans="14:14" x14ac:dyDescent="0.25">
      <c r="N2419" s="55"/>
    </row>
    <row r="2420" spans="14:14" x14ac:dyDescent="0.25">
      <c r="N2420" s="55"/>
    </row>
    <row r="2421" spans="14:14" x14ac:dyDescent="0.25">
      <c r="N2421" s="55"/>
    </row>
    <row r="2422" spans="14:14" x14ac:dyDescent="0.25">
      <c r="N2422" s="55"/>
    </row>
    <row r="2423" spans="14:14" x14ac:dyDescent="0.25">
      <c r="N2423" s="55"/>
    </row>
    <row r="2424" spans="14:14" x14ac:dyDescent="0.25">
      <c r="N2424" s="55"/>
    </row>
    <row r="2425" spans="14:14" x14ac:dyDescent="0.25">
      <c r="N2425" s="55"/>
    </row>
    <row r="2426" spans="14:14" x14ac:dyDescent="0.25">
      <c r="N2426" s="55"/>
    </row>
    <row r="2427" spans="14:14" x14ac:dyDescent="0.25">
      <c r="N2427" s="55"/>
    </row>
    <row r="2428" spans="14:14" x14ac:dyDescent="0.25">
      <c r="N2428" s="55"/>
    </row>
    <row r="2429" spans="14:14" x14ac:dyDescent="0.25">
      <c r="N2429" s="55"/>
    </row>
    <row r="2430" spans="14:14" x14ac:dyDescent="0.25">
      <c r="N2430" s="55"/>
    </row>
    <row r="2431" spans="14:14" x14ac:dyDescent="0.25">
      <c r="N2431" s="55"/>
    </row>
    <row r="2432" spans="14:14" x14ac:dyDescent="0.25">
      <c r="N2432" s="55"/>
    </row>
    <row r="2433" spans="14:14" x14ac:dyDescent="0.25">
      <c r="N2433" s="55"/>
    </row>
    <row r="2434" spans="14:14" x14ac:dyDescent="0.25">
      <c r="N2434" s="55"/>
    </row>
    <row r="2435" spans="14:14" x14ac:dyDescent="0.25">
      <c r="N2435" s="55"/>
    </row>
    <row r="2436" spans="14:14" x14ac:dyDescent="0.25">
      <c r="N2436" s="55"/>
    </row>
    <row r="2437" spans="14:14" x14ac:dyDescent="0.25">
      <c r="N2437" s="55"/>
    </row>
    <row r="2438" spans="14:14" x14ac:dyDescent="0.25">
      <c r="N2438" s="55"/>
    </row>
    <row r="2439" spans="14:14" x14ac:dyDescent="0.25">
      <c r="N2439" s="55"/>
    </row>
    <row r="2440" spans="14:14" x14ac:dyDescent="0.25">
      <c r="N2440" s="55"/>
    </row>
    <row r="2441" spans="14:14" x14ac:dyDescent="0.25">
      <c r="N2441" s="55"/>
    </row>
    <row r="2442" spans="14:14" x14ac:dyDescent="0.25">
      <c r="N2442" s="55"/>
    </row>
    <row r="2443" spans="14:14" x14ac:dyDescent="0.25">
      <c r="N2443" s="55"/>
    </row>
    <row r="2444" spans="14:14" x14ac:dyDescent="0.25">
      <c r="N2444" s="55"/>
    </row>
    <row r="2445" spans="14:14" x14ac:dyDescent="0.25">
      <c r="N2445" s="55"/>
    </row>
    <row r="2446" spans="14:14" x14ac:dyDescent="0.25">
      <c r="N2446" s="55"/>
    </row>
    <row r="2447" spans="14:14" x14ac:dyDescent="0.25">
      <c r="N2447" s="55"/>
    </row>
    <row r="2448" spans="14:14" x14ac:dyDescent="0.25">
      <c r="N2448" s="55"/>
    </row>
    <row r="2449" spans="14:14" x14ac:dyDescent="0.25">
      <c r="N2449" s="55"/>
    </row>
    <row r="2450" spans="14:14" x14ac:dyDescent="0.25">
      <c r="N2450" s="55"/>
    </row>
    <row r="2451" spans="14:14" x14ac:dyDescent="0.25">
      <c r="N2451" s="55"/>
    </row>
    <row r="2452" spans="14:14" x14ac:dyDescent="0.25">
      <c r="N2452" s="55"/>
    </row>
    <row r="2453" spans="14:14" x14ac:dyDescent="0.25">
      <c r="N2453" s="55"/>
    </row>
    <row r="2454" spans="14:14" x14ac:dyDescent="0.25">
      <c r="N2454" s="55"/>
    </row>
    <row r="2455" spans="14:14" x14ac:dyDescent="0.25">
      <c r="N2455" s="55"/>
    </row>
    <row r="2456" spans="14:14" x14ac:dyDescent="0.25">
      <c r="N2456" s="55"/>
    </row>
    <row r="2457" spans="14:14" x14ac:dyDescent="0.25">
      <c r="N2457" s="55"/>
    </row>
    <row r="2458" spans="14:14" x14ac:dyDescent="0.25">
      <c r="N2458" s="55"/>
    </row>
    <row r="2459" spans="14:14" x14ac:dyDescent="0.25">
      <c r="N2459" s="55"/>
    </row>
    <row r="2460" spans="14:14" x14ac:dyDescent="0.25">
      <c r="N2460" s="55"/>
    </row>
    <row r="2461" spans="14:14" x14ac:dyDescent="0.25">
      <c r="N2461" s="55"/>
    </row>
    <row r="2462" spans="14:14" x14ac:dyDescent="0.25">
      <c r="N2462" s="55"/>
    </row>
    <row r="2463" spans="14:14" x14ac:dyDescent="0.25">
      <c r="N2463" s="55"/>
    </row>
    <row r="2464" spans="14:14" x14ac:dyDescent="0.25">
      <c r="N2464" s="55"/>
    </row>
    <row r="2465" spans="14:14" x14ac:dyDescent="0.25">
      <c r="N2465" s="55"/>
    </row>
    <row r="2466" spans="14:14" x14ac:dyDescent="0.25">
      <c r="N2466" s="55"/>
    </row>
    <row r="2467" spans="14:14" x14ac:dyDescent="0.25">
      <c r="N2467" s="55"/>
    </row>
    <row r="2468" spans="14:14" x14ac:dyDescent="0.25">
      <c r="N2468" s="55"/>
    </row>
    <row r="2469" spans="14:14" x14ac:dyDescent="0.25">
      <c r="N2469" s="55"/>
    </row>
    <row r="2470" spans="14:14" x14ac:dyDescent="0.25">
      <c r="N2470" s="55"/>
    </row>
    <row r="2471" spans="14:14" x14ac:dyDescent="0.25">
      <c r="N2471" s="55"/>
    </row>
    <row r="2472" spans="14:14" x14ac:dyDescent="0.25">
      <c r="N2472" s="55"/>
    </row>
    <row r="2473" spans="14:14" x14ac:dyDescent="0.25">
      <c r="N2473" s="55"/>
    </row>
    <row r="2474" spans="14:14" x14ac:dyDescent="0.25">
      <c r="N2474" s="55"/>
    </row>
    <row r="2475" spans="14:14" x14ac:dyDescent="0.25">
      <c r="N2475" s="55"/>
    </row>
    <row r="2476" spans="14:14" x14ac:dyDescent="0.25">
      <c r="N2476" s="55"/>
    </row>
    <row r="2477" spans="14:14" x14ac:dyDescent="0.25">
      <c r="N2477" s="55"/>
    </row>
    <row r="2478" spans="14:14" x14ac:dyDescent="0.25">
      <c r="N2478" s="55"/>
    </row>
    <row r="2479" spans="14:14" x14ac:dyDescent="0.25">
      <c r="N2479" s="55"/>
    </row>
    <row r="2480" spans="14:14" x14ac:dyDescent="0.25">
      <c r="N2480" s="55"/>
    </row>
    <row r="2481" spans="14:14" x14ac:dyDescent="0.25">
      <c r="N2481" s="55"/>
    </row>
    <row r="2482" spans="14:14" x14ac:dyDescent="0.25">
      <c r="N2482" s="55"/>
    </row>
    <row r="2483" spans="14:14" x14ac:dyDescent="0.25">
      <c r="N2483" s="55"/>
    </row>
    <row r="2484" spans="14:14" x14ac:dyDescent="0.25">
      <c r="N2484" s="55"/>
    </row>
    <row r="2485" spans="14:14" x14ac:dyDescent="0.25">
      <c r="N2485" s="55"/>
    </row>
    <row r="2486" spans="14:14" x14ac:dyDescent="0.25">
      <c r="N2486" s="55"/>
    </row>
    <row r="2487" spans="14:14" x14ac:dyDescent="0.25">
      <c r="N2487" s="55"/>
    </row>
    <row r="2488" spans="14:14" x14ac:dyDescent="0.25">
      <c r="N2488" s="55"/>
    </row>
    <row r="2489" spans="14:14" x14ac:dyDescent="0.25">
      <c r="N2489" s="55"/>
    </row>
    <row r="2490" spans="14:14" x14ac:dyDescent="0.25">
      <c r="N2490" s="55"/>
    </row>
    <row r="2491" spans="14:14" x14ac:dyDescent="0.25">
      <c r="N2491" s="55"/>
    </row>
    <row r="2492" spans="14:14" x14ac:dyDescent="0.25">
      <c r="N2492" s="55"/>
    </row>
    <row r="2493" spans="14:14" x14ac:dyDescent="0.25">
      <c r="N2493" s="55"/>
    </row>
    <row r="2494" spans="14:14" x14ac:dyDescent="0.25">
      <c r="N2494" s="55"/>
    </row>
    <row r="2495" spans="14:14" x14ac:dyDescent="0.25">
      <c r="N2495" s="55"/>
    </row>
    <row r="2496" spans="14:14" x14ac:dyDescent="0.25">
      <c r="N2496" s="55"/>
    </row>
    <row r="2497" spans="14:14" x14ac:dyDescent="0.25">
      <c r="N2497" s="55"/>
    </row>
    <row r="2498" spans="14:14" x14ac:dyDescent="0.25">
      <c r="N2498" s="55"/>
    </row>
    <row r="2499" spans="14:14" x14ac:dyDescent="0.25">
      <c r="N2499" s="55"/>
    </row>
    <row r="2500" spans="14:14" x14ac:dyDescent="0.25">
      <c r="N2500" s="55"/>
    </row>
    <row r="2501" spans="14:14" x14ac:dyDescent="0.25">
      <c r="N2501" s="55"/>
    </row>
    <row r="2502" spans="14:14" x14ac:dyDescent="0.25">
      <c r="N2502" s="55"/>
    </row>
    <row r="2503" spans="14:14" x14ac:dyDescent="0.25">
      <c r="N2503" s="55"/>
    </row>
    <row r="2504" spans="14:14" x14ac:dyDescent="0.25">
      <c r="N2504" s="55"/>
    </row>
    <row r="2505" spans="14:14" x14ac:dyDescent="0.25">
      <c r="N2505" s="55"/>
    </row>
    <row r="2506" spans="14:14" x14ac:dyDescent="0.25">
      <c r="N2506" s="55"/>
    </row>
    <row r="2507" spans="14:14" x14ac:dyDescent="0.25">
      <c r="N2507" s="55"/>
    </row>
    <row r="2508" spans="14:14" x14ac:dyDescent="0.25">
      <c r="N2508" s="55"/>
    </row>
    <row r="2509" spans="14:14" x14ac:dyDescent="0.25">
      <c r="N2509" s="55"/>
    </row>
    <row r="2510" spans="14:14" x14ac:dyDescent="0.25">
      <c r="N2510" s="55"/>
    </row>
    <row r="2511" spans="14:14" x14ac:dyDescent="0.25">
      <c r="N2511" s="55"/>
    </row>
    <row r="2512" spans="14:14" x14ac:dyDescent="0.25">
      <c r="N2512" s="55"/>
    </row>
    <row r="2513" spans="14:14" x14ac:dyDescent="0.25">
      <c r="N2513" s="55"/>
    </row>
    <row r="2514" spans="14:14" x14ac:dyDescent="0.25">
      <c r="N2514" s="55"/>
    </row>
    <row r="2515" spans="14:14" x14ac:dyDescent="0.25">
      <c r="N2515" s="55"/>
    </row>
    <row r="2516" spans="14:14" x14ac:dyDescent="0.25">
      <c r="N2516" s="55"/>
    </row>
    <row r="2517" spans="14:14" x14ac:dyDescent="0.25">
      <c r="N2517" s="55"/>
    </row>
    <row r="2518" spans="14:14" x14ac:dyDescent="0.25">
      <c r="N2518" s="55"/>
    </row>
    <row r="2519" spans="14:14" x14ac:dyDescent="0.25">
      <c r="N2519" s="55"/>
    </row>
    <row r="2520" spans="14:14" x14ac:dyDescent="0.25">
      <c r="N2520" s="55"/>
    </row>
    <row r="2521" spans="14:14" x14ac:dyDescent="0.25">
      <c r="N2521" s="55"/>
    </row>
    <row r="2522" spans="14:14" x14ac:dyDescent="0.25">
      <c r="N2522" s="55"/>
    </row>
    <row r="2523" spans="14:14" x14ac:dyDescent="0.25">
      <c r="N2523" s="55"/>
    </row>
    <row r="2524" spans="14:14" x14ac:dyDescent="0.25">
      <c r="N2524" s="55"/>
    </row>
    <row r="2525" spans="14:14" x14ac:dyDescent="0.25">
      <c r="N2525" s="55"/>
    </row>
    <row r="2526" spans="14:14" x14ac:dyDescent="0.25">
      <c r="N2526" s="55"/>
    </row>
    <row r="2527" spans="14:14" x14ac:dyDescent="0.25">
      <c r="N2527" s="55"/>
    </row>
    <row r="2528" spans="14:14" x14ac:dyDescent="0.25">
      <c r="N2528" s="55"/>
    </row>
    <row r="2529" spans="14:14" x14ac:dyDescent="0.25">
      <c r="N2529" s="55"/>
    </row>
    <row r="2530" spans="14:14" x14ac:dyDescent="0.25">
      <c r="N2530" s="55"/>
    </row>
    <row r="2531" spans="14:14" x14ac:dyDescent="0.25">
      <c r="N2531" s="55"/>
    </row>
    <row r="2532" spans="14:14" x14ac:dyDescent="0.25">
      <c r="N2532" s="55"/>
    </row>
    <row r="2533" spans="14:14" x14ac:dyDescent="0.25">
      <c r="N2533" s="55"/>
    </row>
    <row r="2534" spans="14:14" x14ac:dyDescent="0.25">
      <c r="N2534" s="55"/>
    </row>
    <row r="2535" spans="14:14" x14ac:dyDescent="0.25">
      <c r="N2535" s="55"/>
    </row>
    <row r="2536" spans="14:14" x14ac:dyDescent="0.25">
      <c r="N2536" s="55"/>
    </row>
    <row r="2537" spans="14:14" x14ac:dyDescent="0.25">
      <c r="N2537" s="55"/>
    </row>
    <row r="2538" spans="14:14" x14ac:dyDescent="0.25">
      <c r="N2538" s="55"/>
    </row>
    <row r="2539" spans="14:14" x14ac:dyDescent="0.25">
      <c r="N2539" s="55"/>
    </row>
    <row r="2540" spans="14:14" x14ac:dyDescent="0.25">
      <c r="N2540" s="55"/>
    </row>
    <row r="2541" spans="14:14" x14ac:dyDescent="0.25">
      <c r="N2541" s="55"/>
    </row>
    <row r="2542" spans="14:14" x14ac:dyDescent="0.25">
      <c r="N2542" s="55"/>
    </row>
    <row r="2543" spans="14:14" x14ac:dyDescent="0.25">
      <c r="N2543" s="55"/>
    </row>
    <row r="2544" spans="14:14" x14ac:dyDescent="0.25">
      <c r="N2544" s="55"/>
    </row>
    <row r="2545" spans="14:14" x14ac:dyDescent="0.25">
      <c r="N2545" s="55"/>
    </row>
    <row r="2546" spans="14:14" x14ac:dyDescent="0.25">
      <c r="N2546" s="55"/>
    </row>
    <row r="2547" spans="14:14" x14ac:dyDescent="0.25">
      <c r="N2547" s="55"/>
    </row>
    <row r="2548" spans="14:14" x14ac:dyDescent="0.25">
      <c r="N2548" s="55"/>
    </row>
    <row r="2549" spans="14:14" x14ac:dyDescent="0.25">
      <c r="N2549" s="55"/>
    </row>
    <row r="2550" spans="14:14" x14ac:dyDescent="0.25">
      <c r="N2550" s="55"/>
    </row>
    <row r="2551" spans="14:14" x14ac:dyDescent="0.25">
      <c r="N2551" s="55"/>
    </row>
    <row r="2552" spans="14:14" x14ac:dyDescent="0.25">
      <c r="N2552" s="55"/>
    </row>
    <row r="2553" spans="14:14" x14ac:dyDescent="0.25">
      <c r="N2553" s="55"/>
    </row>
    <row r="2554" spans="14:14" x14ac:dyDescent="0.25">
      <c r="N2554" s="55"/>
    </row>
    <row r="2555" spans="14:14" x14ac:dyDescent="0.25">
      <c r="N2555" s="55"/>
    </row>
    <row r="2556" spans="14:14" x14ac:dyDescent="0.25">
      <c r="N2556" s="55"/>
    </row>
    <row r="2557" spans="14:14" x14ac:dyDescent="0.25">
      <c r="N2557" s="55"/>
    </row>
    <row r="2558" spans="14:14" x14ac:dyDescent="0.25">
      <c r="N2558" s="55"/>
    </row>
    <row r="2559" spans="14:14" x14ac:dyDescent="0.25">
      <c r="N2559" s="55"/>
    </row>
    <row r="2560" spans="14:14" x14ac:dyDescent="0.25">
      <c r="N2560" s="55"/>
    </row>
    <row r="2561" spans="14:14" x14ac:dyDescent="0.25">
      <c r="N2561" s="55"/>
    </row>
    <row r="2562" spans="14:14" x14ac:dyDescent="0.25">
      <c r="N2562" s="55"/>
    </row>
    <row r="2563" spans="14:14" x14ac:dyDescent="0.25">
      <c r="N2563" s="55"/>
    </row>
    <row r="2564" spans="14:14" x14ac:dyDescent="0.25">
      <c r="N2564" s="55"/>
    </row>
    <row r="2565" spans="14:14" x14ac:dyDescent="0.25">
      <c r="N2565" s="55"/>
    </row>
    <row r="2566" spans="14:14" x14ac:dyDescent="0.25">
      <c r="N2566" s="55"/>
    </row>
    <row r="2567" spans="14:14" x14ac:dyDescent="0.25">
      <c r="N2567" s="55"/>
    </row>
    <row r="2568" spans="14:14" x14ac:dyDescent="0.25">
      <c r="N2568" s="55"/>
    </row>
    <row r="2569" spans="14:14" x14ac:dyDescent="0.25">
      <c r="N2569" s="55"/>
    </row>
    <row r="2570" spans="14:14" x14ac:dyDescent="0.25">
      <c r="N2570" s="55"/>
    </row>
    <row r="2571" spans="14:14" x14ac:dyDescent="0.25">
      <c r="N2571" s="55"/>
    </row>
    <row r="2572" spans="14:14" x14ac:dyDescent="0.25">
      <c r="N2572" s="55"/>
    </row>
    <row r="2573" spans="14:14" x14ac:dyDescent="0.25">
      <c r="N2573" s="55"/>
    </row>
    <row r="2574" spans="14:14" x14ac:dyDescent="0.25">
      <c r="N2574" s="55"/>
    </row>
    <row r="2575" spans="14:14" x14ac:dyDescent="0.25">
      <c r="N2575" s="55"/>
    </row>
    <row r="2576" spans="14:14" x14ac:dyDescent="0.25">
      <c r="N2576" s="55"/>
    </row>
    <row r="2577" spans="14:14" x14ac:dyDescent="0.25">
      <c r="N2577" s="55"/>
    </row>
    <row r="2578" spans="14:14" x14ac:dyDescent="0.25">
      <c r="N2578" s="55"/>
    </row>
    <row r="2579" spans="14:14" x14ac:dyDescent="0.25">
      <c r="N2579" s="55"/>
    </row>
    <row r="2580" spans="14:14" x14ac:dyDescent="0.25">
      <c r="N2580" s="55"/>
    </row>
    <row r="2581" spans="14:14" x14ac:dyDescent="0.25">
      <c r="N2581" s="55"/>
    </row>
    <row r="2582" spans="14:14" x14ac:dyDescent="0.25">
      <c r="N2582" s="55"/>
    </row>
    <row r="2583" spans="14:14" x14ac:dyDescent="0.25">
      <c r="N2583" s="55"/>
    </row>
    <row r="2584" spans="14:14" x14ac:dyDescent="0.25">
      <c r="N2584" s="55"/>
    </row>
    <row r="2585" spans="14:14" x14ac:dyDescent="0.25">
      <c r="N2585" s="55"/>
    </row>
    <row r="2586" spans="14:14" x14ac:dyDescent="0.25">
      <c r="N2586" s="55"/>
    </row>
    <row r="2587" spans="14:14" x14ac:dyDescent="0.25">
      <c r="N2587" s="55"/>
    </row>
    <row r="2588" spans="14:14" x14ac:dyDescent="0.25">
      <c r="N2588" s="55"/>
    </row>
    <row r="2589" spans="14:14" x14ac:dyDescent="0.25">
      <c r="N2589" s="55"/>
    </row>
    <row r="2590" spans="14:14" x14ac:dyDescent="0.25">
      <c r="N2590" s="55"/>
    </row>
    <row r="2591" spans="14:14" x14ac:dyDescent="0.25">
      <c r="N2591" s="55"/>
    </row>
    <row r="2592" spans="14:14" x14ac:dyDescent="0.25">
      <c r="N2592" s="55"/>
    </row>
    <row r="2593" spans="14:14" x14ac:dyDescent="0.25">
      <c r="N2593" s="55"/>
    </row>
    <row r="2594" spans="14:14" x14ac:dyDescent="0.25">
      <c r="N2594" s="55"/>
    </row>
    <row r="2595" spans="14:14" x14ac:dyDescent="0.25">
      <c r="N2595" s="55"/>
    </row>
    <row r="2596" spans="14:14" x14ac:dyDescent="0.25">
      <c r="N2596" s="55"/>
    </row>
    <row r="2597" spans="14:14" x14ac:dyDescent="0.25">
      <c r="N2597" s="55"/>
    </row>
    <row r="2598" spans="14:14" x14ac:dyDescent="0.25">
      <c r="N2598" s="55"/>
    </row>
    <row r="2599" spans="14:14" x14ac:dyDescent="0.25">
      <c r="N2599" s="55"/>
    </row>
    <row r="2600" spans="14:14" x14ac:dyDescent="0.25">
      <c r="N2600" s="55"/>
    </row>
    <row r="2601" spans="14:14" x14ac:dyDescent="0.25">
      <c r="N2601" s="55"/>
    </row>
    <row r="2602" spans="14:14" x14ac:dyDescent="0.25">
      <c r="N2602" s="55"/>
    </row>
    <row r="2603" spans="14:14" x14ac:dyDescent="0.25">
      <c r="N2603" s="55"/>
    </row>
    <row r="2604" spans="14:14" x14ac:dyDescent="0.25">
      <c r="N2604" s="55"/>
    </row>
    <row r="2605" spans="14:14" x14ac:dyDescent="0.25">
      <c r="N2605" s="55"/>
    </row>
    <row r="2606" spans="14:14" x14ac:dyDescent="0.25">
      <c r="N2606" s="55"/>
    </row>
    <row r="2607" spans="14:14" x14ac:dyDescent="0.25">
      <c r="N2607" s="55"/>
    </row>
    <row r="2608" spans="14:14" x14ac:dyDescent="0.25">
      <c r="N2608" s="55"/>
    </row>
    <row r="2609" spans="14:14" x14ac:dyDescent="0.25">
      <c r="N2609" s="55"/>
    </row>
    <row r="2610" spans="14:14" x14ac:dyDescent="0.25">
      <c r="N2610" s="55"/>
    </row>
    <row r="2611" spans="14:14" x14ac:dyDescent="0.25">
      <c r="N2611" s="55"/>
    </row>
    <row r="2612" spans="14:14" x14ac:dyDescent="0.25">
      <c r="N2612" s="55"/>
    </row>
    <row r="2613" spans="14:14" x14ac:dyDescent="0.25">
      <c r="N2613" s="55"/>
    </row>
    <row r="2614" spans="14:14" x14ac:dyDescent="0.25">
      <c r="N2614" s="55"/>
    </row>
    <row r="2615" spans="14:14" x14ac:dyDescent="0.25">
      <c r="N2615" s="55"/>
    </row>
    <row r="2616" spans="14:14" x14ac:dyDescent="0.25">
      <c r="N2616" s="55"/>
    </row>
    <row r="2617" spans="14:14" x14ac:dyDescent="0.25">
      <c r="N2617" s="55"/>
    </row>
    <row r="2618" spans="14:14" x14ac:dyDescent="0.25">
      <c r="N2618" s="55"/>
    </row>
    <row r="2619" spans="14:14" x14ac:dyDescent="0.25">
      <c r="N2619" s="55"/>
    </row>
    <row r="2620" spans="14:14" x14ac:dyDescent="0.25">
      <c r="N2620" s="55"/>
    </row>
    <row r="2621" spans="14:14" x14ac:dyDescent="0.25">
      <c r="N2621" s="55"/>
    </row>
    <row r="2622" spans="14:14" x14ac:dyDescent="0.25">
      <c r="N2622" s="55"/>
    </row>
    <row r="2623" spans="14:14" x14ac:dyDescent="0.25">
      <c r="N2623" s="55"/>
    </row>
    <row r="2624" spans="14:14" x14ac:dyDescent="0.25">
      <c r="N2624" s="55"/>
    </row>
    <row r="2625" spans="14:14" x14ac:dyDescent="0.25">
      <c r="N2625" s="55"/>
    </row>
    <row r="2626" spans="14:14" x14ac:dyDescent="0.25">
      <c r="N2626" s="55"/>
    </row>
    <row r="2627" spans="14:14" x14ac:dyDescent="0.25">
      <c r="N2627" s="55"/>
    </row>
    <row r="2628" spans="14:14" x14ac:dyDescent="0.25">
      <c r="N2628" s="55"/>
    </row>
    <row r="2629" spans="14:14" x14ac:dyDescent="0.25">
      <c r="N2629" s="55"/>
    </row>
    <row r="2630" spans="14:14" x14ac:dyDescent="0.25">
      <c r="N2630" s="55"/>
    </row>
    <row r="2631" spans="14:14" x14ac:dyDescent="0.25">
      <c r="N2631" s="55"/>
    </row>
    <row r="2632" spans="14:14" x14ac:dyDescent="0.25">
      <c r="N2632" s="55"/>
    </row>
    <row r="2633" spans="14:14" x14ac:dyDescent="0.25">
      <c r="N2633" s="55"/>
    </row>
    <row r="2634" spans="14:14" x14ac:dyDescent="0.25">
      <c r="N2634" s="55"/>
    </row>
    <row r="2635" spans="14:14" x14ac:dyDescent="0.25">
      <c r="N2635" s="55"/>
    </row>
    <row r="2636" spans="14:14" x14ac:dyDescent="0.25">
      <c r="N2636" s="55"/>
    </row>
    <row r="2637" spans="14:14" x14ac:dyDescent="0.25">
      <c r="N2637" s="55"/>
    </row>
    <row r="2638" spans="14:14" x14ac:dyDescent="0.25">
      <c r="N2638" s="55"/>
    </row>
    <row r="2639" spans="14:14" x14ac:dyDescent="0.25">
      <c r="N2639" s="55"/>
    </row>
    <row r="2640" spans="14:14" x14ac:dyDescent="0.25">
      <c r="N2640" s="55"/>
    </row>
    <row r="2641" spans="14:14" x14ac:dyDescent="0.25">
      <c r="N2641" s="55"/>
    </row>
    <row r="2642" spans="14:14" x14ac:dyDescent="0.25">
      <c r="N2642" s="55"/>
    </row>
    <row r="2643" spans="14:14" x14ac:dyDescent="0.25">
      <c r="N2643" s="55"/>
    </row>
    <row r="2644" spans="14:14" x14ac:dyDescent="0.25">
      <c r="N2644" s="55"/>
    </row>
    <row r="2645" spans="14:14" x14ac:dyDescent="0.25">
      <c r="N2645" s="55"/>
    </row>
    <row r="2646" spans="14:14" x14ac:dyDescent="0.25">
      <c r="N2646" s="55"/>
    </row>
    <row r="2647" spans="14:14" x14ac:dyDescent="0.25">
      <c r="N2647" s="55"/>
    </row>
    <row r="2648" spans="14:14" x14ac:dyDescent="0.25">
      <c r="N2648" s="55"/>
    </row>
    <row r="2649" spans="14:14" x14ac:dyDescent="0.25">
      <c r="N2649" s="55"/>
    </row>
    <row r="2650" spans="14:14" x14ac:dyDescent="0.25">
      <c r="N2650" s="55"/>
    </row>
    <row r="2651" spans="14:14" x14ac:dyDescent="0.25">
      <c r="N2651" s="55"/>
    </row>
    <row r="2652" spans="14:14" x14ac:dyDescent="0.25">
      <c r="N2652" s="55"/>
    </row>
    <row r="2653" spans="14:14" x14ac:dyDescent="0.25">
      <c r="N2653" s="55"/>
    </row>
    <row r="2654" spans="14:14" x14ac:dyDescent="0.25">
      <c r="N2654" s="55"/>
    </row>
    <row r="2655" spans="14:14" x14ac:dyDescent="0.25">
      <c r="N2655" s="55"/>
    </row>
    <row r="2656" spans="14:14" x14ac:dyDescent="0.25">
      <c r="N2656" s="55"/>
    </row>
    <row r="2657" spans="14:14" x14ac:dyDescent="0.25">
      <c r="N2657" s="55"/>
    </row>
    <row r="2658" spans="14:14" x14ac:dyDescent="0.25">
      <c r="N2658" s="55"/>
    </row>
    <row r="2659" spans="14:14" x14ac:dyDescent="0.25">
      <c r="N2659" s="55"/>
    </row>
    <row r="2660" spans="14:14" x14ac:dyDescent="0.25">
      <c r="N2660" s="55"/>
    </row>
    <row r="2661" spans="14:14" x14ac:dyDescent="0.25">
      <c r="N2661" s="55"/>
    </row>
    <row r="2662" spans="14:14" x14ac:dyDescent="0.25">
      <c r="N2662" s="55"/>
    </row>
    <row r="2663" spans="14:14" x14ac:dyDescent="0.25">
      <c r="N2663" s="55"/>
    </row>
    <row r="2664" spans="14:14" x14ac:dyDescent="0.25">
      <c r="N2664" s="55"/>
    </row>
    <row r="2665" spans="14:14" x14ac:dyDescent="0.25">
      <c r="N2665" s="55"/>
    </row>
    <row r="2666" spans="14:14" x14ac:dyDescent="0.25">
      <c r="N2666" s="55"/>
    </row>
    <row r="2667" spans="14:14" x14ac:dyDescent="0.25">
      <c r="N2667" s="55"/>
    </row>
    <row r="2668" spans="14:14" x14ac:dyDescent="0.25">
      <c r="N2668" s="55"/>
    </row>
    <row r="2669" spans="14:14" x14ac:dyDescent="0.25">
      <c r="N2669" s="55"/>
    </row>
    <row r="2670" spans="14:14" x14ac:dyDescent="0.25">
      <c r="N2670" s="55"/>
    </row>
    <row r="2671" spans="14:14" x14ac:dyDescent="0.25">
      <c r="N2671" s="55"/>
    </row>
    <row r="2672" spans="14:14" x14ac:dyDescent="0.25">
      <c r="N2672" s="55"/>
    </row>
    <row r="2673" spans="14:14" x14ac:dyDescent="0.25">
      <c r="N2673" s="55"/>
    </row>
    <row r="2674" spans="14:14" x14ac:dyDescent="0.25">
      <c r="N2674" s="55"/>
    </row>
    <row r="2675" spans="14:14" x14ac:dyDescent="0.25">
      <c r="N2675" s="55"/>
    </row>
    <row r="2676" spans="14:14" x14ac:dyDescent="0.25">
      <c r="N2676" s="55"/>
    </row>
    <row r="2677" spans="14:14" x14ac:dyDescent="0.25">
      <c r="N2677" s="55"/>
    </row>
    <row r="2678" spans="14:14" x14ac:dyDescent="0.25">
      <c r="N2678" s="55"/>
    </row>
    <row r="2679" spans="14:14" x14ac:dyDescent="0.25">
      <c r="N2679" s="55"/>
    </row>
    <row r="2680" spans="14:14" x14ac:dyDescent="0.25">
      <c r="N2680" s="55"/>
    </row>
    <row r="2681" spans="14:14" x14ac:dyDescent="0.25">
      <c r="N2681" s="55"/>
    </row>
    <row r="2682" spans="14:14" x14ac:dyDescent="0.25">
      <c r="N2682" s="55"/>
    </row>
    <row r="2683" spans="14:14" x14ac:dyDescent="0.25">
      <c r="N2683" s="55"/>
    </row>
    <row r="2684" spans="14:14" x14ac:dyDescent="0.25">
      <c r="N2684" s="55"/>
    </row>
    <row r="2685" spans="14:14" x14ac:dyDescent="0.25">
      <c r="N2685" s="55"/>
    </row>
    <row r="2686" spans="14:14" x14ac:dyDescent="0.25">
      <c r="N2686" s="55"/>
    </row>
    <row r="2687" spans="14:14" x14ac:dyDescent="0.25">
      <c r="N2687" s="55"/>
    </row>
    <row r="2688" spans="14:14" x14ac:dyDescent="0.25">
      <c r="N2688" s="55"/>
    </row>
    <row r="2689" spans="14:14" x14ac:dyDescent="0.25">
      <c r="N2689" s="55"/>
    </row>
    <row r="2690" spans="14:14" x14ac:dyDescent="0.25">
      <c r="N2690" s="55"/>
    </row>
    <row r="2691" spans="14:14" x14ac:dyDescent="0.25">
      <c r="N2691" s="55"/>
    </row>
    <row r="2692" spans="14:14" x14ac:dyDescent="0.25">
      <c r="N2692" s="55"/>
    </row>
    <row r="2693" spans="14:14" x14ac:dyDescent="0.25">
      <c r="N2693" s="55"/>
    </row>
    <row r="2694" spans="14:14" x14ac:dyDescent="0.25">
      <c r="N2694" s="55"/>
    </row>
    <row r="2695" spans="14:14" x14ac:dyDescent="0.25">
      <c r="N2695" s="55"/>
    </row>
    <row r="2696" spans="14:14" x14ac:dyDescent="0.25">
      <c r="N2696" s="55"/>
    </row>
    <row r="2697" spans="14:14" x14ac:dyDescent="0.25">
      <c r="N2697" s="55"/>
    </row>
    <row r="2698" spans="14:14" x14ac:dyDescent="0.25">
      <c r="N2698" s="55"/>
    </row>
    <row r="2699" spans="14:14" x14ac:dyDescent="0.25">
      <c r="N2699" s="55"/>
    </row>
    <row r="2700" spans="14:14" x14ac:dyDescent="0.25">
      <c r="N2700" s="55"/>
    </row>
    <row r="2701" spans="14:14" x14ac:dyDescent="0.25">
      <c r="N2701" s="55"/>
    </row>
    <row r="2702" spans="14:14" x14ac:dyDescent="0.25">
      <c r="N2702" s="55"/>
    </row>
    <row r="2703" spans="14:14" x14ac:dyDescent="0.25">
      <c r="N2703" s="55"/>
    </row>
    <row r="2704" spans="14:14" x14ac:dyDescent="0.25">
      <c r="N2704" s="55"/>
    </row>
    <row r="2705" spans="14:14" x14ac:dyDescent="0.25">
      <c r="N2705" s="55"/>
    </row>
    <row r="2706" spans="14:14" x14ac:dyDescent="0.25">
      <c r="N2706" s="55"/>
    </row>
    <row r="2707" spans="14:14" x14ac:dyDescent="0.25">
      <c r="N2707" s="55"/>
    </row>
    <row r="2708" spans="14:14" x14ac:dyDescent="0.25">
      <c r="N2708" s="55"/>
    </row>
    <row r="2709" spans="14:14" x14ac:dyDescent="0.25">
      <c r="N2709" s="55"/>
    </row>
    <row r="2710" spans="14:14" x14ac:dyDescent="0.25">
      <c r="N2710" s="55"/>
    </row>
    <row r="2711" spans="14:14" x14ac:dyDescent="0.25">
      <c r="N2711" s="55"/>
    </row>
    <row r="2712" spans="14:14" x14ac:dyDescent="0.25">
      <c r="N2712" s="55"/>
    </row>
    <row r="2713" spans="14:14" x14ac:dyDescent="0.25">
      <c r="N2713" s="55"/>
    </row>
    <row r="2714" spans="14:14" x14ac:dyDescent="0.25">
      <c r="N2714" s="55"/>
    </row>
    <row r="2715" spans="14:14" x14ac:dyDescent="0.25">
      <c r="N2715" s="55"/>
    </row>
    <row r="2716" spans="14:14" x14ac:dyDescent="0.25">
      <c r="N2716" s="55"/>
    </row>
    <row r="2717" spans="14:14" x14ac:dyDescent="0.25">
      <c r="N2717" s="55"/>
    </row>
    <row r="2718" spans="14:14" x14ac:dyDescent="0.25">
      <c r="N2718" s="55"/>
    </row>
    <row r="2719" spans="14:14" x14ac:dyDescent="0.25">
      <c r="N2719" s="55"/>
    </row>
    <row r="2720" spans="14:14" x14ac:dyDescent="0.25">
      <c r="N2720" s="55"/>
    </row>
    <row r="2721" spans="14:14" x14ac:dyDescent="0.25">
      <c r="N2721" s="55"/>
    </row>
    <row r="2722" spans="14:14" x14ac:dyDescent="0.25">
      <c r="N2722" s="55"/>
    </row>
    <row r="2723" spans="14:14" x14ac:dyDescent="0.25">
      <c r="N2723" s="55"/>
    </row>
    <row r="2724" spans="14:14" x14ac:dyDescent="0.25">
      <c r="N2724" s="55"/>
    </row>
    <row r="2725" spans="14:14" x14ac:dyDescent="0.25">
      <c r="N2725" s="55"/>
    </row>
    <row r="2726" spans="14:14" x14ac:dyDescent="0.25">
      <c r="N2726" s="55"/>
    </row>
    <row r="2727" spans="14:14" x14ac:dyDescent="0.25">
      <c r="N2727" s="55"/>
    </row>
    <row r="2728" spans="14:14" x14ac:dyDescent="0.25">
      <c r="N2728" s="55"/>
    </row>
    <row r="2729" spans="14:14" x14ac:dyDescent="0.25">
      <c r="N2729" s="55"/>
    </row>
    <row r="2730" spans="14:14" x14ac:dyDescent="0.25">
      <c r="N2730" s="55"/>
    </row>
    <row r="2731" spans="14:14" x14ac:dyDescent="0.25">
      <c r="N2731" s="55"/>
    </row>
    <row r="2732" spans="14:14" x14ac:dyDescent="0.25">
      <c r="N2732" s="55"/>
    </row>
    <row r="2733" spans="14:14" x14ac:dyDescent="0.25">
      <c r="N2733" s="55"/>
    </row>
    <row r="2734" spans="14:14" x14ac:dyDescent="0.25">
      <c r="N2734" s="55"/>
    </row>
    <row r="2735" spans="14:14" x14ac:dyDescent="0.25">
      <c r="N2735" s="55"/>
    </row>
    <row r="2736" spans="14:14" x14ac:dyDescent="0.25">
      <c r="N2736" s="55"/>
    </row>
    <row r="2737" spans="14:14" x14ac:dyDescent="0.25">
      <c r="N2737" s="55"/>
    </row>
    <row r="2738" spans="14:14" x14ac:dyDescent="0.25">
      <c r="N2738" s="55"/>
    </row>
    <row r="2739" spans="14:14" x14ac:dyDescent="0.25">
      <c r="N2739" s="55"/>
    </row>
    <row r="2740" spans="14:14" x14ac:dyDescent="0.25">
      <c r="N2740" s="55"/>
    </row>
    <row r="2741" spans="14:14" x14ac:dyDescent="0.25">
      <c r="N2741" s="55"/>
    </row>
    <row r="2742" spans="14:14" x14ac:dyDescent="0.25">
      <c r="N2742" s="55"/>
    </row>
    <row r="2743" spans="14:14" x14ac:dyDescent="0.25">
      <c r="N2743" s="55"/>
    </row>
    <row r="2744" spans="14:14" x14ac:dyDescent="0.25">
      <c r="N2744" s="55"/>
    </row>
    <row r="2745" spans="14:14" x14ac:dyDescent="0.25">
      <c r="N2745" s="55"/>
    </row>
    <row r="2746" spans="14:14" x14ac:dyDescent="0.25">
      <c r="N2746" s="55"/>
    </row>
    <row r="2747" spans="14:14" x14ac:dyDescent="0.25">
      <c r="N2747" s="55"/>
    </row>
    <row r="2748" spans="14:14" x14ac:dyDescent="0.25">
      <c r="N2748" s="55"/>
    </row>
    <row r="2749" spans="14:14" x14ac:dyDescent="0.25">
      <c r="N2749" s="55"/>
    </row>
    <row r="2750" spans="14:14" x14ac:dyDescent="0.25">
      <c r="N2750" s="55"/>
    </row>
    <row r="2751" spans="14:14" x14ac:dyDescent="0.25">
      <c r="N2751" s="55"/>
    </row>
    <row r="2752" spans="14:14" x14ac:dyDescent="0.25">
      <c r="N2752" s="55"/>
    </row>
    <row r="2753" spans="14:14" x14ac:dyDescent="0.25">
      <c r="N2753" s="55"/>
    </row>
    <row r="2754" spans="14:14" x14ac:dyDescent="0.25">
      <c r="N2754" s="55"/>
    </row>
    <row r="2755" spans="14:14" x14ac:dyDescent="0.25">
      <c r="N2755" s="55"/>
    </row>
    <row r="2756" spans="14:14" x14ac:dyDescent="0.25">
      <c r="N2756" s="55"/>
    </row>
    <row r="2757" spans="14:14" x14ac:dyDescent="0.25">
      <c r="N2757" s="55"/>
    </row>
    <row r="2758" spans="14:14" x14ac:dyDescent="0.25">
      <c r="N2758" s="55"/>
    </row>
    <row r="2759" spans="14:14" x14ac:dyDescent="0.25">
      <c r="N2759" s="55"/>
    </row>
    <row r="2760" spans="14:14" x14ac:dyDescent="0.25">
      <c r="N2760" s="55"/>
    </row>
    <row r="2761" spans="14:14" x14ac:dyDescent="0.25">
      <c r="N2761" s="55"/>
    </row>
    <row r="2762" spans="14:14" x14ac:dyDescent="0.25">
      <c r="N2762" s="55"/>
    </row>
    <row r="2763" spans="14:14" x14ac:dyDescent="0.25">
      <c r="N2763" s="55"/>
    </row>
    <row r="2764" spans="14:14" x14ac:dyDescent="0.25">
      <c r="N2764" s="55"/>
    </row>
    <row r="2765" spans="14:14" x14ac:dyDescent="0.25">
      <c r="N2765" s="55"/>
    </row>
    <row r="2766" spans="14:14" x14ac:dyDescent="0.25">
      <c r="N2766" s="55"/>
    </row>
    <row r="2767" spans="14:14" x14ac:dyDescent="0.25">
      <c r="N2767" s="55"/>
    </row>
    <row r="2768" spans="14:14" x14ac:dyDescent="0.25">
      <c r="N2768" s="55"/>
    </row>
    <row r="2769" spans="14:14" x14ac:dyDescent="0.25">
      <c r="N2769" s="55"/>
    </row>
    <row r="2770" spans="14:14" x14ac:dyDescent="0.25">
      <c r="N2770" s="55"/>
    </row>
    <row r="2771" spans="14:14" x14ac:dyDescent="0.25">
      <c r="N2771" s="55"/>
    </row>
    <row r="2772" spans="14:14" x14ac:dyDescent="0.25">
      <c r="N2772" s="55"/>
    </row>
    <row r="2773" spans="14:14" x14ac:dyDescent="0.25">
      <c r="N2773" s="55"/>
    </row>
    <row r="2774" spans="14:14" x14ac:dyDescent="0.25">
      <c r="N2774" s="55"/>
    </row>
    <row r="2775" spans="14:14" x14ac:dyDescent="0.25">
      <c r="N2775" s="55"/>
    </row>
    <row r="2776" spans="14:14" x14ac:dyDescent="0.25">
      <c r="N2776" s="55"/>
    </row>
    <row r="2777" spans="14:14" x14ac:dyDescent="0.25">
      <c r="N2777" s="55"/>
    </row>
    <row r="2778" spans="14:14" x14ac:dyDescent="0.25">
      <c r="N2778" s="55"/>
    </row>
    <row r="2779" spans="14:14" x14ac:dyDescent="0.25">
      <c r="N2779" s="55"/>
    </row>
    <row r="2780" spans="14:14" x14ac:dyDescent="0.25">
      <c r="N2780" s="55"/>
    </row>
    <row r="2781" spans="14:14" x14ac:dyDescent="0.25">
      <c r="N2781" s="55"/>
    </row>
    <row r="2782" spans="14:14" x14ac:dyDescent="0.25">
      <c r="N2782" s="55"/>
    </row>
    <row r="2783" spans="14:14" x14ac:dyDescent="0.25">
      <c r="N2783" s="55"/>
    </row>
    <row r="2784" spans="14:14" x14ac:dyDescent="0.25">
      <c r="N2784" s="55"/>
    </row>
    <row r="2785" spans="14:14" x14ac:dyDescent="0.25">
      <c r="N2785" s="55"/>
    </row>
    <row r="2786" spans="14:14" x14ac:dyDescent="0.25">
      <c r="N2786" s="55"/>
    </row>
    <row r="2787" spans="14:14" x14ac:dyDescent="0.25">
      <c r="N2787" s="55"/>
    </row>
    <row r="2788" spans="14:14" x14ac:dyDescent="0.25">
      <c r="N2788" s="55"/>
    </row>
    <row r="2789" spans="14:14" x14ac:dyDescent="0.25">
      <c r="N2789" s="55"/>
    </row>
    <row r="2790" spans="14:14" x14ac:dyDescent="0.25">
      <c r="N2790" s="55"/>
    </row>
    <row r="2791" spans="14:14" x14ac:dyDescent="0.25">
      <c r="N2791" s="55"/>
    </row>
    <row r="2792" spans="14:14" x14ac:dyDescent="0.25">
      <c r="N2792" s="55"/>
    </row>
    <row r="2793" spans="14:14" x14ac:dyDescent="0.25">
      <c r="N2793" s="55"/>
    </row>
    <row r="2794" spans="14:14" x14ac:dyDescent="0.25">
      <c r="N2794" s="55"/>
    </row>
    <row r="2795" spans="14:14" x14ac:dyDescent="0.25">
      <c r="N2795" s="55"/>
    </row>
    <row r="2796" spans="14:14" x14ac:dyDescent="0.25">
      <c r="N2796" s="55"/>
    </row>
    <row r="2797" spans="14:14" x14ac:dyDescent="0.25">
      <c r="N2797" s="55"/>
    </row>
    <row r="2798" spans="14:14" x14ac:dyDescent="0.25">
      <c r="N2798" s="55"/>
    </row>
    <row r="2799" spans="14:14" x14ac:dyDescent="0.25">
      <c r="N2799" s="55"/>
    </row>
    <row r="2800" spans="14:14" x14ac:dyDescent="0.25">
      <c r="N2800" s="55"/>
    </row>
    <row r="2801" spans="14:14" x14ac:dyDescent="0.25">
      <c r="N2801" s="55"/>
    </row>
    <row r="2802" spans="14:14" x14ac:dyDescent="0.25">
      <c r="N2802" s="55"/>
    </row>
    <row r="2803" spans="14:14" x14ac:dyDescent="0.25">
      <c r="N2803" s="55"/>
    </row>
    <row r="2804" spans="14:14" x14ac:dyDescent="0.25">
      <c r="N2804" s="55"/>
    </row>
    <row r="2805" spans="14:14" x14ac:dyDescent="0.25">
      <c r="N2805" s="55"/>
    </row>
    <row r="2806" spans="14:14" x14ac:dyDescent="0.25">
      <c r="N2806" s="55"/>
    </row>
    <row r="2807" spans="14:14" x14ac:dyDescent="0.25">
      <c r="N2807" s="55"/>
    </row>
    <row r="2808" spans="14:14" x14ac:dyDescent="0.25">
      <c r="N2808" s="55"/>
    </row>
    <row r="2809" spans="14:14" x14ac:dyDescent="0.25">
      <c r="N2809" s="55"/>
    </row>
    <row r="2810" spans="14:14" x14ac:dyDescent="0.25">
      <c r="N2810" s="55"/>
    </row>
    <row r="2811" spans="14:14" x14ac:dyDescent="0.25">
      <c r="N2811" s="55"/>
    </row>
    <row r="2812" spans="14:14" x14ac:dyDescent="0.25">
      <c r="N2812" s="55"/>
    </row>
    <row r="2813" spans="14:14" x14ac:dyDescent="0.25">
      <c r="N2813" s="55"/>
    </row>
    <row r="2814" spans="14:14" x14ac:dyDescent="0.25">
      <c r="N2814" s="55"/>
    </row>
    <row r="2815" spans="14:14" x14ac:dyDescent="0.25">
      <c r="N2815" s="55"/>
    </row>
    <row r="2816" spans="14:14" x14ac:dyDescent="0.25">
      <c r="N2816" s="55"/>
    </row>
    <row r="2817" spans="14:14" x14ac:dyDescent="0.25">
      <c r="N2817" s="55"/>
    </row>
    <row r="2818" spans="14:14" x14ac:dyDescent="0.25">
      <c r="N2818" s="55"/>
    </row>
    <row r="2819" spans="14:14" x14ac:dyDescent="0.25">
      <c r="N2819" s="55"/>
    </row>
    <row r="2820" spans="14:14" x14ac:dyDescent="0.25">
      <c r="N2820" s="55"/>
    </row>
    <row r="2821" spans="14:14" x14ac:dyDescent="0.25">
      <c r="N2821" s="55"/>
    </row>
    <row r="2822" spans="14:14" x14ac:dyDescent="0.25">
      <c r="N2822" s="55"/>
    </row>
    <row r="2823" spans="14:14" x14ac:dyDescent="0.25">
      <c r="N2823" s="55"/>
    </row>
    <row r="2824" spans="14:14" x14ac:dyDescent="0.25">
      <c r="N2824" s="55"/>
    </row>
    <row r="2825" spans="14:14" x14ac:dyDescent="0.25">
      <c r="N2825" s="55"/>
    </row>
    <row r="2826" spans="14:14" x14ac:dyDescent="0.25">
      <c r="N2826" s="55"/>
    </row>
    <row r="2827" spans="14:14" x14ac:dyDescent="0.25">
      <c r="N2827" s="55"/>
    </row>
    <row r="2828" spans="14:14" x14ac:dyDescent="0.25">
      <c r="N2828" s="55"/>
    </row>
    <row r="2829" spans="14:14" x14ac:dyDescent="0.25">
      <c r="N2829" s="55"/>
    </row>
    <row r="2830" spans="14:14" x14ac:dyDescent="0.25">
      <c r="N2830" s="55"/>
    </row>
    <row r="2831" spans="14:14" x14ac:dyDescent="0.25">
      <c r="N2831" s="55"/>
    </row>
    <row r="2832" spans="14:14" x14ac:dyDescent="0.25">
      <c r="N2832" s="55"/>
    </row>
    <row r="2833" spans="14:14" x14ac:dyDescent="0.25">
      <c r="N2833" s="55"/>
    </row>
    <row r="2834" spans="14:14" x14ac:dyDescent="0.25">
      <c r="N2834" s="55"/>
    </row>
    <row r="2835" spans="14:14" x14ac:dyDescent="0.25">
      <c r="N2835" s="55"/>
    </row>
    <row r="2836" spans="14:14" x14ac:dyDescent="0.25">
      <c r="N2836" s="55"/>
    </row>
    <row r="2837" spans="14:14" x14ac:dyDescent="0.25">
      <c r="N2837" s="55"/>
    </row>
    <row r="2838" spans="14:14" x14ac:dyDescent="0.25">
      <c r="N2838" s="55"/>
    </row>
    <row r="2839" spans="14:14" x14ac:dyDescent="0.25">
      <c r="N2839" s="55"/>
    </row>
    <row r="2840" spans="14:14" x14ac:dyDescent="0.25">
      <c r="N2840" s="55"/>
    </row>
    <row r="2841" spans="14:14" x14ac:dyDescent="0.25">
      <c r="N2841" s="55"/>
    </row>
    <row r="2842" spans="14:14" x14ac:dyDescent="0.25">
      <c r="N2842" s="55"/>
    </row>
    <row r="2843" spans="14:14" x14ac:dyDescent="0.25">
      <c r="N2843" s="55"/>
    </row>
    <row r="2844" spans="14:14" x14ac:dyDescent="0.25">
      <c r="N2844" s="55"/>
    </row>
    <row r="2845" spans="14:14" x14ac:dyDescent="0.25">
      <c r="N2845" s="55"/>
    </row>
    <row r="2846" spans="14:14" x14ac:dyDescent="0.25">
      <c r="N2846" s="55"/>
    </row>
    <row r="2847" spans="14:14" x14ac:dyDescent="0.25">
      <c r="N2847" s="55"/>
    </row>
    <row r="2848" spans="14:14" x14ac:dyDescent="0.25">
      <c r="N2848" s="55"/>
    </row>
    <row r="2849" spans="14:14" x14ac:dyDescent="0.25">
      <c r="N2849" s="55"/>
    </row>
    <row r="2850" spans="14:14" x14ac:dyDescent="0.25">
      <c r="N2850" s="55"/>
    </row>
    <row r="2851" spans="14:14" x14ac:dyDescent="0.25">
      <c r="N2851" s="55"/>
    </row>
    <row r="2852" spans="14:14" x14ac:dyDescent="0.25">
      <c r="N2852" s="55"/>
    </row>
    <row r="2853" spans="14:14" x14ac:dyDescent="0.25">
      <c r="N2853" s="55"/>
    </row>
    <row r="2854" spans="14:14" x14ac:dyDescent="0.25">
      <c r="N2854" s="55"/>
    </row>
    <row r="2855" spans="14:14" x14ac:dyDescent="0.25">
      <c r="N2855" s="55"/>
    </row>
    <row r="2856" spans="14:14" x14ac:dyDescent="0.25">
      <c r="N2856" s="55"/>
    </row>
    <row r="2857" spans="14:14" x14ac:dyDescent="0.25">
      <c r="N2857" s="55"/>
    </row>
    <row r="2858" spans="14:14" x14ac:dyDescent="0.25">
      <c r="N2858" s="55"/>
    </row>
    <row r="2859" spans="14:14" x14ac:dyDescent="0.25">
      <c r="N2859" s="55"/>
    </row>
    <row r="2860" spans="14:14" x14ac:dyDescent="0.25">
      <c r="N2860" s="55"/>
    </row>
    <row r="2861" spans="14:14" x14ac:dyDescent="0.25">
      <c r="N2861" s="55"/>
    </row>
    <row r="2862" spans="14:14" x14ac:dyDescent="0.25">
      <c r="N2862" s="55"/>
    </row>
    <row r="2863" spans="14:14" x14ac:dyDescent="0.25">
      <c r="N2863" s="55"/>
    </row>
    <row r="2864" spans="14:14" x14ac:dyDescent="0.25">
      <c r="N2864" s="55"/>
    </row>
    <row r="2865" spans="14:14" x14ac:dyDescent="0.25">
      <c r="N2865" s="55"/>
    </row>
    <row r="2866" spans="14:14" x14ac:dyDescent="0.25">
      <c r="N2866" s="55"/>
    </row>
    <row r="2867" spans="14:14" x14ac:dyDescent="0.25">
      <c r="N2867" s="55"/>
    </row>
    <row r="2868" spans="14:14" x14ac:dyDescent="0.25">
      <c r="N2868" s="55"/>
    </row>
    <row r="2869" spans="14:14" x14ac:dyDescent="0.25">
      <c r="N2869" s="55"/>
    </row>
    <row r="2870" spans="14:14" x14ac:dyDescent="0.25">
      <c r="N2870" s="55"/>
    </row>
    <row r="2871" spans="14:14" x14ac:dyDescent="0.25">
      <c r="N2871" s="55"/>
    </row>
    <row r="2872" spans="14:14" x14ac:dyDescent="0.25">
      <c r="N2872" s="55"/>
    </row>
    <row r="2873" spans="14:14" x14ac:dyDescent="0.25">
      <c r="N2873" s="55"/>
    </row>
    <row r="2874" spans="14:14" x14ac:dyDescent="0.25">
      <c r="N2874" s="55"/>
    </row>
    <row r="2875" spans="14:14" x14ac:dyDescent="0.25">
      <c r="N2875" s="55"/>
    </row>
    <row r="2876" spans="14:14" x14ac:dyDescent="0.25">
      <c r="N2876" s="55"/>
    </row>
    <row r="2877" spans="14:14" x14ac:dyDescent="0.25">
      <c r="N2877" s="55"/>
    </row>
    <row r="2878" spans="14:14" x14ac:dyDescent="0.25">
      <c r="N2878" s="55"/>
    </row>
    <row r="2879" spans="14:14" x14ac:dyDescent="0.25">
      <c r="N2879" s="55"/>
    </row>
    <row r="2880" spans="14:14" x14ac:dyDescent="0.25">
      <c r="N2880" s="55"/>
    </row>
    <row r="2881" spans="14:14" x14ac:dyDescent="0.25">
      <c r="N2881" s="55"/>
    </row>
    <row r="2882" spans="14:14" x14ac:dyDescent="0.25">
      <c r="N2882" s="55"/>
    </row>
    <row r="2883" spans="14:14" x14ac:dyDescent="0.25">
      <c r="N2883" s="55"/>
    </row>
    <row r="2884" spans="14:14" x14ac:dyDescent="0.25">
      <c r="N2884" s="55"/>
    </row>
    <row r="2885" spans="14:14" x14ac:dyDescent="0.25">
      <c r="N2885" s="55"/>
    </row>
    <row r="2886" spans="14:14" x14ac:dyDescent="0.25">
      <c r="N2886" s="55"/>
    </row>
    <row r="2887" spans="14:14" x14ac:dyDescent="0.25">
      <c r="N2887" s="55"/>
    </row>
    <row r="2888" spans="14:14" x14ac:dyDescent="0.25">
      <c r="N2888" s="55"/>
    </row>
    <row r="2889" spans="14:14" x14ac:dyDescent="0.25">
      <c r="N2889" s="55"/>
    </row>
    <row r="2890" spans="14:14" x14ac:dyDescent="0.25">
      <c r="N2890" s="55"/>
    </row>
    <row r="2891" spans="14:14" x14ac:dyDescent="0.25">
      <c r="N2891" s="55"/>
    </row>
    <row r="2892" spans="14:14" x14ac:dyDescent="0.25">
      <c r="N2892" s="55"/>
    </row>
    <row r="2893" spans="14:14" x14ac:dyDescent="0.25">
      <c r="N2893" s="55"/>
    </row>
    <row r="2894" spans="14:14" x14ac:dyDescent="0.25">
      <c r="N2894" s="55"/>
    </row>
    <row r="2895" spans="14:14" x14ac:dyDescent="0.25">
      <c r="N2895" s="55"/>
    </row>
    <row r="2896" spans="14:14" x14ac:dyDescent="0.25">
      <c r="N2896" s="55"/>
    </row>
    <row r="2897" spans="14:14" x14ac:dyDescent="0.25">
      <c r="N2897" s="55"/>
    </row>
    <row r="2898" spans="14:14" x14ac:dyDescent="0.25">
      <c r="N2898" s="55"/>
    </row>
    <row r="2899" spans="14:14" x14ac:dyDescent="0.25">
      <c r="N2899" s="55"/>
    </row>
    <row r="2900" spans="14:14" x14ac:dyDescent="0.25">
      <c r="N2900" s="55"/>
    </row>
    <row r="2901" spans="14:14" x14ac:dyDescent="0.25">
      <c r="N2901" s="55"/>
    </row>
    <row r="2902" spans="14:14" x14ac:dyDescent="0.25">
      <c r="N2902" s="55"/>
    </row>
    <row r="2903" spans="14:14" x14ac:dyDescent="0.25">
      <c r="N2903" s="55"/>
    </row>
    <row r="2904" spans="14:14" x14ac:dyDescent="0.25">
      <c r="N2904" s="55"/>
    </row>
    <row r="2905" spans="14:14" x14ac:dyDescent="0.25">
      <c r="N2905" s="55"/>
    </row>
    <row r="2906" spans="14:14" x14ac:dyDescent="0.25">
      <c r="N2906" s="55"/>
    </row>
    <row r="2907" spans="14:14" x14ac:dyDescent="0.25">
      <c r="N2907" s="55"/>
    </row>
    <row r="2908" spans="14:14" x14ac:dyDescent="0.25">
      <c r="N2908" s="55"/>
    </row>
    <row r="2909" spans="14:14" x14ac:dyDescent="0.25">
      <c r="N2909" s="55"/>
    </row>
    <row r="2910" spans="14:14" x14ac:dyDescent="0.25">
      <c r="N2910" s="55"/>
    </row>
    <row r="2911" spans="14:14" x14ac:dyDescent="0.25">
      <c r="N2911" s="55"/>
    </row>
    <row r="2912" spans="14:14" x14ac:dyDescent="0.25">
      <c r="N2912" s="55"/>
    </row>
    <row r="2913" spans="14:14" x14ac:dyDescent="0.25">
      <c r="N2913" s="55"/>
    </row>
    <row r="2914" spans="14:14" x14ac:dyDescent="0.25">
      <c r="N2914" s="55"/>
    </row>
    <row r="2915" spans="14:14" x14ac:dyDescent="0.25">
      <c r="N2915" s="55"/>
    </row>
    <row r="2916" spans="14:14" x14ac:dyDescent="0.25">
      <c r="N2916" s="55"/>
    </row>
    <row r="2917" spans="14:14" x14ac:dyDescent="0.25">
      <c r="N2917" s="55"/>
    </row>
    <row r="2918" spans="14:14" x14ac:dyDescent="0.25">
      <c r="N2918" s="55"/>
    </row>
    <row r="2919" spans="14:14" x14ac:dyDescent="0.25">
      <c r="N2919" s="55"/>
    </row>
    <row r="2920" spans="14:14" x14ac:dyDescent="0.25">
      <c r="N2920" s="55"/>
    </row>
    <row r="2921" spans="14:14" x14ac:dyDescent="0.25">
      <c r="N2921" s="55"/>
    </row>
    <row r="2922" spans="14:14" x14ac:dyDescent="0.25">
      <c r="N2922" s="55"/>
    </row>
    <row r="2923" spans="14:14" x14ac:dyDescent="0.25">
      <c r="N2923" s="55"/>
    </row>
    <row r="2924" spans="14:14" x14ac:dyDescent="0.25">
      <c r="N2924" s="55"/>
    </row>
    <row r="2925" spans="14:14" x14ac:dyDescent="0.25">
      <c r="N2925" s="55"/>
    </row>
    <row r="2926" spans="14:14" x14ac:dyDescent="0.25">
      <c r="N2926" s="55"/>
    </row>
    <row r="2927" spans="14:14" x14ac:dyDescent="0.25">
      <c r="N2927" s="55"/>
    </row>
    <row r="2928" spans="14:14" x14ac:dyDescent="0.25">
      <c r="N2928" s="55"/>
    </row>
    <row r="2929" spans="14:14" x14ac:dyDescent="0.25">
      <c r="N2929" s="55"/>
    </row>
    <row r="2930" spans="14:14" x14ac:dyDescent="0.25">
      <c r="N2930" s="55"/>
    </row>
    <row r="2931" spans="14:14" x14ac:dyDescent="0.25">
      <c r="N2931" s="55"/>
    </row>
    <row r="2932" spans="14:14" x14ac:dyDescent="0.25">
      <c r="N2932" s="55"/>
    </row>
    <row r="2933" spans="14:14" x14ac:dyDescent="0.25">
      <c r="N2933" s="55"/>
    </row>
    <row r="2934" spans="14:14" x14ac:dyDescent="0.25">
      <c r="N2934" s="55"/>
    </row>
    <row r="2935" spans="14:14" x14ac:dyDescent="0.25">
      <c r="N2935" s="55"/>
    </row>
    <row r="2936" spans="14:14" x14ac:dyDescent="0.25">
      <c r="N2936" s="55"/>
    </row>
    <row r="2937" spans="14:14" x14ac:dyDescent="0.25">
      <c r="N2937" s="55"/>
    </row>
    <row r="2938" spans="14:14" x14ac:dyDescent="0.25">
      <c r="N2938" s="55"/>
    </row>
    <row r="2939" spans="14:14" x14ac:dyDescent="0.25">
      <c r="N2939" s="55"/>
    </row>
    <row r="2940" spans="14:14" x14ac:dyDescent="0.25">
      <c r="N2940" s="55"/>
    </row>
    <row r="2941" spans="14:14" x14ac:dyDescent="0.25">
      <c r="N2941" s="55"/>
    </row>
    <row r="2942" spans="14:14" x14ac:dyDescent="0.25">
      <c r="N2942" s="55"/>
    </row>
    <row r="2943" spans="14:14" x14ac:dyDescent="0.25">
      <c r="N2943" s="55"/>
    </row>
    <row r="2944" spans="14:14" x14ac:dyDescent="0.25">
      <c r="N2944" s="55"/>
    </row>
    <row r="2945" spans="14:14" x14ac:dyDescent="0.25">
      <c r="N2945" s="55"/>
    </row>
    <row r="2946" spans="14:14" x14ac:dyDescent="0.25">
      <c r="N2946" s="55"/>
    </row>
    <row r="2947" spans="14:14" x14ac:dyDescent="0.25">
      <c r="N2947" s="55"/>
    </row>
    <row r="2948" spans="14:14" x14ac:dyDescent="0.25">
      <c r="N2948" s="55"/>
    </row>
    <row r="2949" spans="14:14" x14ac:dyDescent="0.25">
      <c r="N2949" s="55"/>
    </row>
    <row r="2950" spans="14:14" x14ac:dyDescent="0.25">
      <c r="N2950" s="55"/>
    </row>
    <row r="2951" spans="14:14" x14ac:dyDescent="0.25">
      <c r="N2951" s="55"/>
    </row>
    <row r="2952" spans="14:14" x14ac:dyDescent="0.25">
      <c r="N2952" s="55"/>
    </row>
    <row r="2953" spans="14:14" x14ac:dyDescent="0.25">
      <c r="N2953" s="55"/>
    </row>
    <row r="2954" spans="14:14" x14ac:dyDescent="0.25">
      <c r="N2954" s="55"/>
    </row>
    <row r="2955" spans="14:14" x14ac:dyDescent="0.25">
      <c r="N2955" s="55"/>
    </row>
    <row r="2956" spans="14:14" x14ac:dyDescent="0.25">
      <c r="N2956" s="55"/>
    </row>
    <row r="2957" spans="14:14" x14ac:dyDescent="0.25">
      <c r="N2957" s="55"/>
    </row>
    <row r="2958" spans="14:14" x14ac:dyDescent="0.25">
      <c r="N2958" s="55"/>
    </row>
    <row r="2959" spans="14:14" x14ac:dyDescent="0.25">
      <c r="N2959" s="55"/>
    </row>
    <row r="2960" spans="14:14" x14ac:dyDescent="0.25">
      <c r="N2960" s="55"/>
    </row>
    <row r="2961" spans="14:14" x14ac:dyDescent="0.25">
      <c r="N2961" s="55"/>
    </row>
    <row r="2962" spans="14:14" x14ac:dyDescent="0.25">
      <c r="N2962" s="55"/>
    </row>
    <row r="2963" spans="14:14" x14ac:dyDescent="0.25">
      <c r="N2963" s="55"/>
    </row>
    <row r="2964" spans="14:14" x14ac:dyDescent="0.25">
      <c r="N2964" s="55"/>
    </row>
    <row r="2965" spans="14:14" x14ac:dyDescent="0.25">
      <c r="N2965" s="55"/>
    </row>
    <row r="2966" spans="14:14" x14ac:dyDescent="0.25">
      <c r="N2966" s="55"/>
    </row>
    <row r="2967" spans="14:14" x14ac:dyDescent="0.25">
      <c r="N2967" s="55"/>
    </row>
    <row r="2968" spans="14:14" x14ac:dyDescent="0.25">
      <c r="N2968" s="55"/>
    </row>
    <row r="2969" spans="14:14" x14ac:dyDescent="0.25">
      <c r="N2969" s="55"/>
    </row>
    <row r="2970" spans="14:14" x14ac:dyDescent="0.25">
      <c r="N2970" s="55"/>
    </row>
    <row r="2971" spans="14:14" x14ac:dyDescent="0.25">
      <c r="N2971" s="55"/>
    </row>
    <row r="2972" spans="14:14" x14ac:dyDescent="0.25">
      <c r="N2972" s="55"/>
    </row>
    <row r="2973" spans="14:14" x14ac:dyDescent="0.25">
      <c r="N2973" s="55"/>
    </row>
    <row r="2974" spans="14:14" x14ac:dyDescent="0.25">
      <c r="N2974" s="55"/>
    </row>
    <row r="2975" spans="14:14" x14ac:dyDescent="0.25">
      <c r="N2975" s="55"/>
    </row>
    <row r="2976" spans="14:14" x14ac:dyDescent="0.25">
      <c r="N2976" s="55"/>
    </row>
    <row r="2977" spans="14:14" x14ac:dyDescent="0.25">
      <c r="N2977" s="55"/>
    </row>
    <row r="2978" spans="14:14" x14ac:dyDescent="0.25">
      <c r="N2978" s="55"/>
    </row>
    <row r="2979" spans="14:14" x14ac:dyDescent="0.25">
      <c r="N2979" s="55"/>
    </row>
    <row r="2980" spans="14:14" x14ac:dyDescent="0.25">
      <c r="N2980" s="55"/>
    </row>
    <row r="2981" spans="14:14" x14ac:dyDescent="0.25">
      <c r="N2981" s="55"/>
    </row>
    <row r="2982" spans="14:14" x14ac:dyDescent="0.25">
      <c r="N2982" s="55"/>
    </row>
    <row r="2983" spans="14:14" x14ac:dyDescent="0.25">
      <c r="N2983" s="55"/>
    </row>
    <row r="2984" spans="14:14" x14ac:dyDescent="0.25">
      <c r="N2984" s="55"/>
    </row>
    <row r="2985" spans="14:14" x14ac:dyDescent="0.25">
      <c r="N2985" s="55"/>
    </row>
    <row r="2986" spans="14:14" x14ac:dyDescent="0.25">
      <c r="N2986" s="55"/>
    </row>
    <row r="2987" spans="14:14" x14ac:dyDescent="0.25">
      <c r="N2987" s="55"/>
    </row>
    <row r="2988" spans="14:14" x14ac:dyDescent="0.25">
      <c r="N2988" s="55"/>
    </row>
    <row r="2989" spans="14:14" x14ac:dyDescent="0.25">
      <c r="N2989" s="55"/>
    </row>
    <row r="2990" spans="14:14" x14ac:dyDescent="0.25">
      <c r="N2990" s="55"/>
    </row>
    <row r="2991" spans="14:14" x14ac:dyDescent="0.25">
      <c r="N2991" s="55"/>
    </row>
    <row r="2992" spans="14:14" x14ac:dyDescent="0.25">
      <c r="N2992" s="55"/>
    </row>
    <row r="2993" spans="14:14" x14ac:dyDescent="0.25">
      <c r="N2993" s="55"/>
    </row>
    <row r="2994" spans="14:14" x14ac:dyDescent="0.25">
      <c r="N2994" s="55"/>
    </row>
    <row r="2995" spans="14:14" x14ac:dyDescent="0.25">
      <c r="N2995" s="55"/>
    </row>
    <row r="2996" spans="14:14" x14ac:dyDescent="0.25">
      <c r="N2996" s="55"/>
    </row>
    <row r="2997" spans="14:14" x14ac:dyDescent="0.25">
      <c r="N2997" s="55"/>
    </row>
    <row r="2998" spans="14:14" x14ac:dyDescent="0.25">
      <c r="N2998" s="55"/>
    </row>
    <row r="2999" spans="14:14" x14ac:dyDescent="0.25">
      <c r="N2999" s="55"/>
    </row>
    <row r="3000" spans="14:14" x14ac:dyDescent="0.25">
      <c r="N3000" s="55"/>
    </row>
    <row r="3001" spans="14:14" x14ac:dyDescent="0.25">
      <c r="N3001" s="55"/>
    </row>
    <row r="3002" spans="14:14" x14ac:dyDescent="0.25">
      <c r="N3002" s="55"/>
    </row>
    <row r="3003" spans="14:14" x14ac:dyDescent="0.25">
      <c r="N3003" s="55"/>
    </row>
    <row r="3004" spans="14:14" x14ac:dyDescent="0.25">
      <c r="N3004" s="55"/>
    </row>
    <row r="3005" spans="14:14" x14ac:dyDescent="0.25">
      <c r="N3005" s="55"/>
    </row>
    <row r="3006" spans="14:14" x14ac:dyDescent="0.25">
      <c r="N3006" s="55"/>
    </row>
    <row r="3007" spans="14:14" x14ac:dyDescent="0.25">
      <c r="N3007" s="55"/>
    </row>
    <row r="3008" spans="14:14" x14ac:dyDescent="0.25">
      <c r="N3008" s="55"/>
    </row>
    <row r="3009" spans="14:14" x14ac:dyDescent="0.25">
      <c r="N3009" s="55"/>
    </row>
    <row r="3010" spans="14:14" x14ac:dyDescent="0.25">
      <c r="N3010" s="55"/>
    </row>
    <row r="3011" spans="14:14" x14ac:dyDescent="0.25">
      <c r="N3011" s="55"/>
    </row>
    <row r="3012" spans="14:14" x14ac:dyDescent="0.25">
      <c r="N3012" s="55"/>
    </row>
    <row r="3013" spans="14:14" x14ac:dyDescent="0.25">
      <c r="N3013" s="55"/>
    </row>
    <row r="3014" spans="14:14" x14ac:dyDescent="0.25">
      <c r="N3014" s="55"/>
    </row>
    <row r="3015" spans="14:14" x14ac:dyDescent="0.25">
      <c r="N3015" s="55"/>
    </row>
    <row r="3016" spans="14:14" x14ac:dyDescent="0.25">
      <c r="N3016" s="55"/>
    </row>
    <row r="3017" spans="14:14" x14ac:dyDescent="0.25">
      <c r="N3017" s="55"/>
    </row>
    <row r="3018" spans="14:14" x14ac:dyDescent="0.25">
      <c r="N3018" s="55"/>
    </row>
    <row r="3019" spans="14:14" x14ac:dyDescent="0.25">
      <c r="N3019" s="55"/>
    </row>
    <row r="3020" spans="14:14" x14ac:dyDescent="0.25">
      <c r="N3020" s="55"/>
    </row>
    <row r="3021" spans="14:14" x14ac:dyDescent="0.25">
      <c r="N3021" s="55"/>
    </row>
    <row r="3022" spans="14:14" x14ac:dyDescent="0.25">
      <c r="N3022" s="55"/>
    </row>
    <row r="3023" spans="14:14" x14ac:dyDescent="0.25">
      <c r="N3023" s="55"/>
    </row>
    <row r="3024" spans="14:14" x14ac:dyDescent="0.25">
      <c r="N3024" s="55"/>
    </row>
    <row r="3025" spans="14:14" x14ac:dyDescent="0.25">
      <c r="N3025" s="55"/>
    </row>
    <row r="3026" spans="14:14" x14ac:dyDescent="0.25">
      <c r="N3026" s="55"/>
    </row>
    <row r="3027" spans="14:14" x14ac:dyDescent="0.25">
      <c r="N3027" s="55"/>
    </row>
    <row r="3028" spans="14:14" x14ac:dyDescent="0.25">
      <c r="N3028" s="55"/>
    </row>
    <row r="3029" spans="14:14" x14ac:dyDescent="0.25">
      <c r="N3029" s="55"/>
    </row>
    <row r="3030" spans="14:14" x14ac:dyDescent="0.25">
      <c r="N3030" s="55"/>
    </row>
    <row r="3031" spans="14:14" x14ac:dyDescent="0.25">
      <c r="N3031" s="55"/>
    </row>
    <row r="3032" spans="14:14" x14ac:dyDescent="0.25">
      <c r="N3032" s="55"/>
    </row>
    <row r="3033" spans="14:14" x14ac:dyDescent="0.25">
      <c r="N3033" s="55"/>
    </row>
    <row r="3034" spans="14:14" x14ac:dyDescent="0.25">
      <c r="N3034" s="55"/>
    </row>
    <row r="3035" spans="14:14" x14ac:dyDescent="0.25">
      <c r="N3035" s="55"/>
    </row>
    <row r="3036" spans="14:14" x14ac:dyDescent="0.25">
      <c r="N3036" s="55"/>
    </row>
    <row r="3037" spans="14:14" x14ac:dyDescent="0.25">
      <c r="N3037" s="55"/>
    </row>
    <row r="3038" spans="14:14" x14ac:dyDescent="0.25">
      <c r="N3038" s="55"/>
    </row>
    <row r="3039" spans="14:14" x14ac:dyDescent="0.25">
      <c r="N3039" s="55"/>
    </row>
    <row r="3040" spans="14:14" x14ac:dyDescent="0.25">
      <c r="N3040" s="55"/>
    </row>
    <row r="3041" spans="14:14" x14ac:dyDescent="0.25">
      <c r="N3041" s="55"/>
    </row>
    <row r="3042" spans="14:14" x14ac:dyDescent="0.25">
      <c r="N3042" s="55"/>
    </row>
    <row r="3043" spans="14:14" x14ac:dyDescent="0.25">
      <c r="N3043" s="55"/>
    </row>
    <row r="3044" spans="14:14" x14ac:dyDescent="0.25">
      <c r="N3044" s="55"/>
    </row>
    <row r="3045" spans="14:14" x14ac:dyDescent="0.25">
      <c r="N3045" s="55"/>
    </row>
    <row r="3046" spans="14:14" x14ac:dyDescent="0.25">
      <c r="N3046" s="55"/>
    </row>
    <row r="3047" spans="14:14" x14ac:dyDescent="0.25">
      <c r="N3047" s="55"/>
    </row>
    <row r="3048" spans="14:14" x14ac:dyDescent="0.25">
      <c r="N3048" s="55"/>
    </row>
    <row r="3049" spans="14:14" x14ac:dyDescent="0.25">
      <c r="N3049" s="55"/>
    </row>
    <row r="3050" spans="14:14" x14ac:dyDescent="0.25">
      <c r="N3050" s="55"/>
    </row>
    <row r="3051" spans="14:14" x14ac:dyDescent="0.25">
      <c r="N3051" s="55"/>
    </row>
    <row r="3052" spans="14:14" x14ac:dyDescent="0.25">
      <c r="N3052" s="55"/>
    </row>
    <row r="3053" spans="14:14" x14ac:dyDescent="0.25">
      <c r="N3053" s="55"/>
    </row>
    <row r="3054" spans="14:14" x14ac:dyDescent="0.25">
      <c r="N3054" s="55"/>
    </row>
    <row r="3055" spans="14:14" x14ac:dyDescent="0.25">
      <c r="N3055" s="55"/>
    </row>
    <row r="3056" spans="14:14" x14ac:dyDescent="0.25">
      <c r="N3056" s="55"/>
    </row>
    <row r="3057" spans="14:14" x14ac:dyDescent="0.25">
      <c r="N3057" s="55"/>
    </row>
    <row r="3058" spans="14:14" x14ac:dyDescent="0.25">
      <c r="N3058" s="55"/>
    </row>
    <row r="3059" spans="14:14" x14ac:dyDescent="0.25">
      <c r="N3059" s="55"/>
    </row>
    <row r="3060" spans="14:14" x14ac:dyDescent="0.25">
      <c r="N3060" s="55"/>
    </row>
    <row r="3061" spans="14:14" x14ac:dyDescent="0.25">
      <c r="N3061" s="55"/>
    </row>
    <row r="3062" spans="14:14" x14ac:dyDescent="0.25">
      <c r="N3062" s="55"/>
    </row>
    <row r="3063" spans="14:14" x14ac:dyDescent="0.25">
      <c r="N3063" s="55"/>
    </row>
    <row r="3064" spans="14:14" x14ac:dyDescent="0.25">
      <c r="N3064" s="55"/>
    </row>
    <row r="3065" spans="14:14" x14ac:dyDescent="0.25">
      <c r="N3065" s="55"/>
    </row>
    <row r="3066" spans="14:14" x14ac:dyDescent="0.25">
      <c r="N3066" s="55"/>
    </row>
    <row r="3067" spans="14:14" x14ac:dyDescent="0.25">
      <c r="N3067" s="55"/>
    </row>
    <row r="3068" spans="14:14" x14ac:dyDescent="0.25">
      <c r="N3068" s="55"/>
    </row>
    <row r="3069" spans="14:14" x14ac:dyDescent="0.25">
      <c r="N3069" s="55"/>
    </row>
    <row r="3070" spans="14:14" x14ac:dyDescent="0.25">
      <c r="N3070" s="55"/>
    </row>
    <row r="3071" spans="14:14" x14ac:dyDescent="0.25">
      <c r="N3071" s="55"/>
    </row>
    <row r="3072" spans="14:14" x14ac:dyDescent="0.25">
      <c r="N3072" s="55"/>
    </row>
    <row r="3073" spans="14:14" x14ac:dyDescent="0.25">
      <c r="N3073" s="55"/>
    </row>
    <row r="3074" spans="14:14" x14ac:dyDescent="0.25">
      <c r="N3074" s="55"/>
    </row>
    <row r="3075" spans="14:14" x14ac:dyDescent="0.25">
      <c r="N3075" s="55"/>
    </row>
    <row r="3076" spans="14:14" x14ac:dyDescent="0.25">
      <c r="N3076" s="55"/>
    </row>
    <row r="3077" spans="14:14" x14ac:dyDescent="0.25">
      <c r="N3077" s="55"/>
    </row>
    <row r="3078" spans="14:14" x14ac:dyDescent="0.25">
      <c r="N3078" s="55"/>
    </row>
    <row r="3079" spans="14:14" x14ac:dyDescent="0.25">
      <c r="N3079" s="55"/>
    </row>
    <row r="3080" spans="14:14" x14ac:dyDescent="0.25">
      <c r="N3080" s="55"/>
    </row>
    <row r="3081" spans="14:14" x14ac:dyDescent="0.25">
      <c r="N3081" s="55"/>
    </row>
    <row r="3082" spans="14:14" x14ac:dyDescent="0.25">
      <c r="N3082" s="55"/>
    </row>
    <row r="3083" spans="14:14" x14ac:dyDescent="0.25">
      <c r="N3083" s="55"/>
    </row>
    <row r="3084" spans="14:14" x14ac:dyDescent="0.25">
      <c r="N3084" s="55"/>
    </row>
    <row r="3085" spans="14:14" x14ac:dyDescent="0.25">
      <c r="N3085" s="55"/>
    </row>
    <row r="3086" spans="14:14" x14ac:dyDescent="0.25">
      <c r="N3086" s="55"/>
    </row>
    <row r="3087" spans="14:14" x14ac:dyDescent="0.25">
      <c r="N3087" s="55"/>
    </row>
    <row r="3088" spans="14:14" x14ac:dyDescent="0.25">
      <c r="N3088" s="55"/>
    </row>
    <row r="3089" spans="14:14" x14ac:dyDescent="0.25">
      <c r="N3089" s="55"/>
    </row>
    <row r="3090" spans="14:14" x14ac:dyDescent="0.25">
      <c r="N3090" s="55"/>
    </row>
    <row r="3091" spans="14:14" x14ac:dyDescent="0.25">
      <c r="N3091" s="55"/>
    </row>
    <row r="3092" spans="14:14" x14ac:dyDescent="0.25">
      <c r="N3092" s="55"/>
    </row>
    <row r="3093" spans="14:14" x14ac:dyDescent="0.25">
      <c r="N3093" s="55"/>
    </row>
    <row r="3094" spans="14:14" x14ac:dyDescent="0.25">
      <c r="N3094" s="55"/>
    </row>
    <row r="3095" spans="14:14" x14ac:dyDescent="0.25">
      <c r="N3095" s="55"/>
    </row>
    <row r="3096" spans="14:14" x14ac:dyDescent="0.25">
      <c r="N3096" s="55"/>
    </row>
    <row r="3097" spans="14:14" x14ac:dyDescent="0.25">
      <c r="N3097" s="55"/>
    </row>
    <row r="3098" spans="14:14" x14ac:dyDescent="0.25">
      <c r="N3098" s="55"/>
    </row>
    <row r="3099" spans="14:14" x14ac:dyDescent="0.25">
      <c r="N3099" s="55"/>
    </row>
    <row r="3100" spans="14:14" x14ac:dyDescent="0.25">
      <c r="N3100" s="55"/>
    </row>
    <row r="3101" spans="14:14" x14ac:dyDescent="0.25">
      <c r="N3101" s="55"/>
    </row>
    <row r="3102" spans="14:14" x14ac:dyDescent="0.25">
      <c r="N3102" s="55"/>
    </row>
    <row r="3103" spans="14:14" x14ac:dyDescent="0.25">
      <c r="N3103" s="55"/>
    </row>
    <row r="3104" spans="14:14" x14ac:dyDescent="0.25">
      <c r="N3104" s="55"/>
    </row>
    <row r="3105" spans="14:14" x14ac:dyDescent="0.25">
      <c r="N3105" s="55"/>
    </row>
    <row r="3106" spans="14:14" x14ac:dyDescent="0.25">
      <c r="N3106" s="55"/>
    </row>
    <row r="3107" spans="14:14" x14ac:dyDescent="0.25">
      <c r="N3107" s="55"/>
    </row>
    <row r="3108" spans="14:14" x14ac:dyDescent="0.25">
      <c r="N3108" s="55"/>
    </row>
    <row r="3109" spans="14:14" x14ac:dyDescent="0.25">
      <c r="N3109" s="55"/>
    </row>
    <row r="3110" spans="14:14" x14ac:dyDescent="0.25">
      <c r="N3110" s="55"/>
    </row>
    <row r="3111" spans="14:14" x14ac:dyDescent="0.25">
      <c r="N3111" s="55"/>
    </row>
    <row r="3112" spans="14:14" x14ac:dyDescent="0.25">
      <c r="N3112" s="55"/>
    </row>
    <row r="3113" spans="14:14" x14ac:dyDescent="0.25">
      <c r="N3113" s="55"/>
    </row>
    <row r="3114" spans="14:14" x14ac:dyDescent="0.25">
      <c r="N3114" s="55"/>
    </row>
    <row r="3115" spans="14:14" x14ac:dyDescent="0.25">
      <c r="N3115" s="55"/>
    </row>
    <row r="3116" spans="14:14" x14ac:dyDescent="0.25">
      <c r="N3116" s="55"/>
    </row>
    <row r="3117" spans="14:14" x14ac:dyDescent="0.25">
      <c r="N3117" s="55"/>
    </row>
    <row r="3118" spans="14:14" x14ac:dyDescent="0.25">
      <c r="N3118" s="55"/>
    </row>
    <row r="3119" spans="14:14" x14ac:dyDescent="0.25">
      <c r="N3119" s="55"/>
    </row>
    <row r="3120" spans="14:14" x14ac:dyDescent="0.25">
      <c r="N3120" s="55"/>
    </row>
    <row r="3121" spans="14:14" x14ac:dyDescent="0.25">
      <c r="N3121" s="55"/>
    </row>
    <row r="3122" spans="14:14" x14ac:dyDescent="0.25">
      <c r="N3122" s="55"/>
    </row>
    <row r="3123" spans="14:14" x14ac:dyDescent="0.25">
      <c r="N3123" s="55"/>
    </row>
    <row r="3124" spans="14:14" x14ac:dyDescent="0.25">
      <c r="N3124" s="55"/>
    </row>
    <row r="3125" spans="14:14" x14ac:dyDescent="0.25">
      <c r="N3125" s="55"/>
    </row>
    <row r="3126" spans="14:14" x14ac:dyDescent="0.25">
      <c r="N3126" s="55"/>
    </row>
    <row r="3127" spans="14:14" x14ac:dyDescent="0.25">
      <c r="N3127" s="55"/>
    </row>
    <row r="3128" spans="14:14" x14ac:dyDescent="0.25">
      <c r="N3128" s="55"/>
    </row>
    <row r="3129" spans="14:14" x14ac:dyDescent="0.25">
      <c r="N3129" s="55"/>
    </row>
    <row r="3130" spans="14:14" x14ac:dyDescent="0.25">
      <c r="N3130" s="55"/>
    </row>
    <row r="3131" spans="14:14" x14ac:dyDescent="0.25">
      <c r="N3131" s="55"/>
    </row>
    <row r="3132" spans="14:14" x14ac:dyDescent="0.25">
      <c r="N3132" s="55"/>
    </row>
    <row r="3133" spans="14:14" x14ac:dyDescent="0.25">
      <c r="N3133" s="55"/>
    </row>
    <row r="3134" spans="14:14" x14ac:dyDescent="0.25">
      <c r="N3134" s="55"/>
    </row>
    <row r="3135" spans="14:14" x14ac:dyDescent="0.25">
      <c r="N3135" s="55"/>
    </row>
    <row r="3136" spans="14:14" x14ac:dyDescent="0.25">
      <c r="N3136" s="55"/>
    </row>
    <row r="3137" spans="14:14" x14ac:dyDescent="0.25">
      <c r="N3137" s="55"/>
    </row>
    <row r="3138" spans="14:14" x14ac:dyDescent="0.25">
      <c r="N3138" s="55"/>
    </row>
    <row r="3139" spans="14:14" x14ac:dyDescent="0.25">
      <c r="N3139" s="55"/>
    </row>
    <row r="3140" spans="14:14" x14ac:dyDescent="0.25">
      <c r="N3140" s="55"/>
    </row>
    <row r="3141" spans="14:14" x14ac:dyDescent="0.25">
      <c r="N3141" s="55"/>
    </row>
    <row r="3142" spans="14:14" x14ac:dyDescent="0.25">
      <c r="N3142" s="55"/>
    </row>
    <row r="3143" spans="14:14" x14ac:dyDescent="0.25">
      <c r="N3143" s="55"/>
    </row>
    <row r="3144" spans="14:14" x14ac:dyDescent="0.25">
      <c r="N3144" s="55"/>
    </row>
    <row r="3145" spans="14:14" x14ac:dyDescent="0.25">
      <c r="N3145" s="55"/>
    </row>
    <row r="3146" spans="14:14" x14ac:dyDescent="0.25">
      <c r="N3146" s="55"/>
    </row>
    <row r="3147" spans="14:14" x14ac:dyDescent="0.25">
      <c r="N3147" s="55"/>
    </row>
    <row r="3148" spans="14:14" x14ac:dyDescent="0.25">
      <c r="N3148" s="55"/>
    </row>
    <row r="3149" spans="14:14" x14ac:dyDescent="0.25">
      <c r="N3149" s="55"/>
    </row>
    <row r="3150" spans="14:14" x14ac:dyDescent="0.25">
      <c r="N3150" s="55"/>
    </row>
    <row r="3151" spans="14:14" x14ac:dyDescent="0.25">
      <c r="N3151" s="55"/>
    </row>
    <row r="3152" spans="14:14" x14ac:dyDescent="0.25">
      <c r="N3152" s="55"/>
    </row>
    <row r="3153" spans="14:14" x14ac:dyDescent="0.25">
      <c r="N3153" s="55"/>
    </row>
    <row r="3154" spans="14:14" x14ac:dyDescent="0.25">
      <c r="N3154" s="55"/>
    </row>
    <row r="3155" spans="14:14" x14ac:dyDescent="0.25">
      <c r="N3155" s="55"/>
    </row>
    <row r="3156" spans="14:14" x14ac:dyDescent="0.25">
      <c r="N3156" s="55"/>
    </row>
    <row r="3157" spans="14:14" x14ac:dyDescent="0.25">
      <c r="N3157" s="55"/>
    </row>
    <row r="3158" spans="14:14" x14ac:dyDescent="0.25">
      <c r="N3158" s="55"/>
    </row>
    <row r="3159" spans="14:14" x14ac:dyDescent="0.25">
      <c r="N3159" s="55"/>
    </row>
    <row r="3160" spans="14:14" x14ac:dyDescent="0.25">
      <c r="N3160" s="55"/>
    </row>
    <row r="3161" spans="14:14" x14ac:dyDescent="0.25">
      <c r="N3161" s="55"/>
    </row>
    <row r="3162" spans="14:14" x14ac:dyDescent="0.25">
      <c r="N3162" s="55"/>
    </row>
    <row r="3163" spans="14:14" x14ac:dyDescent="0.25">
      <c r="N3163" s="55"/>
    </row>
    <row r="3164" spans="14:14" x14ac:dyDescent="0.25">
      <c r="N3164" s="55"/>
    </row>
    <row r="3165" spans="14:14" x14ac:dyDescent="0.25">
      <c r="N3165" s="55"/>
    </row>
    <row r="3166" spans="14:14" x14ac:dyDescent="0.25">
      <c r="N3166" s="55"/>
    </row>
    <row r="3167" spans="14:14" x14ac:dyDescent="0.25">
      <c r="N3167" s="55"/>
    </row>
    <row r="3168" spans="14:14" x14ac:dyDescent="0.25">
      <c r="N3168" s="55"/>
    </row>
    <row r="3169" spans="14:14" x14ac:dyDescent="0.25">
      <c r="N3169" s="55"/>
    </row>
    <row r="3170" spans="14:14" x14ac:dyDescent="0.25">
      <c r="N3170" s="55"/>
    </row>
    <row r="3171" spans="14:14" x14ac:dyDescent="0.25">
      <c r="N3171" s="55"/>
    </row>
    <row r="3172" spans="14:14" x14ac:dyDescent="0.25">
      <c r="N3172" s="55"/>
    </row>
    <row r="3173" spans="14:14" x14ac:dyDescent="0.25">
      <c r="N3173" s="55"/>
    </row>
    <row r="3174" spans="14:14" x14ac:dyDescent="0.25">
      <c r="N3174" s="55"/>
    </row>
    <row r="3175" spans="14:14" x14ac:dyDescent="0.25">
      <c r="N3175" s="55"/>
    </row>
    <row r="3176" spans="14:14" x14ac:dyDescent="0.25">
      <c r="N3176" s="55"/>
    </row>
    <row r="3177" spans="14:14" x14ac:dyDescent="0.25">
      <c r="N3177" s="55"/>
    </row>
    <row r="3178" spans="14:14" x14ac:dyDescent="0.25">
      <c r="N3178" s="55"/>
    </row>
    <row r="3179" spans="14:14" x14ac:dyDescent="0.25">
      <c r="N3179" s="55"/>
    </row>
    <row r="3180" spans="14:14" x14ac:dyDescent="0.25">
      <c r="N3180" s="55"/>
    </row>
    <row r="3181" spans="14:14" x14ac:dyDescent="0.25">
      <c r="N3181" s="55"/>
    </row>
    <row r="3182" spans="14:14" x14ac:dyDescent="0.25">
      <c r="N3182" s="55"/>
    </row>
    <row r="3183" spans="14:14" x14ac:dyDescent="0.25">
      <c r="N3183" s="55"/>
    </row>
    <row r="3184" spans="14:14" x14ac:dyDescent="0.25">
      <c r="N3184" s="55"/>
    </row>
    <row r="3185" spans="14:14" x14ac:dyDescent="0.25">
      <c r="N3185" s="55"/>
    </row>
    <row r="3186" spans="14:14" x14ac:dyDescent="0.25">
      <c r="N3186" s="55"/>
    </row>
    <row r="3187" spans="14:14" x14ac:dyDescent="0.25">
      <c r="N3187" s="55"/>
    </row>
    <row r="3188" spans="14:14" x14ac:dyDescent="0.25">
      <c r="N3188" s="55"/>
    </row>
    <row r="3189" spans="14:14" x14ac:dyDescent="0.25">
      <c r="N3189" s="55"/>
    </row>
    <row r="3190" spans="14:14" x14ac:dyDescent="0.25">
      <c r="N3190" s="55"/>
    </row>
    <row r="3191" spans="14:14" x14ac:dyDescent="0.25">
      <c r="N3191" s="55"/>
    </row>
    <row r="3192" spans="14:14" x14ac:dyDescent="0.25">
      <c r="N3192" s="55"/>
    </row>
    <row r="3193" spans="14:14" x14ac:dyDescent="0.25">
      <c r="N3193" s="55"/>
    </row>
    <row r="3194" spans="14:14" x14ac:dyDescent="0.25">
      <c r="N3194" s="55"/>
    </row>
    <row r="3195" spans="14:14" x14ac:dyDescent="0.25">
      <c r="N3195" s="55"/>
    </row>
    <row r="3196" spans="14:14" x14ac:dyDescent="0.25">
      <c r="N3196" s="55"/>
    </row>
    <row r="3197" spans="14:14" x14ac:dyDescent="0.25">
      <c r="N3197" s="55"/>
    </row>
    <row r="3198" spans="14:14" x14ac:dyDescent="0.25">
      <c r="N3198" s="55"/>
    </row>
    <row r="3199" spans="14:14" x14ac:dyDescent="0.25">
      <c r="N3199" s="55"/>
    </row>
    <row r="3200" spans="14:14" x14ac:dyDescent="0.25">
      <c r="N3200" s="55"/>
    </row>
    <row r="3201" spans="14:14" x14ac:dyDescent="0.25">
      <c r="N3201" s="55"/>
    </row>
    <row r="3202" spans="14:14" x14ac:dyDescent="0.25">
      <c r="N3202" s="55"/>
    </row>
    <row r="3203" spans="14:14" x14ac:dyDescent="0.25">
      <c r="N3203" s="55"/>
    </row>
    <row r="3204" spans="14:14" x14ac:dyDescent="0.25">
      <c r="N3204" s="55"/>
    </row>
    <row r="3205" spans="14:14" x14ac:dyDescent="0.25">
      <c r="N3205" s="55"/>
    </row>
    <row r="3206" spans="14:14" x14ac:dyDescent="0.25">
      <c r="N3206" s="55"/>
    </row>
    <row r="3207" spans="14:14" x14ac:dyDescent="0.25">
      <c r="N3207" s="55"/>
    </row>
    <row r="3208" spans="14:14" x14ac:dyDescent="0.25">
      <c r="N3208" s="55"/>
    </row>
    <row r="3209" spans="14:14" x14ac:dyDescent="0.25">
      <c r="N3209" s="55"/>
    </row>
    <row r="3210" spans="14:14" x14ac:dyDescent="0.25">
      <c r="N3210" s="55"/>
    </row>
    <row r="3211" spans="14:14" x14ac:dyDescent="0.25">
      <c r="N3211" s="55"/>
    </row>
    <row r="3212" spans="14:14" x14ac:dyDescent="0.25">
      <c r="N3212" s="55"/>
    </row>
    <row r="3213" spans="14:14" x14ac:dyDescent="0.25">
      <c r="N3213" s="55"/>
    </row>
    <row r="3214" spans="14:14" x14ac:dyDescent="0.25">
      <c r="N3214" s="55"/>
    </row>
    <row r="3215" spans="14:14" x14ac:dyDescent="0.25">
      <c r="N3215" s="55"/>
    </row>
    <row r="3216" spans="14:14" x14ac:dyDescent="0.25">
      <c r="N3216" s="55"/>
    </row>
    <row r="3217" spans="14:14" x14ac:dyDescent="0.25">
      <c r="N3217" s="55"/>
    </row>
    <row r="3218" spans="14:14" x14ac:dyDescent="0.25">
      <c r="N3218" s="55"/>
    </row>
    <row r="3219" spans="14:14" x14ac:dyDescent="0.25">
      <c r="N3219" s="55"/>
    </row>
    <row r="3220" spans="14:14" x14ac:dyDescent="0.25">
      <c r="N3220" s="55"/>
    </row>
    <row r="3221" spans="14:14" x14ac:dyDescent="0.25">
      <c r="N3221" s="55"/>
    </row>
    <row r="3222" spans="14:14" x14ac:dyDescent="0.25">
      <c r="N3222" s="55"/>
    </row>
    <row r="3223" spans="14:14" x14ac:dyDescent="0.25">
      <c r="N3223" s="55"/>
    </row>
    <row r="3224" spans="14:14" x14ac:dyDescent="0.25">
      <c r="N3224" s="55"/>
    </row>
    <row r="3225" spans="14:14" x14ac:dyDescent="0.25">
      <c r="N3225" s="55"/>
    </row>
    <row r="3226" spans="14:14" x14ac:dyDescent="0.25">
      <c r="N3226" s="55"/>
    </row>
    <row r="3227" spans="14:14" x14ac:dyDescent="0.25">
      <c r="N3227" s="55"/>
    </row>
    <row r="3228" spans="14:14" x14ac:dyDescent="0.25">
      <c r="N3228" s="55"/>
    </row>
    <row r="3229" spans="14:14" x14ac:dyDescent="0.25">
      <c r="N3229" s="55"/>
    </row>
    <row r="3230" spans="14:14" x14ac:dyDescent="0.25">
      <c r="N3230" s="55"/>
    </row>
    <row r="3231" spans="14:14" x14ac:dyDescent="0.25">
      <c r="N3231" s="55"/>
    </row>
    <row r="3232" spans="14:14" x14ac:dyDescent="0.25">
      <c r="N3232" s="55"/>
    </row>
    <row r="3233" spans="14:14" x14ac:dyDescent="0.25">
      <c r="N3233" s="55"/>
    </row>
    <row r="3234" spans="14:14" x14ac:dyDescent="0.25">
      <c r="N3234" s="55"/>
    </row>
    <row r="3235" spans="14:14" x14ac:dyDescent="0.25">
      <c r="N3235" s="55"/>
    </row>
    <row r="3236" spans="14:14" x14ac:dyDescent="0.25">
      <c r="N3236" s="55"/>
    </row>
    <row r="3237" spans="14:14" x14ac:dyDescent="0.25">
      <c r="N3237" s="55"/>
    </row>
    <row r="3238" spans="14:14" x14ac:dyDescent="0.25">
      <c r="N3238" s="55"/>
    </row>
    <row r="3239" spans="14:14" x14ac:dyDescent="0.25">
      <c r="N3239" s="55"/>
    </row>
    <row r="3240" spans="14:14" x14ac:dyDescent="0.25">
      <c r="N3240" s="55"/>
    </row>
    <row r="3241" spans="14:14" x14ac:dyDescent="0.25">
      <c r="N3241" s="55"/>
    </row>
    <row r="3242" spans="14:14" x14ac:dyDescent="0.25">
      <c r="N3242" s="55"/>
    </row>
    <row r="3243" spans="14:14" x14ac:dyDescent="0.25">
      <c r="N3243" s="55"/>
    </row>
    <row r="3244" spans="14:14" x14ac:dyDescent="0.25">
      <c r="N3244" s="55"/>
    </row>
    <row r="3245" spans="14:14" x14ac:dyDescent="0.25">
      <c r="N3245" s="55"/>
    </row>
    <row r="3246" spans="14:14" x14ac:dyDescent="0.25">
      <c r="N3246" s="55"/>
    </row>
    <row r="3247" spans="14:14" x14ac:dyDescent="0.25">
      <c r="N3247" s="55"/>
    </row>
    <row r="3248" spans="14:14" x14ac:dyDescent="0.25">
      <c r="N3248" s="55"/>
    </row>
    <row r="3249" spans="14:14" x14ac:dyDescent="0.25">
      <c r="N3249" s="55"/>
    </row>
    <row r="3250" spans="14:14" x14ac:dyDescent="0.25">
      <c r="N3250" s="55"/>
    </row>
    <row r="3251" spans="14:14" x14ac:dyDescent="0.25">
      <c r="N3251" s="55"/>
    </row>
    <row r="3252" spans="14:14" x14ac:dyDescent="0.25">
      <c r="N3252" s="55"/>
    </row>
    <row r="3253" spans="14:14" x14ac:dyDescent="0.25">
      <c r="N3253" s="55"/>
    </row>
    <row r="3254" spans="14:14" x14ac:dyDescent="0.25">
      <c r="N3254" s="55"/>
    </row>
    <row r="3255" spans="14:14" x14ac:dyDescent="0.25">
      <c r="N3255" s="55"/>
    </row>
    <row r="3256" spans="14:14" x14ac:dyDescent="0.25">
      <c r="N3256" s="55"/>
    </row>
    <row r="3257" spans="14:14" x14ac:dyDescent="0.25">
      <c r="N3257" s="55"/>
    </row>
    <row r="3258" spans="14:14" x14ac:dyDescent="0.25">
      <c r="N3258" s="55"/>
    </row>
    <row r="3259" spans="14:14" x14ac:dyDescent="0.25">
      <c r="N3259" s="55"/>
    </row>
    <row r="3260" spans="14:14" x14ac:dyDescent="0.25">
      <c r="N3260" s="55"/>
    </row>
    <row r="3261" spans="14:14" x14ac:dyDescent="0.25">
      <c r="N3261" s="55"/>
    </row>
    <row r="3262" spans="14:14" x14ac:dyDescent="0.25">
      <c r="N3262" s="55"/>
    </row>
    <row r="3263" spans="14:14" x14ac:dyDescent="0.25">
      <c r="N3263" s="55"/>
    </row>
    <row r="3264" spans="14:14" x14ac:dyDescent="0.25">
      <c r="N3264" s="55"/>
    </row>
    <row r="3265" spans="14:14" x14ac:dyDescent="0.25">
      <c r="N3265" s="55"/>
    </row>
    <row r="3266" spans="14:14" x14ac:dyDescent="0.25">
      <c r="N3266" s="55"/>
    </row>
    <row r="3267" spans="14:14" x14ac:dyDescent="0.25">
      <c r="N3267" s="55"/>
    </row>
    <row r="3268" spans="14:14" x14ac:dyDescent="0.25">
      <c r="N3268" s="55"/>
    </row>
    <row r="3269" spans="14:14" x14ac:dyDescent="0.25">
      <c r="N3269" s="55"/>
    </row>
    <row r="3270" spans="14:14" x14ac:dyDescent="0.25">
      <c r="N3270" s="55"/>
    </row>
    <row r="3271" spans="14:14" x14ac:dyDescent="0.25">
      <c r="N3271" s="55"/>
    </row>
    <row r="3272" spans="14:14" x14ac:dyDescent="0.25">
      <c r="N3272" s="55"/>
    </row>
    <row r="3273" spans="14:14" x14ac:dyDescent="0.25">
      <c r="N3273" s="55"/>
    </row>
    <row r="3274" spans="14:14" x14ac:dyDescent="0.25">
      <c r="N3274" s="55"/>
    </row>
    <row r="3275" spans="14:14" x14ac:dyDescent="0.25">
      <c r="N3275" s="55"/>
    </row>
    <row r="3276" spans="14:14" x14ac:dyDescent="0.25">
      <c r="N3276" s="55"/>
    </row>
    <row r="3277" spans="14:14" x14ac:dyDescent="0.25">
      <c r="N3277" s="55"/>
    </row>
    <row r="3278" spans="14:14" x14ac:dyDescent="0.25">
      <c r="N3278" s="55"/>
    </row>
    <row r="3279" spans="14:14" x14ac:dyDescent="0.25">
      <c r="N3279" s="55"/>
    </row>
    <row r="3280" spans="14:14" x14ac:dyDescent="0.25">
      <c r="N3280" s="55"/>
    </row>
    <row r="3281" spans="14:14" x14ac:dyDescent="0.25">
      <c r="N3281" s="55"/>
    </row>
    <row r="3282" spans="14:14" x14ac:dyDescent="0.25">
      <c r="N3282" s="55"/>
    </row>
    <row r="3283" spans="14:14" x14ac:dyDescent="0.25">
      <c r="N3283" s="55"/>
    </row>
    <row r="3284" spans="14:14" x14ac:dyDescent="0.25">
      <c r="N3284" s="55"/>
    </row>
    <row r="3285" spans="14:14" x14ac:dyDescent="0.25">
      <c r="N3285" s="55"/>
    </row>
    <row r="3286" spans="14:14" x14ac:dyDescent="0.25">
      <c r="N3286" s="55"/>
    </row>
    <row r="3287" spans="14:14" x14ac:dyDescent="0.25">
      <c r="N3287" s="55"/>
    </row>
    <row r="3288" spans="14:14" x14ac:dyDescent="0.25">
      <c r="N3288" s="55"/>
    </row>
    <row r="3289" spans="14:14" x14ac:dyDescent="0.25">
      <c r="N3289" s="55"/>
    </row>
    <row r="3290" spans="14:14" x14ac:dyDescent="0.25">
      <c r="N3290" s="55"/>
    </row>
    <row r="3291" spans="14:14" x14ac:dyDescent="0.25">
      <c r="N3291" s="55"/>
    </row>
    <row r="3292" spans="14:14" x14ac:dyDescent="0.25">
      <c r="N3292" s="55"/>
    </row>
    <row r="3293" spans="14:14" x14ac:dyDescent="0.25">
      <c r="N3293" s="55"/>
    </row>
    <row r="3294" spans="14:14" x14ac:dyDescent="0.25">
      <c r="N3294" s="55"/>
    </row>
    <row r="3295" spans="14:14" x14ac:dyDescent="0.25">
      <c r="N3295" s="55"/>
    </row>
    <row r="3296" spans="14:14" x14ac:dyDescent="0.25">
      <c r="N3296" s="55"/>
    </row>
    <row r="3297" spans="14:14" x14ac:dyDescent="0.25">
      <c r="N3297" s="55"/>
    </row>
    <row r="3298" spans="14:14" x14ac:dyDescent="0.25">
      <c r="N3298" s="55"/>
    </row>
    <row r="3299" spans="14:14" x14ac:dyDescent="0.25">
      <c r="N3299" s="55"/>
    </row>
    <row r="3300" spans="14:14" x14ac:dyDescent="0.25">
      <c r="N3300" s="55"/>
    </row>
    <row r="3301" spans="14:14" x14ac:dyDescent="0.25">
      <c r="N3301" s="55"/>
    </row>
    <row r="3302" spans="14:14" x14ac:dyDescent="0.25">
      <c r="N3302" s="55"/>
    </row>
    <row r="3303" spans="14:14" x14ac:dyDescent="0.25">
      <c r="N3303" s="55"/>
    </row>
    <row r="3304" spans="14:14" x14ac:dyDescent="0.25">
      <c r="N3304" s="55"/>
    </row>
    <row r="3305" spans="14:14" x14ac:dyDescent="0.25">
      <c r="N3305" s="55"/>
    </row>
    <row r="3306" spans="14:14" x14ac:dyDescent="0.25">
      <c r="N3306" s="55"/>
    </row>
    <row r="3307" spans="14:14" x14ac:dyDescent="0.25">
      <c r="N3307" s="55"/>
    </row>
    <row r="3308" spans="14:14" x14ac:dyDescent="0.25">
      <c r="N3308" s="55"/>
    </row>
    <row r="3309" spans="14:14" x14ac:dyDescent="0.25">
      <c r="N3309" s="55"/>
    </row>
    <row r="3310" spans="14:14" x14ac:dyDescent="0.25">
      <c r="N3310" s="55"/>
    </row>
    <row r="3311" spans="14:14" x14ac:dyDescent="0.25">
      <c r="N3311" s="55"/>
    </row>
    <row r="3312" spans="14:14" x14ac:dyDescent="0.25">
      <c r="N3312" s="55"/>
    </row>
    <row r="3313" spans="14:14" x14ac:dyDescent="0.25">
      <c r="N3313" s="55"/>
    </row>
    <row r="3314" spans="14:14" x14ac:dyDescent="0.25">
      <c r="N3314" s="55"/>
    </row>
    <row r="3315" spans="14:14" x14ac:dyDescent="0.25">
      <c r="N3315" s="55"/>
    </row>
    <row r="3316" spans="14:14" x14ac:dyDescent="0.25">
      <c r="N3316" s="55"/>
    </row>
    <row r="3317" spans="14:14" x14ac:dyDescent="0.25">
      <c r="N3317" s="55"/>
    </row>
    <row r="3318" spans="14:14" x14ac:dyDescent="0.25">
      <c r="N3318" s="55"/>
    </row>
    <row r="3319" spans="14:14" x14ac:dyDescent="0.25">
      <c r="N3319" s="55"/>
    </row>
    <row r="3320" spans="14:14" x14ac:dyDescent="0.25">
      <c r="N3320" s="55"/>
    </row>
    <row r="3321" spans="14:14" x14ac:dyDescent="0.25">
      <c r="N3321" s="55"/>
    </row>
    <row r="3322" spans="14:14" x14ac:dyDescent="0.25">
      <c r="N3322" s="55"/>
    </row>
    <row r="3323" spans="14:14" x14ac:dyDescent="0.25">
      <c r="N3323" s="55"/>
    </row>
    <row r="3324" spans="14:14" x14ac:dyDescent="0.25">
      <c r="N3324" s="55"/>
    </row>
    <row r="3325" spans="14:14" x14ac:dyDescent="0.25">
      <c r="N3325" s="55"/>
    </row>
    <row r="3326" spans="14:14" x14ac:dyDescent="0.25">
      <c r="N3326" s="55"/>
    </row>
    <row r="3327" spans="14:14" x14ac:dyDescent="0.25">
      <c r="N3327" s="55"/>
    </row>
    <row r="3328" spans="14:14" x14ac:dyDescent="0.25">
      <c r="N3328" s="55"/>
    </row>
    <row r="3329" spans="14:14" x14ac:dyDescent="0.25">
      <c r="N3329" s="55"/>
    </row>
    <row r="3330" spans="14:14" x14ac:dyDescent="0.25">
      <c r="N3330" s="55"/>
    </row>
    <row r="3331" spans="14:14" x14ac:dyDescent="0.25">
      <c r="N3331" s="55"/>
    </row>
    <row r="3332" spans="14:14" x14ac:dyDescent="0.25">
      <c r="N3332" s="55"/>
    </row>
    <row r="3333" spans="14:14" x14ac:dyDescent="0.25">
      <c r="N3333" s="55"/>
    </row>
    <row r="3334" spans="14:14" x14ac:dyDescent="0.25">
      <c r="N3334" s="55"/>
    </row>
    <row r="3335" spans="14:14" x14ac:dyDescent="0.25">
      <c r="N3335" s="55"/>
    </row>
    <row r="3336" spans="14:14" x14ac:dyDescent="0.25">
      <c r="N3336" s="55"/>
    </row>
    <row r="3337" spans="14:14" x14ac:dyDescent="0.25">
      <c r="N3337" s="55"/>
    </row>
    <row r="3338" spans="14:14" x14ac:dyDescent="0.25">
      <c r="N3338" s="55"/>
    </row>
    <row r="3339" spans="14:14" x14ac:dyDescent="0.25">
      <c r="N3339" s="55"/>
    </row>
    <row r="3340" spans="14:14" x14ac:dyDescent="0.25">
      <c r="N3340" s="55"/>
    </row>
    <row r="3341" spans="14:14" x14ac:dyDescent="0.25">
      <c r="N3341" s="55"/>
    </row>
    <row r="3342" spans="14:14" x14ac:dyDescent="0.25">
      <c r="N3342" s="55"/>
    </row>
    <row r="3343" spans="14:14" x14ac:dyDescent="0.25">
      <c r="N3343" s="55"/>
    </row>
    <row r="3344" spans="14:14" x14ac:dyDescent="0.25">
      <c r="N3344" s="55"/>
    </row>
    <row r="3345" spans="14:14" x14ac:dyDescent="0.25">
      <c r="N3345" s="55"/>
    </row>
    <row r="3346" spans="14:14" x14ac:dyDescent="0.25">
      <c r="N3346" s="55"/>
    </row>
    <row r="3347" spans="14:14" x14ac:dyDescent="0.25">
      <c r="N3347" s="55"/>
    </row>
    <row r="3348" spans="14:14" x14ac:dyDescent="0.25">
      <c r="N3348" s="55"/>
    </row>
    <row r="3349" spans="14:14" x14ac:dyDescent="0.25">
      <c r="N3349" s="55"/>
    </row>
    <row r="3350" spans="14:14" x14ac:dyDescent="0.25">
      <c r="N3350" s="55"/>
    </row>
    <row r="3351" spans="14:14" x14ac:dyDescent="0.25">
      <c r="N3351" s="55"/>
    </row>
    <row r="3352" spans="14:14" x14ac:dyDescent="0.25">
      <c r="N3352" s="55"/>
    </row>
    <row r="3353" spans="14:14" x14ac:dyDescent="0.25">
      <c r="N3353" s="55"/>
    </row>
    <row r="3354" spans="14:14" x14ac:dyDescent="0.25">
      <c r="N3354" s="55"/>
    </row>
    <row r="3355" spans="14:14" x14ac:dyDescent="0.25">
      <c r="N3355" s="55"/>
    </row>
    <row r="3356" spans="14:14" x14ac:dyDescent="0.25">
      <c r="N3356" s="55"/>
    </row>
    <row r="3357" spans="14:14" x14ac:dyDescent="0.25">
      <c r="N3357" s="55"/>
    </row>
    <row r="3358" spans="14:14" x14ac:dyDescent="0.25">
      <c r="N3358" s="55"/>
    </row>
    <row r="3359" spans="14:14" x14ac:dyDescent="0.25">
      <c r="N3359" s="55"/>
    </row>
    <row r="3360" spans="14:14" x14ac:dyDescent="0.25">
      <c r="N3360" s="55"/>
    </row>
    <row r="3361" spans="14:14" x14ac:dyDescent="0.25">
      <c r="N3361" s="55"/>
    </row>
    <row r="3362" spans="14:14" x14ac:dyDescent="0.25">
      <c r="N3362" s="55"/>
    </row>
    <row r="3363" spans="14:14" x14ac:dyDescent="0.25">
      <c r="N3363" s="55"/>
    </row>
    <row r="3364" spans="14:14" x14ac:dyDescent="0.25">
      <c r="N3364" s="55"/>
    </row>
    <row r="3365" spans="14:14" x14ac:dyDescent="0.25">
      <c r="N3365" s="55"/>
    </row>
    <row r="3366" spans="14:14" x14ac:dyDescent="0.25">
      <c r="N3366" s="55"/>
    </row>
    <row r="3367" spans="14:14" x14ac:dyDescent="0.25">
      <c r="N3367" s="55"/>
    </row>
    <row r="3368" spans="14:14" x14ac:dyDescent="0.25">
      <c r="N3368" s="55"/>
    </row>
    <row r="3369" spans="14:14" x14ac:dyDescent="0.25">
      <c r="N3369" s="55"/>
    </row>
    <row r="3370" spans="14:14" x14ac:dyDescent="0.25">
      <c r="N3370" s="55"/>
    </row>
    <row r="3371" spans="14:14" x14ac:dyDescent="0.25">
      <c r="N3371" s="55"/>
    </row>
    <row r="3372" spans="14:14" x14ac:dyDescent="0.25">
      <c r="N3372" s="55"/>
    </row>
    <row r="3373" spans="14:14" x14ac:dyDescent="0.25">
      <c r="N3373" s="55"/>
    </row>
    <row r="3374" spans="14:14" x14ac:dyDescent="0.25">
      <c r="N3374" s="55"/>
    </row>
    <row r="3375" spans="14:14" x14ac:dyDescent="0.25">
      <c r="N3375" s="55"/>
    </row>
    <row r="3376" spans="14:14" x14ac:dyDescent="0.25">
      <c r="N3376" s="55"/>
    </row>
    <row r="3377" spans="14:14" x14ac:dyDescent="0.25">
      <c r="N3377" s="55"/>
    </row>
    <row r="3378" spans="14:14" x14ac:dyDescent="0.25">
      <c r="N3378" s="55"/>
    </row>
    <row r="3379" spans="14:14" x14ac:dyDescent="0.25">
      <c r="N3379" s="55"/>
    </row>
    <row r="3380" spans="14:14" x14ac:dyDescent="0.25">
      <c r="N3380" s="55"/>
    </row>
    <row r="3381" spans="14:14" x14ac:dyDescent="0.25">
      <c r="N3381" s="55"/>
    </row>
    <row r="3382" spans="14:14" x14ac:dyDescent="0.25">
      <c r="N3382" s="55"/>
    </row>
    <row r="3383" spans="14:14" x14ac:dyDescent="0.25">
      <c r="N3383" s="55"/>
    </row>
    <row r="3384" spans="14:14" x14ac:dyDescent="0.25">
      <c r="N3384" s="55"/>
    </row>
    <row r="3385" spans="14:14" x14ac:dyDescent="0.25">
      <c r="N3385" s="55"/>
    </row>
    <row r="3386" spans="14:14" x14ac:dyDescent="0.25">
      <c r="N3386" s="55"/>
    </row>
    <row r="3387" spans="14:14" x14ac:dyDescent="0.25">
      <c r="N3387" s="55"/>
    </row>
    <row r="3388" spans="14:14" x14ac:dyDescent="0.25">
      <c r="N3388" s="55"/>
    </row>
    <row r="3389" spans="14:14" x14ac:dyDescent="0.25">
      <c r="N3389" s="55"/>
    </row>
    <row r="3390" spans="14:14" x14ac:dyDescent="0.25">
      <c r="N3390" s="55"/>
    </row>
    <row r="3391" spans="14:14" x14ac:dyDescent="0.25">
      <c r="N3391" s="55"/>
    </row>
    <row r="3392" spans="14:14" x14ac:dyDescent="0.25">
      <c r="N3392" s="55"/>
    </row>
    <row r="3393" spans="14:14" x14ac:dyDescent="0.25">
      <c r="N3393" s="55"/>
    </row>
    <row r="3394" spans="14:14" x14ac:dyDescent="0.25">
      <c r="N3394" s="55"/>
    </row>
    <row r="3395" spans="14:14" x14ac:dyDescent="0.25">
      <c r="N3395" s="55"/>
    </row>
    <row r="3396" spans="14:14" x14ac:dyDescent="0.25">
      <c r="N3396" s="55"/>
    </row>
    <row r="3397" spans="14:14" x14ac:dyDescent="0.25">
      <c r="N3397" s="55"/>
    </row>
    <row r="3398" spans="14:14" x14ac:dyDescent="0.25">
      <c r="N3398" s="55"/>
    </row>
    <row r="3399" spans="14:14" x14ac:dyDescent="0.25">
      <c r="N3399" s="55"/>
    </row>
    <row r="3400" spans="14:14" x14ac:dyDescent="0.25">
      <c r="N3400" s="55"/>
    </row>
    <row r="3401" spans="14:14" x14ac:dyDescent="0.25">
      <c r="N3401" s="55"/>
    </row>
    <row r="3402" spans="14:14" x14ac:dyDescent="0.25">
      <c r="N3402" s="55"/>
    </row>
    <row r="3403" spans="14:14" x14ac:dyDescent="0.25">
      <c r="N3403" s="55"/>
    </row>
    <row r="3404" spans="14:14" x14ac:dyDescent="0.25">
      <c r="N3404" s="55"/>
    </row>
    <row r="3405" spans="14:14" x14ac:dyDescent="0.25">
      <c r="N3405" s="55"/>
    </row>
    <row r="3406" spans="14:14" x14ac:dyDescent="0.25">
      <c r="N3406" s="55"/>
    </row>
    <row r="3407" spans="14:14" x14ac:dyDescent="0.25">
      <c r="N3407" s="55"/>
    </row>
    <row r="3408" spans="14:14" x14ac:dyDescent="0.25">
      <c r="N3408" s="55"/>
    </row>
    <row r="3409" spans="14:14" x14ac:dyDescent="0.25">
      <c r="N3409" s="55"/>
    </row>
    <row r="3410" spans="14:14" x14ac:dyDescent="0.25">
      <c r="N3410" s="55"/>
    </row>
    <row r="3411" spans="14:14" x14ac:dyDescent="0.25">
      <c r="N3411" s="55"/>
    </row>
    <row r="3412" spans="14:14" x14ac:dyDescent="0.25">
      <c r="N3412" s="55"/>
    </row>
    <row r="3413" spans="14:14" x14ac:dyDescent="0.25">
      <c r="N3413" s="55"/>
    </row>
    <row r="3414" spans="14:14" x14ac:dyDescent="0.25">
      <c r="N3414" s="55"/>
    </row>
    <row r="3415" spans="14:14" x14ac:dyDescent="0.25">
      <c r="N3415" s="55"/>
    </row>
    <row r="3416" spans="14:14" x14ac:dyDescent="0.25">
      <c r="N3416" s="55"/>
    </row>
    <row r="3417" spans="14:14" x14ac:dyDescent="0.25">
      <c r="N3417" s="55"/>
    </row>
    <row r="3418" spans="14:14" x14ac:dyDescent="0.25">
      <c r="N3418" s="55"/>
    </row>
    <row r="3419" spans="14:14" x14ac:dyDescent="0.25">
      <c r="N3419" s="55"/>
    </row>
    <row r="3420" spans="14:14" x14ac:dyDescent="0.25">
      <c r="N3420" s="55"/>
    </row>
    <row r="3421" spans="14:14" x14ac:dyDescent="0.25">
      <c r="N3421" s="55"/>
    </row>
    <row r="3422" spans="14:14" x14ac:dyDescent="0.25">
      <c r="N3422" s="55"/>
    </row>
    <row r="3423" spans="14:14" x14ac:dyDescent="0.25">
      <c r="N3423" s="55"/>
    </row>
    <row r="3424" spans="14:14" x14ac:dyDescent="0.25">
      <c r="N3424" s="55"/>
    </row>
    <row r="3425" spans="14:14" x14ac:dyDescent="0.25">
      <c r="N3425" s="55"/>
    </row>
    <row r="3426" spans="14:14" x14ac:dyDescent="0.25">
      <c r="N3426" s="55"/>
    </row>
    <row r="3427" spans="14:14" x14ac:dyDescent="0.25">
      <c r="N3427" s="55"/>
    </row>
    <row r="3428" spans="14:14" x14ac:dyDescent="0.25">
      <c r="N3428" s="55"/>
    </row>
    <row r="3429" spans="14:14" x14ac:dyDescent="0.25">
      <c r="N3429" s="55"/>
    </row>
    <row r="3430" spans="14:14" x14ac:dyDescent="0.25">
      <c r="N3430" s="55"/>
    </row>
    <row r="3431" spans="14:14" x14ac:dyDescent="0.25">
      <c r="N3431" s="55"/>
    </row>
    <row r="3432" spans="14:14" x14ac:dyDescent="0.25">
      <c r="N3432" s="55"/>
    </row>
    <row r="3433" spans="14:14" x14ac:dyDescent="0.25">
      <c r="N3433" s="55"/>
    </row>
    <row r="3434" spans="14:14" x14ac:dyDescent="0.25">
      <c r="N3434" s="55"/>
    </row>
    <row r="3435" spans="14:14" x14ac:dyDescent="0.25">
      <c r="N3435" s="55"/>
    </row>
    <row r="3436" spans="14:14" x14ac:dyDescent="0.25">
      <c r="N3436" s="55"/>
    </row>
    <row r="3437" spans="14:14" x14ac:dyDescent="0.25">
      <c r="N3437" s="55"/>
    </row>
    <row r="3438" spans="14:14" x14ac:dyDescent="0.25">
      <c r="N3438" s="55"/>
    </row>
    <row r="3439" spans="14:14" x14ac:dyDescent="0.25">
      <c r="N3439" s="55"/>
    </row>
    <row r="3440" spans="14:14" x14ac:dyDescent="0.25">
      <c r="N3440" s="55"/>
    </row>
    <row r="3441" spans="14:14" x14ac:dyDescent="0.25">
      <c r="N3441" s="55"/>
    </row>
    <row r="3442" spans="14:14" x14ac:dyDescent="0.25">
      <c r="N3442" s="55"/>
    </row>
    <row r="3443" spans="14:14" x14ac:dyDescent="0.25">
      <c r="N3443" s="55"/>
    </row>
    <row r="3444" spans="14:14" x14ac:dyDescent="0.25">
      <c r="N3444" s="55"/>
    </row>
    <row r="3445" spans="14:14" x14ac:dyDescent="0.25">
      <c r="N3445" s="55"/>
    </row>
    <row r="3446" spans="14:14" x14ac:dyDescent="0.25">
      <c r="N3446" s="55"/>
    </row>
    <row r="3447" spans="14:14" x14ac:dyDescent="0.25">
      <c r="N3447" s="55"/>
    </row>
    <row r="3448" spans="14:14" x14ac:dyDescent="0.25">
      <c r="N3448" s="55"/>
    </row>
    <row r="3449" spans="14:14" x14ac:dyDescent="0.25">
      <c r="N3449" s="55"/>
    </row>
    <row r="3450" spans="14:14" x14ac:dyDescent="0.25">
      <c r="N3450" s="55"/>
    </row>
    <row r="3451" spans="14:14" x14ac:dyDescent="0.25">
      <c r="N3451" s="55"/>
    </row>
    <row r="3452" spans="14:14" x14ac:dyDescent="0.25">
      <c r="N3452" s="55"/>
    </row>
    <row r="3453" spans="14:14" x14ac:dyDescent="0.25">
      <c r="N3453" s="55"/>
    </row>
    <row r="3454" spans="14:14" x14ac:dyDescent="0.25">
      <c r="N3454" s="55"/>
    </row>
    <row r="3455" spans="14:14" x14ac:dyDescent="0.25">
      <c r="N3455" s="55"/>
    </row>
    <row r="3456" spans="14:14" x14ac:dyDescent="0.25">
      <c r="N3456" s="55"/>
    </row>
    <row r="3457" spans="14:14" x14ac:dyDescent="0.25">
      <c r="N3457" s="55"/>
    </row>
    <row r="3458" spans="14:14" x14ac:dyDescent="0.25">
      <c r="N3458" s="55"/>
    </row>
    <row r="3459" spans="14:14" x14ac:dyDescent="0.25">
      <c r="N3459" s="55"/>
    </row>
    <row r="3460" spans="14:14" x14ac:dyDescent="0.25">
      <c r="N3460" s="55"/>
    </row>
    <row r="3461" spans="14:14" x14ac:dyDescent="0.25">
      <c r="N3461" s="55"/>
    </row>
    <row r="3462" spans="14:14" x14ac:dyDescent="0.25">
      <c r="N3462" s="55"/>
    </row>
    <row r="3463" spans="14:14" x14ac:dyDescent="0.25">
      <c r="N3463" s="55"/>
    </row>
    <row r="3464" spans="14:14" x14ac:dyDescent="0.25">
      <c r="N3464" s="55"/>
    </row>
    <row r="3465" spans="14:14" x14ac:dyDescent="0.25">
      <c r="N3465" s="55"/>
    </row>
    <row r="3466" spans="14:14" x14ac:dyDescent="0.25">
      <c r="N3466" s="55"/>
    </row>
    <row r="3467" spans="14:14" x14ac:dyDescent="0.25">
      <c r="N3467" s="55"/>
    </row>
    <row r="3468" spans="14:14" x14ac:dyDescent="0.25">
      <c r="N3468" s="55"/>
    </row>
    <row r="3469" spans="14:14" x14ac:dyDescent="0.25">
      <c r="N3469" s="55"/>
    </row>
    <row r="3470" spans="14:14" x14ac:dyDescent="0.25">
      <c r="N3470" s="55"/>
    </row>
    <row r="3471" spans="14:14" x14ac:dyDescent="0.25">
      <c r="N3471" s="55"/>
    </row>
    <row r="3472" spans="14:14" x14ac:dyDescent="0.25">
      <c r="N3472" s="55"/>
    </row>
    <row r="3473" spans="14:14" x14ac:dyDescent="0.25">
      <c r="N3473" s="55"/>
    </row>
    <row r="3474" spans="14:14" x14ac:dyDescent="0.25">
      <c r="N3474" s="55"/>
    </row>
    <row r="3475" spans="14:14" x14ac:dyDescent="0.25">
      <c r="N3475" s="55"/>
    </row>
    <row r="3476" spans="14:14" x14ac:dyDescent="0.25">
      <c r="N3476" s="55"/>
    </row>
    <row r="3477" spans="14:14" x14ac:dyDescent="0.25">
      <c r="N3477" s="55"/>
    </row>
    <row r="3478" spans="14:14" x14ac:dyDescent="0.25">
      <c r="N3478" s="55"/>
    </row>
    <row r="3479" spans="14:14" x14ac:dyDescent="0.25">
      <c r="N3479" s="55"/>
    </row>
    <row r="3480" spans="14:14" x14ac:dyDescent="0.25">
      <c r="N3480" s="55"/>
    </row>
    <row r="3481" spans="14:14" x14ac:dyDescent="0.25">
      <c r="N3481" s="55"/>
    </row>
    <row r="3482" spans="14:14" x14ac:dyDescent="0.25">
      <c r="N3482" s="55"/>
    </row>
    <row r="3483" spans="14:14" x14ac:dyDescent="0.25">
      <c r="N3483" s="55"/>
    </row>
    <row r="3484" spans="14:14" x14ac:dyDescent="0.25">
      <c r="N3484" s="55"/>
    </row>
    <row r="3485" spans="14:14" x14ac:dyDescent="0.25">
      <c r="N3485" s="55"/>
    </row>
    <row r="3486" spans="14:14" x14ac:dyDescent="0.25">
      <c r="N3486" s="55"/>
    </row>
    <row r="3487" spans="14:14" x14ac:dyDescent="0.25">
      <c r="N3487" s="55"/>
    </row>
    <row r="3488" spans="14:14" x14ac:dyDescent="0.25">
      <c r="N3488" s="55"/>
    </row>
    <row r="3489" spans="14:14" x14ac:dyDescent="0.25">
      <c r="N3489" s="55"/>
    </row>
    <row r="3490" spans="14:14" x14ac:dyDescent="0.25">
      <c r="N3490" s="55"/>
    </row>
    <row r="3491" spans="14:14" x14ac:dyDescent="0.25">
      <c r="N3491" s="55"/>
    </row>
    <row r="3492" spans="14:14" x14ac:dyDescent="0.25">
      <c r="N3492" s="55"/>
    </row>
    <row r="3493" spans="14:14" x14ac:dyDescent="0.25">
      <c r="N3493" s="55"/>
    </row>
    <row r="3494" spans="14:14" x14ac:dyDescent="0.25">
      <c r="N3494" s="55"/>
    </row>
    <row r="3495" spans="14:14" x14ac:dyDescent="0.25">
      <c r="N3495" s="55"/>
    </row>
    <row r="3496" spans="14:14" x14ac:dyDescent="0.25">
      <c r="N3496" s="55"/>
    </row>
    <row r="3497" spans="14:14" x14ac:dyDescent="0.25">
      <c r="N3497" s="55"/>
    </row>
    <row r="3498" spans="14:14" x14ac:dyDescent="0.25">
      <c r="N3498" s="55"/>
    </row>
    <row r="3499" spans="14:14" x14ac:dyDescent="0.25">
      <c r="N3499" s="55"/>
    </row>
    <row r="3500" spans="14:14" x14ac:dyDescent="0.25">
      <c r="N3500" s="55"/>
    </row>
    <row r="3501" spans="14:14" x14ac:dyDescent="0.25">
      <c r="N3501" s="55"/>
    </row>
    <row r="3502" spans="14:14" x14ac:dyDescent="0.25">
      <c r="N3502" s="55"/>
    </row>
    <row r="3503" spans="14:14" x14ac:dyDescent="0.25">
      <c r="N3503" s="55"/>
    </row>
    <row r="3504" spans="14:14" x14ac:dyDescent="0.25">
      <c r="N3504" s="55"/>
    </row>
    <row r="3505" spans="14:14" x14ac:dyDescent="0.25">
      <c r="N3505" s="55"/>
    </row>
    <row r="3506" spans="14:14" x14ac:dyDescent="0.25">
      <c r="N3506" s="55"/>
    </row>
    <row r="3507" spans="14:14" x14ac:dyDescent="0.25">
      <c r="N3507" s="55"/>
    </row>
    <row r="3508" spans="14:14" x14ac:dyDescent="0.25">
      <c r="N3508" s="55"/>
    </row>
    <row r="3509" spans="14:14" x14ac:dyDescent="0.25">
      <c r="N3509" s="55"/>
    </row>
    <row r="3510" spans="14:14" x14ac:dyDescent="0.25">
      <c r="N3510" s="55"/>
    </row>
    <row r="3511" spans="14:14" x14ac:dyDescent="0.25">
      <c r="N3511" s="55"/>
    </row>
    <row r="3512" spans="14:14" x14ac:dyDescent="0.25">
      <c r="N3512" s="55"/>
    </row>
    <row r="3513" spans="14:14" x14ac:dyDescent="0.25">
      <c r="N3513" s="55"/>
    </row>
    <row r="3514" spans="14:14" x14ac:dyDescent="0.25">
      <c r="N3514" s="55"/>
    </row>
    <row r="3515" spans="14:14" x14ac:dyDescent="0.25">
      <c r="N3515" s="55"/>
    </row>
    <row r="3516" spans="14:14" x14ac:dyDescent="0.25">
      <c r="N3516" s="55"/>
    </row>
    <row r="3517" spans="14:14" x14ac:dyDescent="0.25">
      <c r="N3517" s="55"/>
    </row>
    <row r="3518" spans="14:14" x14ac:dyDescent="0.25">
      <c r="N3518" s="55"/>
    </row>
    <row r="3519" spans="14:14" x14ac:dyDescent="0.25">
      <c r="N3519" s="55"/>
    </row>
    <row r="3520" spans="14:14" x14ac:dyDescent="0.25">
      <c r="N3520" s="55"/>
    </row>
    <row r="3521" spans="14:14" x14ac:dyDescent="0.25">
      <c r="N3521" s="55"/>
    </row>
    <row r="3522" spans="14:14" x14ac:dyDescent="0.25">
      <c r="N3522" s="55"/>
    </row>
    <row r="3523" spans="14:14" x14ac:dyDescent="0.25">
      <c r="N3523" s="55"/>
    </row>
    <row r="3524" spans="14:14" x14ac:dyDescent="0.25">
      <c r="N3524" s="55"/>
    </row>
    <row r="3525" spans="14:14" x14ac:dyDescent="0.25">
      <c r="N3525" s="55"/>
    </row>
    <row r="3526" spans="14:14" x14ac:dyDescent="0.25">
      <c r="N3526" s="55"/>
    </row>
    <row r="3527" spans="14:14" x14ac:dyDescent="0.25">
      <c r="N3527" s="55"/>
    </row>
    <row r="3528" spans="14:14" x14ac:dyDescent="0.25">
      <c r="N3528" s="55"/>
    </row>
    <row r="3529" spans="14:14" x14ac:dyDescent="0.25">
      <c r="N3529" s="55"/>
    </row>
    <row r="3530" spans="14:14" x14ac:dyDescent="0.25">
      <c r="N3530" s="55"/>
    </row>
    <row r="3531" spans="14:14" x14ac:dyDescent="0.25">
      <c r="N3531" s="55"/>
    </row>
    <row r="3532" spans="14:14" x14ac:dyDescent="0.25">
      <c r="N3532" s="55"/>
    </row>
    <row r="3533" spans="14:14" x14ac:dyDescent="0.25">
      <c r="N3533" s="55"/>
    </row>
    <row r="3534" spans="14:14" x14ac:dyDescent="0.25">
      <c r="N3534" s="55"/>
    </row>
    <row r="3535" spans="14:14" x14ac:dyDescent="0.25">
      <c r="N3535" s="55"/>
    </row>
    <row r="3536" spans="14:14" x14ac:dyDescent="0.25">
      <c r="N3536" s="55"/>
    </row>
    <row r="3537" spans="14:14" x14ac:dyDescent="0.25">
      <c r="N3537" s="55"/>
    </row>
    <row r="3538" spans="14:14" x14ac:dyDescent="0.25">
      <c r="N3538" s="55"/>
    </row>
    <row r="3539" spans="14:14" x14ac:dyDescent="0.25">
      <c r="N3539" s="55"/>
    </row>
    <row r="3540" spans="14:14" x14ac:dyDescent="0.25">
      <c r="N3540" s="55"/>
    </row>
    <row r="3541" spans="14:14" x14ac:dyDescent="0.25">
      <c r="N3541" s="55"/>
    </row>
    <row r="3542" spans="14:14" x14ac:dyDescent="0.25">
      <c r="N3542" s="55"/>
    </row>
    <row r="3543" spans="14:14" x14ac:dyDescent="0.25">
      <c r="N3543" s="55"/>
    </row>
    <row r="3544" spans="14:14" x14ac:dyDescent="0.25">
      <c r="N3544" s="55"/>
    </row>
    <row r="3545" spans="14:14" x14ac:dyDescent="0.25">
      <c r="N3545" s="55"/>
    </row>
    <row r="3546" spans="14:14" x14ac:dyDescent="0.25">
      <c r="N3546" s="55"/>
    </row>
    <row r="3547" spans="14:14" x14ac:dyDescent="0.25">
      <c r="N3547" s="55"/>
    </row>
    <row r="3548" spans="14:14" x14ac:dyDescent="0.25">
      <c r="N3548" s="55"/>
    </row>
    <row r="3549" spans="14:14" x14ac:dyDescent="0.25">
      <c r="N3549" s="55"/>
    </row>
    <row r="3550" spans="14:14" x14ac:dyDescent="0.25">
      <c r="N3550" s="55"/>
    </row>
    <row r="3551" spans="14:14" x14ac:dyDescent="0.25">
      <c r="N3551" s="55"/>
    </row>
    <row r="3552" spans="14:14" x14ac:dyDescent="0.25">
      <c r="N3552" s="55"/>
    </row>
    <row r="3553" spans="14:14" x14ac:dyDescent="0.25">
      <c r="N3553" s="55"/>
    </row>
    <row r="3554" spans="14:14" x14ac:dyDescent="0.25">
      <c r="N3554" s="55"/>
    </row>
    <row r="3555" spans="14:14" x14ac:dyDescent="0.25">
      <c r="N3555" s="55"/>
    </row>
    <row r="3556" spans="14:14" x14ac:dyDescent="0.25">
      <c r="N3556" s="55"/>
    </row>
    <row r="3557" spans="14:14" x14ac:dyDescent="0.25">
      <c r="N3557" s="55"/>
    </row>
    <row r="3558" spans="14:14" x14ac:dyDescent="0.25">
      <c r="N3558" s="55"/>
    </row>
    <row r="3559" spans="14:14" x14ac:dyDescent="0.25">
      <c r="N3559" s="55"/>
    </row>
    <row r="3560" spans="14:14" x14ac:dyDescent="0.25">
      <c r="N3560" s="55"/>
    </row>
    <row r="3561" spans="14:14" x14ac:dyDescent="0.25">
      <c r="N3561" s="55"/>
    </row>
    <row r="3562" spans="14:14" x14ac:dyDescent="0.25">
      <c r="N3562" s="55"/>
    </row>
    <row r="3563" spans="14:14" x14ac:dyDescent="0.25">
      <c r="N3563" s="55"/>
    </row>
    <row r="3564" spans="14:14" x14ac:dyDescent="0.25">
      <c r="N3564" s="55"/>
    </row>
    <row r="3565" spans="14:14" x14ac:dyDescent="0.25">
      <c r="N3565" s="55"/>
    </row>
    <row r="3566" spans="14:14" x14ac:dyDescent="0.25">
      <c r="N3566" s="55"/>
    </row>
    <row r="3567" spans="14:14" x14ac:dyDescent="0.25">
      <c r="N3567" s="55"/>
    </row>
    <row r="3568" spans="14:14" x14ac:dyDescent="0.25">
      <c r="N3568" s="55"/>
    </row>
    <row r="3569" spans="14:14" x14ac:dyDescent="0.25">
      <c r="N3569" s="55"/>
    </row>
    <row r="3570" spans="14:14" x14ac:dyDescent="0.25">
      <c r="N3570" s="55"/>
    </row>
    <row r="3571" spans="14:14" x14ac:dyDescent="0.25">
      <c r="N3571" s="55"/>
    </row>
    <row r="3572" spans="14:14" x14ac:dyDescent="0.25">
      <c r="N3572" s="55"/>
    </row>
    <row r="3573" spans="14:14" x14ac:dyDescent="0.25">
      <c r="N3573" s="55"/>
    </row>
    <row r="3574" spans="14:14" x14ac:dyDescent="0.25">
      <c r="N3574" s="55"/>
    </row>
    <row r="3575" spans="14:14" x14ac:dyDescent="0.25">
      <c r="N3575" s="55"/>
    </row>
    <row r="3576" spans="14:14" x14ac:dyDescent="0.25">
      <c r="N3576" s="55"/>
    </row>
    <row r="3577" spans="14:14" x14ac:dyDescent="0.25">
      <c r="N3577" s="55"/>
    </row>
    <row r="3578" spans="14:14" x14ac:dyDescent="0.25">
      <c r="N3578" s="55"/>
    </row>
    <row r="3579" spans="14:14" x14ac:dyDescent="0.25">
      <c r="N3579" s="55"/>
    </row>
    <row r="3580" spans="14:14" x14ac:dyDescent="0.25">
      <c r="N3580" s="55"/>
    </row>
    <row r="3581" spans="14:14" x14ac:dyDescent="0.25">
      <c r="N3581" s="55"/>
    </row>
    <row r="3582" spans="14:14" x14ac:dyDescent="0.25">
      <c r="N3582" s="55"/>
    </row>
    <row r="3583" spans="14:14" x14ac:dyDescent="0.25">
      <c r="N3583" s="55"/>
    </row>
    <row r="3584" spans="14:14" x14ac:dyDescent="0.25">
      <c r="N3584" s="55"/>
    </row>
    <row r="3585" spans="14:14" x14ac:dyDescent="0.25">
      <c r="N3585" s="55"/>
    </row>
    <row r="3586" spans="14:14" x14ac:dyDescent="0.25">
      <c r="N3586" s="55"/>
    </row>
    <row r="3587" spans="14:14" x14ac:dyDescent="0.25">
      <c r="N3587" s="55"/>
    </row>
    <row r="3588" spans="14:14" x14ac:dyDescent="0.25">
      <c r="N3588" s="55"/>
    </row>
    <row r="3589" spans="14:14" x14ac:dyDescent="0.25">
      <c r="N3589" s="55"/>
    </row>
    <row r="3590" spans="14:14" x14ac:dyDescent="0.25">
      <c r="N3590" s="55"/>
    </row>
    <row r="3591" spans="14:14" x14ac:dyDescent="0.25">
      <c r="N3591" s="55"/>
    </row>
    <row r="3592" spans="14:14" x14ac:dyDescent="0.25">
      <c r="N3592" s="55"/>
    </row>
    <row r="3593" spans="14:14" x14ac:dyDescent="0.25">
      <c r="N3593" s="55"/>
    </row>
    <row r="3594" spans="14:14" x14ac:dyDescent="0.25">
      <c r="N3594" s="55"/>
    </row>
    <row r="3595" spans="14:14" x14ac:dyDescent="0.25">
      <c r="N3595" s="55"/>
    </row>
    <row r="3596" spans="14:14" x14ac:dyDescent="0.25">
      <c r="N3596" s="55"/>
    </row>
    <row r="3597" spans="14:14" x14ac:dyDescent="0.25">
      <c r="N3597" s="55"/>
    </row>
    <row r="3598" spans="14:14" x14ac:dyDescent="0.25">
      <c r="N3598" s="55"/>
    </row>
    <row r="3599" spans="14:14" x14ac:dyDescent="0.25">
      <c r="N3599" s="55"/>
    </row>
    <row r="3600" spans="14:14" x14ac:dyDescent="0.25">
      <c r="N3600" s="55"/>
    </row>
    <row r="3601" spans="14:14" x14ac:dyDescent="0.25">
      <c r="N3601" s="55"/>
    </row>
    <row r="3602" spans="14:14" x14ac:dyDescent="0.25">
      <c r="N3602" s="55"/>
    </row>
    <row r="3603" spans="14:14" x14ac:dyDescent="0.25">
      <c r="N3603" s="55"/>
    </row>
    <row r="3604" spans="14:14" x14ac:dyDescent="0.25">
      <c r="N3604" s="55"/>
    </row>
    <row r="3605" spans="14:14" x14ac:dyDescent="0.25">
      <c r="N3605" s="55"/>
    </row>
    <row r="3606" spans="14:14" x14ac:dyDescent="0.25">
      <c r="N3606" s="55"/>
    </row>
    <row r="3607" spans="14:14" x14ac:dyDescent="0.25">
      <c r="N3607" s="55"/>
    </row>
    <row r="3608" spans="14:14" x14ac:dyDescent="0.25">
      <c r="N3608" s="55"/>
    </row>
    <row r="3609" spans="14:14" x14ac:dyDescent="0.25">
      <c r="N3609" s="55"/>
    </row>
    <row r="3610" spans="14:14" x14ac:dyDescent="0.25">
      <c r="N3610" s="55"/>
    </row>
    <row r="3611" spans="14:14" x14ac:dyDescent="0.25">
      <c r="N3611" s="55"/>
    </row>
    <row r="3612" spans="14:14" x14ac:dyDescent="0.25">
      <c r="N3612" s="55"/>
    </row>
    <row r="3613" spans="14:14" x14ac:dyDescent="0.25">
      <c r="N3613" s="55"/>
    </row>
    <row r="3614" spans="14:14" x14ac:dyDescent="0.25">
      <c r="N3614" s="55"/>
    </row>
    <row r="3615" spans="14:14" x14ac:dyDescent="0.25">
      <c r="N3615" s="55"/>
    </row>
    <row r="3616" spans="14:14" x14ac:dyDescent="0.25">
      <c r="N3616" s="55"/>
    </row>
    <row r="3617" spans="14:14" x14ac:dyDescent="0.25">
      <c r="N3617" s="55"/>
    </row>
    <row r="3618" spans="14:14" x14ac:dyDescent="0.25">
      <c r="N3618" s="55"/>
    </row>
    <row r="3619" spans="14:14" x14ac:dyDescent="0.25">
      <c r="N3619" s="55"/>
    </row>
    <row r="3620" spans="14:14" x14ac:dyDescent="0.25">
      <c r="N3620" s="55"/>
    </row>
    <row r="3621" spans="14:14" x14ac:dyDescent="0.25">
      <c r="N3621" s="55"/>
    </row>
    <row r="3622" spans="14:14" x14ac:dyDescent="0.25">
      <c r="N3622" s="55"/>
    </row>
    <row r="3623" spans="14:14" x14ac:dyDescent="0.25">
      <c r="N3623" s="55"/>
    </row>
    <row r="3624" spans="14:14" x14ac:dyDescent="0.25">
      <c r="N3624" s="55"/>
    </row>
    <row r="3625" spans="14:14" x14ac:dyDescent="0.25">
      <c r="N3625" s="55"/>
    </row>
    <row r="3626" spans="14:14" x14ac:dyDescent="0.25">
      <c r="N3626" s="55"/>
    </row>
    <row r="3627" spans="14:14" x14ac:dyDescent="0.25">
      <c r="N3627" s="55"/>
    </row>
    <row r="3628" spans="14:14" x14ac:dyDescent="0.25">
      <c r="N3628" s="55"/>
    </row>
    <row r="3629" spans="14:14" x14ac:dyDescent="0.25">
      <c r="N3629" s="55"/>
    </row>
    <row r="3630" spans="14:14" x14ac:dyDescent="0.25">
      <c r="N3630" s="55"/>
    </row>
    <row r="3631" spans="14:14" x14ac:dyDescent="0.25">
      <c r="N3631" s="55"/>
    </row>
    <row r="3632" spans="14:14" x14ac:dyDescent="0.25">
      <c r="N3632" s="55"/>
    </row>
    <row r="3633" spans="14:14" x14ac:dyDescent="0.25">
      <c r="N3633" s="55"/>
    </row>
    <row r="3634" spans="14:14" x14ac:dyDescent="0.25">
      <c r="N3634" s="55"/>
    </row>
    <row r="3635" spans="14:14" x14ac:dyDescent="0.25">
      <c r="N3635" s="55"/>
    </row>
    <row r="3636" spans="14:14" x14ac:dyDescent="0.25">
      <c r="N3636" s="55"/>
    </row>
    <row r="3637" spans="14:14" x14ac:dyDescent="0.25">
      <c r="N3637" s="55"/>
    </row>
    <row r="3638" spans="14:14" x14ac:dyDescent="0.25">
      <c r="N3638" s="55"/>
    </row>
    <row r="3639" spans="14:14" x14ac:dyDescent="0.25">
      <c r="N3639" s="55"/>
    </row>
    <row r="3640" spans="14:14" x14ac:dyDescent="0.25">
      <c r="N3640" s="55"/>
    </row>
    <row r="3641" spans="14:14" x14ac:dyDescent="0.25">
      <c r="N3641" s="55"/>
    </row>
    <row r="3642" spans="14:14" x14ac:dyDescent="0.25">
      <c r="N3642" s="55"/>
    </row>
    <row r="3643" spans="14:14" x14ac:dyDescent="0.25">
      <c r="N3643" s="55"/>
    </row>
    <row r="3644" spans="14:14" x14ac:dyDescent="0.25">
      <c r="N3644" s="55"/>
    </row>
    <row r="3645" spans="14:14" x14ac:dyDescent="0.25">
      <c r="N3645" s="55"/>
    </row>
    <row r="3646" spans="14:14" x14ac:dyDescent="0.25">
      <c r="N3646" s="55"/>
    </row>
    <row r="3647" spans="14:14" x14ac:dyDescent="0.25">
      <c r="N3647" s="55"/>
    </row>
    <row r="3648" spans="14:14" x14ac:dyDescent="0.25">
      <c r="N3648" s="55"/>
    </row>
    <row r="3649" spans="14:14" x14ac:dyDescent="0.25">
      <c r="N3649" s="55"/>
    </row>
    <row r="3650" spans="14:14" x14ac:dyDescent="0.25">
      <c r="N3650" s="55"/>
    </row>
    <row r="3651" spans="14:14" x14ac:dyDescent="0.25">
      <c r="N3651" s="55"/>
    </row>
    <row r="3652" spans="14:14" x14ac:dyDescent="0.25">
      <c r="N3652" s="55"/>
    </row>
    <row r="3653" spans="14:14" x14ac:dyDescent="0.25">
      <c r="N3653" s="55"/>
    </row>
    <row r="3654" spans="14:14" x14ac:dyDescent="0.25">
      <c r="N3654" s="55"/>
    </row>
    <row r="3655" spans="14:14" x14ac:dyDescent="0.25">
      <c r="N3655" s="55"/>
    </row>
    <row r="3656" spans="14:14" x14ac:dyDescent="0.25">
      <c r="N3656" s="55"/>
    </row>
    <row r="3657" spans="14:14" x14ac:dyDescent="0.25">
      <c r="N3657" s="55"/>
    </row>
    <row r="3658" spans="14:14" x14ac:dyDescent="0.25">
      <c r="N3658" s="55"/>
    </row>
    <row r="3659" spans="14:14" x14ac:dyDescent="0.25">
      <c r="N3659" s="55"/>
    </row>
    <row r="3660" spans="14:14" x14ac:dyDescent="0.25">
      <c r="N3660" s="55"/>
    </row>
    <row r="3661" spans="14:14" x14ac:dyDescent="0.25">
      <c r="N3661" s="55"/>
    </row>
    <row r="3662" spans="14:14" x14ac:dyDescent="0.25">
      <c r="N3662" s="55"/>
    </row>
    <row r="3663" spans="14:14" x14ac:dyDescent="0.25">
      <c r="N3663" s="55"/>
    </row>
    <row r="3664" spans="14:14" x14ac:dyDescent="0.25">
      <c r="N3664" s="55"/>
    </row>
    <row r="3665" spans="14:14" x14ac:dyDescent="0.25">
      <c r="N3665" s="55"/>
    </row>
    <row r="3666" spans="14:14" x14ac:dyDescent="0.25">
      <c r="N3666" s="55"/>
    </row>
    <row r="3667" spans="14:14" x14ac:dyDescent="0.25">
      <c r="N3667" s="55"/>
    </row>
    <row r="3668" spans="14:14" x14ac:dyDescent="0.25">
      <c r="N3668" s="55"/>
    </row>
    <row r="3669" spans="14:14" x14ac:dyDescent="0.25">
      <c r="N3669" s="55"/>
    </row>
    <row r="3670" spans="14:14" x14ac:dyDescent="0.25">
      <c r="N3670" s="55"/>
    </row>
    <row r="3671" spans="14:14" x14ac:dyDescent="0.25">
      <c r="N3671" s="55"/>
    </row>
    <row r="3672" spans="14:14" x14ac:dyDescent="0.25">
      <c r="N3672" s="55"/>
    </row>
    <row r="3673" spans="14:14" x14ac:dyDescent="0.25">
      <c r="N3673" s="55"/>
    </row>
    <row r="3674" spans="14:14" x14ac:dyDescent="0.25">
      <c r="N3674" s="55"/>
    </row>
    <row r="3675" spans="14:14" x14ac:dyDescent="0.25">
      <c r="N3675" s="55"/>
    </row>
    <row r="3676" spans="14:14" x14ac:dyDescent="0.25">
      <c r="N3676" s="55"/>
    </row>
    <row r="3677" spans="14:14" x14ac:dyDescent="0.25">
      <c r="N3677" s="55"/>
    </row>
    <row r="3678" spans="14:14" x14ac:dyDescent="0.25">
      <c r="N3678" s="55"/>
    </row>
    <row r="3679" spans="14:14" x14ac:dyDescent="0.25">
      <c r="N3679" s="55"/>
    </row>
    <row r="3680" spans="14:14" x14ac:dyDescent="0.25">
      <c r="N3680" s="55"/>
    </row>
    <row r="3681" spans="14:14" x14ac:dyDescent="0.25">
      <c r="N3681" s="55"/>
    </row>
    <row r="3682" spans="14:14" x14ac:dyDescent="0.25">
      <c r="N3682" s="55"/>
    </row>
    <row r="3683" spans="14:14" x14ac:dyDescent="0.25">
      <c r="N3683" s="55"/>
    </row>
    <row r="3684" spans="14:14" x14ac:dyDescent="0.25">
      <c r="N3684" s="55"/>
    </row>
    <row r="3685" spans="14:14" x14ac:dyDescent="0.25">
      <c r="N3685" s="55"/>
    </row>
    <row r="3686" spans="14:14" x14ac:dyDescent="0.25">
      <c r="N3686" s="55"/>
    </row>
    <row r="3687" spans="14:14" x14ac:dyDescent="0.25">
      <c r="N3687" s="55"/>
    </row>
    <row r="3688" spans="14:14" x14ac:dyDescent="0.25">
      <c r="N3688" s="55"/>
    </row>
    <row r="3689" spans="14:14" x14ac:dyDescent="0.25">
      <c r="N3689" s="55"/>
    </row>
    <row r="3690" spans="14:14" x14ac:dyDescent="0.25">
      <c r="N3690" s="55"/>
    </row>
    <row r="3691" spans="14:14" x14ac:dyDescent="0.25">
      <c r="N3691" s="55"/>
    </row>
    <row r="3692" spans="14:14" x14ac:dyDescent="0.25">
      <c r="N3692" s="55"/>
    </row>
    <row r="3693" spans="14:14" x14ac:dyDescent="0.25">
      <c r="N3693" s="55"/>
    </row>
    <row r="3694" spans="14:14" x14ac:dyDescent="0.25">
      <c r="N3694" s="55"/>
    </row>
    <row r="3695" spans="14:14" x14ac:dyDescent="0.25">
      <c r="N3695" s="55"/>
    </row>
    <row r="3696" spans="14:14" x14ac:dyDescent="0.25">
      <c r="N3696" s="55"/>
    </row>
    <row r="3697" spans="14:14" x14ac:dyDescent="0.25">
      <c r="N3697" s="55"/>
    </row>
    <row r="3698" spans="14:14" x14ac:dyDescent="0.25">
      <c r="N3698" s="55"/>
    </row>
    <row r="3699" spans="14:14" x14ac:dyDescent="0.25">
      <c r="N3699" s="55"/>
    </row>
    <row r="3700" spans="14:14" x14ac:dyDescent="0.25">
      <c r="N3700" s="55"/>
    </row>
    <row r="3701" spans="14:14" x14ac:dyDescent="0.25">
      <c r="N3701" s="55"/>
    </row>
    <row r="3702" spans="14:14" x14ac:dyDescent="0.25">
      <c r="N3702" s="55"/>
    </row>
    <row r="3703" spans="14:14" x14ac:dyDescent="0.25">
      <c r="N3703" s="55"/>
    </row>
    <row r="3704" spans="14:14" x14ac:dyDescent="0.25">
      <c r="N3704" s="55"/>
    </row>
    <row r="3705" spans="14:14" x14ac:dyDescent="0.25">
      <c r="N3705" s="55"/>
    </row>
    <row r="3706" spans="14:14" x14ac:dyDescent="0.25">
      <c r="N3706" s="55"/>
    </row>
    <row r="3707" spans="14:14" x14ac:dyDescent="0.25">
      <c r="N3707" s="55"/>
    </row>
    <row r="3708" spans="14:14" x14ac:dyDescent="0.25">
      <c r="N3708" s="55"/>
    </row>
    <row r="3709" spans="14:14" x14ac:dyDescent="0.25">
      <c r="N3709" s="55"/>
    </row>
    <row r="3710" spans="14:14" x14ac:dyDescent="0.25">
      <c r="N3710" s="55"/>
    </row>
    <row r="3711" spans="14:14" x14ac:dyDescent="0.25">
      <c r="N3711" s="55"/>
    </row>
    <row r="3712" spans="14:14" x14ac:dyDescent="0.25">
      <c r="N3712" s="55"/>
    </row>
    <row r="3713" spans="14:14" x14ac:dyDescent="0.25">
      <c r="N3713" s="55"/>
    </row>
    <row r="3714" spans="14:14" x14ac:dyDescent="0.25">
      <c r="N3714" s="55"/>
    </row>
    <row r="3715" spans="14:14" x14ac:dyDescent="0.25">
      <c r="N3715" s="55"/>
    </row>
    <row r="3716" spans="14:14" x14ac:dyDescent="0.25">
      <c r="N3716" s="55"/>
    </row>
    <row r="3717" spans="14:14" x14ac:dyDescent="0.25">
      <c r="N3717" s="55"/>
    </row>
    <row r="3718" spans="14:14" x14ac:dyDescent="0.25">
      <c r="N3718" s="55"/>
    </row>
    <row r="3719" spans="14:14" x14ac:dyDescent="0.25">
      <c r="N3719" s="55"/>
    </row>
    <row r="3720" spans="14:14" x14ac:dyDescent="0.25">
      <c r="N3720" s="55"/>
    </row>
    <row r="3721" spans="14:14" x14ac:dyDescent="0.25">
      <c r="N3721" s="55"/>
    </row>
    <row r="3722" spans="14:14" x14ac:dyDescent="0.25">
      <c r="N3722" s="55"/>
    </row>
    <row r="3723" spans="14:14" x14ac:dyDescent="0.25">
      <c r="N3723" s="55"/>
    </row>
    <row r="3724" spans="14:14" x14ac:dyDescent="0.25">
      <c r="N3724" s="55"/>
    </row>
    <row r="3725" spans="14:14" x14ac:dyDescent="0.25">
      <c r="N3725" s="55"/>
    </row>
    <row r="3726" spans="14:14" x14ac:dyDescent="0.25">
      <c r="N3726" s="55"/>
    </row>
    <row r="3727" spans="14:14" x14ac:dyDescent="0.25">
      <c r="N3727" s="55"/>
    </row>
    <row r="3728" spans="14:14" x14ac:dyDescent="0.25">
      <c r="N3728" s="55"/>
    </row>
    <row r="3729" spans="14:14" x14ac:dyDescent="0.25">
      <c r="N3729" s="55"/>
    </row>
    <row r="3730" spans="14:14" x14ac:dyDescent="0.25">
      <c r="N3730" s="55"/>
    </row>
    <row r="3731" spans="14:14" x14ac:dyDescent="0.25">
      <c r="N3731" s="55"/>
    </row>
    <row r="3732" spans="14:14" x14ac:dyDescent="0.25">
      <c r="N3732" s="55"/>
    </row>
    <row r="3733" spans="14:14" x14ac:dyDescent="0.25">
      <c r="N3733" s="55"/>
    </row>
    <row r="3734" spans="14:14" x14ac:dyDescent="0.25">
      <c r="N3734" s="55"/>
    </row>
    <row r="3735" spans="14:14" x14ac:dyDescent="0.25">
      <c r="N3735" s="55"/>
    </row>
    <row r="3736" spans="14:14" x14ac:dyDescent="0.25">
      <c r="N3736" s="55"/>
    </row>
    <row r="3737" spans="14:14" x14ac:dyDescent="0.25">
      <c r="N3737" s="55"/>
    </row>
    <row r="3738" spans="14:14" x14ac:dyDescent="0.25">
      <c r="N3738" s="55"/>
    </row>
    <row r="3739" spans="14:14" x14ac:dyDescent="0.25">
      <c r="N3739" s="55"/>
    </row>
    <row r="3740" spans="14:14" x14ac:dyDescent="0.25">
      <c r="N3740" s="55"/>
    </row>
    <row r="3741" spans="14:14" x14ac:dyDescent="0.25">
      <c r="N3741" s="55"/>
    </row>
    <row r="3742" spans="14:14" x14ac:dyDescent="0.25">
      <c r="N3742" s="55"/>
    </row>
    <row r="3743" spans="14:14" x14ac:dyDescent="0.25">
      <c r="N3743" s="55"/>
    </row>
    <row r="3744" spans="14:14" x14ac:dyDescent="0.25">
      <c r="N3744" s="55"/>
    </row>
    <row r="3745" spans="14:14" x14ac:dyDescent="0.25">
      <c r="N3745" s="55"/>
    </row>
    <row r="3746" spans="14:14" x14ac:dyDescent="0.25">
      <c r="N3746" s="55"/>
    </row>
    <row r="3747" spans="14:14" x14ac:dyDescent="0.25">
      <c r="N3747" s="55"/>
    </row>
    <row r="3748" spans="14:14" x14ac:dyDescent="0.25">
      <c r="N3748" s="55"/>
    </row>
    <row r="3749" spans="14:14" x14ac:dyDescent="0.25">
      <c r="N3749" s="55"/>
    </row>
    <row r="3750" spans="14:14" x14ac:dyDescent="0.25">
      <c r="N3750" s="55"/>
    </row>
    <row r="3751" spans="14:14" x14ac:dyDescent="0.25">
      <c r="N3751" s="55"/>
    </row>
    <row r="3752" spans="14:14" x14ac:dyDescent="0.25">
      <c r="N3752" s="55"/>
    </row>
    <row r="3753" spans="14:14" x14ac:dyDescent="0.25">
      <c r="N3753" s="55"/>
    </row>
    <row r="3754" spans="14:14" x14ac:dyDescent="0.25">
      <c r="N3754" s="55"/>
    </row>
    <row r="3755" spans="14:14" x14ac:dyDescent="0.25">
      <c r="N3755" s="55"/>
    </row>
    <row r="3756" spans="14:14" x14ac:dyDescent="0.25">
      <c r="N3756" s="55"/>
    </row>
    <row r="3757" spans="14:14" x14ac:dyDescent="0.25">
      <c r="N3757" s="55"/>
    </row>
    <row r="3758" spans="14:14" x14ac:dyDescent="0.25">
      <c r="N3758" s="55"/>
    </row>
    <row r="3759" spans="14:14" x14ac:dyDescent="0.25">
      <c r="N3759" s="55"/>
    </row>
    <row r="3760" spans="14:14" x14ac:dyDescent="0.25">
      <c r="N3760" s="55"/>
    </row>
    <row r="3761" spans="14:14" x14ac:dyDescent="0.25">
      <c r="N3761" s="55"/>
    </row>
    <row r="3762" spans="14:14" x14ac:dyDescent="0.25">
      <c r="N3762" s="55"/>
    </row>
    <row r="3763" spans="14:14" x14ac:dyDescent="0.25">
      <c r="N3763" s="55"/>
    </row>
    <row r="3764" spans="14:14" x14ac:dyDescent="0.25">
      <c r="N3764" s="55"/>
    </row>
    <row r="3765" spans="14:14" x14ac:dyDescent="0.25">
      <c r="N3765" s="55"/>
    </row>
    <row r="3766" spans="14:14" x14ac:dyDescent="0.25">
      <c r="N3766" s="55"/>
    </row>
    <row r="3767" spans="14:14" x14ac:dyDescent="0.25">
      <c r="N3767" s="55"/>
    </row>
    <row r="3768" spans="14:14" x14ac:dyDescent="0.25">
      <c r="N3768" s="55"/>
    </row>
    <row r="3769" spans="14:14" x14ac:dyDescent="0.25">
      <c r="N3769" s="55"/>
    </row>
    <row r="3770" spans="14:14" x14ac:dyDescent="0.25">
      <c r="N3770" s="55"/>
    </row>
    <row r="3771" spans="14:14" x14ac:dyDescent="0.25">
      <c r="N3771" s="55"/>
    </row>
    <row r="3772" spans="14:14" x14ac:dyDescent="0.25">
      <c r="N3772" s="55"/>
    </row>
    <row r="3773" spans="14:14" x14ac:dyDescent="0.25">
      <c r="N3773" s="55"/>
    </row>
    <row r="3774" spans="14:14" x14ac:dyDescent="0.25">
      <c r="N3774" s="55"/>
    </row>
    <row r="3775" spans="14:14" x14ac:dyDescent="0.25">
      <c r="N3775" s="55"/>
    </row>
    <row r="3776" spans="14:14" x14ac:dyDescent="0.25">
      <c r="N3776" s="55"/>
    </row>
    <row r="3777" spans="14:14" x14ac:dyDescent="0.25">
      <c r="N3777" s="55"/>
    </row>
    <row r="3778" spans="14:14" x14ac:dyDescent="0.25">
      <c r="N3778" s="55"/>
    </row>
    <row r="3779" spans="14:14" x14ac:dyDescent="0.25">
      <c r="N3779" s="55"/>
    </row>
    <row r="3780" spans="14:14" x14ac:dyDescent="0.25">
      <c r="N3780" s="55"/>
    </row>
    <row r="3781" spans="14:14" x14ac:dyDescent="0.25">
      <c r="N3781" s="55"/>
    </row>
    <row r="3782" spans="14:14" x14ac:dyDescent="0.25">
      <c r="N3782" s="55"/>
    </row>
    <row r="3783" spans="14:14" x14ac:dyDescent="0.25">
      <c r="N3783" s="55"/>
    </row>
    <row r="3784" spans="14:14" x14ac:dyDescent="0.25">
      <c r="N3784" s="55"/>
    </row>
    <row r="3785" spans="14:14" x14ac:dyDescent="0.25">
      <c r="N3785" s="55"/>
    </row>
    <row r="3786" spans="14:14" x14ac:dyDescent="0.25">
      <c r="N3786" s="55"/>
    </row>
    <row r="3787" spans="14:14" x14ac:dyDescent="0.25">
      <c r="N3787" s="55"/>
    </row>
    <row r="3788" spans="14:14" x14ac:dyDescent="0.25">
      <c r="N3788" s="55"/>
    </row>
    <row r="3789" spans="14:14" x14ac:dyDescent="0.25">
      <c r="N3789" s="55"/>
    </row>
    <row r="3790" spans="14:14" x14ac:dyDescent="0.25">
      <c r="N3790" s="55"/>
    </row>
    <row r="3791" spans="14:14" x14ac:dyDescent="0.25">
      <c r="N3791" s="55"/>
    </row>
    <row r="3792" spans="14:14" x14ac:dyDescent="0.25">
      <c r="N3792" s="55"/>
    </row>
    <row r="3793" spans="14:14" x14ac:dyDescent="0.25">
      <c r="N3793" s="55"/>
    </row>
    <row r="3794" spans="14:14" x14ac:dyDescent="0.25">
      <c r="N3794" s="55"/>
    </row>
    <row r="3795" spans="14:14" x14ac:dyDescent="0.25">
      <c r="N3795" s="55"/>
    </row>
    <row r="3796" spans="14:14" x14ac:dyDescent="0.25">
      <c r="N3796" s="55"/>
    </row>
    <row r="3797" spans="14:14" x14ac:dyDescent="0.25">
      <c r="N3797" s="55"/>
    </row>
    <row r="3798" spans="14:14" x14ac:dyDescent="0.25">
      <c r="N3798" s="55"/>
    </row>
    <row r="3799" spans="14:14" x14ac:dyDescent="0.25">
      <c r="N3799" s="55"/>
    </row>
    <row r="3800" spans="14:14" x14ac:dyDescent="0.25">
      <c r="N3800" s="55"/>
    </row>
    <row r="3801" spans="14:14" x14ac:dyDescent="0.25">
      <c r="N3801" s="55"/>
    </row>
    <row r="3802" spans="14:14" x14ac:dyDescent="0.25">
      <c r="N3802" s="55"/>
    </row>
    <row r="3803" spans="14:14" x14ac:dyDescent="0.25">
      <c r="N3803" s="55"/>
    </row>
    <row r="3804" spans="14:14" x14ac:dyDescent="0.25">
      <c r="N3804" s="55"/>
    </row>
    <row r="3805" spans="14:14" x14ac:dyDescent="0.25">
      <c r="N3805" s="55"/>
    </row>
    <row r="3806" spans="14:14" x14ac:dyDescent="0.25">
      <c r="N3806" s="55"/>
    </row>
    <row r="3807" spans="14:14" x14ac:dyDescent="0.25">
      <c r="N3807" s="55"/>
    </row>
    <row r="3808" spans="14:14" x14ac:dyDescent="0.25">
      <c r="N3808" s="55"/>
    </row>
    <row r="3809" spans="14:14" x14ac:dyDescent="0.25">
      <c r="N3809" s="55"/>
    </row>
    <row r="3810" spans="14:14" x14ac:dyDescent="0.25">
      <c r="N3810" s="55"/>
    </row>
    <row r="3811" spans="14:14" x14ac:dyDescent="0.25">
      <c r="N3811" s="55"/>
    </row>
    <row r="3812" spans="14:14" x14ac:dyDescent="0.25">
      <c r="N3812" s="55"/>
    </row>
    <row r="3813" spans="14:14" x14ac:dyDescent="0.25">
      <c r="N3813" s="55"/>
    </row>
    <row r="3814" spans="14:14" x14ac:dyDescent="0.25">
      <c r="N3814" s="55"/>
    </row>
    <row r="3815" spans="14:14" x14ac:dyDescent="0.25">
      <c r="N3815" s="55"/>
    </row>
    <row r="3816" spans="14:14" x14ac:dyDescent="0.25">
      <c r="N3816" s="55"/>
    </row>
    <row r="3817" spans="14:14" x14ac:dyDescent="0.25">
      <c r="N3817" s="55"/>
    </row>
    <row r="3818" spans="14:14" x14ac:dyDescent="0.25">
      <c r="N3818" s="55"/>
    </row>
    <row r="3819" spans="14:14" x14ac:dyDescent="0.25">
      <c r="N3819" s="55"/>
    </row>
    <row r="3820" spans="14:14" x14ac:dyDescent="0.25">
      <c r="N3820" s="55"/>
    </row>
    <row r="3821" spans="14:14" x14ac:dyDescent="0.25">
      <c r="N3821" s="55"/>
    </row>
    <row r="3822" spans="14:14" x14ac:dyDescent="0.25">
      <c r="N3822" s="55"/>
    </row>
    <row r="3823" spans="14:14" x14ac:dyDescent="0.25">
      <c r="N3823" s="55"/>
    </row>
    <row r="3824" spans="14:14" x14ac:dyDescent="0.25">
      <c r="N3824" s="55"/>
    </row>
    <row r="3825" spans="14:14" x14ac:dyDescent="0.25">
      <c r="N3825" s="55"/>
    </row>
    <row r="3826" spans="14:14" x14ac:dyDescent="0.25">
      <c r="N3826" s="55"/>
    </row>
    <row r="3827" spans="14:14" x14ac:dyDescent="0.25">
      <c r="N3827" s="55"/>
    </row>
    <row r="3828" spans="14:14" x14ac:dyDescent="0.25">
      <c r="N3828" s="55"/>
    </row>
    <row r="3829" spans="14:14" x14ac:dyDescent="0.25">
      <c r="N3829" s="55"/>
    </row>
    <row r="3830" spans="14:14" x14ac:dyDescent="0.25">
      <c r="N3830" s="55"/>
    </row>
    <row r="3831" spans="14:14" x14ac:dyDescent="0.25">
      <c r="N3831" s="55"/>
    </row>
    <row r="3832" spans="14:14" x14ac:dyDescent="0.25">
      <c r="N3832" s="55"/>
    </row>
    <row r="3833" spans="14:14" x14ac:dyDescent="0.25">
      <c r="N3833" s="55"/>
    </row>
    <row r="3834" spans="14:14" x14ac:dyDescent="0.25">
      <c r="N3834" s="55"/>
    </row>
    <row r="3835" spans="14:14" x14ac:dyDescent="0.25">
      <c r="N3835" s="55"/>
    </row>
    <row r="3836" spans="14:14" x14ac:dyDescent="0.25">
      <c r="N3836" s="55"/>
    </row>
    <row r="3837" spans="14:14" x14ac:dyDescent="0.25">
      <c r="N3837" s="55"/>
    </row>
    <row r="3838" spans="14:14" x14ac:dyDescent="0.25">
      <c r="N3838" s="55"/>
    </row>
    <row r="3839" spans="14:14" x14ac:dyDescent="0.25">
      <c r="N3839" s="55"/>
    </row>
    <row r="3840" spans="14:14" x14ac:dyDescent="0.25">
      <c r="N3840" s="55"/>
    </row>
    <row r="3841" spans="14:14" x14ac:dyDescent="0.25">
      <c r="N3841" s="55"/>
    </row>
    <row r="3842" spans="14:14" x14ac:dyDescent="0.25">
      <c r="N3842" s="55"/>
    </row>
    <row r="3843" spans="14:14" x14ac:dyDescent="0.25">
      <c r="N3843" s="55"/>
    </row>
    <row r="3844" spans="14:14" x14ac:dyDescent="0.25">
      <c r="N3844" s="55"/>
    </row>
    <row r="3845" spans="14:14" x14ac:dyDescent="0.25">
      <c r="N3845" s="55"/>
    </row>
    <row r="3846" spans="14:14" x14ac:dyDescent="0.25">
      <c r="N3846" s="55"/>
    </row>
    <row r="3847" spans="14:14" x14ac:dyDescent="0.25">
      <c r="N3847" s="55"/>
    </row>
    <row r="3848" spans="14:14" x14ac:dyDescent="0.25">
      <c r="N3848" s="55"/>
    </row>
    <row r="3849" spans="14:14" x14ac:dyDescent="0.25">
      <c r="N3849" s="55"/>
    </row>
    <row r="3850" spans="14:14" x14ac:dyDescent="0.25">
      <c r="N3850" s="55"/>
    </row>
    <row r="3851" spans="14:14" x14ac:dyDescent="0.25">
      <c r="N3851" s="55"/>
    </row>
    <row r="3852" spans="14:14" x14ac:dyDescent="0.25">
      <c r="N3852" s="55"/>
    </row>
    <row r="3853" spans="14:14" x14ac:dyDescent="0.25">
      <c r="N3853" s="55"/>
    </row>
    <row r="3854" spans="14:14" x14ac:dyDescent="0.25">
      <c r="N3854" s="55"/>
    </row>
    <row r="3855" spans="14:14" x14ac:dyDescent="0.25">
      <c r="N3855" s="55"/>
    </row>
    <row r="3856" spans="14:14" x14ac:dyDescent="0.25">
      <c r="N3856" s="55"/>
    </row>
    <row r="3857" spans="14:14" x14ac:dyDescent="0.25">
      <c r="N3857" s="55"/>
    </row>
    <row r="3858" spans="14:14" x14ac:dyDescent="0.25">
      <c r="N3858" s="55"/>
    </row>
    <row r="3859" spans="14:14" x14ac:dyDescent="0.25">
      <c r="N3859" s="55"/>
    </row>
    <row r="3860" spans="14:14" x14ac:dyDescent="0.25">
      <c r="N3860" s="55"/>
    </row>
    <row r="3861" spans="14:14" x14ac:dyDescent="0.25">
      <c r="N3861" s="55"/>
    </row>
    <row r="3862" spans="14:14" x14ac:dyDescent="0.25">
      <c r="N3862" s="55"/>
    </row>
    <row r="3863" spans="14:14" x14ac:dyDescent="0.25">
      <c r="N3863" s="55"/>
    </row>
    <row r="3864" spans="14:14" x14ac:dyDescent="0.25">
      <c r="N3864" s="55"/>
    </row>
    <row r="3865" spans="14:14" x14ac:dyDescent="0.25">
      <c r="N3865" s="55"/>
    </row>
    <row r="3866" spans="14:14" x14ac:dyDescent="0.25">
      <c r="N3866" s="55"/>
    </row>
    <row r="3867" spans="14:14" x14ac:dyDescent="0.25">
      <c r="N3867" s="55"/>
    </row>
    <row r="3868" spans="14:14" x14ac:dyDescent="0.25">
      <c r="N3868" s="55"/>
    </row>
    <row r="3869" spans="14:14" x14ac:dyDescent="0.25">
      <c r="N3869" s="55"/>
    </row>
    <row r="3870" spans="14:14" x14ac:dyDescent="0.25">
      <c r="N3870" s="55"/>
    </row>
    <row r="3871" spans="14:14" x14ac:dyDescent="0.25">
      <c r="N3871" s="55"/>
    </row>
    <row r="3872" spans="14:14" x14ac:dyDescent="0.25">
      <c r="N3872" s="55"/>
    </row>
    <row r="3873" spans="14:14" x14ac:dyDescent="0.25">
      <c r="N3873" s="55"/>
    </row>
    <row r="3874" spans="14:14" x14ac:dyDescent="0.25">
      <c r="N3874" s="55"/>
    </row>
    <row r="3875" spans="14:14" x14ac:dyDescent="0.25">
      <c r="N3875" s="55"/>
    </row>
    <row r="3876" spans="14:14" x14ac:dyDescent="0.25">
      <c r="N3876" s="55"/>
    </row>
    <row r="3877" spans="14:14" x14ac:dyDescent="0.25">
      <c r="N3877" s="55"/>
    </row>
    <row r="3878" spans="14:14" x14ac:dyDescent="0.25">
      <c r="N3878" s="55"/>
    </row>
    <row r="3879" spans="14:14" x14ac:dyDescent="0.25">
      <c r="N3879" s="55"/>
    </row>
    <row r="3880" spans="14:14" x14ac:dyDescent="0.25">
      <c r="N3880" s="55"/>
    </row>
    <row r="3881" spans="14:14" x14ac:dyDescent="0.25">
      <c r="N3881" s="55"/>
    </row>
    <row r="3882" spans="14:14" x14ac:dyDescent="0.25">
      <c r="N3882" s="55"/>
    </row>
    <row r="3883" spans="14:14" x14ac:dyDescent="0.25">
      <c r="N3883" s="55"/>
    </row>
    <row r="3884" spans="14:14" x14ac:dyDescent="0.25">
      <c r="N3884" s="55"/>
    </row>
    <row r="3885" spans="14:14" x14ac:dyDescent="0.25">
      <c r="N3885" s="55"/>
    </row>
    <row r="3886" spans="14:14" x14ac:dyDescent="0.25">
      <c r="N3886" s="55"/>
    </row>
    <row r="3887" spans="14:14" x14ac:dyDescent="0.25">
      <c r="N3887" s="55"/>
    </row>
    <row r="3888" spans="14:14" x14ac:dyDescent="0.25">
      <c r="N3888" s="55"/>
    </row>
    <row r="3889" spans="14:14" x14ac:dyDescent="0.25">
      <c r="N3889" s="55"/>
    </row>
    <row r="3890" spans="14:14" x14ac:dyDescent="0.25">
      <c r="N3890" s="55"/>
    </row>
    <row r="3891" spans="14:14" x14ac:dyDescent="0.25">
      <c r="N3891" s="55"/>
    </row>
    <row r="3892" spans="14:14" x14ac:dyDescent="0.25">
      <c r="N3892" s="55"/>
    </row>
    <row r="3893" spans="14:14" x14ac:dyDescent="0.25">
      <c r="N3893" s="55"/>
    </row>
    <row r="3894" spans="14:14" x14ac:dyDescent="0.25">
      <c r="N3894" s="55"/>
    </row>
    <row r="3895" spans="14:14" x14ac:dyDescent="0.25">
      <c r="N3895" s="55"/>
    </row>
    <row r="3896" spans="14:14" x14ac:dyDescent="0.25">
      <c r="N3896" s="55"/>
    </row>
    <row r="3897" spans="14:14" x14ac:dyDescent="0.25">
      <c r="N3897" s="55"/>
    </row>
    <row r="3898" spans="14:14" x14ac:dyDescent="0.25">
      <c r="N3898" s="55"/>
    </row>
    <row r="3899" spans="14:14" x14ac:dyDescent="0.25">
      <c r="N3899" s="55"/>
    </row>
    <row r="3900" spans="14:14" x14ac:dyDescent="0.25">
      <c r="N3900" s="55"/>
    </row>
    <row r="3901" spans="14:14" x14ac:dyDescent="0.25">
      <c r="N3901" s="55"/>
    </row>
    <row r="3902" spans="14:14" x14ac:dyDescent="0.25">
      <c r="N3902" s="55"/>
    </row>
    <row r="3903" spans="14:14" x14ac:dyDescent="0.25">
      <c r="N3903" s="55"/>
    </row>
    <row r="3904" spans="14:14" x14ac:dyDescent="0.25">
      <c r="N3904" s="55"/>
    </row>
    <row r="3905" spans="14:14" x14ac:dyDescent="0.25">
      <c r="N3905" s="55"/>
    </row>
    <row r="3906" spans="14:14" x14ac:dyDescent="0.25">
      <c r="N3906" s="55"/>
    </row>
    <row r="3907" spans="14:14" x14ac:dyDescent="0.25">
      <c r="N3907" s="55"/>
    </row>
    <row r="3908" spans="14:14" x14ac:dyDescent="0.25">
      <c r="N3908" s="55"/>
    </row>
    <row r="3909" spans="14:14" x14ac:dyDescent="0.25">
      <c r="N3909" s="55"/>
    </row>
    <row r="3910" spans="14:14" x14ac:dyDescent="0.25">
      <c r="N3910" s="55"/>
    </row>
    <row r="3911" spans="14:14" x14ac:dyDescent="0.25">
      <c r="N3911" s="55"/>
    </row>
    <row r="3912" spans="14:14" x14ac:dyDescent="0.25">
      <c r="N3912" s="55"/>
    </row>
    <row r="3913" spans="14:14" x14ac:dyDescent="0.25">
      <c r="N3913" s="55"/>
    </row>
    <row r="3914" spans="14:14" x14ac:dyDescent="0.25">
      <c r="N3914" s="55"/>
    </row>
    <row r="3915" spans="14:14" x14ac:dyDescent="0.25">
      <c r="N3915" s="55"/>
    </row>
    <row r="3916" spans="14:14" x14ac:dyDescent="0.25">
      <c r="N3916" s="55"/>
    </row>
    <row r="3917" spans="14:14" x14ac:dyDescent="0.25">
      <c r="N3917" s="55"/>
    </row>
    <row r="3918" spans="14:14" x14ac:dyDescent="0.25">
      <c r="N3918" s="55"/>
    </row>
    <row r="3919" spans="14:14" x14ac:dyDescent="0.25">
      <c r="N3919" s="55"/>
    </row>
    <row r="3920" spans="14:14" x14ac:dyDescent="0.25">
      <c r="N3920" s="55"/>
    </row>
    <row r="3921" spans="14:14" x14ac:dyDescent="0.25">
      <c r="N3921" s="55"/>
    </row>
    <row r="3922" spans="14:14" x14ac:dyDescent="0.25">
      <c r="N3922" s="55"/>
    </row>
    <row r="3923" spans="14:14" x14ac:dyDescent="0.25">
      <c r="N3923" s="55"/>
    </row>
    <row r="3924" spans="14:14" x14ac:dyDescent="0.25">
      <c r="N3924" s="55"/>
    </row>
    <row r="3925" spans="14:14" x14ac:dyDescent="0.25">
      <c r="N3925" s="55"/>
    </row>
    <row r="3926" spans="14:14" x14ac:dyDescent="0.25">
      <c r="N3926" s="55"/>
    </row>
    <row r="3927" spans="14:14" x14ac:dyDescent="0.25">
      <c r="N3927" s="55"/>
    </row>
    <row r="3928" spans="14:14" x14ac:dyDescent="0.25">
      <c r="N3928" s="55"/>
    </row>
    <row r="3929" spans="14:14" x14ac:dyDescent="0.25">
      <c r="N3929" s="55"/>
    </row>
    <row r="3930" spans="14:14" x14ac:dyDescent="0.25">
      <c r="N3930" s="55"/>
    </row>
    <row r="3931" spans="14:14" x14ac:dyDescent="0.25">
      <c r="N3931" s="55"/>
    </row>
    <row r="3932" spans="14:14" x14ac:dyDescent="0.25">
      <c r="N3932" s="55"/>
    </row>
    <row r="3933" spans="14:14" x14ac:dyDescent="0.25">
      <c r="N3933" s="55"/>
    </row>
    <row r="3934" spans="14:14" x14ac:dyDescent="0.25">
      <c r="N3934" s="55"/>
    </row>
    <row r="3935" spans="14:14" x14ac:dyDescent="0.25">
      <c r="N3935" s="55"/>
    </row>
    <row r="3936" spans="14:14" x14ac:dyDescent="0.25">
      <c r="N3936" s="55"/>
    </row>
    <row r="3937" spans="14:14" x14ac:dyDescent="0.25">
      <c r="N3937" s="55"/>
    </row>
    <row r="3938" spans="14:14" x14ac:dyDescent="0.25">
      <c r="N3938" s="55"/>
    </row>
    <row r="3939" spans="14:14" x14ac:dyDescent="0.25">
      <c r="N3939" s="55"/>
    </row>
    <row r="3940" spans="14:14" x14ac:dyDescent="0.25">
      <c r="N3940" s="55"/>
    </row>
    <row r="3941" spans="14:14" x14ac:dyDescent="0.25">
      <c r="N3941" s="55"/>
    </row>
    <row r="3942" spans="14:14" x14ac:dyDescent="0.25">
      <c r="N3942" s="55"/>
    </row>
    <row r="3943" spans="14:14" x14ac:dyDescent="0.25">
      <c r="N3943" s="55"/>
    </row>
    <row r="3944" spans="14:14" x14ac:dyDescent="0.25">
      <c r="N3944" s="55"/>
    </row>
    <row r="3945" spans="14:14" x14ac:dyDescent="0.25">
      <c r="N3945" s="55"/>
    </row>
    <row r="3946" spans="14:14" x14ac:dyDescent="0.25">
      <c r="N3946" s="55"/>
    </row>
    <row r="3947" spans="14:14" x14ac:dyDescent="0.25">
      <c r="N3947" s="55"/>
    </row>
    <row r="3948" spans="14:14" x14ac:dyDescent="0.25">
      <c r="N3948" s="55"/>
    </row>
    <row r="3949" spans="14:14" x14ac:dyDescent="0.25">
      <c r="N3949" s="55"/>
    </row>
    <row r="3950" spans="14:14" x14ac:dyDescent="0.25">
      <c r="N3950" s="55"/>
    </row>
    <row r="3951" spans="14:14" x14ac:dyDescent="0.25">
      <c r="N3951" s="55"/>
    </row>
    <row r="3952" spans="14:14" x14ac:dyDescent="0.25">
      <c r="N3952" s="55"/>
    </row>
    <row r="3953" spans="14:14" x14ac:dyDescent="0.25">
      <c r="N3953" s="55"/>
    </row>
    <row r="3954" spans="14:14" x14ac:dyDescent="0.25">
      <c r="N3954" s="55"/>
    </row>
    <row r="3955" spans="14:14" x14ac:dyDescent="0.25">
      <c r="N3955" s="55"/>
    </row>
    <row r="3956" spans="14:14" x14ac:dyDescent="0.25">
      <c r="N3956" s="55"/>
    </row>
    <row r="3957" spans="14:14" x14ac:dyDescent="0.25">
      <c r="N3957" s="55"/>
    </row>
    <row r="3958" spans="14:14" x14ac:dyDescent="0.25">
      <c r="N3958" s="55"/>
    </row>
    <row r="3959" spans="14:14" x14ac:dyDescent="0.25">
      <c r="N3959" s="55"/>
    </row>
    <row r="3960" spans="14:14" x14ac:dyDescent="0.25">
      <c r="N3960" s="55"/>
    </row>
    <row r="3961" spans="14:14" x14ac:dyDescent="0.25">
      <c r="N3961" s="55"/>
    </row>
    <row r="3962" spans="14:14" x14ac:dyDescent="0.25">
      <c r="N3962" s="55"/>
    </row>
    <row r="3963" spans="14:14" x14ac:dyDescent="0.25">
      <c r="N3963" s="55"/>
    </row>
    <row r="3964" spans="14:14" x14ac:dyDescent="0.25">
      <c r="N3964" s="55"/>
    </row>
    <row r="3965" spans="14:14" x14ac:dyDescent="0.25">
      <c r="N3965" s="55"/>
    </row>
    <row r="3966" spans="14:14" x14ac:dyDescent="0.25">
      <c r="N3966" s="55"/>
    </row>
    <row r="3967" spans="14:14" x14ac:dyDescent="0.25">
      <c r="N3967" s="55"/>
    </row>
    <row r="3968" spans="14:14" x14ac:dyDescent="0.25">
      <c r="N3968" s="55"/>
    </row>
    <row r="3969" spans="14:14" x14ac:dyDescent="0.25">
      <c r="N3969" s="55"/>
    </row>
    <row r="3970" spans="14:14" x14ac:dyDescent="0.25">
      <c r="N3970" s="55"/>
    </row>
    <row r="3971" spans="14:14" x14ac:dyDescent="0.25">
      <c r="N3971" s="55"/>
    </row>
    <row r="3972" spans="14:14" x14ac:dyDescent="0.25">
      <c r="N3972" s="55"/>
    </row>
    <row r="3973" spans="14:14" x14ac:dyDescent="0.25">
      <c r="N3973" s="55"/>
    </row>
    <row r="3974" spans="14:14" x14ac:dyDescent="0.25">
      <c r="N3974" s="55"/>
    </row>
    <row r="3975" spans="14:14" x14ac:dyDescent="0.25">
      <c r="N3975" s="55"/>
    </row>
    <row r="3976" spans="14:14" x14ac:dyDescent="0.25">
      <c r="N3976" s="55"/>
    </row>
    <row r="3977" spans="14:14" x14ac:dyDescent="0.25">
      <c r="N3977" s="55"/>
    </row>
    <row r="3978" spans="14:14" x14ac:dyDescent="0.25">
      <c r="N3978" s="55"/>
    </row>
    <row r="3979" spans="14:14" x14ac:dyDescent="0.25">
      <c r="N3979" s="55"/>
    </row>
    <row r="3980" spans="14:14" x14ac:dyDescent="0.25">
      <c r="N3980" s="55"/>
    </row>
    <row r="3981" spans="14:14" x14ac:dyDescent="0.25">
      <c r="N3981" s="55"/>
    </row>
    <row r="3982" spans="14:14" x14ac:dyDescent="0.25">
      <c r="N3982" s="55"/>
    </row>
    <row r="3983" spans="14:14" x14ac:dyDescent="0.25">
      <c r="N3983" s="55"/>
    </row>
    <row r="3984" spans="14:14" x14ac:dyDescent="0.25">
      <c r="N3984" s="55"/>
    </row>
    <row r="3985" spans="14:14" x14ac:dyDescent="0.25">
      <c r="N3985" s="55"/>
    </row>
    <row r="3986" spans="14:14" x14ac:dyDescent="0.25">
      <c r="N3986" s="55"/>
    </row>
    <row r="3987" spans="14:14" x14ac:dyDescent="0.25">
      <c r="N3987" s="55"/>
    </row>
    <row r="3988" spans="14:14" x14ac:dyDescent="0.25">
      <c r="N3988" s="55"/>
    </row>
    <row r="3989" spans="14:14" x14ac:dyDescent="0.25">
      <c r="N3989" s="55"/>
    </row>
    <row r="3990" spans="14:14" x14ac:dyDescent="0.25">
      <c r="N3990" s="55"/>
    </row>
    <row r="3991" spans="14:14" x14ac:dyDescent="0.25">
      <c r="N3991" s="55"/>
    </row>
    <row r="3992" spans="14:14" x14ac:dyDescent="0.25">
      <c r="N3992" s="55"/>
    </row>
    <row r="3993" spans="14:14" x14ac:dyDescent="0.25">
      <c r="N3993" s="55"/>
    </row>
    <row r="3994" spans="14:14" x14ac:dyDescent="0.25">
      <c r="N3994" s="55"/>
    </row>
    <row r="3995" spans="14:14" x14ac:dyDescent="0.25">
      <c r="N3995" s="55"/>
    </row>
    <row r="3996" spans="14:14" x14ac:dyDescent="0.25">
      <c r="N3996" s="55"/>
    </row>
    <row r="3997" spans="14:14" x14ac:dyDescent="0.25">
      <c r="N3997" s="55"/>
    </row>
    <row r="3998" spans="14:14" x14ac:dyDescent="0.25">
      <c r="N3998" s="55"/>
    </row>
    <row r="3999" spans="14:14" x14ac:dyDescent="0.25">
      <c r="N3999" s="55"/>
    </row>
    <row r="4000" spans="14:14" x14ac:dyDescent="0.25">
      <c r="N4000" s="55"/>
    </row>
    <row r="4001" spans="14:14" x14ac:dyDescent="0.25">
      <c r="N4001" s="55"/>
    </row>
    <row r="4002" spans="14:14" x14ac:dyDescent="0.25">
      <c r="N4002" s="55"/>
    </row>
    <row r="4003" spans="14:14" x14ac:dyDescent="0.25">
      <c r="N4003" s="55"/>
    </row>
    <row r="4004" spans="14:14" x14ac:dyDescent="0.25">
      <c r="N4004" s="55"/>
    </row>
    <row r="4005" spans="14:14" x14ac:dyDescent="0.25">
      <c r="N4005" s="55"/>
    </row>
    <row r="4006" spans="14:14" x14ac:dyDescent="0.25">
      <c r="N4006" s="55"/>
    </row>
    <row r="4007" spans="14:14" x14ac:dyDescent="0.25">
      <c r="N4007" s="55"/>
    </row>
    <row r="4008" spans="14:14" x14ac:dyDescent="0.25">
      <c r="N4008" s="55"/>
    </row>
    <row r="4009" spans="14:14" x14ac:dyDescent="0.25">
      <c r="N4009" s="55"/>
    </row>
    <row r="4010" spans="14:14" x14ac:dyDescent="0.25">
      <c r="N4010" s="55"/>
    </row>
    <row r="4011" spans="14:14" x14ac:dyDescent="0.25">
      <c r="N4011" s="55"/>
    </row>
    <row r="4012" spans="14:14" x14ac:dyDescent="0.25">
      <c r="N4012" s="55"/>
    </row>
    <row r="4013" spans="14:14" x14ac:dyDescent="0.25">
      <c r="N4013" s="55"/>
    </row>
    <row r="4014" spans="14:14" x14ac:dyDescent="0.25">
      <c r="N4014" s="55"/>
    </row>
    <row r="4015" spans="14:14" x14ac:dyDescent="0.25">
      <c r="N4015" s="55"/>
    </row>
    <row r="4016" spans="14:14" x14ac:dyDescent="0.25">
      <c r="N4016" s="55"/>
    </row>
    <row r="4017" spans="14:14" x14ac:dyDescent="0.25">
      <c r="N4017" s="55"/>
    </row>
    <row r="4018" spans="14:14" x14ac:dyDescent="0.25">
      <c r="N4018" s="55"/>
    </row>
    <row r="4019" spans="14:14" x14ac:dyDescent="0.25">
      <c r="N4019" s="55"/>
    </row>
    <row r="4020" spans="14:14" x14ac:dyDescent="0.25">
      <c r="N4020" s="55"/>
    </row>
    <row r="4021" spans="14:14" x14ac:dyDescent="0.25">
      <c r="N4021" s="55"/>
    </row>
    <row r="4022" spans="14:14" x14ac:dyDescent="0.25">
      <c r="N4022" s="55"/>
    </row>
    <row r="4023" spans="14:14" x14ac:dyDescent="0.25">
      <c r="N4023" s="55"/>
    </row>
    <row r="4024" spans="14:14" x14ac:dyDescent="0.25">
      <c r="N4024" s="55"/>
    </row>
    <row r="4025" spans="14:14" x14ac:dyDescent="0.25">
      <c r="N4025" s="55"/>
    </row>
    <row r="4026" spans="14:14" x14ac:dyDescent="0.25">
      <c r="N4026" s="55"/>
    </row>
    <row r="4027" spans="14:14" x14ac:dyDescent="0.25">
      <c r="N4027" s="55"/>
    </row>
    <row r="4028" spans="14:14" x14ac:dyDescent="0.25">
      <c r="N4028" s="55"/>
    </row>
    <row r="4029" spans="14:14" x14ac:dyDescent="0.25">
      <c r="N4029" s="55"/>
    </row>
    <row r="4030" spans="14:14" x14ac:dyDescent="0.25">
      <c r="N4030" s="55"/>
    </row>
    <row r="4031" spans="14:14" x14ac:dyDescent="0.25">
      <c r="N4031" s="55"/>
    </row>
    <row r="4032" spans="14:14" x14ac:dyDescent="0.25">
      <c r="N4032" s="55"/>
    </row>
    <row r="4033" spans="14:14" x14ac:dyDescent="0.25">
      <c r="N4033" s="55"/>
    </row>
    <row r="4034" spans="14:14" x14ac:dyDescent="0.25">
      <c r="N4034" s="55"/>
    </row>
    <row r="4035" spans="14:14" x14ac:dyDescent="0.25">
      <c r="N4035" s="55"/>
    </row>
    <row r="4036" spans="14:14" x14ac:dyDescent="0.25">
      <c r="N4036" s="55"/>
    </row>
    <row r="4037" spans="14:14" x14ac:dyDescent="0.25">
      <c r="N4037" s="55"/>
    </row>
    <row r="4038" spans="14:14" x14ac:dyDescent="0.25">
      <c r="N4038" s="55"/>
    </row>
    <row r="4039" spans="14:14" x14ac:dyDescent="0.25">
      <c r="N4039" s="55"/>
    </row>
    <row r="4040" spans="14:14" x14ac:dyDescent="0.25">
      <c r="N4040" s="55"/>
    </row>
    <row r="4041" spans="14:14" x14ac:dyDescent="0.25">
      <c r="N4041" s="55"/>
    </row>
    <row r="4042" spans="14:14" x14ac:dyDescent="0.25">
      <c r="N4042" s="55"/>
    </row>
    <row r="4043" spans="14:14" x14ac:dyDescent="0.25">
      <c r="N4043" s="55"/>
    </row>
    <row r="4044" spans="14:14" x14ac:dyDescent="0.25">
      <c r="N4044" s="55"/>
    </row>
    <row r="4045" spans="14:14" x14ac:dyDescent="0.25">
      <c r="N4045" s="55"/>
    </row>
    <row r="4046" spans="14:14" x14ac:dyDescent="0.25">
      <c r="N4046" s="55"/>
    </row>
    <row r="4047" spans="14:14" x14ac:dyDescent="0.25">
      <c r="N4047" s="55"/>
    </row>
    <row r="4048" spans="14:14" x14ac:dyDescent="0.25">
      <c r="N4048" s="55"/>
    </row>
    <row r="4049" spans="14:14" x14ac:dyDescent="0.25">
      <c r="N4049" s="55"/>
    </row>
    <row r="4050" spans="14:14" x14ac:dyDescent="0.25">
      <c r="N4050" s="55"/>
    </row>
    <row r="4051" spans="14:14" x14ac:dyDescent="0.25">
      <c r="N4051" s="55"/>
    </row>
    <row r="4052" spans="14:14" x14ac:dyDescent="0.25">
      <c r="N4052" s="55"/>
    </row>
    <row r="4053" spans="14:14" x14ac:dyDescent="0.25">
      <c r="N4053" s="55"/>
    </row>
    <row r="4054" spans="14:14" x14ac:dyDescent="0.25">
      <c r="N4054" s="55"/>
    </row>
    <row r="4055" spans="14:14" x14ac:dyDescent="0.25">
      <c r="N4055" s="55"/>
    </row>
    <row r="4056" spans="14:14" x14ac:dyDescent="0.25">
      <c r="N4056" s="55"/>
    </row>
    <row r="4057" spans="14:14" x14ac:dyDescent="0.25">
      <c r="N4057" s="55"/>
    </row>
    <row r="4058" spans="14:14" x14ac:dyDescent="0.25">
      <c r="N4058" s="55"/>
    </row>
    <row r="4059" spans="14:14" x14ac:dyDescent="0.25">
      <c r="N4059" s="55"/>
    </row>
    <row r="4060" spans="14:14" x14ac:dyDescent="0.25">
      <c r="N4060" s="55"/>
    </row>
    <row r="4061" spans="14:14" x14ac:dyDescent="0.25">
      <c r="N4061" s="55"/>
    </row>
    <row r="4062" spans="14:14" x14ac:dyDescent="0.25">
      <c r="N4062" s="55"/>
    </row>
    <row r="4063" spans="14:14" x14ac:dyDescent="0.25">
      <c r="N4063" s="55"/>
    </row>
    <row r="4064" spans="14:14" x14ac:dyDescent="0.25">
      <c r="N4064" s="55"/>
    </row>
    <row r="4065" spans="14:14" x14ac:dyDescent="0.25">
      <c r="N4065" s="55"/>
    </row>
    <row r="4066" spans="14:14" x14ac:dyDescent="0.25">
      <c r="N4066" s="55"/>
    </row>
    <row r="4067" spans="14:14" x14ac:dyDescent="0.25">
      <c r="N4067" s="55"/>
    </row>
    <row r="4068" spans="14:14" x14ac:dyDescent="0.25">
      <c r="N4068" s="55"/>
    </row>
    <row r="4069" spans="14:14" x14ac:dyDescent="0.25">
      <c r="N4069" s="55"/>
    </row>
    <row r="4070" spans="14:14" x14ac:dyDescent="0.25">
      <c r="N4070" s="55"/>
    </row>
    <row r="4071" spans="14:14" x14ac:dyDescent="0.25">
      <c r="N4071" s="55"/>
    </row>
    <row r="4072" spans="14:14" x14ac:dyDescent="0.25">
      <c r="N4072" s="55"/>
    </row>
    <row r="4073" spans="14:14" x14ac:dyDescent="0.25">
      <c r="N4073" s="55"/>
    </row>
    <row r="4074" spans="14:14" x14ac:dyDescent="0.25">
      <c r="N4074" s="55"/>
    </row>
    <row r="4075" spans="14:14" x14ac:dyDescent="0.25">
      <c r="N4075" s="55"/>
    </row>
    <row r="4076" spans="14:14" x14ac:dyDescent="0.25">
      <c r="N4076" s="55"/>
    </row>
    <row r="4077" spans="14:14" x14ac:dyDescent="0.25">
      <c r="N4077" s="55"/>
    </row>
    <row r="4078" spans="14:14" x14ac:dyDescent="0.25">
      <c r="N4078" s="55"/>
    </row>
    <row r="4079" spans="14:14" x14ac:dyDescent="0.25">
      <c r="N4079" s="55"/>
    </row>
    <row r="4080" spans="14:14" x14ac:dyDescent="0.25">
      <c r="N4080" s="55"/>
    </row>
    <row r="4081" spans="14:14" x14ac:dyDescent="0.25">
      <c r="N4081" s="55"/>
    </row>
    <row r="4082" spans="14:14" x14ac:dyDescent="0.25">
      <c r="N4082" s="55"/>
    </row>
    <row r="4083" spans="14:14" x14ac:dyDescent="0.25">
      <c r="N4083" s="55"/>
    </row>
    <row r="4084" spans="14:14" x14ac:dyDescent="0.25">
      <c r="N4084" s="55"/>
    </row>
    <row r="4085" spans="14:14" x14ac:dyDescent="0.25">
      <c r="N4085" s="55"/>
    </row>
    <row r="4086" spans="14:14" x14ac:dyDescent="0.25">
      <c r="N4086" s="55"/>
    </row>
    <row r="4087" spans="14:14" x14ac:dyDescent="0.25">
      <c r="N4087" s="55"/>
    </row>
    <row r="4088" spans="14:14" x14ac:dyDescent="0.25">
      <c r="N4088" s="55"/>
    </row>
    <row r="4089" spans="14:14" x14ac:dyDescent="0.25">
      <c r="N4089" s="55"/>
    </row>
    <row r="4090" spans="14:14" x14ac:dyDescent="0.25">
      <c r="N4090" s="55"/>
    </row>
    <row r="4091" spans="14:14" x14ac:dyDescent="0.25">
      <c r="N4091" s="55"/>
    </row>
    <row r="4092" spans="14:14" x14ac:dyDescent="0.25">
      <c r="N4092" s="55"/>
    </row>
    <row r="4093" spans="14:14" x14ac:dyDescent="0.25">
      <c r="N4093" s="55"/>
    </row>
    <row r="4094" spans="14:14" x14ac:dyDescent="0.25">
      <c r="N4094" s="55"/>
    </row>
    <row r="4095" spans="14:14" x14ac:dyDescent="0.25">
      <c r="N4095" s="55"/>
    </row>
    <row r="4096" spans="14:14" x14ac:dyDescent="0.25">
      <c r="N4096" s="55"/>
    </row>
    <row r="4097" spans="14:14" x14ac:dyDescent="0.25">
      <c r="N4097" s="55"/>
    </row>
    <row r="4098" spans="14:14" x14ac:dyDescent="0.25">
      <c r="N4098" s="55"/>
    </row>
    <row r="4099" spans="14:14" x14ac:dyDescent="0.25">
      <c r="N4099" s="55"/>
    </row>
    <row r="4100" spans="14:14" x14ac:dyDescent="0.25">
      <c r="N4100" s="55"/>
    </row>
    <row r="4101" spans="14:14" x14ac:dyDescent="0.25">
      <c r="N4101" s="55"/>
    </row>
    <row r="4102" spans="14:14" x14ac:dyDescent="0.25">
      <c r="N4102" s="55"/>
    </row>
    <row r="4103" spans="14:14" x14ac:dyDescent="0.25">
      <c r="N4103" s="55"/>
    </row>
    <row r="4104" spans="14:14" x14ac:dyDescent="0.25">
      <c r="N4104" s="55"/>
    </row>
    <row r="4105" spans="14:14" x14ac:dyDescent="0.25">
      <c r="N4105" s="55"/>
    </row>
    <row r="4106" spans="14:14" x14ac:dyDescent="0.25">
      <c r="N4106" s="55"/>
    </row>
    <row r="4107" spans="14:14" x14ac:dyDescent="0.25">
      <c r="N4107" s="55"/>
    </row>
    <row r="4108" spans="14:14" x14ac:dyDescent="0.25">
      <c r="N4108" s="55"/>
    </row>
    <row r="4109" spans="14:14" x14ac:dyDescent="0.25">
      <c r="N4109" s="55"/>
    </row>
    <row r="4110" spans="14:14" x14ac:dyDescent="0.25">
      <c r="N4110" s="55"/>
    </row>
    <row r="4111" spans="14:14" x14ac:dyDescent="0.25">
      <c r="N4111" s="55"/>
    </row>
    <row r="4112" spans="14:14" x14ac:dyDescent="0.25">
      <c r="N4112" s="55"/>
    </row>
    <row r="4113" spans="14:14" x14ac:dyDescent="0.25">
      <c r="N4113" s="55"/>
    </row>
    <row r="4114" spans="14:14" x14ac:dyDescent="0.25">
      <c r="N4114" s="55"/>
    </row>
    <row r="4115" spans="14:14" x14ac:dyDescent="0.25">
      <c r="N4115" s="55"/>
    </row>
    <row r="4116" spans="14:14" x14ac:dyDescent="0.25">
      <c r="N4116" s="55"/>
    </row>
    <row r="4117" spans="14:14" x14ac:dyDescent="0.25">
      <c r="N4117" s="55"/>
    </row>
    <row r="4118" spans="14:14" x14ac:dyDescent="0.25">
      <c r="N4118" s="55"/>
    </row>
    <row r="4119" spans="14:14" x14ac:dyDescent="0.25">
      <c r="N4119" s="55"/>
    </row>
    <row r="4120" spans="14:14" x14ac:dyDescent="0.25">
      <c r="N4120" s="55"/>
    </row>
    <row r="4121" spans="14:14" x14ac:dyDescent="0.25">
      <c r="N4121" s="55"/>
    </row>
    <row r="4122" spans="14:14" x14ac:dyDescent="0.25">
      <c r="N4122" s="55"/>
    </row>
    <row r="4123" spans="14:14" x14ac:dyDescent="0.25">
      <c r="N4123" s="55"/>
    </row>
    <row r="4124" spans="14:14" x14ac:dyDescent="0.25">
      <c r="N4124" s="55"/>
    </row>
    <row r="4125" spans="14:14" x14ac:dyDescent="0.25">
      <c r="N4125" s="55"/>
    </row>
    <row r="4126" spans="14:14" x14ac:dyDescent="0.25">
      <c r="N4126" s="55"/>
    </row>
    <row r="4127" spans="14:14" x14ac:dyDescent="0.25">
      <c r="N4127" s="55"/>
    </row>
    <row r="4128" spans="14:14" x14ac:dyDescent="0.25">
      <c r="N4128" s="55"/>
    </row>
    <row r="4129" spans="14:14" x14ac:dyDescent="0.25">
      <c r="N4129" s="55"/>
    </row>
    <row r="4130" spans="14:14" x14ac:dyDescent="0.25">
      <c r="N4130" s="55"/>
    </row>
    <row r="4131" spans="14:14" x14ac:dyDescent="0.25">
      <c r="N4131" s="55"/>
    </row>
    <row r="4132" spans="14:14" x14ac:dyDescent="0.25">
      <c r="N4132" s="55"/>
    </row>
    <row r="4133" spans="14:14" x14ac:dyDescent="0.25">
      <c r="N4133" s="55"/>
    </row>
    <row r="4134" spans="14:14" x14ac:dyDescent="0.25">
      <c r="N4134" s="55"/>
    </row>
    <row r="4135" spans="14:14" x14ac:dyDescent="0.25">
      <c r="N4135" s="55"/>
    </row>
    <row r="4136" spans="14:14" x14ac:dyDescent="0.25">
      <c r="N4136" s="55"/>
    </row>
    <row r="4137" spans="14:14" x14ac:dyDescent="0.25">
      <c r="N4137" s="55"/>
    </row>
    <row r="4138" spans="14:14" x14ac:dyDescent="0.25">
      <c r="N4138" s="55"/>
    </row>
    <row r="4139" spans="14:14" x14ac:dyDescent="0.25">
      <c r="N4139" s="55"/>
    </row>
    <row r="4140" spans="14:14" x14ac:dyDescent="0.25">
      <c r="N4140" s="55"/>
    </row>
    <row r="4141" spans="14:14" x14ac:dyDescent="0.25">
      <c r="N4141" s="55"/>
    </row>
    <row r="4142" spans="14:14" x14ac:dyDescent="0.25">
      <c r="N4142" s="55"/>
    </row>
    <row r="4143" spans="14:14" x14ac:dyDescent="0.25">
      <c r="N4143" s="55"/>
    </row>
    <row r="4144" spans="14:14" x14ac:dyDescent="0.25">
      <c r="N4144" s="55"/>
    </row>
    <row r="4145" spans="14:14" x14ac:dyDescent="0.25">
      <c r="N4145" s="55"/>
    </row>
    <row r="4146" spans="14:14" x14ac:dyDescent="0.25">
      <c r="N4146" s="55"/>
    </row>
    <row r="4147" spans="14:14" x14ac:dyDescent="0.25">
      <c r="N4147" s="55"/>
    </row>
    <row r="4148" spans="14:14" x14ac:dyDescent="0.25">
      <c r="N4148" s="55"/>
    </row>
    <row r="4149" spans="14:14" x14ac:dyDescent="0.25">
      <c r="N4149" s="55"/>
    </row>
    <row r="4150" spans="14:14" x14ac:dyDescent="0.25">
      <c r="N4150" s="55"/>
    </row>
    <row r="4151" spans="14:14" x14ac:dyDescent="0.25">
      <c r="N4151" s="55"/>
    </row>
    <row r="4152" spans="14:14" x14ac:dyDescent="0.25">
      <c r="N4152" s="55"/>
    </row>
    <row r="4153" spans="14:14" x14ac:dyDescent="0.25">
      <c r="N4153" s="55"/>
    </row>
    <row r="4154" spans="14:14" x14ac:dyDescent="0.25">
      <c r="N4154" s="55"/>
    </row>
    <row r="4155" spans="14:14" x14ac:dyDescent="0.25">
      <c r="N4155" s="55"/>
    </row>
    <row r="4156" spans="14:14" x14ac:dyDescent="0.25">
      <c r="N4156" s="55"/>
    </row>
    <row r="4157" spans="14:14" x14ac:dyDescent="0.25">
      <c r="N4157" s="55"/>
    </row>
    <row r="4158" spans="14:14" x14ac:dyDescent="0.25">
      <c r="N4158" s="55"/>
    </row>
    <row r="4159" spans="14:14" x14ac:dyDescent="0.25">
      <c r="N4159" s="55"/>
    </row>
    <row r="4160" spans="14:14" x14ac:dyDescent="0.25">
      <c r="N4160" s="55"/>
    </row>
    <row r="4161" spans="14:14" x14ac:dyDescent="0.25">
      <c r="N4161" s="55"/>
    </row>
    <row r="4162" spans="14:14" x14ac:dyDescent="0.25">
      <c r="N4162" s="55"/>
    </row>
    <row r="4163" spans="14:14" x14ac:dyDescent="0.25">
      <c r="N4163" s="55"/>
    </row>
    <row r="4164" spans="14:14" x14ac:dyDescent="0.25">
      <c r="N4164" s="55"/>
    </row>
    <row r="4165" spans="14:14" x14ac:dyDescent="0.25">
      <c r="N4165" s="55"/>
    </row>
    <row r="4166" spans="14:14" x14ac:dyDescent="0.25">
      <c r="N4166" s="55"/>
    </row>
    <row r="4167" spans="14:14" x14ac:dyDescent="0.25">
      <c r="N4167" s="55"/>
    </row>
    <row r="4168" spans="14:14" x14ac:dyDescent="0.25">
      <c r="N4168" s="55"/>
    </row>
    <row r="4169" spans="14:14" x14ac:dyDescent="0.25">
      <c r="N4169" s="55"/>
    </row>
    <row r="4170" spans="14:14" x14ac:dyDescent="0.25">
      <c r="N4170" s="55"/>
    </row>
    <row r="4171" spans="14:14" x14ac:dyDescent="0.25">
      <c r="N4171" s="55"/>
    </row>
    <row r="4172" spans="14:14" x14ac:dyDescent="0.25">
      <c r="N4172" s="55"/>
    </row>
    <row r="4173" spans="14:14" x14ac:dyDescent="0.25">
      <c r="N4173" s="55"/>
    </row>
    <row r="4174" spans="14:14" x14ac:dyDescent="0.25">
      <c r="N4174" s="55"/>
    </row>
    <row r="4175" spans="14:14" x14ac:dyDescent="0.25">
      <c r="N4175" s="55"/>
    </row>
    <row r="4176" spans="14:14" x14ac:dyDescent="0.25">
      <c r="N4176" s="55"/>
    </row>
    <row r="4177" spans="14:14" x14ac:dyDescent="0.25">
      <c r="N4177" s="55"/>
    </row>
    <row r="4178" spans="14:14" x14ac:dyDescent="0.25">
      <c r="N4178" s="55"/>
    </row>
    <row r="4179" spans="14:14" x14ac:dyDescent="0.25">
      <c r="N4179" s="55"/>
    </row>
    <row r="4180" spans="14:14" x14ac:dyDescent="0.25">
      <c r="N4180" s="55"/>
    </row>
    <row r="4181" spans="14:14" x14ac:dyDescent="0.25">
      <c r="N4181" s="55"/>
    </row>
    <row r="4182" spans="14:14" x14ac:dyDescent="0.25">
      <c r="N4182" s="55"/>
    </row>
    <row r="4183" spans="14:14" x14ac:dyDescent="0.25">
      <c r="N4183" s="55"/>
    </row>
    <row r="4184" spans="14:14" x14ac:dyDescent="0.25">
      <c r="N4184" s="55"/>
    </row>
    <row r="4185" spans="14:14" x14ac:dyDescent="0.25">
      <c r="N4185" s="55"/>
    </row>
    <row r="4186" spans="14:14" x14ac:dyDescent="0.25">
      <c r="N4186" s="55"/>
    </row>
    <row r="4187" spans="14:14" x14ac:dyDescent="0.25">
      <c r="N4187" s="55"/>
    </row>
    <row r="4188" spans="14:14" x14ac:dyDescent="0.25">
      <c r="N4188" s="55"/>
    </row>
    <row r="4189" spans="14:14" x14ac:dyDescent="0.25">
      <c r="N4189" s="55"/>
    </row>
    <row r="4190" spans="14:14" x14ac:dyDescent="0.25">
      <c r="N4190" s="55"/>
    </row>
    <row r="4191" spans="14:14" x14ac:dyDescent="0.25">
      <c r="N4191" s="55"/>
    </row>
    <row r="4192" spans="14:14" x14ac:dyDescent="0.25">
      <c r="N4192" s="55"/>
    </row>
    <row r="4193" spans="14:14" x14ac:dyDescent="0.25">
      <c r="N4193" s="55"/>
    </row>
    <row r="4194" spans="14:14" x14ac:dyDescent="0.25">
      <c r="N4194" s="55"/>
    </row>
    <row r="4195" spans="14:14" x14ac:dyDescent="0.25">
      <c r="N4195" s="55"/>
    </row>
    <row r="4196" spans="14:14" x14ac:dyDescent="0.25">
      <c r="N4196" s="55"/>
    </row>
    <row r="4197" spans="14:14" x14ac:dyDescent="0.25">
      <c r="N4197" s="55"/>
    </row>
    <row r="4198" spans="14:14" x14ac:dyDescent="0.25">
      <c r="N4198" s="55"/>
    </row>
    <row r="4199" spans="14:14" x14ac:dyDescent="0.25">
      <c r="N4199" s="55"/>
    </row>
    <row r="4200" spans="14:14" x14ac:dyDescent="0.25">
      <c r="N4200" s="55"/>
    </row>
    <row r="4201" spans="14:14" x14ac:dyDescent="0.25">
      <c r="N4201" s="55"/>
    </row>
    <row r="4202" spans="14:14" x14ac:dyDescent="0.25">
      <c r="N4202" s="55"/>
    </row>
    <row r="4203" spans="14:14" x14ac:dyDescent="0.25">
      <c r="N4203" s="55"/>
    </row>
    <row r="4204" spans="14:14" x14ac:dyDescent="0.25">
      <c r="N4204" s="55"/>
    </row>
    <row r="4205" spans="14:14" x14ac:dyDescent="0.25">
      <c r="N4205" s="55"/>
    </row>
    <row r="4206" spans="14:14" x14ac:dyDescent="0.25">
      <c r="N4206" s="55"/>
    </row>
    <row r="4207" spans="14:14" x14ac:dyDescent="0.25">
      <c r="N4207" s="55"/>
    </row>
    <row r="4208" spans="14:14" x14ac:dyDescent="0.25">
      <c r="N4208" s="55"/>
    </row>
    <row r="4209" spans="14:14" x14ac:dyDescent="0.25">
      <c r="N4209" s="55"/>
    </row>
    <row r="4210" spans="14:14" x14ac:dyDescent="0.25">
      <c r="N4210" s="55"/>
    </row>
    <row r="4211" spans="14:14" x14ac:dyDescent="0.25">
      <c r="N4211" s="55"/>
    </row>
    <row r="4212" spans="14:14" x14ac:dyDescent="0.25">
      <c r="N4212" s="55"/>
    </row>
    <row r="4213" spans="14:14" x14ac:dyDescent="0.25">
      <c r="N4213" s="55"/>
    </row>
    <row r="4214" spans="14:14" x14ac:dyDescent="0.25">
      <c r="N4214" s="55"/>
    </row>
    <row r="4215" spans="14:14" x14ac:dyDescent="0.25">
      <c r="N4215" s="55"/>
    </row>
    <row r="4216" spans="14:14" x14ac:dyDescent="0.25">
      <c r="N4216" s="55"/>
    </row>
    <row r="4217" spans="14:14" x14ac:dyDescent="0.25">
      <c r="N4217" s="55"/>
    </row>
    <row r="4218" spans="14:14" x14ac:dyDescent="0.25">
      <c r="N4218" s="55"/>
    </row>
    <row r="4219" spans="14:14" x14ac:dyDescent="0.25">
      <c r="N4219" s="55"/>
    </row>
    <row r="4220" spans="14:14" x14ac:dyDescent="0.25">
      <c r="N4220" s="55"/>
    </row>
    <row r="4221" spans="14:14" x14ac:dyDescent="0.25">
      <c r="N4221" s="55"/>
    </row>
    <row r="4222" spans="14:14" x14ac:dyDescent="0.25">
      <c r="N4222" s="55"/>
    </row>
    <row r="4223" spans="14:14" x14ac:dyDescent="0.25">
      <c r="N4223" s="55"/>
    </row>
    <row r="4224" spans="14:14" x14ac:dyDescent="0.25">
      <c r="N4224" s="55"/>
    </row>
    <row r="4225" spans="14:14" x14ac:dyDescent="0.25">
      <c r="N4225" s="55"/>
    </row>
    <row r="4226" spans="14:14" x14ac:dyDescent="0.25">
      <c r="N4226" s="55"/>
    </row>
    <row r="4227" spans="14:14" x14ac:dyDescent="0.25">
      <c r="N4227" s="55"/>
    </row>
    <row r="4228" spans="14:14" x14ac:dyDescent="0.25">
      <c r="N4228" s="55"/>
    </row>
    <row r="4229" spans="14:14" x14ac:dyDescent="0.25">
      <c r="N4229" s="55"/>
    </row>
    <row r="4230" spans="14:14" x14ac:dyDescent="0.25">
      <c r="N4230" s="55"/>
    </row>
    <row r="4231" spans="14:14" x14ac:dyDescent="0.25">
      <c r="N4231" s="55"/>
    </row>
    <row r="4232" spans="14:14" x14ac:dyDescent="0.25">
      <c r="N4232" s="55"/>
    </row>
    <row r="4233" spans="14:14" x14ac:dyDescent="0.25">
      <c r="N4233" s="55"/>
    </row>
    <row r="4234" spans="14:14" x14ac:dyDescent="0.25">
      <c r="N4234" s="55"/>
    </row>
    <row r="4235" spans="14:14" x14ac:dyDescent="0.25">
      <c r="N4235" s="55"/>
    </row>
    <row r="4236" spans="14:14" x14ac:dyDescent="0.25">
      <c r="N4236" s="55"/>
    </row>
    <row r="4237" spans="14:14" x14ac:dyDescent="0.25">
      <c r="N4237" s="55"/>
    </row>
    <row r="4238" spans="14:14" x14ac:dyDescent="0.25">
      <c r="N4238" s="55"/>
    </row>
    <row r="4239" spans="14:14" x14ac:dyDescent="0.25">
      <c r="N4239" s="55"/>
    </row>
    <row r="4240" spans="14:14" x14ac:dyDescent="0.25">
      <c r="N4240" s="55"/>
    </row>
    <row r="4241" spans="14:14" x14ac:dyDescent="0.25">
      <c r="N4241" s="55"/>
    </row>
    <row r="4242" spans="14:14" x14ac:dyDescent="0.25">
      <c r="N4242" s="55"/>
    </row>
    <row r="4243" spans="14:14" x14ac:dyDescent="0.25">
      <c r="N4243" s="55"/>
    </row>
    <row r="4244" spans="14:14" x14ac:dyDescent="0.25">
      <c r="N4244" s="55"/>
    </row>
    <row r="4245" spans="14:14" x14ac:dyDescent="0.25">
      <c r="N4245" s="55"/>
    </row>
    <row r="4246" spans="14:14" x14ac:dyDescent="0.25">
      <c r="N4246" s="55"/>
    </row>
    <row r="4247" spans="14:14" x14ac:dyDescent="0.25">
      <c r="N4247" s="55"/>
    </row>
    <row r="4248" spans="14:14" x14ac:dyDescent="0.25">
      <c r="N4248" s="55"/>
    </row>
    <row r="4249" spans="14:14" x14ac:dyDescent="0.25">
      <c r="N4249" s="55"/>
    </row>
    <row r="4250" spans="14:14" x14ac:dyDescent="0.25">
      <c r="N4250" s="55"/>
    </row>
    <row r="4251" spans="14:14" x14ac:dyDescent="0.25">
      <c r="N4251" s="55"/>
    </row>
    <row r="4252" spans="14:14" x14ac:dyDescent="0.25">
      <c r="N4252" s="55"/>
    </row>
    <row r="4253" spans="14:14" x14ac:dyDescent="0.25">
      <c r="N4253" s="55"/>
    </row>
    <row r="4254" spans="14:14" x14ac:dyDescent="0.25">
      <c r="N4254" s="55"/>
    </row>
    <row r="4255" spans="14:14" x14ac:dyDescent="0.25">
      <c r="N4255" s="55"/>
    </row>
    <row r="4256" spans="14:14" x14ac:dyDescent="0.25">
      <c r="N4256" s="55"/>
    </row>
    <row r="4257" spans="14:14" x14ac:dyDescent="0.25">
      <c r="N4257" s="55"/>
    </row>
    <row r="4258" spans="14:14" x14ac:dyDescent="0.25">
      <c r="N4258" s="55"/>
    </row>
    <row r="4259" spans="14:14" x14ac:dyDescent="0.25">
      <c r="N4259" s="55"/>
    </row>
    <row r="4260" spans="14:14" x14ac:dyDescent="0.25">
      <c r="N4260" s="55"/>
    </row>
    <row r="4261" spans="14:14" x14ac:dyDescent="0.25">
      <c r="N4261" s="55"/>
    </row>
    <row r="4262" spans="14:14" x14ac:dyDescent="0.25">
      <c r="N4262" s="55"/>
    </row>
    <row r="4263" spans="14:14" x14ac:dyDescent="0.25">
      <c r="N4263" s="55"/>
    </row>
    <row r="4264" spans="14:14" x14ac:dyDescent="0.25">
      <c r="N4264" s="55"/>
    </row>
    <row r="4265" spans="14:14" x14ac:dyDescent="0.25">
      <c r="N4265" s="55"/>
    </row>
    <row r="4266" spans="14:14" x14ac:dyDescent="0.25">
      <c r="N4266" s="55"/>
    </row>
    <row r="4267" spans="14:14" x14ac:dyDescent="0.25">
      <c r="N4267" s="55"/>
    </row>
    <row r="4268" spans="14:14" x14ac:dyDescent="0.25">
      <c r="N4268" s="55"/>
    </row>
    <row r="4269" spans="14:14" x14ac:dyDescent="0.25">
      <c r="N4269" s="55"/>
    </row>
    <row r="4270" spans="14:14" x14ac:dyDescent="0.25">
      <c r="N4270" s="55"/>
    </row>
    <row r="4271" spans="14:14" x14ac:dyDescent="0.25">
      <c r="N4271" s="55"/>
    </row>
    <row r="4272" spans="14:14" x14ac:dyDescent="0.25">
      <c r="N4272" s="55"/>
    </row>
    <row r="4273" spans="14:14" x14ac:dyDescent="0.25">
      <c r="N4273" s="55"/>
    </row>
    <row r="4274" spans="14:14" x14ac:dyDescent="0.25">
      <c r="N4274" s="55"/>
    </row>
    <row r="4275" spans="14:14" x14ac:dyDescent="0.25">
      <c r="N4275" s="55"/>
    </row>
    <row r="4276" spans="14:14" x14ac:dyDescent="0.25">
      <c r="N4276" s="55"/>
    </row>
    <row r="4277" spans="14:14" x14ac:dyDescent="0.25">
      <c r="N4277" s="55"/>
    </row>
    <row r="4278" spans="14:14" x14ac:dyDescent="0.25">
      <c r="N4278" s="55"/>
    </row>
    <row r="4279" spans="14:14" x14ac:dyDescent="0.25">
      <c r="N4279" s="55"/>
    </row>
    <row r="4280" spans="14:14" x14ac:dyDescent="0.25">
      <c r="N4280" s="55"/>
    </row>
    <row r="4281" spans="14:14" x14ac:dyDescent="0.25">
      <c r="N4281" s="55"/>
    </row>
    <row r="4282" spans="14:14" x14ac:dyDescent="0.25">
      <c r="N4282" s="55"/>
    </row>
    <row r="4283" spans="14:14" x14ac:dyDescent="0.25">
      <c r="N4283" s="55"/>
    </row>
    <row r="4284" spans="14:14" x14ac:dyDescent="0.25">
      <c r="N4284" s="55"/>
    </row>
    <row r="4285" spans="14:14" x14ac:dyDescent="0.25">
      <c r="N4285" s="55"/>
    </row>
    <row r="4286" spans="14:14" x14ac:dyDescent="0.25">
      <c r="N4286" s="55"/>
    </row>
    <row r="4287" spans="14:14" x14ac:dyDescent="0.25">
      <c r="N4287" s="55"/>
    </row>
    <row r="4288" spans="14:14" x14ac:dyDescent="0.25">
      <c r="N4288" s="55"/>
    </row>
    <row r="4289" spans="14:14" x14ac:dyDescent="0.25">
      <c r="N4289" s="55"/>
    </row>
    <row r="4290" spans="14:14" x14ac:dyDescent="0.25">
      <c r="N4290" s="55"/>
    </row>
    <row r="4291" spans="14:14" x14ac:dyDescent="0.25">
      <c r="N4291" s="55"/>
    </row>
    <row r="4292" spans="14:14" x14ac:dyDescent="0.25">
      <c r="N4292" s="55"/>
    </row>
    <row r="4293" spans="14:14" x14ac:dyDescent="0.25">
      <c r="N4293" s="55"/>
    </row>
    <row r="4294" spans="14:14" x14ac:dyDescent="0.25">
      <c r="N4294" s="55"/>
    </row>
    <row r="4295" spans="14:14" x14ac:dyDescent="0.25">
      <c r="N4295" s="55"/>
    </row>
    <row r="4296" spans="14:14" x14ac:dyDescent="0.25">
      <c r="N4296" s="55"/>
    </row>
    <row r="4297" spans="14:14" x14ac:dyDescent="0.25">
      <c r="N4297" s="55"/>
    </row>
    <row r="4298" spans="14:14" x14ac:dyDescent="0.25">
      <c r="N4298" s="55"/>
    </row>
    <row r="4299" spans="14:14" x14ac:dyDescent="0.25">
      <c r="N4299" s="55"/>
    </row>
    <row r="4300" spans="14:14" x14ac:dyDescent="0.25">
      <c r="N4300" s="55"/>
    </row>
    <row r="4301" spans="14:14" x14ac:dyDescent="0.25">
      <c r="N4301" s="55"/>
    </row>
    <row r="4302" spans="14:14" x14ac:dyDescent="0.25">
      <c r="N4302" s="55"/>
    </row>
    <row r="4303" spans="14:14" x14ac:dyDescent="0.25">
      <c r="N4303" s="55"/>
    </row>
    <row r="4304" spans="14:14" x14ac:dyDescent="0.25">
      <c r="N4304" s="55"/>
    </row>
    <row r="4305" spans="14:14" x14ac:dyDescent="0.25">
      <c r="N4305" s="55"/>
    </row>
    <row r="4306" spans="14:14" x14ac:dyDescent="0.25">
      <c r="N4306" s="55"/>
    </row>
    <row r="4307" spans="14:14" x14ac:dyDescent="0.25">
      <c r="N4307" s="55"/>
    </row>
    <row r="4308" spans="14:14" x14ac:dyDescent="0.25">
      <c r="N4308" s="55"/>
    </row>
    <row r="4309" spans="14:14" x14ac:dyDescent="0.25">
      <c r="N4309" s="55"/>
    </row>
    <row r="4310" spans="14:14" x14ac:dyDescent="0.25">
      <c r="N4310" s="55"/>
    </row>
    <row r="4311" spans="14:14" x14ac:dyDescent="0.25">
      <c r="N4311" s="55"/>
    </row>
    <row r="4312" spans="14:14" x14ac:dyDescent="0.25">
      <c r="N4312" s="55"/>
    </row>
    <row r="4313" spans="14:14" x14ac:dyDescent="0.25">
      <c r="N4313" s="55"/>
    </row>
    <row r="4314" spans="14:14" x14ac:dyDescent="0.25">
      <c r="N4314" s="55"/>
    </row>
    <row r="4315" spans="14:14" x14ac:dyDescent="0.25">
      <c r="N4315" s="55"/>
    </row>
    <row r="4316" spans="14:14" x14ac:dyDescent="0.25">
      <c r="N4316" s="55"/>
    </row>
    <row r="4317" spans="14:14" x14ac:dyDescent="0.25">
      <c r="N4317" s="55"/>
    </row>
    <row r="4318" spans="14:14" x14ac:dyDescent="0.25">
      <c r="N4318" s="55"/>
    </row>
    <row r="4319" spans="14:14" x14ac:dyDescent="0.25">
      <c r="N4319" s="55"/>
    </row>
    <row r="4320" spans="14:14" x14ac:dyDescent="0.25">
      <c r="N4320" s="55"/>
    </row>
    <row r="4321" spans="14:14" x14ac:dyDescent="0.25">
      <c r="N4321" s="55"/>
    </row>
    <row r="4322" spans="14:14" x14ac:dyDescent="0.25">
      <c r="N4322" s="55"/>
    </row>
    <row r="4323" spans="14:14" x14ac:dyDescent="0.25">
      <c r="N4323" s="55"/>
    </row>
    <row r="4324" spans="14:14" x14ac:dyDescent="0.25">
      <c r="N4324" s="55"/>
    </row>
    <row r="4325" spans="14:14" x14ac:dyDescent="0.25">
      <c r="N4325" s="55"/>
    </row>
    <row r="4326" spans="14:14" x14ac:dyDescent="0.25">
      <c r="N4326" s="55"/>
    </row>
    <row r="4327" spans="14:14" x14ac:dyDescent="0.25">
      <c r="N4327" s="55"/>
    </row>
    <row r="4328" spans="14:14" x14ac:dyDescent="0.25">
      <c r="N4328" s="55"/>
    </row>
    <row r="4329" spans="14:14" x14ac:dyDescent="0.25">
      <c r="N4329" s="55"/>
    </row>
    <row r="4330" spans="14:14" x14ac:dyDescent="0.25">
      <c r="N4330" s="55"/>
    </row>
    <row r="4331" spans="14:14" x14ac:dyDescent="0.25">
      <c r="N4331" s="55"/>
    </row>
    <row r="4332" spans="14:14" x14ac:dyDescent="0.25">
      <c r="N4332" s="55"/>
    </row>
    <row r="4333" spans="14:14" x14ac:dyDescent="0.25">
      <c r="N4333" s="55"/>
    </row>
    <row r="4334" spans="14:14" x14ac:dyDescent="0.25">
      <c r="N4334" s="55"/>
    </row>
    <row r="4335" spans="14:14" x14ac:dyDescent="0.25">
      <c r="N4335" s="55"/>
    </row>
    <row r="4336" spans="14:14" x14ac:dyDescent="0.25">
      <c r="N4336" s="55"/>
    </row>
    <row r="4337" spans="14:14" x14ac:dyDescent="0.25">
      <c r="N4337" s="55"/>
    </row>
    <row r="4338" spans="14:14" x14ac:dyDescent="0.25">
      <c r="N4338" s="55"/>
    </row>
    <row r="4339" spans="14:14" x14ac:dyDescent="0.25">
      <c r="N4339" s="55"/>
    </row>
    <row r="4340" spans="14:14" x14ac:dyDescent="0.25">
      <c r="N4340" s="55"/>
    </row>
    <row r="4341" spans="14:14" x14ac:dyDescent="0.25">
      <c r="N4341" s="55"/>
    </row>
    <row r="4342" spans="14:14" x14ac:dyDescent="0.25">
      <c r="N4342" s="55"/>
    </row>
    <row r="4343" spans="14:14" x14ac:dyDescent="0.25">
      <c r="N4343" s="55"/>
    </row>
    <row r="4344" spans="14:14" x14ac:dyDescent="0.25">
      <c r="N4344" s="55"/>
    </row>
    <row r="4345" spans="14:14" x14ac:dyDescent="0.25">
      <c r="N4345" s="55"/>
    </row>
    <row r="4346" spans="14:14" x14ac:dyDescent="0.25">
      <c r="N4346" s="55"/>
    </row>
    <row r="4347" spans="14:14" x14ac:dyDescent="0.25">
      <c r="N4347" s="55"/>
    </row>
    <row r="4348" spans="14:14" x14ac:dyDescent="0.25">
      <c r="N4348" s="55"/>
    </row>
    <row r="4349" spans="14:14" x14ac:dyDescent="0.25">
      <c r="N4349" s="55"/>
    </row>
    <row r="4350" spans="14:14" x14ac:dyDescent="0.25">
      <c r="N4350" s="55"/>
    </row>
    <row r="4351" spans="14:14" x14ac:dyDescent="0.25">
      <c r="N4351" s="55"/>
    </row>
    <row r="4352" spans="14:14" x14ac:dyDescent="0.25">
      <c r="N4352" s="55"/>
    </row>
    <row r="4353" spans="14:14" x14ac:dyDescent="0.25">
      <c r="N4353" s="55"/>
    </row>
    <row r="4354" spans="14:14" x14ac:dyDescent="0.25">
      <c r="N4354" s="55"/>
    </row>
    <row r="4355" spans="14:14" x14ac:dyDescent="0.25">
      <c r="N4355" s="55"/>
    </row>
    <row r="4356" spans="14:14" x14ac:dyDescent="0.25">
      <c r="N4356" s="55"/>
    </row>
    <row r="4357" spans="14:14" x14ac:dyDescent="0.25">
      <c r="N4357" s="55"/>
    </row>
    <row r="4358" spans="14:14" x14ac:dyDescent="0.25">
      <c r="N4358" s="55"/>
    </row>
    <row r="4359" spans="14:14" x14ac:dyDescent="0.25">
      <c r="N4359" s="55"/>
    </row>
    <row r="4360" spans="14:14" x14ac:dyDescent="0.25">
      <c r="N4360" s="55"/>
    </row>
    <row r="4361" spans="14:14" x14ac:dyDescent="0.25">
      <c r="N4361" s="55"/>
    </row>
    <row r="4362" spans="14:14" x14ac:dyDescent="0.25">
      <c r="N4362" s="55"/>
    </row>
    <row r="4363" spans="14:14" x14ac:dyDescent="0.25">
      <c r="N4363" s="55"/>
    </row>
    <row r="4364" spans="14:14" x14ac:dyDescent="0.25">
      <c r="N4364" s="55"/>
    </row>
    <row r="4365" spans="14:14" x14ac:dyDescent="0.25">
      <c r="N4365" s="55"/>
    </row>
    <row r="4366" spans="14:14" x14ac:dyDescent="0.25">
      <c r="N4366" s="55"/>
    </row>
    <row r="4367" spans="14:14" x14ac:dyDescent="0.25">
      <c r="N4367" s="55"/>
    </row>
    <row r="4368" spans="14:14" x14ac:dyDescent="0.25">
      <c r="N4368" s="55"/>
    </row>
    <row r="4369" spans="14:14" x14ac:dyDescent="0.25">
      <c r="N4369" s="55"/>
    </row>
    <row r="4370" spans="14:14" x14ac:dyDescent="0.25">
      <c r="N4370" s="55"/>
    </row>
    <row r="4371" spans="14:14" x14ac:dyDescent="0.25">
      <c r="N4371" s="55"/>
    </row>
    <row r="4372" spans="14:14" x14ac:dyDescent="0.25">
      <c r="N4372" s="55"/>
    </row>
    <row r="4373" spans="14:14" x14ac:dyDescent="0.25">
      <c r="N4373" s="55"/>
    </row>
    <row r="4374" spans="14:14" x14ac:dyDescent="0.25">
      <c r="N4374" s="55"/>
    </row>
    <row r="4375" spans="14:14" x14ac:dyDescent="0.25">
      <c r="N4375" s="55"/>
    </row>
    <row r="4376" spans="14:14" x14ac:dyDescent="0.25">
      <c r="N4376" s="55"/>
    </row>
    <row r="4377" spans="14:14" x14ac:dyDescent="0.25">
      <c r="N4377" s="55"/>
    </row>
    <row r="4378" spans="14:14" x14ac:dyDescent="0.25">
      <c r="N4378" s="55"/>
    </row>
    <row r="4379" spans="14:14" x14ac:dyDescent="0.25">
      <c r="N4379" s="55"/>
    </row>
    <row r="4380" spans="14:14" x14ac:dyDescent="0.25">
      <c r="N4380" s="55"/>
    </row>
    <row r="4381" spans="14:14" x14ac:dyDescent="0.25">
      <c r="N4381" s="55"/>
    </row>
    <row r="4382" spans="14:14" x14ac:dyDescent="0.25">
      <c r="N4382" s="55"/>
    </row>
    <row r="4383" spans="14:14" x14ac:dyDescent="0.25">
      <c r="N4383" s="55"/>
    </row>
    <row r="4384" spans="14:14" x14ac:dyDescent="0.25">
      <c r="N4384" s="55"/>
    </row>
    <row r="4385" spans="14:14" x14ac:dyDescent="0.25">
      <c r="N4385" s="55"/>
    </row>
    <row r="4386" spans="14:14" x14ac:dyDescent="0.25">
      <c r="N4386" s="55"/>
    </row>
    <row r="4387" spans="14:14" x14ac:dyDescent="0.25">
      <c r="N4387" s="55"/>
    </row>
    <row r="4388" spans="14:14" x14ac:dyDescent="0.25">
      <c r="N4388" s="55"/>
    </row>
    <row r="4389" spans="14:14" x14ac:dyDescent="0.25">
      <c r="N4389" s="55"/>
    </row>
    <row r="4390" spans="14:14" x14ac:dyDescent="0.25">
      <c r="N4390" s="55"/>
    </row>
    <row r="4391" spans="14:14" x14ac:dyDescent="0.25">
      <c r="N4391" s="55"/>
    </row>
    <row r="4392" spans="14:14" x14ac:dyDescent="0.25">
      <c r="N4392" s="55"/>
    </row>
    <row r="4393" spans="14:14" x14ac:dyDescent="0.25">
      <c r="N4393" s="55"/>
    </row>
    <row r="4394" spans="14:14" x14ac:dyDescent="0.25">
      <c r="N4394" s="55"/>
    </row>
    <row r="4395" spans="14:14" x14ac:dyDescent="0.25">
      <c r="N4395" s="55"/>
    </row>
    <row r="4396" spans="14:14" x14ac:dyDescent="0.25">
      <c r="N4396" s="55"/>
    </row>
    <row r="4397" spans="14:14" x14ac:dyDescent="0.25">
      <c r="N4397" s="55"/>
    </row>
    <row r="4398" spans="14:14" x14ac:dyDescent="0.25">
      <c r="N4398" s="55"/>
    </row>
    <row r="4399" spans="14:14" x14ac:dyDescent="0.25">
      <c r="N4399" s="55"/>
    </row>
    <row r="4400" spans="14:14" x14ac:dyDescent="0.25">
      <c r="N4400" s="55"/>
    </row>
    <row r="4401" spans="14:14" x14ac:dyDescent="0.25">
      <c r="N4401" s="55"/>
    </row>
    <row r="4402" spans="14:14" x14ac:dyDescent="0.25">
      <c r="N4402" s="55"/>
    </row>
    <row r="4403" spans="14:14" x14ac:dyDescent="0.25">
      <c r="N4403" s="55"/>
    </row>
    <row r="4404" spans="14:14" x14ac:dyDescent="0.25">
      <c r="N4404" s="55"/>
    </row>
    <row r="4405" spans="14:14" x14ac:dyDescent="0.25">
      <c r="N4405" s="55"/>
    </row>
    <row r="4406" spans="14:14" x14ac:dyDescent="0.25">
      <c r="N4406" s="55"/>
    </row>
    <row r="4407" spans="14:14" x14ac:dyDescent="0.25">
      <c r="N4407" s="55"/>
    </row>
    <row r="4408" spans="14:14" x14ac:dyDescent="0.25">
      <c r="N4408" s="55"/>
    </row>
    <row r="4409" spans="14:14" x14ac:dyDescent="0.25">
      <c r="N4409" s="55"/>
    </row>
    <row r="4410" spans="14:14" x14ac:dyDescent="0.25">
      <c r="N4410" s="55"/>
    </row>
    <row r="4411" spans="14:14" x14ac:dyDescent="0.25">
      <c r="N4411" s="55"/>
    </row>
    <row r="4412" spans="14:14" x14ac:dyDescent="0.25">
      <c r="N4412" s="55"/>
    </row>
    <row r="4413" spans="14:14" x14ac:dyDescent="0.25">
      <c r="N4413" s="55"/>
    </row>
    <row r="4414" spans="14:14" x14ac:dyDescent="0.25">
      <c r="N4414" s="55"/>
    </row>
    <row r="4415" spans="14:14" x14ac:dyDescent="0.25">
      <c r="N4415" s="55"/>
    </row>
    <row r="4416" spans="14:14" x14ac:dyDescent="0.25">
      <c r="N4416" s="55"/>
    </row>
    <row r="4417" spans="14:14" x14ac:dyDescent="0.25">
      <c r="N4417" s="55"/>
    </row>
    <row r="4418" spans="14:14" x14ac:dyDescent="0.25">
      <c r="N4418" s="55"/>
    </row>
    <row r="4419" spans="14:14" x14ac:dyDescent="0.25">
      <c r="N4419" s="55"/>
    </row>
    <row r="4420" spans="14:14" x14ac:dyDescent="0.25">
      <c r="N4420" s="55"/>
    </row>
    <row r="4421" spans="14:14" x14ac:dyDescent="0.25">
      <c r="N4421" s="55"/>
    </row>
    <row r="4422" spans="14:14" x14ac:dyDescent="0.25">
      <c r="N4422" s="55"/>
    </row>
    <row r="4423" spans="14:14" x14ac:dyDescent="0.25">
      <c r="N4423" s="55"/>
    </row>
    <row r="4424" spans="14:14" x14ac:dyDescent="0.25">
      <c r="N4424" s="55"/>
    </row>
    <row r="4425" spans="14:14" x14ac:dyDescent="0.25">
      <c r="N4425" s="55"/>
    </row>
    <row r="4426" spans="14:14" x14ac:dyDescent="0.25">
      <c r="N4426" s="55"/>
    </row>
    <row r="4427" spans="14:14" x14ac:dyDescent="0.25">
      <c r="N4427" s="55"/>
    </row>
    <row r="4428" spans="14:14" x14ac:dyDescent="0.25">
      <c r="N4428" s="55"/>
    </row>
    <row r="4429" spans="14:14" x14ac:dyDescent="0.25">
      <c r="N4429" s="55"/>
    </row>
    <row r="4430" spans="14:14" x14ac:dyDescent="0.25">
      <c r="N4430" s="55"/>
    </row>
    <row r="4431" spans="14:14" x14ac:dyDescent="0.25">
      <c r="N4431" s="55"/>
    </row>
    <row r="4432" spans="14:14" x14ac:dyDescent="0.25">
      <c r="N4432" s="55"/>
    </row>
    <row r="4433" spans="14:14" x14ac:dyDescent="0.25">
      <c r="N4433" s="55"/>
    </row>
    <row r="4434" spans="14:14" x14ac:dyDescent="0.25">
      <c r="N4434" s="55"/>
    </row>
    <row r="4435" spans="14:14" x14ac:dyDescent="0.25">
      <c r="N4435" s="55"/>
    </row>
    <row r="4436" spans="14:14" x14ac:dyDescent="0.25">
      <c r="N4436" s="55"/>
    </row>
    <row r="4437" spans="14:14" x14ac:dyDescent="0.25">
      <c r="N4437" s="55"/>
    </row>
    <row r="4438" spans="14:14" x14ac:dyDescent="0.25">
      <c r="N4438" s="55"/>
    </row>
    <row r="4439" spans="14:14" x14ac:dyDescent="0.25">
      <c r="N4439" s="55"/>
    </row>
    <row r="4440" spans="14:14" x14ac:dyDescent="0.25">
      <c r="N4440" s="55"/>
    </row>
    <row r="4441" spans="14:14" x14ac:dyDescent="0.25">
      <c r="N4441" s="55"/>
    </row>
    <row r="4442" spans="14:14" x14ac:dyDescent="0.25">
      <c r="N4442" s="55"/>
    </row>
    <row r="4443" spans="14:14" x14ac:dyDescent="0.25">
      <c r="N4443" s="55"/>
    </row>
    <row r="4444" spans="14:14" x14ac:dyDescent="0.25">
      <c r="N4444" s="55"/>
    </row>
    <row r="4445" spans="14:14" x14ac:dyDescent="0.25">
      <c r="N4445" s="55"/>
    </row>
    <row r="4446" spans="14:14" x14ac:dyDescent="0.25">
      <c r="N4446" s="55"/>
    </row>
    <row r="4447" spans="14:14" x14ac:dyDescent="0.25">
      <c r="N4447" s="55"/>
    </row>
    <row r="4448" spans="14:14" x14ac:dyDescent="0.25">
      <c r="N4448" s="55"/>
    </row>
    <row r="4449" spans="14:14" x14ac:dyDescent="0.25">
      <c r="N4449" s="55"/>
    </row>
    <row r="4450" spans="14:14" x14ac:dyDescent="0.25">
      <c r="N4450" s="55"/>
    </row>
    <row r="4451" spans="14:14" x14ac:dyDescent="0.25">
      <c r="N4451" s="55"/>
    </row>
    <row r="4452" spans="14:14" x14ac:dyDescent="0.25">
      <c r="N4452" s="55"/>
    </row>
    <row r="4453" spans="14:14" x14ac:dyDescent="0.25">
      <c r="N4453" s="55"/>
    </row>
    <row r="4454" spans="14:14" x14ac:dyDescent="0.25">
      <c r="N4454" s="55"/>
    </row>
    <row r="4455" spans="14:14" x14ac:dyDescent="0.25">
      <c r="N4455" s="55"/>
    </row>
    <row r="4456" spans="14:14" x14ac:dyDescent="0.25">
      <c r="N4456" s="55"/>
    </row>
    <row r="4457" spans="14:14" x14ac:dyDescent="0.25">
      <c r="N4457" s="55"/>
    </row>
    <row r="4458" spans="14:14" x14ac:dyDescent="0.25">
      <c r="N4458" s="55"/>
    </row>
    <row r="4459" spans="14:14" x14ac:dyDescent="0.25">
      <c r="N4459" s="55"/>
    </row>
    <row r="4460" spans="14:14" x14ac:dyDescent="0.25">
      <c r="N4460" s="55"/>
    </row>
    <row r="4461" spans="14:14" x14ac:dyDescent="0.25">
      <c r="N4461" s="55"/>
    </row>
    <row r="4462" spans="14:14" x14ac:dyDescent="0.25">
      <c r="N4462" s="55"/>
    </row>
    <row r="4463" spans="14:14" x14ac:dyDescent="0.25">
      <c r="N4463" s="55"/>
    </row>
    <row r="4464" spans="14:14" x14ac:dyDescent="0.25">
      <c r="N4464" s="55"/>
    </row>
    <row r="4465" spans="14:14" x14ac:dyDescent="0.25">
      <c r="N4465" s="55"/>
    </row>
    <row r="4466" spans="14:14" x14ac:dyDescent="0.25">
      <c r="N4466" s="55"/>
    </row>
    <row r="4467" spans="14:14" x14ac:dyDescent="0.25">
      <c r="N4467" s="55"/>
    </row>
    <row r="4468" spans="14:14" x14ac:dyDescent="0.25">
      <c r="N4468" s="55"/>
    </row>
    <row r="4469" spans="14:14" x14ac:dyDescent="0.25">
      <c r="N4469" s="55"/>
    </row>
    <row r="4470" spans="14:14" x14ac:dyDescent="0.25">
      <c r="N4470" s="55"/>
    </row>
    <row r="4471" spans="14:14" x14ac:dyDescent="0.25">
      <c r="N4471" s="55"/>
    </row>
    <row r="4472" spans="14:14" x14ac:dyDescent="0.25">
      <c r="N4472" s="55"/>
    </row>
    <row r="4473" spans="14:14" x14ac:dyDescent="0.25">
      <c r="N4473" s="55"/>
    </row>
    <row r="4474" spans="14:14" x14ac:dyDescent="0.25">
      <c r="N4474" s="55"/>
    </row>
    <row r="4475" spans="14:14" x14ac:dyDescent="0.25">
      <c r="N4475" s="55"/>
    </row>
    <row r="4476" spans="14:14" x14ac:dyDescent="0.25">
      <c r="N4476" s="55"/>
    </row>
    <row r="4477" spans="14:14" x14ac:dyDescent="0.25">
      <c r="N4477" s="55"/>
    </row>
    <row r="4478" spans="14:14" x14ac:dyDescent="0.25">
      <c r="N4478" s="55"/>
    </row>
    <row r="4479" spans="14:14" x14ac:dyDescent="0.25">
      <c r="N4479" s="55"/>
    </row>
    <row r="4480" spans="14:14" x14ac:dyDescent="0.25">
      <c r="N4480" s="55"/>
    </row>
    <row r="4481" spans="14:14" x14ac:dyDescent="0.25">
      <c r="N4481" s="55"/>
    </row>
    <row r="4482" spans="14:14" x14ac:dyDescent="0.25">
      <c r="N4482" s="55"/>
    </row>
    <row r="4483" spans="14:14" x14ac:dyDescent="0.25">
      <c r="N4483" s="55"/>
    </row>
    <row r="4484" spans="14:14" x14ac:dyDescent="0.25">
      <c r="N4484" s="55"/>
    </row>
    <row r="4485" spans="14:14" x14ac:dyDescent="0.25">
      <c r="N4485" s="55"/>
    </row>
    <row r="4486" spans="14:14" x14ac:dyDescent="0.25">
      <c r="N4486" s="55"/>
    </row>
    <row r="4487" spans="14:14" x14ac:dyDescent="0.25">
      <c r="N4487" s="55"/>
    </row>
    <row r="4488" spans="14:14" x14ac:dyDescent="0.25">
      <c r="N4488" s="55"/>
    </row>
    <row r="4489" spans="14:14" x14ac:dyDescent="0.25">
      <c r="N4489" s="55"/>
    </row>
    <row r="4490" spans="14:14" x14ac:dyDescent="0.25">
      <c r="N4490" s="55"/>
    </row>
    <row r="4491" spans="14:14" x14ac:dyDescent="0.25">
      <c r="N4491" s="55"/>
    </row>
    <row r="4492" spans="14:14" x14ac:dyDescent="0.25">
      <c r="N4492" s="55"/>
    </row>
    <row r="4493" spans="14:14" x14ac:dyDescent="0.25">
      <c r="N4493" s="55"/>
    </row>
    <row r="4494" spans="14:14" x14ac:dyDescent="0.25">
      <c r="N4494" s="55"/>
    </row>
    <row r="4495" spans="14:14" x14ac:dyDescent="0.25">
      <c r="N4495" s="55"/>
    </row>
    <row r="4496" spans="14:14" x14ac:dyDescent="0.25">
      <c r="N4496" s="55"/>
    </row>
    <row r="4497" spans="14:14" x14ac:dyDescent="0.25">
      <c r="N4497" s="55"/>
    </row>
    <row r="4498" spans="14:14" x14ac:dyDescent="0.25">
      <c r="N4498" s="55"/>
    </row>
    <row r="4499" spans="14:14" x14ac:dyDescent="0.25">
      <c r="N4499" s="55"/>
    </row>
    <row r="4500" spans="14:14" x14ac:dyDescent="0.25">
      <c r="N4500" s="55"/>
    </row>
    <row r="4501" spans="14:14" x14ac:dyDescent="0.25">
      <c r="N4501" s="55"/>
    </row>
    <row r="4502" spans="14:14" x14ac:dyDescent="0.25">
      <c r="N4502" s="55"/>
    </row>
    <row r="4503" spans="14:14" x14ac:dyDescent="0.25">
      <c r="N4503" s="55"/>
    </row>
    <row r="4504" spans="14:14" x14ac:dyDescent="0.25">
      <c r="N4504" s="55"/>
    </row>
    <row r="4505" spans="14:14" x14ac:dyDescent="0.25">
      <c r="N4505" s="55"/>
    </row>
    <row r="4506" spans="14:14" x14ac:dyDescent="0.25">
      <c r="N4506" s="55"/>
    </row>
    <row r="4507" spans="14:14" x14ac:dyDescent="0.25">
      <c r="N4507" s="55"/>
    </row>
    <row r="4508" spans="14:14" x14ac:dyDescent="0.25">
      <c r="N4508" s="55"/>
    </row>
    <row r="4509" spans="14:14" x14ac:dyDescent="0.25">
      <c r="N4509" s="55"/>
    </row>
    <row r="4510" spans="14:14" x14ac:dyDescent="0.25">
      <c r="N4510" s="55"/>
    </row>
    <row r="4511" spans="14:14" x14ac:dyDescent="0.25">
      <c r="N4511" s="55"/>
    </row>
    <row r="4512" spans="14:14" x14ac:dyDescent="0.25">
      <c r="N4512" s="55"/>
    </row>
    <row r="4513" spans="14:14" x14ac:dyDescent="0.25">
      <c r="N4513" s="55"/>
    </row>
    <row r="4514" spans="14:14" x14ac:dyDescent="0.25">
      <c r="N4514" s="55"/>
    </row>
    <row r="4515" spans="14:14" x14ac:dyDescent="0.25">
      <c r="N4515" s="55"/>
    </row>
    <row r="4516" spans="14:14" x14ac:dyDescent="0.25">
      <c r="N4516" s="55"/>
    </row>
    <row r="4517" spans="14:14" x14ac:dyDescent="0.25">
      <c r="N4517" s="55"/>
    </row>
    <row r="4518" spans="14:14" x14ac:dyDescent="0.25">
      <c r="N4518" s="55"/>
    </row>
    <row r="4519" spans="14:14" x14ac:dyDescent="0.25">
      <c r="N4519" s="55"/>
    </row>
    <row r="4520" spans="14:14" x14ac:dyDescent="0.25">
      <c r="N4520" s="55"/>
    </row>
    <row r="4521" spans="14:14" x14ac:dyDescent="0.25">
      <c r="N4521" s="55"/>
    </row>
    <row r="4522" spans="14:14" x14ac:dyDescent="0.25">
      <c r="N4522" s="55"/>
    </row>
    <row r="4523" spans="14:14" x14ac:dyDescent="0.25">
      <c r="N4523" s="55"/>
    </row>
    <row r="4524" spans="14:14" x14ac:dyDescent="0.25">
      <c r="N4524" s="55"/>
    </row>
    <row r="4525" spans="14:14" x14ac:dyDescent="0.25">
      <c r="N4525" s="55"/>
    </row>
    <row r="4526" spans="14:14" x14ac:dyDescent="0.25">
      <c r="N4526" s="55"/>
    </row>
    <row r="4527" spans="14:14" x14ac:dyDescent="0.25">
      <c r="N4527" s="55"/>
    </row>
    <row r="4528" spans="14:14" x14ac:dyDescent="0.25">
      <c r="N4528" s="55"/>
    </row>
    <row r="4529" spans="14:14" x14ac:dyDescent="0.25">
      <c r="N4529" s="55"/>
    </row>
    <row r="4530" spans="14:14" x14ac:dyDescent="0.25">
      <c r="N4530" s="55"/>
    </row>
    <row r="4531" spans="14:14" x14ac:dyDescent="0.25">
      <c r="N4531" s="55"/>
    </row>
    <row r="4532" spans="14:14" x14ac:dyDescent="0.25">
      <c r="N4532" s="55"/>
    </row>
    <row r="4533" spans="14:14" x14ac:dyDescent="0.25">
      <c r="N4533" s="55"/>
    </row>
    <row r="4534" spans="14:14" x14ac:dyDescent="0.25">
      <c r="N4534" s="55"/>
    </row>
    <row r="4535" spans="14:14" x14ac:dyDescent="0.25">
      <c r="N4535" s="55"/>
    </row>
    <row r="4536" spans="14:14" x14ac:dyDescent="0.25">
      <c r="N4536" s="55"/>
    </row>
    <row r="4537" spans="14:14" x14ac:dyDescent="0.25">
      <c r="N4537" s="55"/>
    </row>
    <row r="4538" spans="14:14" x14ac:dyDescent="0.25">
      <c r="N4538" s="55"/>
    </row>
    <row r="4539" spans="14:14" x14ac:dyDescent="0.25">
      <c r="N4539" s="55"/>
    </row>
    <row r="4540" spans="14:14" x14ac:dyDescent="0.25">
      <c r="N4540" s="55"/>
    </row>
    <row r="4541" spans="14:14" x14ac:dyDescent="0.25">
      <c r="N4541" s="55"/>
    </row>
    <row r="4542" spans="14:14" x14ac:dyDescent="0.25">
      <c r="N4542" s="55"/>
    </row>
    <row r="4543" spans="14:14" x14ac:dyDescent="0.25">
      <c r="N4543" s="55"/>
    </row>
    <row r="4544" spans="14:14" x14ac:dyDescent="0.25">
      <c r="N4544" s="55"/>
    </row>
    <row r="4545" spans="14:14" x14ac:dyDescent="0.25">
      <c r="N4545" s="55"/>
    </row>
    <row r="4546" spans="14:14" x14ac:dyDescent="0.25">
      <c r="N4546" s="55"/>
    </row>
    <row r="4547" spans="14:14" x14ac:dyDescent="0.25">
      <c r="N4547" s="55"/>
    </row>
    <row r="4548" spans="14:14" x14ac:dyDescent="0.25">
      <c r="N4548" s="55"/>
    </row>
    <row r="4549" spans="14:14" x14ac:dyDescent="0.25">
      <c r="N4549" s="55"/>
    </row>
    <row r="4550" spans="14:14" x14ac:dyDescent="0.25">
      <c r="N4550" s="55"/>
    </row>
    <row r="4551" spans="14:14" x14ac:dyDescent="0.25">
      <c r="N4551" s="55"/>
    </row>
    <row r="4552" spans="14:14" x14ac:dyDescent="0.25">
      <c r="N4552" s="55"/>
    </row>
    <row r="4553" spans="14:14" x14ac:dyDescent="0.25">
      <c r="N4553" s="55"/>
    </row>
    <row r="4554" spans="14:14" x14ac:dyDescent="0.25">
      <c r="N4554" s="55"/>
    </row>
    <row r="4555" spans="14:14" x14ac:dyDescent="0.25">
      <c r="N4555" s="55"/>
    </row>
    <row r="4556" spans="14:14" x14ac:dyDescent="0.25">
      <c r="N4556" s="55"/>
    </row>
    <row r="4557" spans="14:14" x14ac:dyDescent="0.25">
      <c r="N4557" s="55"/>
    </row>
    <row r="4558" spans="14:14" x14ac:dyDescent="0.25">
      <c r="N4558" s="55"/>
    </row>
    <row r="4559" spans="14:14" x14ac:dyDescent="0.25">
      <c r="N4559" s="55"/>
    </row>
    <row r="4560" spans="14:14" x14ac:dyDescent="0.25">
      <c r="N4560" s="55"/>
    </row>
    <row r="4561" spans="14:14" x14ac:dyDescent="0.25">
      <c r="N4561" s="55"/>
    </row>
    <row r="4562" spans="14:14" x14ac:dyDescent="0.25">
      <c r="N4562" s="55"/>
    </row>
    <row r="4563" spans="14:14" x14ac:dyDescent="0.25">
      <c r="N4563" s="55"/>
    </row>
    <row r="4564" spans="14:14" x14ac:dyDescent="0.25">
      <c r="N4564" s="55"/>
    </row>
    <row r="4565" spans="14:14" x14ac:dyDescent="0.25">
      <c r="N4565" s="55"/>
    </row>
    <row r="4566" spans="14:14" x14ac:dyDescent="0.25">
      <c r="N4566" s="55"/>
    </row>
    <row r="4567" spans="14:14" x14ac:dyDescent="0.25">
      <c r="N4567" s="55"/>
    </row>
    <row r="4568" spans="14:14" x14ac:dyDescent="0.25">
      <c r="N4568" s="55"/>
    </row>
    <row r="4569" spans="14:14" x14ac:dyDescent="0.25">
      <c r="N4569" s="55"/>
    </row>
    <row r="4570" spans="14:14" x14ac:dyDescent="0.25">
      <c r="N4570" s="55"/>
    </row>
    <row r="4571" spans="14:14" x14ac:dyDescent="0.25">
      <c r="N4571" s="55"/>
    </row>
    <row r="4572" spans="14:14" x14ac:dyDescent="0.25">
      <c r="N4572" s="55"/>
    </row>
    <row r="4573" spans="14:14" x14ac:dyDescent="0.25">
      <c r="N4573" s="55"/>
    </row>
    <row r="4574" spans="14:14" x14ac:dyDescent="0.25">
      <c r="N4574" s="55"/>
    </row>
    <row r="4575" spans="14:14" x14ac:dyDescent="0.25">
      <c r="N4575" s="55"/>
    </row>
    <row r="4576" spans="14:14" x14ac:dyDescent="0.25">
      <c r="N4576" s="55"/>
    </row>
    <row r="4577" spans="14:14" x14ac:dyDescent="0.25">
      <c r="N4577" s="55"/>
    </row>
    <row r="4578" spans="14:14" x14ac:dyDescent="0.25">
      <c r="N4578" s="55"/>
    </row>
    <row r="4579" spans="14:14" x14ac:dyDescent="0.25">
      <c r="N4579" s="55"/>
    </row>
    <row r="4580" spans="14:14" x14ac:dyDescent="0.25">
      <c r="N4580" s="55"/>
    </row>
    <row r="4581" spans="14:14" x14ac:dyDescent="0.25">
      <c r="N4581" s="55"/>
    </row>
    <row r="4582" spans="14:14" x14ac:dyDescent="0.25">
      <c r="N4582" s="55"/>
    </row>
    <row r="4583" spans="14:14" x14ac:dyDescent="0.25">
      <c r="N4583" s="55"/>
    </row>
    <row r="4584" spans="14:14" x14ac:dyDescent="0.25">
      <c r="N4584" s="55"/>
    </row>
    <row r="4585" spans="14:14" x14ac:dyDescent="0.25">
      <c r="N4585" s="55"/>
    </row>
    <row r="4586" spans="14:14" x14ac:dyDescent="0.25">
      <c r="N4586" s="55"/>
    </row>
    <row r="4587" spans="14:14" x14ac:dyDescent="0.25">
      <c r="N4587" s="55"/>
    </row>
    <row r="4588" spans="14:14" x14ac:dyDescent="0.25">
      <c r="N4588" s="55"/>
    </row>
    <row r="4589" spans="14:14" x14ac:dyDescent="0.25">
      <c r="N4589" s="55"/>
    </row>
    <row r="4590" spans="14:14" x14ac:dyDescent="0.25">
      <c r="N4590" s="55"/>
    </row>
    <row r="4591" spans="14:14" x14ac:dyDescent="0.25">
      <c r="N4591" s="55"/>
    </row>
    <row r="4592" spans="14:14" x14ac:dyDescent="0.25">
      <c r="N4592" s="55"/>
    </row>
    <row r="4593" spans="14:14" x14ac:dyDescent="0.25">
      <c r="N4593" s="55"/>
    </row>
    <row r="4594" spans="14:14" x14ac:dyDescent="0.25">
      <c r="N4594" s="55"/>
    </row>
    <row r="4595" spans="14:14" x14ac:dyDescent="0.25">
      <c r="N4595" s="55"/>
    </row>
    <row r="4596" spans="14:14" x14ac:dyDescent="0.25">
      <c r="N4596" s="55"/>
    </row>
    <row r="4597" spans="14:14" x14ac:dyDescent="0.25">
      <c r="N4597" s="55"/>
    </row>
    <row r="4598" spans="14:14" x14ac:dyDescent="0.25">
      <c r="N4598" s="55"/>
    </row>
    <row r="4599" spans="14:14" x14ac:dyDescent="0.25">
      <c r="N4599" s="55"/>
    </row>
    <row r="4600" spans="14:14" x14ac:dyDescent="0.25">
      <c r="N4600" s="55"/>
    </row>
    <row r="4601" spans="14:14" x14ac:dyDescent="0.25">
      <c r="N4601" s="55"/>
    </row>
    <row r="4602" spans="14:14" x14ac:dyDescent="0.25">
      <c r="N4602" s="55"/>
    </row>
    <row r="4603" spans="14:14" x14ac:dyDescent="0.25">
      <c r="N4603" s="55"/>
    </row>
    <row r="4604" spans="14:14" x14ac:dyDescent="0.25">
      <c r="N4604" s="55"/>
    </row>
    <row r="4605" spans="14:14" x14ac:dyDescent="0.25">
      <c r="N4605" s="55"/>
    </row>
    <row r="4606" spans="14:14" x14ac:dyDescent="0.25">
      <c r="N4606" s="55"/>
    </row>
    <row r="4607" spans="14:14" x14ac:dyDescent="0.25">
      <c r="N4607" s="55"/>
    </row>
    <row r="4608" spans="14:14" x14ac:dyDescent="0.25">
      <c r="N4608" s="55"/>
    </row>
    <row r="4609" spans="14:14" x14ac:dyDescent="0.25">
      <c r="N4609" s="55"/>
    </row>
    <row r="4610" spans="14:14" x14ac:dyDescent="0.25">
      <c r="N4610" s="55"/>
    </row>
    <row r="4611" spans="14:14" x14ac:dyDescent="0.25">
      <c r="N4611" s="55"/>
    </row>
    <row r="4612" spans="14:14" x14ac:dyDescent="0.25">
      <c r="N4612" s="55"/>
    </row>
    <row r="4613" spans="14:14" x14ac:dyDescent="0.25">
      <c r="N4613" s="55"/>
    </row>
    <row r="4614" spans="14:14" x14ac:dyDescent="0.25">
      <c r="N4614" s="55"/>
    </row>
    <row r="4615" spans="14:14" x14ac:dyDescent="0.25">
      <c r="N4615" s="55"/>
    </row>
    <row r="4616" spans="14:14" x14ac:dyDescent="0.25">
      <c r="N4616" s="55"/>
    </row>
    <row r="4617" spans="14:14" x14ac:dyDescent="0.25">
      <c r="N4617" s="55"/>
    </row>
    <row r="4618" spans="14:14" x14ac:dyDescent="0.25">
      <c r="N4618" s="55"/>
    </row>
    <row r="4619" spans="14:14" x14ac:dyDescent="0.25">
      <c r="N4619" s="55"/>
    </row>
    <row r="4620" spans="14:14" x14ac:dyDescent="0.25">
      <c r="N4620" s="55"/>
    </row>
    <row r="4621" spans="14:14" x14ac:dyDescent="0.25">
      <c r="N4621" s="55"/>
    </row>
    <row r="4622" spans="14:14" x14ac:dyDescent="0.25">
      <c r="N4622" s="55"/>
    </row>
    <row r="4623" spans="14:14" x14ac:dyDescent="0.25">
      <c r="N4623" s="55"/>
    </row>
    <row r="4624" spans="14:14" x14ac:dyDescent="0.25">
      <c r="N4624" s="55"/>
    </row>
    <row r="4625" spans="14:14" x14ac:dyDescent="0.25">
      <c r="N4625" s="55"/>
    </row>
    <row r="4626" spans="14:14" x14ac:dyDescent="0.25">
      <c r="N4626" s="55"/>
    </row>
    <row r="4627" spans="14:14" x14ac:dyDescent="0.25">
      <c r="N4627" s="55"/>
    </row>
    <row r="4628" spans="14:14" x14ac:dyDescent="0.25">
      <c r="N4628" s="55"/>
    </row>
    <row r="4629" spans="14:14" x14ac:dyDescent="0.25">
      <c r="N4629" s="55"/>
    </row>
    <row r="4630" spans="14:14" x14ac:dyDescent="0.25">
      <c r="N4630" s="55"/>
    </row>
    <row r="4631" spans="14:14" x14ac:dyDescent="0.25">
      <c r="N4631" s="55"/>
    </row>
    <row r="4632" spans="14:14" x14ac:dyDescent="0.25">
      <c r="N4632" s="55"/>
    </row>
    <row r="4633" spans="14:14" x14ac:dyDescent="0.25">
      <c r="N4633" s="55"/>
    </row>
    <row r="4634" spans="14:14" x14ac:dyDescent="0.25">
      <c r="N4634" s="55"/>
    </row>
    <row r="4635" spans="14:14" x14ac:dyDescent="0.25">
      <c r="N4635" s="55"/>
    </row>
    <row r="4636" spans="14:14" x14ac:dyDescent="0.25">
      <c r="N4636" s="55"/>
    </row>
    <row r="4637" spans="14:14" x14ac:dyDescent="0.25">
      <c r="N4637" s="55"/>
    </row>
    <row r="4638" spans="14:14" x14ac:dyDescent="0.25">
      <c r="N4638" s="55"/>
    </row>
    <row r="4639" spans="14:14" x14ac:dyDescent="0.25">
      <c r="N4639" s="55"/>
    </row>
    <row r="4640" spans="14:14" x14ac:dyDescent="0.25">
      <c r="N4640" s="55"/>
    </row>
    <row r="4641" spans="14:14" x14ac:dyDescent="0.25">
      <c r="N4641" s="55"/>
    </row>
    <row r="4642" spans="14:14" x14ac:dyDescent="0.25">
      <c r="N4642" s="55"/>
    </row>
    <row r="4643" spans="14:14" x14ac:dyDescent="0.25">
      <c r="N4643" s="55"/>
    </row>
    <row r="4644" spans="14:14" x14ac:dyDescent="0.25">
      <c r="N4644" s="55"/>
    </row>
    <row r="4645" spans="14:14" x14ac:dyDescent="0.25">
      <c r="N4645" s="55"/>
    </row>
    <row r="4646" spans="14:14" x14ac:dyDescent="0.25">
      <c r="N4646" s="55"/>
    </row>
    <row r="4647" spans="14:14" x14ac:dyDescent="0.25">
      <c r="N4647" s="55"/>
    </row>
    <row r="4648" spans="14:14" x14ac:dyDescent="0.25">
      <c r="N4648" s="55"/>
    </row>
    <row r="4649" spans="14:14" x14ac:dyDescent="0.25">
      <c r="N4649" s="55"/>
    </row>
    <row r="4650" spans="14:14" x14ac:dyDescent="0.25">
      <c r="N4650" s="55"/>
    </row>
    <row r="4651" spans="14:14" x14ac:dyDescent="0.25">
      <c r="N4651" s="55"/>
    </row>
    <row r="4652" spans="14:14" x14ac:dyDescent="0.25">
      <c r="N4652" s="55"/>
    </row>
    <row r="4653" spans="14:14" x14ac:dyDescent="0.25">
      <c r="N4653" s="55"/>
    </row>
    <row r="4654" spans="14:14" x14ac:dyDescent="0.25">
      <c r="N4654" s="55"/>
    </row>
    <row r="4655" spans="14:14" x14ac:dyDescent="0.25">
      <c r="N4655" s="55"/>
    </row>
    <row r="4656" spans="14:14" x14ac:dyDescent="0.25">
      <c r="N4656" s="55"/>
    </row>
    <row r="4657" spans="14:14" x14ac:dyDescent="0.25">
      <c r="N4657" s="55"/>
    </row>
    <row r="4658" spans="14:14" x14ac:dyDescent="0.25">
      <c r="N4658" s="55"/>
    </row>
    <row r="4659" spans="14:14" x14ac:dyDescent="0.25">
      <c r="N4659" s="55"/>
    </row>
    <row r="4660" spans="14:14" x14ac:dyDescent="0.25">
      <c r="N4660" s="55"/>
    </row>
    <row r="4661" spans="14:14" x14ac:dyDescent="0.25">
      <c r="N4661" s="55"/>
    </row>
    <row r="4662" spans="14:14" x14ac:dyDescent="0.25">
      <c r="N4662" s="55"/>
    </row>
    <row r="4663" spans="14:14" x14ac:dyDescent="0.25">
      <c r="N4663" s="55"/>
    </row>
    <row r="4664" spans="14:14" x14ac:dyDescent="0.25">
      <c r="N4664" s="55"/>
    </row>
    <row r="4665" spans="14:14" x14ac:dyDescent="0.25">
      <c r="N4665" s="55"/>
    </row>
    <row r="4666" spans="14:14" x14ac:dyDescent="0.25">
      <c r="N4666" s="55"/>
    </row>
    <row r="4667" spans="14:14" x14ac:dyDescent="0.25">
      <c r="N4667" s="55"/>
    </row>
    <row r="4668" spans="14:14" x14ac:dyDescent="0.25">
      <c r="N4668" s="55"/>
    </row>
    <row r="4669" spans="14:14" x14ac:dyDescent="0.25">
      <c r="N4669" s="55"/>
    </row>
    <row r="4670" spans="14:14" x14ac:dyDescent="0.25">
      <c r="N4670" s="55"/>
    </row>
    <row r="4671" spans="14:14" x14ac:dyDescent="0.25">
      <c r="N4671" s="55"/>
    </row>
    <row r="4672" spans="14:14" x14ac:dyDescent="0.25">
      <c r="N4672" s="55"/>
    </row>
    <row r="4673" spans="14:14" x14ac:dyDescent="0.25">
      <c r="N4673" s="55"/>
    </row>
    <row r="4674" spans="14:14" x14ac:dyDescent="0.25">
      <c r="N4674" s="55"/>
    </row>
    <row r="4675" spans="14:14" x14ac:dyDescent="0.25">
      <c r="N4675" s="55"/>
    </row>
    <row r="4676" spans="14:14" x14ac:dyDescent="0.25">
      <c r="N4676" s="55"/>
    </row>
    <row r="4677" spans="14:14" x14ac:dyDescent="0.25">
      <c r="N4677" s="55"/>
    </row>
    <row r="4678" spans="14:14" x14ac:dyDescent="0.25">
      <c r="N4678" s="55"/>
    </row>
    <row r="4679" spans="14:14" x14ac:dyDescent="0.25">
      <c r="N4679" s="55"/>
    </row>
    <row r="4680" spans="14:14" x14ac:dyDescent="0.25">
      <c r="N4680" s="55"/>
    </row>
    <row r="4681" spans="14:14" x14ac:dyDescent="0.25">
      <c r="N4681" s="55"/>
    </row>
    <row r="4682" spans="14:14" x14ac:dyDescent="0.25">
      <c r="N4682" s="55"/>
    </row>
    <row r="4683" spans="14:14" x14ac:dyDescent="0.25">
      <c r="N4683" s="55"/>
    </row>
    <row r="4684" spans="14:14" x14ac:dyDescent="0.25">
      <c r="N4684" s="55"/>
    </row>
    <row r="4685" spans="14:14" x14ac:dyDescent="0.25">
      <c r="N4685" s="55"/>
    </row>
    <row r="4686" spans="14:14" x14ac:dyDescent="0.25">
      <c r="N4686" s="55"/>
    </row>
    <row r="4687" spans="14:14" x14ac:dyDescent="0.25">
      <c r="N4687" s="55"/>
    </row>
    <row r="4688" spans="14:14" x14ac:dyDescent="0.25">
      <c r="N4688" s="55"/>
    </row>
    <row r="4689" spans="14:14" x14ac:dyDescent="0.25">
      <c r="N4689" s="55"/>
    </row>
    <row r="4690" spans="14:14" x14ac:dyDescent="0.25">
      <c r="N4690" s="55"/>
    </row>
    <row r="4691" spans="14:14" x14ac:dyDescent="0.25">
      <c r="N4691" s="55"/>
    </row>
    <row r="4692" spans="14:14" x14ac:dyDescent="0.25">
      <c r="N4692" s="55"/>
    </row>
    <row r="4693" spans="14:14" x14ac:dyDescent="0.25">
      <c r="N4693" s="55"/>
    </row>
    <row r="4694" spans="14:14" x14ac:dyDescent="0.25">
      <c r="N4694" s="55"/>
    </row>
    <row r="4695" spans="14:14" x14ac:dyDescent="0.25">
      <c r="N4695" s="55"/>
    </row>
    <row r="4696" spans="14:14" x14ac:dyDescent="0.25">
      <c r="N4696" s="55"/>
    </row>
    <row r="4697" spans="14:14" x14ac:dyDescent="0.25">
      <c r="N4697" s="55"/>
    </row>
    <row r="4698" spans="14:14" x14ac:dyDescent="0.25">
      <c r="N4698" s="55"/>
    </row>
    <row r="4699" spans="14:14" x14ac:dyDescent="0.25">
      <c r="N4699" s="55"/>
    </row>
    <row r="4700" spans="14:14" x14ac:dyDescent="0.25">
      <c r="N4700" s="55"/>
    </row>
    <row r="4701" spans="14:14" x14ac:dyDescent="0.25">
      <c r="N4701" s="55"/>
    </row>
    <row r="4702" spans="14:14" x14ac:dyDescent="0.25">
      <c r="N4702" s="55"/>
    </row>
    <row r="4703" spans="14:14" x14ac:dyDescent="0.25">
      <c r="N4703" s="55"/>
    </row>
    <row r="4704" spans="14:14" x14ac:dyDescent="0.25">
      <c r="N4704" s="55"/>
    </row>
    <row r="4705" spans="14:14" x14ac:dyDescent="0.25">
      <c r="N4705" s="55"/>
    </row>
    <row r="4706" spans="14:14" x14ac:dyDescent="0.25">
      <c r="N4706" s="55"/>
    </row>
    <row r="4707" spans="14:14" x14ac:dyDescent="0.25">
      <c r="N4707" s="55"/>
    </row>
    <row r="4708" spans="14:14" x14ac:dyDescent="0.25">
      <c r="N4708" s="55"/>
    </row>
    <row r="4709" spans="14:14" x14ac:dyDescent="0.25">
      <c r="N4709" s="55"/>
    </row>
    <row r="4710" spans="14:14" x14ac:dyDescent="0.25">
      <c r="N4710" s="55"/>
    </row>
    <row r="4711" spans="14:14" x14ac:dyDescent="0.25">
      <c r="N4711" s="55"/>
    </row>
    <row r="4712" spans="14:14" x14ac:dyDescent="0.25">
      <c r="N4712" s="55"/>
    </row>
    <row r="4713" spans="14:14" x14ac:dyDescent="0.25">
      <c r="N4713" s="55"/>
    </row>
    <row r="4714" spans="14:14" x14ac:dyDescent="0.25">
      <c r="N4714" s="55"/>
    </row>
    <row r="4715" spans="14:14" x14ac:dyDescent="0.25">
      <c r="N4715" s="55"/>
    </row>
    <row r="4716" spans="14:14" x14ac:dyDescent="0.25">
      <c r="N4716" s="55"/>
    </row>
    <row r="4717" spans="14:14" x14ac:dyDescent="0.25">
      <c r="N4717" s="55"/>
    </row>
    <row r="4718" spans="14:14" x14ac:dyDescent="0.25">
      <c r="N4718" s="55"/>
    </row>
    <row r="4719" spans="14:14" x14ac:dyDescent="0.25">
      <c r="N4719" s="55"/>
    </row>
    <row r="4720" spans="14:14" x14ac:dyDescent="0.25">
      <c r="N4720" s="55"/>
    </row>
    <row r="4721" spans="14:14" x14ac:dyDescent="0.25">
      <c r="N4721" s="55"/>
    </row>
    <row r="4722" spans="14:14" x14ac:dyDescent="0.25">
      <c r="N4722" s="55"/>
    </row>
    <row r="4723" spans="14:14" x14ac:dyDescent="0.25">
      <c r="N4723" s="55"/>
    </row>
    <row r="4724" spans="14:14" x14ac:dyDescent="0.25">
      <c r="N4724" s="55"/>
    </row>
    <row r="4725" spans="14:14" x14ac:dyDescent="0.25">
      <c r="N4725" s="55"/>
    </row>
    <row r="4726" spans="14:14" x14ac:dyDescent="0.25">
      <c r="N4726" s="55"/>
    </row>
    <row r="4727" spans="14:14" x14ac:dyDescent="0.25">
      <c r="N4727" s="55"/>
    </row>
    <row r="4728" spans="14:14" x14ac:dyDescent="0.25">
      <c r="N4728" s="55"/>
    </row>
    <row r="4729" spans="14:14" x14ac:dyDescent="0.25">
      <c r="N4729" s="55"/>
    </row>
    <row r="4730" spans="14:14" x14ac:dyDescent="0.25">
      <c r="N4730" s="55"/>
    </row>
    <row r="4731" spans="14:14" x14ac:dyDescent="0.25">
      <c r="N4731" s="55"/>
    </row>
    <row r="4732" spans="14:14" x14ac:dyDescent="0.25">
      <c r="N4732" s="55"/>
    </row>
    <row r="4733" spans="14:14" x14ac:dyDescent="0.25">
      <c r="N4733" s="55"/>
    </row>
    <row r="4734" spans="14:14" x14ac:dyDescent="0.25">
      <c r="N4734" s="55"/>
    </row>
    <row r="4735" spans="14:14" x14ac:dyDescent="0.25">
      <c r="N4735" s="55"/>
    </row>
    <row r="4736" spans="14:14" x14ac:dyDescent="0.25">
      <c r="N4736" s="55"/>
    </row>
    <row r="4737" spans="14:14" x14ac:dyDescent="0.25">
      <c r="N4737" s="55"/>
    </row>
    <row r="4738" spans="14:14" x14ac:dyDescent="0.25">
      <c r="N4738" s="55"/>
    </row>
    <row r="4739" spans="14:14" x14ac:dyDescent="0.25">
      <c r="N4739" s="55"/>
    </row>
    <row r="4740" spans="14:14" x14ac:dyDescent="0.25">
      <c r="N4740" s="55"/>
    </row>
    <row r="4741" spans="14:14" x14ac:dyDescent="0.25">
      <c r="N4741" s="55"/>
    </row>
    <row r="4742" spans="14:14" x14ac:dyDescent="0.25">
      <c r="N4742" s="55"/>
    </row>
    <row r="4743" spans="14:14" x14ac:dyDescent="0.25">
      <c r="N4743" s="55"/>
    </row>
    <row r="4744" spans="14:14" x14ac:dyDescent="0.25">
      <c r="N4744" s="55"/>
    </row>
    <row r="4745" spans="14:14" x14ac:dyDescent="0.25">
      <c r="N4745" s="55"/>
    </row>
    <row r="4746" spans="14:14" x14ac:dyDescent="0.25">
      <c r="N4746" s="55"/>
    </row>
    <row r="4747" spans="14:14" x14ac:dyDescent="0.25">
      <c r="N4747" s="55"/>
    </row>
    <row r="4748" spans="14:14" x14ac:dyDescent="0.25">
      <c r="N4748" s="55"/>
    </row>
    <row r="4749" spans="14:14" x14ac:dyDescent="0.25">
      <c r="N4749" s="55"/>
    </row>
    <row r="4750" spans="14:14" x14ac:dyDescent="0.25">
      <c r="N4750" s="55"/>
    </row>
    <row r="4751" spans="14:14" x14ac:dyDescent="0.25">
      <c r="N4751" s="55"/>
    </row>
    <row r="4752" spans="14:14" x14ac:dyDescent="0.25">
      <c r="N4752" s="55"/>
    </row>
    <row r="4753" spans="14:14" x14ac:dyDescent="0.25">
      <c r="N4753" s="55"/>
    </row>
    <row r="4754" spans="14:14" x14ac:dyDescent="0.25">
      <c r="N4754" s="55"/>
    </row>
    <row r="4755" spans="14:14" x14ac:dyDescent="0.25">
      <c r="N4755" s="55"/>
    </row>
    <row r="4756" spans="14:14" x14ac:dyDescent="0.25">
      <c r="N4756" s="55"/>
    </row>
    <row r="4757" spans="14:14" x14ac:dyDescent="0.25">
      <c r="N4757" s="55"/>
    </row>
    <row r="4758" spans="14:14" x14ac:dyDescent="0.25">
      <c r="N4758" s="55"/>
    </row>
    <row r="4759" spans="14:14" x14ac:dyDescent="0.25">
      <c r="N4759" s="55"/>
    </row>
    <row r="4760" spans="14:14" x14ac:dyDescent="0.25">
      <c r="N4760" s="55"/>
    </row>
    <row r="4761" spans="14:14" x14ac:dyDescent="0.25">
      <c r="N4761" s="55"/>
    </row>
    <row r="4762" spans="14:14" x14ac:dyDescent="0.25">
      <c r="N4762" s="55"/>
    </row>
    <row r="4763" spans="14:14" x14ac:dyDescent="0.25">
      <c r="N4763" s="55"/>
    </row>
    <row r="4764" spans="14:14" x14ac:dyDescent="0.25">
      <c r="N4764" s="55"/>
    </row>
    <row r="4765" spans="14:14" x14ac:dyDescent="0.25">
      <c r="N4765" s="55"/>
    </row>
    <row r="4766" spans="14:14" x14ac:dyDescent="0.25">
      <c r="N4766" s="55"/>
    </row>
    <row r="4767" spans="14:14" x14ac:dyDescent="0.25">
      <c r="N4767" s="55"/>
    </row>
    <row r="4768" spans="14:14" x14ac:dyDescent="0.25">
      <c r="N4768" s="55"/>
    </row>
    <row r="4769" spans="14:14" x14ac:dyDescent="0.25">
      <c r="N4769" s="55"/>
    </row>
    <row r="4770" spans="14:14" x14ac:dyDescent="0.25">
      <c r="N4770" s="55"/>
    </row>
    <row r="4771" spans="14:14" x14ac:dyDescent="0.25">
      <c r="N4771" s="55"/>
    </row>
    <row r="4772" spans="14:14" x14ac:dyDescent="0.25">
      <c r="N4772" s="55"/>
    </row>
    <row r="4773" spans="14:14" x14ac:dyDescent="0.25">
      <c r="N4773" s="55"/>
    </row>
    <row r="4774" spans="14:14" x14ac:dyDescent="0.25">
      <c r="N4774" s="55"/>
    </row>
    <row r="4775" spans="14:14" x14ac:dyDescent="0.25">
      <c r="N4775" s="55"/>
    </row>
    <row r="4776" spans="14:14" x14ac:dyDescent="0.25">
      <c r="N4776" s="55"/>
    </row>
    <row r="4777" spans="14:14" x14ac:dyDescent="0.25">
      <c r="N4777" s="55"/>
    </row>
    <row r="4778" spans="14:14" x14ac:dyDescent="0.25">
      <c r="N4778" s="55"/>
    </row>
    <row r="4779" spans="14:14" x14ac:dyDescent="0.25">
      <c r="N4779" s="55"/>
    </row>
    <row r="4780" spans="14:14" x14ac:dyDescent="0.25">
      <c r="N4780" s="55"/>
    </row>
    <row r="4781" spans="14:14" x14ac:dyDescent="0.25">
      <c r="N4781" s="55"/>
    </row>
    <row r="4782" spans="14:14" x14ac:dyDescent="0.25">
      <c r="N4782" s="55"/>
    </row>
    <row r="4783" spans="14:14" x14ac:dyDescent="0.25">
      <c r="N4783" s="55"/>
    </row>
    <row r="4784" spans="14:14" x14ac:dyDescent="0.25">
      <c r="N4784" s="55"/>
    </row>
    <row r="4785" spans="14:14" x14ac:dyDescent="0.25">
      <c r="N4785" s="55"/>
    </row>
    <row r="4786" spans="14:14" x14ac:dyDescent="0.25">
      <c r="N4786" s="55"/>
    </row>
    <row r="4787" spans="14:14" x14ac:dyDescent="0.25">
      <c r="N4787" s="55"/>
    </row>
    <row r="4788" spans="14:14" x14ac:dyDescent="0.25">
      <c r="N4788" s="55"/>
    </row>
    <row r="4789" spans="14:14" x14ac:dyDescent="0.25">
      <c r="N4789" s="55"/>
    </row>
    <row r="4790" spans="14:14" x14ac:dyDescent="0.25">
      <c r="N4790" s="55"/>
    </row>
    <row r="4791" spans="14:14" x14ac:dyDescent="0.25">
      <c r="N4791" s="55"/>
    </row>
    <row r="4792" spans="14:14" x14ac:dyDescent="0.25">
      <c r="N4792" s="55"/>
    </row>
    <row r="4793" spans="14:14" x14ac:dyDescent="0.25">
      <c r="N4793" s="55"/>
    </row>
    <row r="4794" spans="14:14" x14ac:dyDescent="0.25">
      <c r="N4794" s="55"/>
    </row>
    <row r="4795" spans="14:14" x14ac:dyDescent="0.25">
      <c r="N4795" s="55"/>
    </row>
    <row r="4796" spans="14:14" x14ac:dyDescent="0.25">
      <c r="N4796" s="55"/>
    </row>
    <row r="4797" spans="14:14" x14ac:dyDescent="0.25">
      <c r="N4797" s="55"/>
    </row>
    <row r="4798" spans="14:14" x14ac:dyDescent="0.25">
      <c r="N4798" s="55"/>
    </row>
    <row r="4799" spans="14:14" x14ac:dyDescent="0.25">
      <c r="N4799" s="55"/>
    </row>
    <row r="4800" spans="14:14" x14ac:dyDescent="0.25">
      <c r="N4800" s="55"/>
    </row>
    <row r="4801" spans="14:14" x14ac:dyDescent="0.25">
      <c r="N4801" s="55"/>
    </row>
    <row r="4802" spans="14:14" x14ac:dyDescent="0.25">
      <c r="N4802" s="55"/>
    </row>
    <row r="4803" spans="14:14" x14ac:dyDescent="0.25">
      <c r="N4803" s="55"/>
    </row>
    <row r="4804" spans="14:14" x14ac:dyDescent="0.25">
      <c r="N4804" s="55"/>
    </row>
    <row r="4805" spans="14:14" x14ac:dyDescent="0.25">
      <c r="N4805" s="55"/>
    </row>
    <row r="4806" spans="14:14" x14ac:dyDescent="0.25">
      <c r="N4806" s="55"/>
    </row>
    <row r="4807" spans="14:14" x14ac:dyDescent="0.25">
      <c r="N4807" s="55"/>
    </row>
    <row r="4808" spans="14:14" x14ac:dyDescent="0.25">
      <c r="N4808" s="55"/>
    </row>
    <row r="4809" spans="14:14" x14ac:dyDescent="0.25">
      <c r="N4809" s="55"/>
    </row>
    <row r="4810" spans="14:14" x14ac:dyDescent="0.25">
      <c r="N4810" s="55"/>
    </row>
    <row r="4811" spans="14:14" x14ac:dyDescent="0.25">
      <c r="N4811" s="55"/>
    </row>
    <row r="4812" spans="14:14" x14ac:dyDescent="0.25">
      <c r="N4812" s="55"/>
    </row>
    <row r="4813" spans="14:14" x14ac:dyDescent="0.25">
      <c r="N4813" s="55"/>
    </row>
    <row r="4814" spans="14:14" x14ac:dyDescent="0.25">
      <c r="N4814" s="55"/>
    </row>
    <row r="4815" spans="14:14" x14ac:dyDescent="0.25">
      <c r="N4815" s="55"/>
    </row>
    <row r="4816" spans="14:14" x14ac:dyDescent="0.25">
      <c r="N4816" s="55"/>
    </row>
    <row r="4817" spans="14:14" x14ac:dyDescent="0.25">
      <c r="N4817" s="55"/>
    </row>
    <row r="4818" spans="14:14" x14ac:dyDescent="0.25">
      <c r="N4818" s="55"/>
    </row>
    <row r="4819" spans="14:14" x14ac:dyDescent="0.25">
      <c r="N4819" s="55"/>
    </row>
    <row r="4820" spans="14:14" x14ac:dyDescent="0.25">
      <c r="N4820" s="55"/>
    </row>
    <row r="4821" spans="14:14" x14ac:dyDescent="0.25">
      <c r="N4821" s="55"/>
    </row>
    <row r="4822" spans="14:14" x14ac:dyDescent="0.25">
      <c r="N4822" s="55"/>
    </row>
    <row r="4823" spans="14:14" x14ac:dyDescent="0.25">
      <c r="N4823" s="55"/>
    </row>
    <row r="4824" spans="14:14" x14ac:dyDescent="0.25">
      <c r="N4824" s="55"/>
    </row>
    <row r="4825" spans="14:14" x14ac:dyDescent="0.25">
      <c r="N4825" s="55"/>
    </row>
    <row r="4826" spans="14:14" x14ac:dyDescent="0.25">
      <c r="N4826" s="55"/>
    </row>
    <row r="4827" spans="14:14" x14ac:dyDescent="0.25">
      <c r="N4827" s="55"/>
    </row>
    <row r="4828" spans="14:14" x14ac:dyDescent="0.25">
      <c r="N4828" s="55"/>
    </row>
    <row r="4829" spans="14:14" x14ac:dyDescent="0.25">
      <c r="N4829" s="55"/>
    </row>
    <row r="4830" spans="14:14" x14ac:dyDescent="0.25">
      <c r="N4830" s="55"/>
    </row>
    <row r="4831" spans="14:14" x14ac:dyDescent="0.25">
      <c r="N4831" s="55"/>
    </row>
    <row r="4832" spans="14:14" x14ac:dyDescent="0.25">
      <c r="N4832" s="55"/>
    </row>
    <row r="4833" spans="14:14" x14ac:dyDescent="0.25">
      <c r="N4833" s="55"/>
    </row>
    <row r="4834" spans="14:14" x14ac:dyDescent="0.25">
      <c r="N4834" s="55"/>
    </row>
    <row r="4835" spans="14:14" x14ac:dyDescent="0.25">
      <c r="N4835" s="55"/>
    </row>
    <row r="4836" spans="14:14" x14ac:dyDescent="0.25">
      <c r="N4836" s="55"/>
    </row>
    <row r="4837" spans="14:14" x14ac:dyDescent="0.25">
      <c r="N4837" s="55"/>
    </row>
    <row r="4838" spans="14:14" x14ac:dyDescent="0.25">
      <c r="N4838" s="55"/>
    </row>
    <row r="4839" spans="14:14" x14ac:dyDescent="0.25">
      <c r="N4839" s="55"/>
    </row>
    <row r="4840" spans="14:14" x14ac:dyDescent="0.25">
      <c r="N4840" s="55"/>
    </row>
    <row r="4841" spans="14:14" x14ac:dyDescent="0.25">
      <c r="N4841" s="55"/>
    </row>
    <row r="4842" spans="14:14" x14ac:dyDescent="0.25">
      <c r="N4842" s="55"/>
    </row>
    <row r="4843" spans="14:14" x14ac:dyDescent="0.25">
      <c r="N4843" s="55"/>
    </row>
    <row r="4844" spans="14:14" x14ac:dyDescent="0.25">
      <c r="N4844" s="55"/>
    </row>
    <row r="4845" spans="14:14" x14ac:dyDescent="0.25">
      <c r="N4845" s="55"/>
    </row>
    <row r="4846" spans="14:14" x14ac:dyDescent="0.25">
      <c r="N4846" s="55"/>
    </row>
    <row r="4847" spans="14:14" x14ac:dyDescent="0.25">
      <c r="N4847" s="55"/>
    </row>
    <row r="4848" spans="14:14" x14ac:dyDescent="0.25">
      <c r="N4848" s="55"/>
    </row>
    <row r="4849" spans="14:14" x14ac:dyDescent="0.25">
      <c r="N4849" s="55"/>
    </row>
    <row r="4850" spans="14:14" x14ac:dyDescent="0.25">
      <c r="N4850" s="55"/>
    </row>
    <row r="4851" spans="14:14" x14ac:dyDescent="0.25">
      <c r="N4851" s="55"/>
    </row>
    <row r="4852" spans="14:14" x14ac:dyDescent="0.25">
      <c r="N4852" s="55"/>
    </row>
    <row r="4853" spans="14:14" x14ac:dyDescent="0.25">
      <c r="N4853" s="55"/>
    </row>
    <row r="4854" spans="14:14" x14ac:dyDescent="0.25">
      <c r="N4854" s="55"/>
    </row>
    <row r="4855" spans="14:14" x14ac:dyDescent="0.25">
      <c r="N4855" s="55"/>
    </row>
    <row r="4856" spans="14:14" x14ac:dyDescent="0.25">
      <c r="N4856" s="55"/>
    </row>
    <row r="4857" spans="14:14" x14ac:dyDescent="0.25">
      <c r="N4857" s="55"/>
    </row>
    <row r="4858" spans="14:14" x14ac:dyDescent="0.25">
      <c r="N4858" s="55"/>
    </row>
    <row r="4859" spans="14:14" x14ac:dyDescent="0.25">
      <c r="N4859" s="55"/>
    </row>
    <row r="4860" spans="14:14" x14ac:dyDescent="0.25">
      <c r="N4860" s="55"/>
    </row>
    <row r="4861" spans="14:14" x14ac:dyDescent="0.25">
      <c r="N4861" s="55"/>
    </row>
    <row r="4862" spans="14:14" x14ac:dyDescent="0.25">
      <c r="N4862" s="55"/>
    </row>
    <row r="4863" spans="14:14" x14ac:dyDescent="0.25">
      <c r="N4863" s="55"/>
    </row>
    <row r="4864" spans="14:14" x14ac:dyDescent="0.25">
      <c r="N4864" s="55"/>
    </row>
    <row r="4865" spans="14:14" x14ac:dyDescent="0.25">
      <c r="N4865" s="55"/>
    </row>
    <row r="4866" spans="14:14" x14ac:dyDescent="0.25">
      <c r="N4866" s="55"/>
    </row>
    <row r="4867" spans="14:14" x14ac:dyDescent="0.25">
      <c r="N4867" s="55"/>
    </row>
    <row r="4868" spans="14:14" x14ac:dyDescent="0.25">
      <c r="N4868" s="55"/>
    </row>
    <row r="4869" spans="14:14" x14ac:dyDescent="0.25">
      <c r="N4869" s="55"/>
    </row>
    <row r="4870" spans="14:14" x14ac:dyDescent="0.25">
      <c r="N4870" s="55"/>
    </row>
    <row r="4871" spans="14:14" x14ac:dyDescent="0.25">
      <c r="N4871" s="55"/>
    </row>
    <row r="4872" spans="14:14" x14ac:dyDescent="0.25">
      <c r="N4872" s="55"/>
    </row>
    <row r="4873" spans="14:14" x14ac:dyDescent="0.25">
      <c r="N4873" s="55"/>
    </row>
    <row r="4874" spans="14:14" x14ac:dyDescent="0.25">
      <c r="N4874" s="55"/>
    </row>
    <row r="4875" spans="14:14" x14ac:dyDescent="0.25">
      <c r="N4875" s="55"/>
    </row>
    <row r="4876" spans="14:14" x14ac:dyDescent="0.25">
      <c r="N4876" s="55"/>
    </row>
    <row r="4877" spans="14:14" x14ac:dyDescent="0.25">
      <c r="N4877" s="55"/>
    </row>
    <row r="4878" spans="14:14" x14ac:dyDescent="0.25">
      <c r="N4878" s="55"/>
    </row>
    <row r="4879" spans="14:14" x14ac:dyDescent="0.25">
      <c r="N4879" s="55"/>
    </row>
    <row r="4880" spans="14:14" x14ac:dyDescent="0.25">
      <c r="N4880" s="55"/>
    </row>
    <row r="4881" spans="14:14" x14ac:dyDescent="0.25">
      <c r="N4881" s="55"/>
    </row>
    <row r="4882" spans="14:14" x14ac:dyDescent="0.25">
      <c r="N4882" s="55"/>
    </row>
    <row r="4883" spans="14:14" x14ac:dyDescent="0.25">
      <c r="N4883" s="55"/>
    </row>
    <row r="4884" spans="14:14" x14ac:dyDescent="0.25">
      <c r="N4884" s="55"/>
    </row>
    <row r="4885" spans="14:14" x14ac:dyDescent="0.25">
      <c r="N4885" s="55"/>
    </row>
    <row r="4886" spans="14:14" x14ac:dyDescent="0.25">
      <c r="N4886" s="55"/>
    </row>
    <row r="4887" spans="14:14" x14ac:dyDescent="0.25">
      <c r="N4887" s="55"/>
    </row>
    <row r="4888" spans="14:14" x14ac:dyDescent="0.25">
      <c r="N4888" s="55"/>
    </row>
    <row r="4889" spans="14:14" x14ac:dyDescent="0.25">
      <c r="N4889" s="55"/>
    </row>
    <row r="4890" spans="14:14" x14ac:dyDescent="0.25">
      <c r="N4890" s="55"/>
    </row>
    <row r="4891" spans="14:14" x14ac:dyDescent="0.25">
      <c r="N4891" s="55"/>
    </row>
    <row r="4892" spans="14:14" x14ac:dyDescent="0.25">
      <c r="N4892" s="55"/>
    </row>
    <row r="4893" spans="14:14" x14ac:dyDescent="0.25">
      <c r="N4893" s="55"/>
    </row>
    <row r="4894" spans="14:14" x14ac:dyDescent="0.25">
      <c r="N4894" s="55"/>
    </row>
    <row r="4895" spans="14:14" x14ac:dyDescent="0.25">
      <c r="N4895" s="55"/>
    </row>
    <row r="4896" spans="14:14" x14ac:dyDescent="0.25">
      <c r="N4896" s="55"/>
    </row>
    <row r="4897" spans="14:14" x14ac:dyDescent="0.25">
      <c r="N4897" s="55"/>
    </row>
    <row r="4898" spans="14:14" x14ac:dyDescent="0.25">
      <c r="N4898" s="55"/>
    </row>
    <row r="4899" spans="14:14" x14ac:dyDescent="0.25">
      <c r="N4899" s="55"/>
    </row>
    <row r="4900" spans="14:14" x14ac:dyDescent="0.25">
      <c r="N4900" s="55"/>
    </row>
    <row r="4901" spans="14:14" x14ac:dyDescent="0.25">
      <c r="N4901" s="55"/>
    </row>
    <row r="4902" spans="14:14" x14ac:dyDescent="0.25">
      <c r="N4902" s="55"/>
    </row>
    <row r="4903" spans="14:14" x14ac:dyDescent="0.25">
      <c r="N4903" s="55"/>
    </row>
    <row r="4904" spans="14:14" x14ac:dyDescent="0.25">
      <c r="N4904" s="55"/>
    </row>
    <row r="4905" spans="14:14" x14ac:dyDescent="0.25">
      <c r="N4905" s="55"/>
    </row>
    <row r="4906" spans="14:14" x14ac:dyDescent="0.25">
      <c r="N4906" s="55"/>
    </row>
    <row r="4907" spans="14:14" x14ac:dyDescent="0.25">
      <c r="N4907" s="55"/>
    </row>
    <row r="4908" spans="14:14" x14ac:dyDescent="0.25">
      <c r="N4908" s="55"/>
    </row>
    <row r="4909" spans="14:14" x14ac:dyDescent="0.25">
      <c r="N4909" s="55"/>
    </row>
    <row r="4910" spans="14:14" x14ac:dyDescent="0.25">
      <c r="N4910" s="55"/>
    </row>
    <row r="4911" spans="14:14" x14ac:dyDescent="0.25">
      <c r="N4911" s="55"/>
    </row>
    <row r="4912" spans="14:14" x14ac:dyDescent="0.25">
      <c r="N4912" s="55"/>
    </row>
    <row r="4913" spans="14:14" x14ac:dyDescent="0.25">
      <c r="N4913" s="55"/>
    </row>
    <row r="4914" spans="14:14" x14ac:dyDescent="0.25">
      <c r="N4914" s="55"/>
    </row>
    <row r="4915" spans="14:14" x14ac:dyDescent="0.25">
      <c r="N4915" s="55"/>
    </row>
    <row r="4916" spans="14:14" x14ac:dyDescent="0.25">
      <c r="N4916" s="55"/>
    </row>
    <row r="4917" spans="14:14" x14ac:dyDescent="0.25">
      <c r="N4917" s="55"/>
    </row>
    <row r="4918" spans="14:14" x14ac:dyDescent="0.25">
      <c r="N4918" s="55"/>
    </row>
    <row r="4919" spans="14:14" x14ac:dyDescent="0.25">
      <c r="N4919" s="55"/>
    </row>
    <row r="4920" spans="14:14" x14ac:dyDescent="0.25">
      <c r="N4920" s="55"/>
    </row>
    <row r="4921" spans="14:14" x14ac:dyDescent="0.25">
      <c r="N4921" s="55"/>
    </row>
    <row r="4922" spans="14:14" x14ac:dyDescent="0.25">
      <c r="N4922" s="55"/>
    </row>
    <row r="4923" spans="14:14" x14ac:dyDescent="0.25">
      <c r="N4923" s="55"/>
    </row>
    <row r="4924" spans="14:14" x14ac:dyDescent="0.25">
      <c r="N4924" s="55"/>
    </row>
    <row r="4925" spans="14:14" x14ac:dyDescent="0.25">
      <c r="N4925" s="55"/>
    </row>
    <row r="4926" spans="14:14" x14ac:dyDescent="0.25">
      <c r="N4926" s="55"/>
    </row>
    <row r="4927" spans="14:14" x14ac:dyDescent="0.25">
      <c r="N4927" s="55"/>
    </row>
    <row r="4928" spans="14:14" x14ac:dyDescent="0.25">
      <c r="N4928" s="55"/>
    </row>
    <row r="4929" spans="14:14" x14ac:dyDescent="0.25">
      <c r="N4929" s="55"/>
    </row>
    <row r="4930" spans="14:14" x14ac:dyDescent="0.25">
      <c r="N4930" s="55"/>
    </row>
    <row r="4931" spans="14:14" x14ac:dyDescent="0.25">
      <c r="N4931" s="55"/>
    </row>
    <row r="4932" spans="14:14" x14ac:dyDescent="0.25">
      <c r="N4932" s="55"/>
    </row>
    <row r="4933" spans="14:14" x14ac:dyDescent="0.25">
      <c r="N4933" s="55"/>
    </row>
    <row r="4934" spans="14:14" x14ac:dyDescent="0.25">
      <c r="N4934" s="55"/>
    </row>
    <row r="4935" spans="14:14" x14ac:dyDescent="0.25">
      <c r="N4935" s="55"/>
    </row>
    <row r="4936" spans="14:14" x14ac:dyDescent="0.25">
      <c r="N4936" s="55"/>
    </row>
    <row r="4937" spans="14:14" x14ac:dyDescent="0.25">
      <c r="N4937" s="55"/>
    </row>
    <row r="4938" spans="14:14" x14ac:dyDescent="0.25">
      <c r="N4938" s="55"/>
    </row>
    <row r="4939" spans="14:14" x14ac:dyDescent="0.25">
      <c r="N4939" s="55"/>
    </row>
    <row r="4940" spans="14:14" x14ac:dyDescent="0.25">
      <c r="N4940" s="55"/>
    </row>
    <row r="4941" spans="14:14" x14ac:dyDescent="0.25">
      <c r="N4941" s="55"/>
    </row>
    <row r="4942" spans="14:14" x14ac:dyDescent="0.25">
      <c r="N4942" s="55"/>
    </row>
    <row r="4943" spans="14:14" x14ac:dyDescent="0.25">
      <c r="N4943" s="55"/>
    </row>
    <row r="4944" spans="14:14" x14ac:dyDescent="0.25">
      <c r="N4944" s="55"/>
    </row>
    <row r="4945" spans="14:14" x14ac:dyDescent="0.25">
      <c r="N4945" s="55"/>
    </row>
    <row r="4946" spans="14:14" x14ac:dyDescent="0.25">
      <c r="N4946" s="55"/>
    </row>
    <row r="4947" spans="14:14" x14ac:dyDescent="0.25">
      <c r="N4947" s="55"/>
    </row>
    <row r="4948" spans="14:14" x14ac:dyDescent="0.25">
      <c r="N4948" s="55"/>
    </row>
    <row r="4949" spans="14:14" x14ac:dyDescent="0.25">
      <c r="N4949" s="55"/>
    </row>
    <row r="4950" spans="14:14" x14ac:dyDescent="0.25">
      <c r="N4950" s="55"/>
    </row>
    <row r="4951" spans="14:14" x14ac:dyDescent="0.25">
      <c r="N4951" s="55"/>
    </row>
    <row r="4952" spans="14:14" x14ac:dyDescent="0.25">
      <c r="N4952" s="55"/>
    </row>
    <row r="4953" spans="14:14" x14ac:dyDescent="0.25">
      <c r="N4953" s="55"/>
    </row>
    <row r="4954" spans="14:14" x14ac:dyDescent="0.25">
      <c r="N4954" s="55"/>
    </row>
    <row r="4955" spans="14:14" x14ac:dyDescent="0.25">
      <c r="N4955" s="55"/>
    </row>
    <row r="4956" spans="14:14" x14ac:dyDescent="0.25">
      <c r="N4956" s="55"/>
    </row>
    <row r="4957" spans="14:14" x14ac:dyDescent="0.25">
      <c r="N4957" s="55"/>
    </row>
    <row r="4958" spans="14:14" x14ac:dyDescent="0.25">
      <c r="N4958" s="55"/>
    </row>
    <row r="4959" spans="14:14" x14ac:dyDescent="0.25">
      <c r="N4959" s="55"/>
    </row>
    <row r="4960" spans="14:14" x14ac:dyDescent="0.25">
      <c r="N4960" s="55"/>
    </row>
    <row r="4961" spans="14:14" x14ac:dyDescent="0.25">
      <c r="N4961" s="55"/>
    </row>
    <row r="4962" spans="14:14" x14ac:dyDescent="0.25">
      <c r="N4962" s="55"/>
    </row>
    <row r="4963" spans="14:14" x14ac:dyDescent="0.25">
      <c r="N4963" s="55"/>
    </row>
    <row r="4964" spans="14:14" x14ac:dyDescent="0.25">
      <c r="N4964" s="55"/>
    </row>
    <row r="4965" spans="14:14" x14ac:dyDescent="0.25">
      <c r="N4965" s="55"/>
    </row>
    <row r="4966" spans="14:14" x14ac:dyDescent="0.25">
      <c r="N4966" s="55"/>
    </row>
    <row r="4967" spans="14:14" x14ac:dyDescent="0.25">
      <c r="N4967" s="55"/>
    </row>
    <row r="4968" spans="14:14" x14ac:dyDescent="0.25">
      <c r="N4968" s="55"/>
    </row>
    <row r="4969" spans="14:14" x14ac:dyDescent="0.25">
      <c r="N4969" s="55"/>
    </row>
    <row r="4970" spans="14:14" x14ac:dyDescent="0.25">
      <c r="N4970" s="55"/>
    </row>
    <row r="4971" spans="14:14" x14ac:dyDescent="0.25">
      <c r="N4971" s="55"/>
    </row>
    <row r="4972" spans="14:14" x14ac:dyDescent="0.25">
      <c r="N4972" s="55"/>
    </row>
    <row r="4973" spans="14:14" x14ac:dyDescent="0.25">
      <c r="N4973" s="55"/>
    </row>
    <row r="4974" spans="14:14" x14ac:dyDescent="0.25">
      <c r="N4974" s="55"/>
    </row>
    <row r="4975" spans="14:14" x14ac:dyDescent="0.25">
      <c r="N4975" s="55"/>
    </row>
    <row r="4976" spans="14:14" x14ac:dyDescent="0.25">
      <c r="N4976" s="55"/>
    </row>
    <row r="4977" spans="14:14" x14ac:dyDescent="0.25">
      <c r="N4977" s="55"/>
    </row>
    <row r="4978" spans="14:14" x14ac:dyDescent="0.25">
      <c r="N4978" s="55"/>
    </row>
    <row r="4979" spans="14:14" x14ac:dyDescent="0.25">
      <c r="N4979" s="55"/>
    </row>
    <row r="4980" spans="14:14" x14ac:dyDescent="0.25">
      <c r="N4980" s="55"/>
    </row>
    <row r="4981" spans="14:14" x14ac:dyDescent="0.25">
      <c r="N4981" s="55"/>
    </row>
    <row r="4982" spans="14:14" x14ac:dyDescent="0.25">
      <c r="N4982" s="55"/>
    </row>
    <row r="4983" spans="14:14" x14ac:dyDescent="0.25">
      <c r="N4983" s="55"/>
    </row>
    <row r="4984" spans="14:14" x14ac:dyDescent="0.25">
      <c r="N4984" s="55"/>
    </row>
    <row r="4985" spans="14:14" x14ac:dyDescent="0.25">
      <c r="N4985" s="55"/>
    </row>
    <row r="4986" spans="14:14" x14ac:dyDescent="0.25">
      <c r="N4986" s="55"/>
    </row>
    <row r="4987" spans="14:14" x14ac:dyDescent="0.25">
      <c r="N4987" s="55"/>
    </row>
    <row r="4988" spans="14:14" x14ac:dyDescent="0.25">
      <c r="N4988" s="55"/>
    </row>
    <row r="4989" spans="14:14" x14ac:dyDescent="0.25">
      <c r="N4989" s="55"/>
    </row>
    <row r="4990" spans="14:14" x14ac:dyDescent="0.25">
      <c r="N4990" s="55"/>
    </row>
    <row r="4991" spans="14:14" x14ac:dyDescent="0.25">
      <c r="N4991" s="55"/>
    </row>
    <row r="4992" spans="14:14" x14ac:dyDescent="0.25">
      <c r="N4992" s="55"/>
    </row>
    <row r="4993" spans="14:14" x14ac:dyDescent="0.25">
      <c r="N4993" s="55"/>
    </row>
    <row r="4994" spans="14:14" x14ac:dyDescent="0.25">
      <c r="N4994" s="55"/>
    </row>
    <row r="4995" spans="14:14" x14ac:dyDescent="0.25">
      <c r="N4995" s="55"/>
    </row>
    <row r="4996" spans="14:14" x14ac:dyDescent="0.25">
      <c r="N4996" s="55"/>
    </row>
    <row r="4997" spans="14:14" x14ac:dyDescent="0.25">
      <c r="N4997" s="55"/>
    </row>
    <row r="4998" spans="14:14" x14ac:dyDescent="0.25">
      <c r="N4998" s="55"/>
    </row>
    <row r="4999" spans="14:14" x14ac:dyDescent="0.25">
      <c r="N4999" s="55"/>
    </row>
    <row r="5000" spans="14:14" x14ac:dyDescent="0.25">
      <c r="N5000" s="55"/>
    </row>
    <row r="5001" spans="14:14" x14ac:dyDescent="0.25">
      <c r="N5001" s="55"/>
    </row>
    <row r="5002" spans="14:14" x14ac:dyDescent="0.25">
      <c r="N5002" s="55"/>
    </row>
    <row r="5003" spans="14:14" x14ac:dyDescent="0.25">
      <c r="N5003" s="55"/>
    </row>
    <row r="5004" spans="14:14" x14ac:dyDescent="0.25">
      <c r="N5004" s="55"/>
    </row>
    <row r="5005" spans="14:14" x14ac:dyDescent="0.25">
      <c r="N5005" s="55"/>
    </row>
    <row r="5006" spans="14:14" x14ac:dyDescent="0.25">
      <c r="N5006" s="55"/>
    </row>
    <row r="5007" spans="14:14" x14ac:dyDescent="0.25">
      <c r="N5007" s="55"/>
    </row>
    <row r="5008" spans="14:14" x14ac:dyDescent="0.25">
      <c r="N5008" s="55"/>
    </row>
    <row r="5009" spans="14:14" x14ac:dyDescent="0.25">
      <c r="N5009" s="55"/>
    </row>
    <row r="5010" spans="14:14" x14ac:dyDescent="0.25">
      <c r="N5010" s="55"/>
    </row>
    <row r="5011" spans="14:14" x14ac:dyDescent="0.25">
      <c r="N5011" s="55"/>
    </row>
    <row r="5012" spans="14:14" x14ac:dyDescent="0.25">
      <c r="N5012" s="55"/>
    </row>
    <row r="5013" spans="14:14" x14ac:dyDescent="0.25">
      <c r="N5013" s="55"/>
    </row>
    <row r="5014" spans="14:14" x14ac:dyDescent="0.25">
      <c r="N5014" s="55"/>
    </row>
    <row r="5015" spans="14:14" x14ac:dyDescent="0.25">
      <c r="N5015" s="55"/>
    </row>
    <row r="5016" spans="14:14" x14ac:dyDescent="0.25">
      <c r="N5016" s="55"/>
    </row>
    <row r="5017" spans="14:14" x14ac:dyDescent="0.25">
      <c r="N5017" s="55"/>
    </row>
    <row r="5018" spans="14:14" x14ac:dyDescent="0.25">
      <c r="N5018" s="55"/>
    </row>
    <row r="5019" spans="14:14" x14ac:dyDescent="0.25">
      <c r="N5019" s="55"/>
    </row>
    <row r="5020" spans="14:14" x14ac:dyDescent="0.25">
      <c r="N5020" s="55"/>
    </row>
    <row r="5021" spans="14:14" x14ac:dyDescent="0.25">
      <c r="N5021" s="55"/>
    </row>
    <row r="5022" spans="14:14" x14ac:dyDescent="0.25">
      <c r="N5022" s="55"/>
    </row>
    <row r="5023" spans="14:14" x14ac:dyDescent="0.25">
      <c r="N5023" s="55"/>
    </row>
    <row r="5024" spans="14:14" x14ac:dyDescent="0.25">
      <c r="N5024" s="55"/>
    </row>
    <row r="5025" spans="14:14" x14ac:dyDescent="0.25">
      <c r="N5025" s="55"/>
    </row>
    <row r="5026" spans="14:14" x14ac:dyDescent="0.25">
      <c r="N5026" s="55"/>
    </row>
    <row r="5027" spans="14:14" x14ac:dyDescent="0.25">
      <c r="N5027" s="55"/>
    </row>
    <row r="5028" spans="14:14" x14ac:dyDescent="0.25">
      <c r="N5028" s="55"/>
    </row>
    <row r="5029" spans="14:14" x14ac:dyDescent="0.25">
      <c r="N5029" s="55"/>
    </row>
    <row r="5030" spans="14:14" x14ac:dyDescent="0.25">
      <c r="N5030" s="55"/>
    </row>
    <row r="5031" spans="14:14" x14ac:dyDescent="0.25">
      <c r="N5031" s="55"/>
    </row>
    <row r="5032" spans="14:14" x14ac:dyDescent="0.25">
      <c r="N5032" s="55"/>
    </row>
    <row r="5033" spans="14:14" x14ac:dyDescent="0.25">
      <c r="N5033" s="55"/>
    </row>
    <row r="5034" spans="14:14" x14ac:dyDescent="0.25">
      <c r="N5034" s="55"/>
    </row>
    <row r="5035" spans="14:14" x14ac:dyDescent="0.25">
      <c r="N5035" s="55"/>
    </row>
    <row r="5036" spans="14:14" x14ac:dyDescent="0.25">
      <c r="N5036" s="55"/>
    </row>
    <row r="5037" spans="14:14" x14ac:dyDescent="0.25">
      <c r="N5037" s="55"/>
    </row>
    <row r="5038" spans="14:14" x14ac:dyDescent="0.25">
      <c r="N5038" s="55"/>
    </row>
    <row r="5039" spans="14:14" x14ac:dyDescent="0.25">
      <c r="N5039" s="55"/>
    </row>
    <row r="5040" spans="14:14" x14ac:dyDescent="0.25">
      <c r="N5040" s="55"/>
    </row>
    <row r="5041" spans="14:14" x14ac:dyDescent="0.25">
      <c r="N5041" s="55"/>
    </row>
    <row r="5042" spans="14:14" x14ac:dyDescent="0.25">
      <c r="N5042" s="55"/>
    </row>
    <row r="5043" spans="14:14" x14ac:dyDescent="0.25">
      <c r="N5043" s="55"/>
    </row>
    <row r="5044" spans="14:14" x14ac:dyDescent="0.25">
      <c r="N5044" s="55"/>
    </row>
    <row r="5045" spans="14:14" x14ac:dyDescent="0.25">
      <c r="N5045" s="55"/>
    </row>
    <row r="5046" spans="14:14" x14ac:dyDescent="0.25">
      <c r="N5046" s="55"/>
    </row>
    <row r="5047" spans="14:14" x14ac:dyDescent="0.25">
      <c r="N5047" s="55"/>
    </row>
    <row r="5048" spans="14:14" x14ac:dyDescent="0.25">
      <c r="N5048" s="55"/>
    </row>
    <row r="5049" spans="14:14" x14ac:dyDescent="0.25">
      <c r="N5049" s="55"/>
    </row>
    <row r="5050" spans="14:14" x14ac:dyDescent="0.25">
      <c r="N5050" s="55"/>
    </row>
    <row r="5051" spans="14:14" x14ac:dyDescent="0.25">
      <c r="N5051" s="55"/>
    </row>
    <row r="5052" spans="14:14" x14ac:dyDescent="0.25">
      <c r="N5052" s="55"/>
    </row>
    <row r="5053" spans="14:14" x14ac:dyDescent="0.25">
      <c r="N5053" s="55"/>
    </row>
    <row r="5054" spans="14:14" x14ac:dyDescent="0.25">
      <c r="N5054" s="55"/>
    </row>
    <row r="5055" spans="14:14" x14ac:dyDescent="0.25">
      <c r="N5055" s="55"/>
    </row>
    <row r="5056" spans="14:14" x14ac:dyDescent="0.25">
      <c r="N5056" s="55"/>
    </row>
    <row r="5057" spans="14:14" x14ac:dyDescent="0.25">
      <c r="N5057" s="55"/>
    </row>
    <row r="5058" spans="14:14" x14ac:dyDescent="0.25">
      <c r="N5058" s="55"/>
    </row>
    <row r="5059" spans="14:14" x14ac:dyDescent="0.25">
      <c r="N5059" s="55"/>
    </row>
    <row r="5060" spans="14:14" x14ac:dyDescent="0.25">
      <c r="N5060" s="55"/>
    </row>
    <row r="5061" spans="14:14" x14ac:dyDescent="0.25">
      <c r="N5061" s="55"/>
    </row>
    <row r="5062" spans="14:14" x14ac:dyDescent="0.25">
      <c r="N5062" s="55"/>
    </row>
    <row r="5063" spans="14:14" x14ac:dyDescent="0.25">
      <c r="N5063" s="55"/>
    </row>
    <row r="5064" spans="14:14" x14ac:dyDescent="0.25">
      <c r="N5064" s="55"/>
    </row>
    <row r="5065" spans="14:14" x14ac:dyDescent="0.25">
      <c r="N5065" s="55"/>
    </row>
    <row r="5066" spans="14:14" x14ac:dyDescent="0.25">
      <c r="N5066" s="55"/>
    </row>
    <row r="5067" spans="14:14" x14ac:dyDescent="0.25">
      <c r="N5067" s="55"/>
    </row>
    <row r="5068" spans="14:14" x14ac:dyDescent="0.25">
      <c r="N5068" s="55"/>
    </row>
    <row r="5069" spans="14:14" x14ac:dyDescent="0.25">
      <c r="N5069" s="55"/>
    </row>
    <row r="5070" spans="14:14" x14ac:dyDescent="0.25">
      <c r="N5070" s="55"/>
    </row>
    <row r="5071" spans="14:14" x14ac:dyDescent="0.25">
      <c r="N5071" s="55"/>
    </row>
    <row r="5072" spans="14:14" x14ac:dyDescent="0.25">
      <c r="N5072" s="55"/>
    </row>
    <row r="5073" spans="14:14" x14ac:dyDescent="0.25">
      <c r="N5073" s="55"/>
    </row>
    <row r="5074" spans="14:14" x14ac:dyDescent="0.25">
      <c r="N5074" s="55"/>
    </row>
    <row r="5075" spans="14:14" x14ac:dyDescent="0.25">
      <c r="N5075" s="55"/>
    </row>
    <row r="5076" spans="14:14" x14ac:dyDescent="0.25">
      <c r="N5076" s="55"/>
    </row>
    <row r="5077" spans="14:14" x14ac:dyDescent="0.25">
      <c r="N5077" s="55"/>
    </row>
    <row r="5078" spans="14:14" x14ac:dyDescent="0.25">
      <c r="N5078" s="55"/>
    </row>
    <row r="5079" spans="14:14" x14ac:dyDescent="0.25">
      <c r="N5079" s="55"/>
    </row>
    <row r="5080" spans="14:14" x14ac:dyDescent="0.25">
      <c r="N5080" s="55"/>
    </row>
    <row r="5081" spans="14:14" x14ac:dyDescent="0.25">
      <c r="N5081" s="55"/>
    </row>
    <row r="5082" spans="14:14" x14ac:dyDescent="0.25">
      <c r="N5082" s="55"/>
    </row>
    <row r="5083" spans="14:14" x14ac:dyDescent="0.25">
      <c r="N5083" s="55"/>
    </row>
    <row r="5084" spans="14:14" x14ac:dyDescent="0.25">
      <c r="N5084" s="55"/>
    </row>
    <row r="5085" spans="14:14" x14ac:dyDescent="0.25">
      <c r="N5085" s="55"/>
    </row>
    <row r="5086" spans="14:14" x14ac:dyDescent="0.25">
      <c r="N5086" s="55"/>
    </row>
    <row r="5087" spans="14:14" x14ac:dyDescent="0.25">
      <c r="N5087" s="55"/>
    </row>
    <row r="5088" spans="14:14" x14ac:dyDescent="0.25">
      <c r="N5088" s="55"/>
    </row>
    <row r="5089" spans="14:14" x14ac:dyDescent="0.25">
      <c r="N5089" s="55"/>
    </row>
    <row r="5090" spans="14:14" x14ac:dyDescent="0.25">
      <c r="N5090" s="55"/>
    </row>
    <row r="5091" spans="14:14" x14ac:dyDescent="0.25">
      <c r="N5091" s="55"/>
    </row>
    <row r="5092" spans="14:14" x14ac:dyDescent="0.25">
      <c r="N5092" s="55"/>
    </row>
    <row r="5093" spans="14:14" x14ac:dyDescent="0.25">
      <c r="N5093" s="55"/>
    </row>
    <row r="5094" spans="14:14" x14ac:dyDescent="0.25">
      <c r="N5094" s="55"/>
    </row>
    <row r="5095" spans="14:14" x14ac:dyDescent="0.25">
      <c r="N5095" s="55"/>
    </row>
    <row r="5096" spans="14:14" x14ac:dyDescent="0.25">
      <c r="N5096" s="55"/>
    </row>
    <row r="5097" spans="14:14" x14ac:dyDescent="0.25">
      <c r="N5097" s="55"/>
    </row>
    <row r="5098" spans="14:14" x14ac:dyDescent="0.25">
      <c r="N5098" s="55"/>
    </row>
    <row r="5099" spans="14:14" x14ac:dyDescent="0.25">
      <c r="N5099" s="55"/>
    </row>
    <row r="5100" spans="14:14" x14ac:dyDescent="0.25">
      <c r="N5100" s="55"/>
    </row>
    <row r="5101" spans="14:14" x14ac:dyDescent="0.25">
      <c r="N5101" s="55"/>
    </row>
    <row r="5102" spans="14:14" x14ac:dyDescent="0.25">
      <c r="N5102" s="55"/>
    </row>
    <row r="5103" spans="14:14" x14ac:dyDescent="0.25">
      <c r="N5103" s="55"/>
    </row>
    <row r="5104" spans="14:14" x14ac:dyDescent="0.25">
      <c r="N5104" s="55"/>
    </row>
    <row r="5105" spans="14:14" x14ac:dyDescent="0.25">
      <c r="N5105" s="55"/>
    </row>
    <row r="5106" spans="14:14" x14ac:dyDescent="0.25">
      <c r="N5106" s="55"/>
    </row>
    <row r="5107" spans="14:14" x14ac:dyDescent="0.25">
      <c r="N5107" s="55"/>
    </row>
    <row r="5108" spans="14:14" x14ac:dyDescent="0.25">
      <c r="N5108" s="55"/>
    </row>
    <row r="5109" spans="14:14" x14ac:dyDescent="0.25">
      <c r="N5109" s="55"/>
    </row>
    <row r="5110" spans="14:14" x14ac:dyDescent="0.25">
      <c r="N5110" s="55"/>
    </row>
    <row r="5111" spans="14:14" x14ac:dyDescent="0.25">
      <c r="N5111" s="55"/>
    </row>
    <row r="5112" spans="14:14" x14ac:dyDescent="0.25">
      <c r="N5112" s="55"/>
    </row>
    <row r="5113" spans="14:14" x14ac:dyDescent="0.25">
      <c r="N5113" s="55"/>
    </row>
    <row r="5114" spans="14:14" x14ac:dyDescent="0.25">
      <c r="N5114" s="55"/>
    </row>
    <row r="5115" spans="14:14" x14ac:dyDescent="0.25">
      <c r="N5115" s="55"/>
    </row>
    <row r="5116" spans="14:14" x14ac:dyDescent="0.25">
      <c r="N5116" s="55"/>
    </row>
    <row r="5117" spans="14:14" x14ac:dyDescent="0.25">
      <c r="N5117" s="55"/>
    </row>
    <row r="5118" spans="14:14" x14ac:dyDescent="0.25">
      <c r="N5118" s="55"/>
    </row>
    <row r="5119" spans="14:14" x14ac:dyDescent="0.25">
      <c r="N5119" s="55"/>
    </row>
    <row r="5120" spans="14:14" x14ac:dyDescent="0.25">
      <c r="N5120" s="55"/>
    </row>
    <row r="5121" spans="14:14" x14ac:dyDescent="0.25">
      <c r="N5121" s="55"/>
    </row>
    <row r="5122" spans="14:14" x14ac:dyDescent="0.25">
      <c r="N5122" s="55"/>
    </row>
    <row r="5123" spans="14:14" x14ac:dyDescent="0.25">
      <c r="N5123" s="55"/>
    </row>
    <row r="5124" spans="14:14" x14ac:dyDescent="0.25">
      <c r="N5124" s="55"/>
    </row>
    <row r="5125" spans="14:14" x14ac:dyDescent="0.25">
      <c r="N5125" s="55"/>
    </row>
    <row r="5126" spans="14:14" x14ac:dyDescent="0.25">
      <c r="N5126" s="55"/>
    </row>
    <row r="5127" spans="14:14" x14ac:dyDescent="0.25">
      <c r="N5127" s="55"/>
    </row>
    <row r="5128" spans="14:14" x14ac:dyDescent="0.25">
      <c r="N5128" s="55"/>
    </row>
    <row r="5129" spans="14:14" x14ac:dyDescent="0.25">
      <c r="N5129" s="55"/>
    </row>
    <row r="5130" spans="14:14" x14ac:dyDescent="0.25">
      <c r="N5130" s="55"/>
    </row>
    <row r="5131" spans="14:14" x14ac:dyDescent="0.25">
      <c r="N5131" s="55"/>
    </row>
    <row r="5132" spans="14:14" x14ac:dyDescent="0.25">
      <c r="N5132" s="55"/>
    </row>
    <row r="5133" spans="14:14" x14ac:dyDescent="0.25">
      <c r="N5133" s="55"/>
    </row>
    <row r="5134" spans="14:14" x14ac:dyDescent="0.25">
      <c r="N5134" s="55"/>
    </row>
    <row r="5135" spans="14:14" x14ac:dyDescent="0.25">
      <c r="N5135" s="55"/>
    </row>
    <row r="5136" spans="14:14" x14ac:dyDescent="0.25">
      <c r="N5136" s="55"/>
    </row>
    <row r="5137" spans="14:14" x14ac:dyDescent="0.25">
      <c r="N5137" s="55"/>
    </row>
    <row r="5138" spans="14:14" x14ac:dyDescent="0.25">
      <c r="N5138" s="55"/>
    </row>
    <row r="5139" spans="14:14" x14ac:dyDescent="0.25">
      <c r="N5139" s="55"/>
    </row>
    <row r="5140" spans="14:14" x14ac:dyDescent="0.25">
      <c r="N5140" s="55"/>
    </row>
    <row r="5141" spans="14:14" x14ac:dyDescent="0.25">
      <c r="N5141" s="55"/>
    </row>
    <row r="5142" spans="14:14" x14ac:dyDescent="0.25">
      <c r="N5142" s="55"/>
    </row>
    <row r="5143" spans="14:14" x14ac:dyDescent="0.25">
      <c r="N5143" s="55"/>
    </row>
    <row r="5144" spans="14:14" x14ac:dyDescent="0.25">
      <c r="N5144" s="55"/>
    </row>
    <row r="5145" spans="14:14" x14ac:dyDescent="0.25">
      <c r="N5145" s="55"/>
    </row>
    <row r="5146" spans="14:14" x14ac:dyDescent="0.25">
      <c r="N5146" s="55"/>
    </row>
    <row r="5147" spans="14:14" x14ac:dyDescent="0.25">
      <c r="N5147" s="55"/>
    </row>
    <row r="5148" spans="14:14" x14ac:dyDescent="0.25">
      <c r="N5148" s="55"/>
    </row>
    <row r="5149" spans="14:14" x14ac:dyDescent="0.25">
      <c r="N5149" s="55"/>
    </row>
    <row r="5150" spans="14:14" x14ac:dyDescent="0.25">
      <c r="N5150" s="55"/>
    </row>
    <row r="5151" spans="14:14" x14ac:dyDescent="0.25">
      <c r="N5151" s="55"/>
    </row>
    <row r="5152" spans="14:14" x14ac:dyDescent="0.25">
      <c r="N5152" s="55"/>
    </row>
    <row r="5153" spans="14:14" x14ac:dyDescent="0.25">
      <c r="N5153" s="55"/>
    </row>
    <row r="5154" spans="14:14" x14ac:dyDescent="0.25">
      <c r="N5154" s="55"/>
    </row>
    <row r="5155" spans="14:14" x14ac:dyDescent="0.25">
      <c r="N5155" s="55"/>
    </row>
    <row r="5156" spans="14:14" x14ac:dyDescent="0.25">
      <c r="N5156" s="55"/>
    </row>
    <row r="5157" spans="14:14" x14ac:dyDescent="0.25">
      <c r="N5157" s="55"/>
    </row>
    <row r="5158" spans="14:14" x14ac:dyDescent="0.25">
      <c r="N5158" s="55"/>
    </row>
    <row r="5159" spans="14:14" x14ac:dyDescent="0.25">
      <c r="N5159" s="55"/>
    </row>
    <row r="5160" spans="14:14" x14ac:dyDescent="0.25">
      <c r="N5160" s="55"/>
    </row>
    <row r="5161" spans="14:14" x14ac:dyDescent="0.25">
      <c r="N5161" s="55"/>
    </row>
    <row r="5162" spans="14:14" x14ac:dyDescent="0.25">
      <c r="N5162" s="55"/>
    </row>
    <row r="5163" spans="14:14" x14ac:dyDescent="0.25">
      <c r="N5163" s="55"/>
    </row>
    <row r="5164" spans="14:14" x14ac:dyDescent="0.25">
      <c r="N5164" s="55"/>
    </row>
    <row r="5165" spans="14:14" x14ac:dyDescent="0.25">
      <c r="N5165" s="55"/>
    </row>
    <row r="5166" spans="14:14" x14ac:dyDescent="0.25">
      <c r="N5166" s="55"/>
    </row>
    <row r="5167" spans="14:14" x14ac:dyDescent="0.25">
      <c r="N5167" s="55"/>
    </row>
    <row r="5168" spans="14:14" x14ac:dyDescent="0.25">
      <c r="N5168" s="55"/>
    </row>
    <row r="5169" spans="14:14" x14ac:dyDescent="0.25">
      <c r="N5169" s="55"/>
    </row>
    <row r="5170" spans="14:14" x14ac:dyDescent="0.25">
      <c r="N5170" s="55"/>
    </row>
    <row r="5171" spans="14:14" x14ac:dyDescent="0.25">
      <c r="N5171" s="55"/>
    </row>
    <row r="5172" spans="14:14" x14ac:dyDescent="0.25">
      <c r="N5172" s="55"/>
    </row>
    <row r="5173" spans="14:14" x14ac:dyDescent="0.25">
      <c r="N5173" s="55"/>
    </row>
    <row r="5174" spans="14:14" x14ac:dyDescent="0.25">
      <c r="N5174" s="55"/>
    </row>
    <row r="5175" spans="14:14" x14ac:dyDescent="0.25">
      <c r="N5175" s="55"/>
    </row>
    <row r="5176" spans="14:14" x14ac:dyDescent="0.25">
      <c r="N5176" s="55"/>
    </row>
    <row r="5177" spans="14:14" x14ac:dyDescent="0.25">
      <c r="N5177" s="55"/>
    </row>
    <row r="5178" spans="14:14" x14ac:dyDescent="0.25">
      <c r="N5178" s="55"/>
    </row>
    <row r="5179" spans="14:14" x14ac:dyDescent="0.25">
      <c r="N5179" s="55"/>
    </row>
    <row r="5180" spans="14:14" x14ac:dyDescent="0.25">
      <c r="N5180" s="55"/>
    </row>
    <row r="5181" spans="14:14" x14ac:dyDescent="0.25">
      <c r="N5181" s="55"/>
    </row>
    <row r="5182" spans="14:14" x14ac:dyDescent="0.25">
      <c r="N5182" s="55"/>
    </row>
    <row r="5183" spans="14:14" x14ac:dyDescent="0.25">
      <c r="N5183" s="55"/>
    </row>
    <row r="5184" spans="14:14" x14ac:dyDescent="0.25">
      <c r="N5184" s="55"/>
    </row>
    <row r="5185" spans="14:14" x14ac:dyDescent="0.25">
      <c r="N5185" s="55"/>
    </row>
    <row r="5186" spans="14:14" x14ac:dyDescent="0.25">
      <c r="N5186" s="55"/>
    </row>
    <row r="5187" spans="14:14" x14ac:dyDescent="0.25">
      <c r="N5187" s="55"/>
    </row>
    <row r="5188" spans="14:14" x14ac:dyDescent="0.25">
      <c r="N5188" s="55"/>
    </row>
    <row r="5189" spans="14:14" x14ac:dyDescent="0.25">
      <c r="N5189" s="55"/>
    </row>
    <row r="5190" spans="14:14" x14ac:dyDescent="0.25">
      <c r="N5190" s="55"/>
    </row>
    <row r="5191" spans="14:14" x14ac:dyDescent="0.25">
      <c r="N5191" s="55"/>
    </row>
    <row r="5192" spans="14:14" x14ac:dyDescent="0.25">
      <c r="N5192" s="55"/>
    </row>
    <row r="5193" spans="14:14" x14ac:dyDescent="0.25">
      <c r="N5193" s="55"/>
    </row>
    <row r="5194" spans="14:14" x14ac:dyDescent="0.25">
      <c r="N5194" s="55"/>
    </row>
    <row r="5195" spans="14:14" x14ac:dyDescent="0.25">
      <c r="N5195" s="55"/>
    </row>
    <row r="5196" spans="14:14" x14ac:dyDescent="0.25">
      <c r="N5196" s="55"/>
    </row>
    <row r="5197" spans="14:14" x14ac:dyDescent="0.25">
      <c r="N5197" s="55"/>
    </row>
    <row r="5198" spans="14:14" x14ac:dyDescent="0.25">
      <c r="N5198" s="55"/>
    </row>
    <row r="5199" spans="14:14" x14ac:dyDescent="0.25">
      <c r="N5199" s="55"/>
    </row>
    <row r="5200" spans="14:14" x14ac:dyDescent="0.25">
      <c r="N5200" s="55"/>
    </row>
    <row r="5201" spans="14:14" x14ac:dyDescent="0.25">
      <c r="N5201" s="55"/>
    </row>
    <row r="5202" spans="14:14" x14ac:dyDescent="0.25">
      <c r="N5202" s="55"/>
    </row>
    <row r="5203" spans="14:14" x14ac:dyDescent="0.25">
      <c r="N5203" s="55"/>
    </row>
    <row r="5204" spans="14:14" x14ac:dyDescent="0.25">
      <c r="N5204" s="55"/>
    </row>
    <row r="5205" spans="14:14" x14ac:dyDescent="0.25">
      <c r="N5205" s="55"/>
    </row>
    <row r="5206" spans="14:14" x14ac:dyDescent="0.25">
      <c r="N5206" s="55"/>
    </row>
    <row r="5207" spans="14:14" x14ac:dyDescent="0.25">
      <c r="N5207" s="55"/>
    </row>
    <row r="5208" spans="14:14" x14ac:dyDescent="0.25">
      <c r="N5208" s="55"/>
    </row>
    <row r="5209" spans="14:14" x14ac:dyDescent="0.25">
      <c r="N5209" s="55"/>
    </row>
    <row r="5210" spans="14:14" x14ac:dyDescent="0.25">
      <c r="N5210" s="55"/>
    </row>
    <row r="5211" spans="14:14" x14ac:dyDescent="0.25">
      <c r="N5211" s="55"/>
    </row>
    <row r="5212" spans="14:14" x14ac:dyDescent="0.25">
      <c r="N5212" s="55"/>
    </row>
    <row r="5213" spans="14:14" x14ac:dyDescent="0.25">
      <c r="N5213" s="55"/>
    </row>
    <row r="5214" spans="14:14" x14ac:dyDescent="0.25">
      <c r="N5214" s="55"/>
    </row>
    <row r="5215" spans="14:14" x14ac:dyDescent="0.25">
      <c r="N5215" s="55"/>
    </row>
    <row r="5216" spans="14:14" x14ac:dyDescent="0.25">
      <c r="N5216" s="55"/>
    </row>
    <row r="5217" spans="14:14" x14ac:dyDescent="0.25">
      <c r="N5217" s="55"/>
    </row>
    <row r="5218" spans="14:14" x14ac:dyDescent="0.25">
      <c r="N5218" s="55"/>
    </row>
    <row r="5219" spans="14:14" x14ac:dyDescent="0.25">
      <c r="N5219" s="55"/>
    </row>
    <row r="5220" spans="14:14" x14ac:dyDescent="0.25">
      <c r="N5220" s="55"/>
    </row>
    <row r="5221" spans="14:14" x14ac:dyDescent="0.25">
      <c r="N5221" s="55"/>
    </row>
    <row r="5222" spans="14:14" x14ac:dyDescent="0.25">
      <c r="N5222" s="55"/>
    </row>
    <row r="5223" spans="14:14" x14ac:dyDescent="0.25">
      <c r="N5223" s="55"/>
    </row>
    <row r="5224" spans="14:14" x14ac:dyDescent="0.25">
      <c r="N5224" s="55"/>
    </row>
    <row r="5225" spans="14:14" x14ac:dyDescent="0.25">
      <c r="N5225" s="55"/>
    </row>
    <row r="5226" spans="14:14" x14ac:dyDescent="0.25">
      <c r="N5226" s="55"/>
    </row>
    <row r="5227" spans="14:14" x14ac:dyDescent="0.25">
      <c r="N5227" s="55"/>
    </row>
    <row r="5228" spans="14:14" x14ac:dyDescent="0.25">
      <c r="N5228" s="55"/>
    </row>
    <row r="5229" spans="14:14" x14ac:dyDescent="0.25">
      <c r="N5229" s="55"/>
    </row>
    <row r="5230" spans="14:14" x14ac:dyDescent="0.25">
      <c r="N5230" s="55"/>
    </row>
    <row r="5231" spans="14:14" x14ac:dyDescent="0.25">
      <c r="N5231" s="55"/>
    </row>
    <row r="5232" spans="14:14" x14ac:dyDescent="0.25">
      <c r="N5232" s="55"/>
    </row>
    <row r="5233" spans="14:14" x14ac:dyDescent="0.25">
      <c r="N5233" s="55"/>
    </row>
    <row r="5234" spans="14:14" x14ac:dyDescent="0.25">
      <c r="N5234" s="55"/>
    </row>
    <row r="5235" spans="14:14" x14ac:dyDescent="0.25">
      <c r="N5235" s="55"/>
    </row>
    <row r="5236" spans="14:14" x14ac:dyDescent="0.25">
      <c r="N5236" s="55"/>
    </row>
    <row r="5237" spans="14:14" x14ac:dyDescent="0.25">
      <c r="N5237" s="55"/>
    </row>
    <row r="5238" spans="14:14" x14ac:dyDescent="0.25">
      <c r="N5238" s="55"/>
    </row>
    <row r="5239" spans="14:14" x14ac:dyDescent="0.25">
      <c r="N5239" s="55"/>
    </row>
    <row r="5240" spans="14:14" x14ac:dyDescent="0.25">
      <c r="N5240" s="55"/>
    </row>
    <row r="5241" spans="14:14" x14ac:dyDescent="0.25">
      <c r="N5241" s="55"/>
    </row>
    <row r="5242" spans="14:14" x14ac:dyDescent="0.25">
      <c r="N5242" s="55"/>
    </row>
    <row r="5243" spans="14:14" x14ac:dyDescent="0.25">
      <c r="N5243" s="55"/>
    </row>
    <row r="5244" spans="14:14" x14ac:dyDescent="0.25">
      <c r="N5244" s="55"/>
    </row>
    <row r="5245" spans="14:14" x14ac:dyDescent="0.25">
      <c r="N5245" s="55"/>
    </row>
    <row r="5246" spans="14:14" x14ac:dyDescent="0.25">
      <c r="N5246" s="55"/>
    </row>
    <row r="5247" spans="14:14" x14ac:dyDescent="0.25">
      <c r="N5247" s="55"/>
    </row>
    <row r="5248" spans="14:14" x14ac:dyDescent="0.25">
      <c r="N5248" s="55"/>
    </row>
    <row r="5249" spans="14:14" x14ac:dyDescent="0.25">
      <c r="N5249" s="55"/>
    </row>
    <row r="5250" spans="14:14" x14ac:dyDescent="0.25">
      <c r="N5250" s="55"/>
    </row>
    <row r="5251" spans="14:14" x14ac:dyDescent="0.25">
      <c r="N5251" s="55"/>
    </row>
    <row r="5252" spans="14:14" x14ac:dyDescent="0.25">
      <c r="N5252" s="55"/>
    </row>
    <row r="5253" spans="14:14" x14ac:dyDescent="0.25">
      <c r="N5253" s="55"/>
    </row>
    <row r="5254" spans="14:14" x14ac:dyDescent="0.25">
      <c r="N5254" s="55"/>
    </row>
    <row r="5255" spans="14:14" x14ac:dyDescent="0.25">
      <c r="N5255" s="55"/>
    </row>
    <row r="5256" spans="14:14" x14ac:dyDescent="0.25">
      <c r="N5256" s="55"/>
    </row>
    <row r="5257" spans="14:14" x14ac:dyDescent="0.25">
      <c r="N5257" s="55"/>
    </row>
    <row r="5258" spans="14:14" x14ac:dyDescent="0.25">
      <c r="N5258" s="55"/>
    </row>
    <row r="5259" spans="14:14" x14ac:dyDescent="0.25">
      <c r="N5259" s="55"/>
    </row>
    <row r="5260" spans="14:14" x14ac:dyDescent="0.25">
      <c r="N5260" s="55"/>
    </row>
    <row r="5261" spans="14:14" x14ac:dyDescent="0.25">
      <c r="N5261" s="55"/>
    </row>
    <row r="5262" spans="14:14" x14ac:dyDescent="0.25">
      <c r="N5262" s="55"/>
    </row>
    <row r="5263" spans="14:14" x14ac:dyDescent="0.25">
      <c r="N5263" s="55"/>
    </row>
    <row r="5264" spans="14:14" x14ac:dyDescent="0.25">
      <c r="N5264" s="55"/>
    </row>
    <row r="5265" spans="14:14" x14ac:dyDescent="0.25">
      <c r="N5265" s="55"/>
    </row>
    <row r="5266" spans="14:14" x14ac:dyDescent="0.25">
      <c r="N5266" s="55"/>
    </row>
    <row r="5267" spans="14:14" x14ac:dyDescent="0.25">
      <c r="N5267" s="55"/>
    </row>
    <row r="5268" spans="14:14" x14ac:dyDescent="0.25">
      <c r="N5268" s="55"/>
    </row>
    <row r="5269" spans="14:14" x14ac:dyDescent="0.25">
      <c r="N5269" s="55"/>
    </row>
    <row r="5270" spans="14:14" x14ac:dyDescent="0.25">
      <c r="N5270" s="55"/>
    </row>
    <row r="5271" spans="14:14" x14ac:dyDescent="0.25">
      <c r="N5271" s="55"/>
    </row>
    <row r="5272" spans="14:14" x14ac:dyDescent="0.25">
      <c r="N5272" s="55"/>
    </row>
    <row r="5273" spans="14:14" x14ac:dyDescent="0.25">
      <c r="N5273" s="55"/>
    </row>
    <row r="5274" spans="14:14" x14ac:dyDescent="0.25">
      <c r="N5274" s="55"/>
    </row>
    <row r="5275" spans="14:14" x14ac:dyDescent="0.25">
      <c r="N5275" s="55"/>
    </row>
    <row r="5276" spans="14:14" x14ac:dyDescent="0.25">
      <c r="N5276" s="55"/>
    </row>
    <row r="5277" spans="14:14" x14ac:dyDescent="0.25">
      <c r="N5277" s="55"/>
    </row>
    <row r="5278" spans="14:14" x14ac:dyDescent="0.25">
      <c r="N5278" s="55"/>
    </row>
    <row r="5279" spans="14:14" x14ac:dyDescent="0.25">
      <c r="N5279" s="55"/>
    </row>
    <row r="5280" spans="14:14" x14ac:dyDescent="0.25">
      <c r="N5280" s="55"/>
    </row>
    <row r="5281" spans="14:14" x14ac:dyDescent="0.25">
      <c r="N5281" s="55"/>
    </row>
    <row r="5282" spans="14:14" x14ac:dyDescent="0.25">
      <c r="N5282" s="55"/>
    </row>
    <row r="5283" spans="14:14" x14ac:dyDescent="0.25">
      <c r="N5283" s="55"/>
    </row>
    <row r="5284" spans="14:14" x14ac:dyDescent="0.25">
      <c r="N5284" s="55"/>
    </row>
    <row r="5285" spans="14:14" x14ac:dyDescent="0.25">
      <c r="N5285" s="55"/>
    </row>
    <row r="5286" spans="14:14" x14ac:dyDescent="0.25">
      <c r="N5286" s="55"/>
    </row>
    <row r="5287" spans="14:14" x14ac:dyDescent="0.25">
      <c r="N5287" s="55"/>
    </row>
    <row r="5288" spans="14:14" x14ac:dyDescent="0.25">
      <c r="N5288" s="55"/>
    </row>
    <row r="5289" spans="14:14" x14ac:dyDescent="0.25">
      <c r="N5289" s="55"/>
    </row>
    <row r="5290" spans="14:14" x14ac:dyDescent="0.25">
      <c r="N5290" s="55"/>
    </row>
    <row r="5291" spans="14:14" x14ac:dyDescent="0.25">
      <c r="N5291" s="55"/>
    </row>
    <row r="5292" spans="14:14" x14ac:dyDescent="0.25">
      <c r="N5292" s="55"/>
    </row>
    <row r="5293" spans="14:14" x14ac:dyDescent="0.25">
      <c r="N5293" s="55"/>
    </row>
    <row r="5294" spans="14:14" x14ac:dyDescent="0.25">
      <c r="N5294" s="55"/>
    </row>
    <row r="5295" spans="14:14" x14ac:dyDescent="0.25">
      <c r="N5295" s="55"/>
    </row>
    <row r="5296" spans="14:14" x14ac:dyDescent="0.25">
      <c r="N5296" s="55"/>
    </row>
    <row r="5297" spans="14:14" x14ac:dyDescent="0.25">
      <c r="N5297" s="55"/>
    </row>
    <row r="5298" spans="14:14" x14ac:dyDescent="0.25">
      <c r="N5298" s="55"/>
    </row>
    <row r="5299" spans="14:14" x14ac:dyDescent="0.25">
      <c r="N5299" s="55"/>
    </row>
    <row r="5300" spans="14:14" x14ac:dyDescent="0.25">
      <c r="N5300" s="55"/>
    </row>
    <row r="5301" spans="14:14" x14ac:dyDescent="0.25">
      <c r="N5301" s="55"/>
    </row>
    <row r="5302" spans="14:14" x14ac:dyDescent="0.25">
      <c r="N5302" s="55"/>
    </row>
    <row r="5303" spans="14:14" x14ac:dyDescent="0.25">
      <c r="N5303" s="55"/>
    </row>
    <row r="5304" spans="14:14" x14ac:dyDescent="0.25">
      <c r="N5304" s="55"/>
    </row>
    <row r="5305" spans="14:14" x14ac:dyDescent="0.25">
      <c r="N5305" s="55"/>
    </row>
    <row r="5306" spans="14:14" x14ac:dyDescent="0.25">
      <c r="N5306" s="55"/>
    </row>
    <row r="5307" spans="14:14" x14ac:dyDescent="0.25">
      <c r="N5307" s="55"/>
    </row>
    <row r="5308" spans="14:14" x14ac:dyDescent="0.25">
      <c r="N5308" s="55"/>
    </row>
    <row r="5309" spans="14:14" x14ac:dyDescent="0.25">
      <c r="N5309" s="55"/>
    </row>
    <row r="5310" spans="14:14" x14ac:dyDescent="0.25">
      <c r="N5310" s="55"/>
    </row>
    <row r="5311" spans="14:14" x14ac:dyDescent="0.25">
      <c r="N5311" s="55"/>
    </row>
    <row r="5312" spans="14:14" x14ac:dyDescent="0.25">
      <c r="N5312" s="55"/>
    </row>
    <row r="5313" spans="14:14" x14ac:dyDescent="0.25">
      <c r="N5313" s="55"/>
    </row>
    <row r="5314" spans="14:14" x14ac:dyDescent="0.25">
      <c r="N5314" s="55"/>
    </row>
    <row r="5315" spans="14:14" x14ac:dyDescent="0.25">
      <c r="N5315" s="55"/>
    </row>
    <row r="5316" spans="14:14" x14ac:dyDescent="0.25">
      <c r="N5316" s="55"/>
    </row>
    <row r="5317" spans="14:14" x14ac:dyDescent="0.25">
      <c r="N5317" s="55"/>
    </row>
    <row r="5318" spans="14:14" x14ac:dyDescent="0.25">
      <c r="N5318" s="55"/>
    </row>
    <row r="5319" spans="14:14" x14ac:dyDescent="0.25">
      <c r="N5319" s="55"/>
    </row>
    <row r="5320" spans="14:14" x14ac:dyDescent="0.25">
      <c r="N5320" s="55"/>
    </row>
    <row r="5321" spans="14:14" x14ac:dyDescent="0.25">
      <c r="N5321" s="55"/>
    </row>
    <row r="5322" spans="14:14" x14ac:dyDescent="0.25">
      <c r="N5322" s="55"/>
    </row>
    <row r="5323" spans="14:14" x14ac:dyDescent="0.25">
      <c r="N5323" s="55"/>
    </row>
    <row r="5324" spans="14:14" x14ac:dyDescent="0.25">
      <c r="N5324" s="55"/>
    </row>
    <row r="5325" spans="14:14" x14ac:dyDescent="0.25">
      <c r="N5325" s="55"/>
    </row>
    <row r="5326" spans="14:14" x14ac:dyDescent="0.25">
      <c r="N5326" s="55"/>
    </row>
    <row r="5327" spans="14:14" x14ac:dyDescent="0.25">
      <c r="N5327" s="55"/>
    </row>
    <row r="5328" spans="14:14" x14ac:dyDescent="0.25">
      <c r="N5328" s="55"/>
    </row>
    <row r="5329" spans="14:14" x14ac:dyDescent="0.25">
      <c r="N5329" s="55"/>
    </row>
    <row r="5330" spans="14:14" x14ac:dyDescent="0.25">
      <c r="N5330" s="55"/>
    </row>
    <row r="5331" spans="14:14" x14ac:dyDescent="0.25">
      <c r="N5331" s="55"/>
    </row>
    <row r="5332" spans="14:14" x14ac:dyDescent="0.25">
      <c r="N5332" s="55"/>
    </row>
    <row r="5333" spans="14:14" x14ac:dyDescent="0.25">
      <c r="N5333" s="55"/>
    </row>
    <row r="5334" spans="14:14" x14ac:dyDescent="0.25">
      <c r="N5334" s="55"/>
    </row>
    <row r="5335" spans="14:14" x14ac:dyDescent="0.25">
      <c r="N5335" s="55"/>
    </row>
    <row r="5336" spans="14:14" x14ac:dyDescent="0.25">
      <c r="N5336" s="55"/>
    </row>
    <row r="5337" spans="14:14" x14ac:dyDescent="0.25">
      <c r="N5337" s="55"/>
    </row>
    <row r="5338" spans="14:14" x14ac:dyDescent="0.25">
      <c r="N5338" s="55"/>
    </row>
    <row r="5339" spans="14:14" x14ac:dyDescent="0.25">
      <c r="N5339" s="55"/>
    </row>
    <row r="5340" spans="14:14" x14ac:dyDescent="0.25">
      <c r="N5340" s="55"/>
    </row>
    <row r="5341" spans="14:14" x14ac:dyDescent="0.25">
      <c r="N5341" s="55"/>
    </row>
    <row r="5342" spans="14:14" x14ac:dyDescent="0.25">
      <c r="N5342" s="55"/>
    </row>
    <row r="5343" spans="14:14" x14ac:dyDescent="0.25">
      <c r="N5343" s="55"/>
    </row>
    <row r="5344" spans="14:14" x14ac:dyDescent="0.25">
      <c r="N5344" s="55"/>
    </row>
    <row r="5345" spans="14:14" x14ac:dyDescent="0.25">
      <c r="N5345" s="55"/>
    </row>
    <row r="5346" spans="14:14" x14ac:dyDescent="0.25">
      <c r="N5346" s="55"/>
    </row>
    <row r="5347" spans="14:14" x14ac:dyDescent="0.25">
      <c r="N5347" s="55"/>
    </row>
    <row r="5348" spans="14:14" x14ac:dyDescent="0.25">
      <c r="N5348" s="55"/>
    </row>
    <row r="5349" spans="14:14" x14ac:dyDescent="0.25">
      <c r="N5349" s="55"/>
    </row>
    <row r="5350" spans="14:14" x14ac:dyDescent="0.25">
      <c r="N5350" s="55"/>
    </row>
    <row r="5351" spans="14:14" x14ac:dyDescent="0.25">
      <c r="N5351" s="55"/>
    </row>
    <row r="5352" spans="14:14" x14ac:dyDescent="0.25">
      <c r="N5352" s="55"/>
    </row>
    <row r="5353" spans="14:14" x14ac:dyDescent="0.25">
      <c r="N5353" s="55"/>
    </row>
    <row r="5354" spans="14:14" x14ac:dyDescent="0.25">
      <c r="N5354" s="55"/>
    </row>
    <row r="5355" spans="14:14" x14ac:dyDescent="0.25">
      <c r="N5355" s="55"/>
    </row>
    <row r="5356" spans="14:14" x14ac:dyDescent="0.25">
      <c r="N5356" s="55"/>
    </row>
    <row r="5357" spans="14:14" x14ac:dyDescent="0.25">
      <c r="N5357" s="55"/>
    </row>
    <row r="5358" spans="14:14" x14ac:dyDescent="0.25">
      <c r="N5358" s="55"/>
    </row>
    <row r="5359" spans="14:14" x14ac:dyDescent="0.25">
      <c r="N5359" s="55"/>
    </row>
    <row r="5360" spans="14:14" x14ac:dyDescent="0.25">
      <c r="N5360" s="55"/>
    </row>
    <row r="5361" spans="14:14" x14ac:dyDescent="0.25">
      <c r="N5361" s="55"/>
    </row>
    <row r="5362" spans="14:14" x14ac:dyDescent="0.25">
      <c r="N5362" s="55"/>
    </row>
    <row r="5363" spans="14:14" x14ac:dyDescent="0.25">
      <c r="N5363" s="55"/>
    </row>
    <row r="5364" spans="14:14" x14ac:dyDescent="0.25">
      <c r="N5364" s="55"/>
    </row>
    <row r="5365" spans="14:14" x14ac:dyDescent="0.25">
      <c r="N5365" s="55"/>
    </row>
    <row r="5366" spans="14:14" x14ac:dyDescent="0.25">
      <c r="N5366" s="55"/>
    </row>
    <row r="5367" spans="14:14" x14ac:dyDescent="0.25">
      <c r="N5367" s="55"/>
    </row>
    <row r="5368" spans="14:14" x14ac:dyDescent="0.25">
      <c r="N5368" s="55"/>
    </row>
    <row r="5369" spans="14:14" x14ac:dyDescent="0.25">
      <c r="N5369" s="55"/>
    </row>
    <row r="5370" spans="14:14" x14ac:dyDescent="0.25">
      <c r="N5370" s="55"/>
    </row>
    <row r="5371" spans="14:14" x14ac:dyDescent="0.25">
      <c r="N5371" s="55"/>
    </row>
    <row r="5372" spans="14:14" x14ac:dyDescent="0.25">
      <c r="N5372" s="55"/>
    </row>
    <row r="5373" spans="14:14" x14ac:dyDescent="0.25">
      <c r="N5373" s="55"/>
    </row>
    <row r="5374" spans="14:14" x14ac:dyDescent="0.25">
      <c r="N5374" s="55"/>
    </row>
    <row r="5375" spans="14:14" x14ac:dyDescent="0.25">
      <c r="N5375" s="55"/>
    </row>
    <row r="5376" spans="14:14" x14ac:dyDescent="0.25">
      <c r="N5376" s="55"/>
    </row>
    <row r="5377" spans="14:14" x14ac:dyDescent="0.25">
      <c r="N5377" s="55"/>
    </row>
    <row r="5378" spans="14:14" x14ac:dyDescent="0.25">
      <c r="N5378" s="55"/>
    </row>
    <row r="5379" spans="14:14" x14ac:dyDescent="0.25">
      <c r="N5379" s="55"/>
    </row>
    <row r="5380" spans="14:14" x14ac:dyDescent="0.25">
      <c r="N5380" s="55"/>
    </row>
    <row r="5381" spans="14:14" x14ac:dyDescent="0.25">
      <c r="N5381" s="55"/>
    </row>
    <row r="5382" spans="14:14" x14ac:dyDescent="0.25">
      <c r="N5382" s="55"/>
    </row>
    <row r="5383" spans="14:14" x14ac:dyDescent="0.25">
      <c r="N5383" s="55"/>
    </row>
    <row r="5384" spans="14:14" x14ac:dyDescent="0.25">
      <c r="N5384" s="55"/>
    </row>
    <row r="5385" spans="14:14" x14ac:dyDescent="0.25">
      <c r="N5385" s="55"/>
    </row>
    <row r="5386" spans="14:14" x14ac:dyDescent="0.25">
      <c r="N5386" s="55"/>
    </row>
    <row r="5387" spans="14:14" x14ac:dyDescent="0.25">
      <c r="N5387" s="55"/>
    </row>
    <row r="5388" spans="14:14" x14ac:dyDescent="0.25">
      <c r="N5388" s="55"/>
    </row>
    <row r="5389" spans="14:14" x14ac:dyDescent="0.25">
      <c r="N5389" s="55"/>
    </row>
    <row r="5390" spans="14:14" x14ac:dyDescent="0.25">
      <c r="N5390" s="55"/>
    </row>
    <row r="5391" spans="14:14" x14ac:dyDescent="0.25">
      <c r="N5391" s="55"/>
    </row>
    <row r="5392" spans="14:14" x14ac:dyDescent="0.25">
      <c r="N5392" s="55"/>
    </row>
    <row r="5393" spans="14:14" x14ac:dyDescent="0.25">
      <c r="N5393" s="55"/>
    </row>
    <row r="5394" spans="14:14" x14ac:dyDescent="0.25">
      <c r="N5394" s="55"/>
    </row>
    <row r="5395" spans="14:14" x14ac:dyDescent="0.25">
      <c r="N5395" s="55"/>
    </row>
    <row r="5396" spans="14:14" x14ac:dyDescent="0.25">
      <c r="N5396" s="55"/>
    </row>
    <row r="5397" spans="14:14" x14ac:dyDescent="0.25">
      <c r="N5397" s="55"/>
    </row>
    <row r="5398" spans="14:14" x14ac:dyDescent="0.25">
      <c r="N5398" s="55"/>
    </row>
    <row r="5399" spans="14:14" x14ac:dyDescent="0.25">
      <c r="N5399" s="55"/>
    </row>
    <row r="5400" spans="14:14" x14ac:dyDescent="0.25">
      <c r="N5400" s="55"/>
    </row>
    <row r="5401" spans="14:14" x14ac:dyDescent="0.25">
      <c r="N5401" s="55"/>
    </row>
    <row r="5402" spans="14:14" x14ac:dyDescent="0.25">
      <c r="N5402" s="55"/>
    </row>
    <row r="5403" spans="14:14" x14ac:dyDescent="0.25">
      <c r="N5403" s="55"/>
    </row>
    <row r="5404" spans="14:14" x14ac:dyDescent="0.25">
      <c r="N5404" s="55"/>
    </row>
    <row r="5405" spans="14:14" x14ac:dyDescent="0.25">
      <c r="N5405" s="55"/>
    </row>
    <row r="5406" spans="14:14" x14ac:dyDescent="0.25">
      <c r="N5406" s="55"/>
    </row>
    <row r="5407" spans="14:14" x14ac:dyDescent="0.25">
      <c r="N5407" s="55"/>
    </row>
    <row r="5408" spans="14:14" x14ac:dyDescent="0.25">
      <c r="N5408" s="55"/>
    </row>
    <row r="5409" spans="14:14" x14ac:dyDescent="0.25">
      <c r="N5409" s="55"/>
    </row>
    <row r="5410" spans="14:14" x14ac:dyDescent="0.25">
      <c r="N5410" s="55"/>
    </row>
    <row r="5411" spans="14:14" x14ac:dyDescent="0.25">
      <c r="N5411" s="55"/>
    </row>
    <row r="5412" spans="14:14" x14ac:dyDescent="0.25">
      <c r="N5412" s="55"/>
    </row>
    <row r="5413" spans="14:14" x14ac:dyDescent="0.25">
      <c r="N5413" s="55"/>
    </row>
    <row r="5414" spans="14:14" x14ac:dyDescent="0.25">
      <c r="N5414" s="55"/>
    </row>
    <row r="5415" spans="14:14" x14ac:dyDescent="0.25">
      <c r="N5415" s="55"/>
    </row>
    <row r="5416" spans="14:14" x14ac:dyDescent="0.25">
      <c r="N5416" s="55"/>
    </row>
    <row r="5417" spans="14:14" x14ac:dyDescent="0.25">
      <c r="N5417" s="55"/>
    </row>
    <row r="5418" spans="14:14" x14ac:dyDescent="0.25">
      <c r="N5418" s="55"/>
    </row>
    <row r="5419" spans="14:14" x14ac:dyDescent="0.25">
      <c r="N5419" s="55"/>
    </row>
    <row r="5420" spans="14:14" x14ac:dyDescent="0.25">
      <c r="N5420" s="55"/>
    </row>
    <row r="5421" spans="14:14" x14ac:dyDescent="0.25">
      <c r="N5421" s="55"/>
    </row>
    <row r="5422" spans="14:14" x14ac:dyDescent="0.25">
      <c r="N5422" s="55"/>
    </row>
    <row r="5423" spans="14:14" x14ac:dyDescent="0.25">
      <c r="N5423" s="55"/>
    </row>
    <row r="5424" spans="14:14" x14ac:dyDescent="0.25">
      <c r="N5424" s="55"/>
    </row>
    <row r="5425" spans="14:14" x14ac:dyDescent="0.25">
      <c r="N5425" s="55"/>
    </row>
    <row r="5426" spans="14:14" x14ac:dyDescent="0.25">
      <c r="N5426" s="55"/>
    </row>
    <row r="5427" spans="14:14" x14ac:dyDescent="0.25">
      <c r="N5427" s="55"/>
    </row>
    <row r="5428" spans="14:14" x14ac:dyDescent="0.25">
      <c r="N5428" s="55"/>
    </row>
    <row r="5429" spans="14:14" x14ac:dyDescent="0.25">
      <c r="N5429" s="55"/>
    </row>
    <row r="5430" spans="14:14" x14ac:dyDescent="0.25">
      <c r="N5430" s="55"/>
    </row>
    <row r="5431" spans="14:14" x14ac:dyDescent="0.25">
      <c r="N5431" s="55"/>
    </row>
    <row r="5432" spans="14:14" x14ac:dyDescent="0.25">
      <c r="N5432" s="55"/>
    </row>
    <row r="5433" spans="14:14" x14ac:dyDescent="0.25">
      <c r="N5433" s="55"/>
    </row>
    <row r="5434" spans="14:14" x14ac:dyDescent="0.25">
      <c r="N5434" s="55"/>
    </row>
    <row r="5435" spans="14:14" x14ac:dyDescent="0.25">
      <c r="N5435" s="55"/>
    </row>
    <row r="5436" spans="14:14" x14ac:dyDescent="0.25">
      <c r="N5436" s="55"/>
    </row>
    <row r="5437" spans="14:14" x14ac:dyDescent="0.25">
      <c r="N5437" s="55"/>
    </row>
    <row r="5438" spans="14:14" x14ac:dyDescent="0.25">
      <c r="N5438" s="55"/>
    </row>
    <row r="5439" spans="14:14" x14ac:dyDescent="0.25">
      <c r="N5439" s="55"/>
    </row>
    <row r="5440" spans="14:14" x14ac:dyDescent="0.25">
      <c r="N5440" s="55"/>
    </row>
    <row r="5441" spans="14:14" x14ac:dyDescent="0.25">
      <c r="N5441" s="55"/>
    </row>
    <row r="5442" spans="14:14" x14ac:dyDescent="0.25">
      <c r="N5442" s="55"/>
    </row>
    <row r="5443" spans="14:14" x14ac:dyDescent="0.25">
      <c r="N5443" s="55"/>
    </row>
    <row r="5444" spans="14:14" x14ac:dyDescent="0.25">
      <c r="N5444" s="55"/>
    </row>
    <row r="5445" spans="14:14" x14ac:dyDescent="0.25">
      <c r="N5445" s="55"/>
    </row>
    <row r="5446" spans="14:14" x14ac:dyDescent="0.25">
      <c r="N5446" s="55"/>
    </row>
    <row r="5447" spans="14:14" x14ac:dyDescent="0.25">
      <c r="N5447" s="55"/>
    </row>
    <row r="5448" spans="14:14" x14ac:dyDescent="0.25">
      <c r="N5448" s="55"/>
    </row>
    <row r="5449" spans="14:14" x14ac:dyDescent="0.25">
      <c r="N5449" s="55"/>
    </row>
    <row r="5450" spans="14:14" x14ac:dyDescent="0.25">
      <c r="N5450" s="55"/>
    </row>
    <row r="5451" spans="14:14" x14ac:dyDescent="0.25">
      <c r="N5451" s="55"/>
    </row>
    <row r="5452" spans="14:14" x14ac:dyDescent="0.25">
      <c r="N5452" s="55"/>
    </row>
    <row r="5453" spans="14:14" x14ac:dyDescent="0.25">
      <c r="N5453" s="55"/>
    </row>
    <row r="5454" spans="14:14" x14ac:dyDescent="0.25">
      <c r="N5454" s="55"/>
    </row>
    <row r="5455" spans="14:14" x14ac:dyDescent="0.25">
      <c r="N5455" s="55"/>
    </row>
    <row r="5456" spans="14:14" x14ac:dyDescent="0.25">
      <c r="N5456" s="55"/>
    </row>
    <row r="5457" spans="14:14" x14ac:dyDescent="0.25">
      <c r="N5457" s="55"/>
    </row>
    <row r="5458" spans="14:14" x14ac:dyDescent="0.25">
      <c r="N5458" s="55"/>
    </row>
    <row r="5459" spans="14:14" x14ac:dyDescent="0.25">
      <c r="N5459" s="55"/>
    </row>
    <row r="5460" spans="14:14" x14ac:dyDescent="0.25">
      <c r="N5460" s="55"/>
    </row>
    <row r="5461" spans="14:14" x14ac:dyDescent="0.25">
      <c r="N5461" s="55"/>
    </row>
    <row r="5462" spans="14:14" x14ac:dyDescent="0.25">
      <c r="N5462" s="55"/>
    </row>
    <row r="5463" spans="14:14" x14ac:dyDescent="0.25">
      <c r="N5463" s="55"/>
    </row>
    <row r="5464" spans="14:14" x14ac:dyDescent="0.25">
      <c r="N5464" s="55"/>
    </row>
    <row r="5465" spans="14:14" x14ac:dyDescent="0.25">
      <c r="N5465" s="55"/>
    </row>
    <row r="5466" spans="14:14" x14ac:dyDescent="0.25">
      <c r="N5466" s="55"/>
    </row>
    <row r="5467" spans="14:14" x14ac:dyDescent="0.25">
      <c r="N5467" s="55"/>
    </row>
    <row r="5468" spans="14:14" x14ac:dyDescent="0.25">
      <c r="N5468" s="55"/>
    </row>
    <row r="5469" spans="14:14" x14ac:dyDescent="0.25">
      <c r="N5469" s="55"/>
    </row>
    <row r="5470" spans="14:14" x14ac:dyDescent="0.25">
      <c r="N5470" s="55"/>
    </row>
    <row r="5471" spans="14:14" x14ac:dyDescent="0.25">
      <c r="N5471" s="55"/>
    </row>
    <row r="5472" spans="14:14" x14ac:dyDescent="0.25">
      <c r="N5472" s="55"/>
    </row>
    <row r="5473" spans="14:14" x14ac:dyDescent="0.25">
      <c r="N5473" s="55"/>
    </row>
    <row r="5474" spans="14:14" x14ac:dyDescent="0.25">
      <c r="N5474" s="55"/>
    </row>
    <row r="5475" spans="14:14" x14ac:dyDescent="0.25">
      <c r="N5475" s="55"/>
    </row>
    <row r="5476" spans="14:14" x14ac:dyDescent="0.25">
      <c r="N5476" s="55"/>
    </row>
    <row r="5477" spans="14:14" x14ac:dyDescent="0.25">
      <c r="N5477" s="55"/>
    </row>
    <row r="5478" spans="14:14" x14ac:dyDescent="0.25">
      <c r="N5478" s="55"/>
    </row>
    <row r="5479" spans="14:14" x14ac:dyDescent="0.25">
      <c r="N5479" s="55"/>
    </row>
    <row r="5480" spans="14:14" x14ac:dyDescent="0.25">
      <c r="N5480" s="55"/>
    </row>
    <row r="5481" spans="14:14" x14ac:dyDescent="0.25">
      <c r="N5481" s="55"/>
    </row>
    <row r="5482" spans="14:14" x14ac:dyDescent="0.25">
      <c r="N5482" s="55"/>
    </row>
    <row r="5483" spans="14:14" x14ac:dyDescent="0.25">
      <c r="N5483" s="55"/>
    </row>
    <row r="5484" spans="14:14" x14ac:dyDescent="0.25">
      <c r="N5484" s="55"/>
    </row>
    <row r="5485" spans="14:14" x14ac:dyDescent="0.25">
      <c r="N5485" s="55"/>
    </row>
    <row r="5486" spans="14:14" x14ac:dyDescent="0.25">
      <c r="N5486" s="55"/>
    </row>
    <row r="5487" spans="14:14" x14ac:dyDescent="0.25">
      <c r="N5487" s="55"/>
    </row>
    <row r="5488" spans="14:14" x14ac:dyDescent="0.25">
      <c r="N5488" s="55"/>
    </row>
    <row r="5489" spans="14:14" x14ac:dyDescent="0.25">
      <c r="N5489" s="55"/>
    </row>
    <row r="5490" spans="14:14" x14ac:dyDescent="0.25">
      <c r="N5490" s="55"/>
    </row>
    <row r="5491" spans="14:14" x14ac:dyDescent="0.25">
      <c r="N5491" s="55"/>
    </row>
    <row r="5492" spans="14:14" x14ac:dyDescent="0.25">
      <c r="N5492" s="55"/>
    </row>
    <row r="5493" spans="14:14" x14ac:dyDescent="0.25">
      <c r="N5493" s="55"/>
    </row>
    <row r="5494" spans="14:14" x14ac:dyDescent="0.25">
      <c r="N5494" s="55"/>
    </row>
    <row r="5495" spans="14:14" x14ac:dyDescent="0.25">
      <c r="N5495" s="55"/>
    </row>
    <row r="5496" spans="14:14" x14ac:dyDescent="0.25">
      <c r="N5496" s="55"/>
    </row>
    <row r="5497" spans="14:14" x14ac:dyDescent="0.25">
      <c r="N5497" s="55"/>
    </row>
    <row r="5498" spans="14:14" x14ac:dyDescent="0.25">
      <c r="N5498" s="55"/>
    </row>
    <row r="5499" spans="14:14" x14ac:dyDescent="0.25">
      <c r="N5499" s="55"/>
    </row>
    <row r="5500" spans="14:14" x14ac:dyDescent="0.25">
      <c r="N5500" s="55"/>
    </row>
    <row r="5501" spans="14:14" x14ac:dyDescent="0.25">
      <c r="N5501" s="55"/>
    </row>
    <row r="5502" spans="14:14" x14ac:dyDescent="0.25">
      <c r="N5502" s="55"/>
    </row>
    <row r="5503" spans="14:14" x14ac:dyDescent="0.25">
      <c r="N5503" s="55"/>
    </row>
    <row r="5504" spans="14:14" x14ac:dyDescent="0.25">
      <c r="N5504" s="55"/>
    </row>
    <row r="5505" spans="14:14" x14ac:dyDescent="0.25">
      <c r="N5505" s="55"/>
    </row>
    <row r="5506" spans="14:14" x14ac:dyDescent="0.25">
      <c r="N5506" s="55"/>
    </row>
    <row r="5507" spans="14:14" x14ac:dyDescent="0.25">
      <c r="N5507" s="55"/>
    </row>
    <row r="5508" spans="14:14" x14ac:dyDescent="0.25">
      <c r="N5508" s="55"/>
    </row>
    <row r="5509" spans="14:14" x14ac:dyDescent="0.25">
      <c r="N5509" s="55"/>
    </row>
    <row r="5510" spans="14:14" x14ac:dyDescent="0.25">
      <c r="N5510" s="55"/>
    </row>
    <row r="5511" spans="14:14" x14ac:dyDescent="0.25">
      <c r="N5511" s="55"/>
    </row>
    <row r="5512" spans="14:14" x14ac:dyDescent="0.25">
      <c r="N5512" s="55"/>
    </row>
    <row r="5513" spans="14:14" x14ac:dyDescent="0.25">
      <c r="N5513" s="55"/>
    </row>
    <row r="5514" spans="14:14" x14ac:dyDescent="0.25">
      <c r="N5514" s="55"/>
    </row>
    <row r="5515" spans="14:14" x14ac:dyDescent="0.25">
      <c r="N5515" s="55"/>
    </row>
    <row r="5516" spans="14:14" x14ac:dyDescent="0.25">
      <c r="N5516" s="55"/>
    </row>
    <row r="5517" spans="14:14" x14ac:dyDescent="0.25">
      <c r="N5517" s="55"/>
    </row>
    <row r="5518" spans="14:14" x14ac:dyDescent="0.25">
      <c r="N5518" s="55"/>
    </row>
    <row r="5519" spans="14:14" x14ac:dyDescent="0.25">
      <c r="N5519" s="55"/>
    </row>
    <row r="5520" spans="14:14" x14ac:dyDescent="0.25">
      <c r="N5520" s="55"/>
    </row>
    <row r="5521" spans="14:14" x14ac:dyDescent="0.25">
      <c r="N5521" s="55"/>
    </row>
    <row r="5522" spans="14:14" x14ac:dyDescent="0.25">
      <c r="N5522" s="55"/>
    </row>
    <row r="5523" spans="14:14" x14ac:dyDescent="0.25">
      <c r="N5523" s="55"/>
    </row>
    <row r="5524" spans="14:14" x14ac:dyDescent="0.25">
      <c r="N5524" s="55"/>
    </row>
    <row r="5525" spans="14:14" x14ac:dyDescent="0.25">
      <c r="N5525" s="55"/>
    </row>
    <row r="5526" spans="14:14" x14ac:dyDescent="0.25">
      <c r="N5526" s="55"/>
    </row>
    <row r="5527" spans="14:14" x14ac:dyDescent="0.25">
      <c r="N5527" s="55"/>
    </row>
    <row r="5528" spans="14:14" x14ac:dyDescent="0.25">
      <c r="N5528" s="55"/>
    </row>
    <row r="5529" spans="14:14" x14ac:dyDescent="0.25">
      <c r="N5529" s="55"/>
    </row>
    <row r="5530" spans="14:14" x14ac:dyDescent="0.25">
      <c r="N5530" s="55"/>
    </row>
    <row r="5531" spans="14:14" x14ac:dyDescent="0.25">
      <c r="N5531" s="55"/>
    </row>
    <row r="5532" spans="14:14" x14ac:dyDescent="0.25">
      <c r="N5532" s="55"/>
    </row>
    <row r="5533" spans="14:14" x14ac:dyDescent="0.25">
      <c r="N5533" s="55"/>
    </row>
    <row r="5534" spans="14:14" x14ac:dyDescent="0.25">
      <c r="N5534" s="55"/>
    </row>
    <row r="5535" spans="14:14" x14ac:dyDescent="0.25">
      <c r="N5535" s="55"/>
    </row>
    <row r="5536" spans="14:14" x14ac:dyDescent="0.25">
      <c r="N5536" s="55"/>
    </row>
    <row r="5537" spans="14:14" x14ac:dyDescent="0.25">
      <c r="N5537" s="55"/>
    </row>
    <row r="5538" spans="14:14" x14ac:dyDescent="0.25">
      <c r="N5538" s="55"/>
    </row>
    <row r="5539" spans="14:14" x14ac:dyDescent="0.25">
      <c r="N5539" s="55"/>
    </row>
    <row r="5540" spans="14:14" x14ac:dyDescent="0.25">
      <c r="N5540" s="55"/>
    </row>
    <row r="5541" spans="14:14" x14ac:dyDescent="0.25">
      <c r="N5541" s="55"/>
    </row>
    <row r="5542" spans="14:14" x14ac:dyDescent="0.25">
      <c r="N5542" s="55"/>
    </row>
    <row r="5543" spans="14:14" x14ac:dyDescent="0.25">
      <c r="N5543" s="55"/>
    </row>
    <row r="5544" spans="14:14" x14ac:dyDescent="0.25">
      <c r="N5544" s="55"/>
    </row>
    <row r="5545" spans="14:14" x14ac:dyDescent="0.25">
      <c r="N5545" s="55"/>
    </row>
    <row r="5546" spans="14:14" x14ac:dyDescent="0.25">
      <c r="N5546" s="55"/>
    </row>
    <row r="5547" spans="14:14" x14ac:dyDescent="0.25">
      <c r="N5547" s="55"/>
    </row>
    <row r="5548" spans="14:14" x14ac:dyDescent="0.25">
      <c r="N5548" s="55"/>
    </row>
    <row r="5549" spans="14:14" x14ac:dyDescent="0.25">
      <c r="N5549" s="55"/>
    </row>
    <row r="5550" spans="14:14" x14ac:dyDescent="0.25">
      <c r="N5550" s="55"/>
    </row>
    <row r="5551" spans="14:14" x14ac:dyDescent="0.25">
      <c r="N5551" s="55"/>
    </row>
    <row r="5552" spans="14:14" x14ac:dyDescent="0.25">
      <c r="N5552" s="55"/>
    </row>
    <row r="5553" spans="14:14" x14ac:dyDescent="0.25">
      <c r="N5553" s="55"/>
    </row>
    <row r="5554" spans="14:14" x14ac:dyDescent="0.25">
      <c r="N5554" s="55"/>
    </row>
    <row r="5555" spans="14:14" x14ac:dyDescent="0.25">
      <c r="N5555" s="55"/>
    </row>
    <row r="5556" spans="14:14" x14ac:dyDescent="0.25">
      <c r="N5556" s="55"/>
    </row>
    <row r="5557" spans="14:14" x14ac:dyDescent="0.25">
      <c r="N5557" s="55"/>
    </row>
    <row r="5558" spans="14:14" x14ac:dyDescent="0.25">
      <c r="N5558" s="55"/>
    </row>
    <row r="5559" spans="14:14" x14ac:dyDescent="0.25">
      <c r="N5559" s="55"/>
    </row>
    <row r="5560" spans="14:14" x14ac:dyDescent="0.25">
      <c r="N5560" s="55"/>
    </row>
    <row r="5561" spans="14:14" x14ac:dyDescent="0.25">
      <c r="N5561" s="55"/>
    </row>
    <row r="5562" spans="14:14" x14ac:dyDescent="0.25">
      <c r="N5562" s="55"/>
    </row>
    <row r="5563" spans="14:14" x14ac:dyDescent="0.25">
      <c r="N5563" s="55"/>
    </row>
    <row r="5564" spans="14:14" x14ac:dyDescent="0.25">
      <c r="N5564" s="55"/>
    </row>
    <row r="5565" spans="14:14" x14ac:dyDescent="0.25">
      <c r="N5565" s="55"/>
    </row>
    <row r="5566" spans="14:14" x14ac:dyDescent="0.25">
      <c r="N5566" s="55"/>
    </row>
    <row r="5567" spans="14:14" x14ac:dyDescent="0.25">
      <c r="N5567" s="55"/>
    </row>
    <row r="5568" spans="14:14" x14ac:dyDescent="0.25">
      <c r="N5568" s="55"/>
    </row>
    <row r="5569" spans="14:14" x14ac:dyDescent="0.25">
      <c r="N5569" s="55"/>
    </row>
    <row r="5570" spans="14:14" x14ac:dyDescent="0.25">
      <c r="N5570" s="55"/>
    </row>
    <row r="5571" spans="14:14" x14ac:dyDescent="0.25">
      <c r="N5571" s="55"/>
    </row>
    <row r="5572" spans="14:14" x14ac:dyDescent="0.25">
      <c r="N5572" s="55"/>
    </row>
    <row r="5573" spans="14:14" x14ac:dyDescent="0.25">
      <c r="N5573" s="55"/>
    </row>
    <row r="5574" spans="14:14" x14ac:dyDescent="0.25">
      <c r="N5574" s="55"/>
    </row>
    <row r="5575" spans="14:14" x14ac:dyDescent="0.25">
      <c r="N5575" s="55"/>
    </row>
    <row r="5576" spans="14:14" x14ac:dyDescent="0.25">
      <c r="N5576" s="55"/>
    </row>
    <row r="5577" spans="14:14" x14ac:dyDescent="0.25">
      <c r="N5577" s="55"/>
    </row>
    <row r="5578" spans="14:14" x14ac:dyDescent="0.25">
      <c r="N5578" s="55"/>
    </row>
    <row r="5579" spans="14:14" x14ac:dyDescent="0.25">
      <c r="N5579" s="55"/>
    </row>
    <row r="5580" spans="14:14" x14ac:dyDescent="0.25">
      <c r="N5580" s="55"/>
    </row>
    <row r="5581" spans="14:14" x14ac:dyDescent="0.25">
      <c r="N5581" s="55"/>
    </row>
    <row r="5582" spans="14:14" x14ac:dyDescent="0.25">
      <c r="N5582" s="55"/>
    </row>
    <row r="5583" spans="14:14" x14ac:dyDescent="0.25">
      <c r="N5583" s="55"/>
    </row>
    <row r="5584" spans="14:14" x14ac:dyDescent="0.25">
      <c r="N5584" s="55"/>
    </row>
    <row r="5585" spans="14:14" x14ac:dyDescent="0.25">
      <c r="N5585" s="55"/>
    </row>
    <row r="5586" spans="14:14" x14ac:dyDescent="0.25">
      <c r="N5586" s="55"/>
    </row>
    <row r="5587" spans="14:14" x14ac:dyDescent="0.25">
      <c r="N5587" s="55"/>
    </row>
    <row r="5588" spans="14:14" x14ac:dyDescent="0.25">
      <c r="N5588" s="55"/>
    </row>
    <row r="5589" spans="14:14" x14ac:dyDescent="0.25">
      <c r="N5589" s="55"/>
    </row>
    <row r="5590" spans="14:14" x14ac:dyDescent="0.25">
      <c r="N5590" s="55"/>
    </row>
    <row r="5591" spans="14:14" x14ac:dyDescent="0.25">
      <c r="N5591" s="55"/>
    </row>
    <row r="5592" spans="14:14" x14ac:dyDescent="0.25">
      <c r="N5592" s="55"/>
    </row>
    <row r="5593" spans="14:14" x14ac:dyDescent="0.25">
      <c r="N5593" s="55"/>
    </row>
    <row r="5594" spans="14:14" x14ac:dyDescent="0.25">
      <c r="N5594" s="55"/>
    </row>
    <row r="5595" spans="14:14" x14ac:dyDescent="0.25">
      <c r="N5595" s="55"/>
    </row>
    <row r="5596" spans="14:14" x14ac:dyDescent="0.25">
      <c r="N5596" s="55"/>
    </row>
    <row r="5597" spans="14:14" x14ac:dyDescent="0.25">
      <c r="N5597" s="55"/>
    </row>
    <row r="5598" spans="14:14" x14ac:dyDescent="0.25">
      <c r="N5598" s="55"/>
    </row>
    <row r="5599" spans="14:14" x14ac:dyDescent="0.25">
      <c r="N5599" s="55"/>
    </row>
    <row r="5600" spans="14:14" x14ac:dyDescent="0.25">
      <c r="N5600" s="55"/>
    </row>
    <row r="5601" spans="14:14" x14ac:dyDescent="0.25">
      <c r="N5601" s="55"/>
    </row>
    <row r="5602" spans="14:14" x14ac:dyDescent="0.25">
      <c r="N5602" s="55"/>
    </row>
    <row r="5603" spans="14:14" x14ac:dyDescent="0.25">
      <c r="N5603" s="55"/>
    </row>
    <row r="5604" spans="14:14" x14ac:dyDescent="0.25">
      <c r="N5604" s="55"/>
    </row>
    <row r="5605" spans="14:14" x14ac:dyDescent="0.25">
      <c r="N5605" s="55"/>
    </row>
    <row r="5606" spans="14:14" x14ac:dyDescent="0.25">
      <c r="N5606" s="55"/>
    </row>
    <row r="5607" spans="14:14" x14ac:dyDescent="0.25">
      <c r="N5607" s="55"/>
    </row>
    <row r="5608" spans="14:14" x14ac:dyDescent="0.25">
      <c r="N5608" s="55"/>
    </row>
    <row r="5609" spans="14:14" x14ac:dyDescent="0.25">
      <c r="N5609" s="55"/>
    </row>
    <row r="5610" spans="14:14" x14ac:dyDescent="0.25">
      <c r="N5610" s="55"/>
    </row>
    <row r="5611" spans="14:14" x14ac:dyDescent="0.25">
      <c r="N5611" s="55"/>
    </row>
    <row r="5612" spans="14:14" x14ac:dyDescent="0.25">
      <c r="N5612" s="55"/>
    </row>
    <row r="5613" spans="14:14" x14ac:dyDescent="0.25">
      <c r="N5613" s="55"/>
    </row>
    <row r="5614" spans="14:14" x14ac:dyDescent="0.25">
      <c r="N5614" s="55"/>
    </row>
    <row r="5615" spans="14:14" x14ac:dyDescent="0.25">
      <c r="N5615" s="55"/>
    </row>
    <row r="5616" spans="14:14" x14ac:dyDescent="0.25">
      <c r="N5616" s="55"/>
    </row>
    <row r="5617" spans="14:14" x14ac:dyDescent="0.25">
      <c r="N5617" s="55"/>
    </row>
    <row r="5618" spans="14:14" x14ac:dyDescent="0.25">
      <c r="N5618" s="55"/>
    </row>
    <row r="5619" spans="14:14" x14ac:dyDescent="0.25">
      <c r="N5619" s="55"/>
    </row>
    <row r="5620" spans="14:14" x14ac:dyDescent="0.25">
      <c r="N5620" s="55"/>
    </row>
    <row r="5621" spans="14:14" x14ac:dyDescent="0.25">
      <c r="N5621" s="55"/>
    </row>
    <row r="5622" spans="14:14" x14ac:dyDescent="0.25">
      <c r="N5622" s="55"/>
    </row>
    <row r="5623" spans="14:14" x14ac:dyDescent="0.25">
      <c r="N5623" s="55"/>
    </row>
    <row r="5624" spans="14:14" x14ac:dyDescent="0.25">
      <c r="N5624" s="55"/>
    </row>
    <row r="5625" spans="14:14" x14ac:dyDescent="0.25">
      <c r="N5625" s="55"/>
    </row>
    <row r="5626" spans="14:14" x14ac:dyDescent="0.25">
      <c r="N5626" s="55"/>
    </row>
    <row r="5627" spans="14:14" x14ac:dyDescent="0.25">
      <c r="N5627" s="55"/>
    </row>
    <row r="5628" spans="14:14" x14ac:dyDescent="0.25">
      <c r="N5628" s="55"/>
    </row>
    <row r="5629" spans="14:14" x14ac:dyDescent="0.25">
      <c r="N5629" s="55"/>
    </row>
    <row r="5630" spans="14:14" x14ac:dyDescent="0.25">
      <c r="N5630" s="55"/>
    </row>
    <row r="5631" spans="14:14" x14ac:dyDescent="0.25">
      <c r="N5631" s="55"/>
    </row>
    <row r="5632" spans="14:14" x14ac:dyDescent="0.25">
      <c r="N5632" s="55"/>
    </row>
    <row r="5633" spans="14:14" x14ac:dyDescent="0.25">
      <c r="N5633" s="55"/>
    </row>
    <row r="5634" spans="14:14" x14ac:dyDescent="0.25">
      <c r="N5634" s="55"/>
    </row>
    <row r="5635" spans="14:14" x14ac:dyDescent="0.25">
      <c r="N5635" s="55"/>
    </row>
    <row r="5636" spans="14:14" x14ac:dyDescent="0.25">
      <c r="N5636" s="55"/>
    </row>
    <row r="5637" spans="14:14" x14ac:dyDescent="0.25">
      <c r="N5637" s="55"/>
    </row>
    <row r="5638" spans="14:14" x14ac:dyDescent="0.25">
      <c r="N5638" s="55"/>
    </row>
    <row r="5639" spans="14:14" x14ac:dyDescent="0.25">
      <c r="N5639" s="55"/>
    </row>
    <row r="5640" spans="14:14" x14ac:dyDescent="0.25">
      <c r="N5640" s="55"/>
    </row>
    <row r="5641" spans="14:14" x14ac:dyDescent="0.25">
      <c r="N5641" s="55"/>
    </row>
    <row r="5642" spans="14:14" x14ac:dyDescent="0.25">
      <c r="N5642" s="55"/>
    </row>
    <row r="5643" spans="14:14" x14ac:dyDescent="0.25">
      <c r="N5643" s="55"/>
    </row>
    <row r="5644" spans="14:14" x14ac:dyDescent="0.25">
      <c r="N5644" s="55"/>
    </row>
    <row r="5645" spans="14:14" x14ac:dyDescent="0.25">
      <c r="N5645" s="55"/>
    </row>
    <row r="5646" spans="14:14" x14ac:dyDescent="0.25">
      <c r="N5646" s="55"/>
    </row>
    <row r="5647" spans="14:14" x14ac:dyDescent="0.25">
      <c r="N5647" s="55"/>
    </row>
    <row r="5648" spans="14:14" x14ac:dyDescent="0.25">
      <c r="N5648" s="55"/>
    </row>
    <row r="5649" spans="14:14" x14ac:dyDescent="0.25">
      <c r="N5649" s="55"/>
    </row>
    <row r="5650" spans="14:14" x14ac:dyDescent="0.25">
      <c r="N5650" s="55"/>
    </row>
    <row r="5651" spans="14:14" x14ac:dyDescent="0.25">
      <c r="N5651" s="55"/>
    </row>
    <row r="5652" spans="14:14" x14ac:dyDescent="0.25">
      <c r="N5652" s="55"/>
    </row>
    <row r="5653" spans="14:14" x14ac:dyDescent="0.25">
      <c r="N5653" s="55"/>
    </row>
    <row r="5654" spans="14:14" x14ac:dyDescent="0.25">
      <c r="N5654" s="55"/>
    </row>
    <row r="5655" spans="14:14" x14ac:dyDescent="0.25">
      <c r="N5655" s="55"/>
    </row>
    <row r="5656" spans="14:14" x14ac:dyDescent="0.25">
      <c r="N5656" s="55"/>
    </row>
    <row r="5657" spans="14:14" x14ac:dyDescent="0.25">
      <c r="N5657" s="55"/>
    </row>
    <row r="5658" spans="14:14" x14ac:dyDescent="0.25">
      <c r="N5658" s="55"/>
    </row>
    <row r="5659" spans="14:14" x14ac:dyDescent="0.25">
      <c r="N5659" s="55"/>
    </row>
    <row r="5660" spans="14:14" x14ac:dyDescent="0.25">
      <c r="N5660" s="55"/>
    </row>
    <row r="5661" spans="14:14" x14ac:dyDescent="0.25">
      <c r="N5661" s="55"/>
    </row>
    <row r="5662" spans="14:14" x14ac:dyDescent="0.25">
      <c r="N5662" s="55"/>
    </row>
    <row r="5663" spans="14:14" x14ac:dyDescent="0.25">
      <c r="N5663" s="55"/>
    </row>
    <row r="5664" spans="14:14" x14ac:dyDescent="0.25">
      <c r="N5664" s="55"/>
    </row>
    <row r="5665" spans="14:14" x14ac:dyDescent="0.25">
      <c r="N5665" s="55"/>
    </row>
    <row r="5666" spans="14:14" x14ac:dyDescent="0.25">
      <c r="N5666" s="55"/>
    </row>
    <row r="5667" spans="14:14" x14ac:dyDescent="0.25">
      <c r="N5667" s="55"/>
    </row>
    <row r="5668" spans="14:14" x14ac:dyDescent="0.25">
      <c r="N5668" s="55"/>
    </row>
    <row r="5669" spans="14:14" x14ac:dyDescent="0.25">
      <c r="N5669" s="55"/>
    </row>
    <row r="5670" spans="14:14" x14ac:dyDescent="0.25">
      <c r="N5670" s="55"/>
    </row>
    <row r="5671" spans="14:14" x14ac:dyDescent="0.25">
      <c r="N5671" s="55"/>
    </row>
    <row r="5672" spans="14:14" x14ac:dyDescent="0.25">
      <c r="N5672" s="55"/>
    </row>
    <row r="5673" spans="14:14" x14ac:dyDescent="0.25">
      <c r="N5673" s="55"/>
    </row>
    <row r="5674" spans="14:14" x14ac:dyDescent="0.25">
      <c r="N5674" s="55"/>
    </row>
    <row r="5675" spans="14:14" x14ac:dyDescent="0.25">
      <c r="N5675" s="55"/>
    </row>
    <row r="5676" spans="14:14" x14ac:dyDescent="0.25">
      <c r="N5676" s="55"/>
    </row>
    <row r="5677" spans="14:14" x14ac:dyDescent="0.25">
      <c r="N5677" s="55"/>
    </row>
    <row r="5678" spans="14:14" x14ac:dyDescent="0.25">
      <c r="N5678" s="55"/>
    </row>
    <row r="5679" spans="14:14" x14ac:dyDescent="0.25">
      <c r="N5679" s="55"/>
    </row>
    <row r="5680" spans="14:14" x14ac:dyDescent="0.25">
      <c r="N5680" s="55"/>
    </row>
    <row r="5681" spans="14:14" x14ac:dyDescent="0.25">
      <c r="N5681" s="55"/>
    </row>
    <row r="5682" spans="14:14" x14ac:dyDescent="0.25">
      <c r="N5682" s="55"/>
    </row>
    <row r="5683" spans="14:14" x14ac:dyDescent="0.25">
      <c r="N5683" s="55"/>
    </row>
    <row r="5684" spans="14:14" x14ac:dyDescent="0.25">
      <c r="N5684" s="55"/>
    </row>
    <row r="5685" spans="14:14" x14ac:dyDescent="0.25">
      <c r="N5685" s="55"/>
    </row>
    <row r="5686" spans="14:14" x14ac:dyDescent="0.25">
      <c r="N5686" s="55"/>
    </row>
    <row r="5687" spans="14:14" x14ac:dyDescent="0.25">
      <c r="N5687" s="55"/>
    </row>
    <row r="5688" spans="14:14" x14ac:dyDescent="0.25">
      <c r="N5688" s="55"/>
    </row>
    <row r="5689" spans="14:14" x14ac:dyDescent="0.25">
      <c r="N5689" s="55"/>
    </row>
    <row r="5690" spans="14:14" x14ac:dyDescent="0.25">
      <c r="N5690" s="55"/>
    </row>
    <row r="5691" spans="14:14" x14ac:dyDescent="0.25">
      <c r="N5691" s="55"/>
    </row>
    <row r="5692" spans="14:14" x14ac:dyDescent="0.25">
      <c r="N5692" s="55"/>
    </row>
    <row r="5693" spans="14:14" x14ac:dyDescent="0.25">
      <c r="N5693" s="55"/>
    </row>
    <row r="5694" spans="14:14" x14ac:dyDescent="0.25">
      <c r="N5694" s="55"/>
    </row>
    <row r="5695" spans="14:14" x14ac:dyDescent="0.25">
      <c r="N5695" s="55"/>
    </row>
    <row r="5696" spans="14:14" x14ac:dyDescent="0.25">
      <c r="N5696" s="55"/>
    </row>
    <row r="5697" spans="14:14" x14ac:dyDescent="0.25">
      <c r="N5697" s="55"/>
    </row>
    <row r="5698" spans="14:14" x14ac:dyDescent="0.25">
      <c r="N5698" s="55"/>
    </row>
    <row r="5699" spans="14:14" x14ac:dyDescent="0.25">
      <c r="N5699" s="55"/>
    </row>
    <row r="5700" spans="14:14" x14ac:dyDescent="0.25">
      <c r="N5700" s="55"/>
    </row>
    <row r="5701" spans="14:14" x14ac:dyDescent="0.25">
      <c r="N5701" s="55"/>
    </row>
    <row r="5702" spans="14:14" x14ac:dyDescent="0.25">
      <c r="N5702" s="55"/>
    </row>
    <row r="5703" spans="14:14" x14ac:dyDescent="0.25">
      <c r="N5703" s="55"/>
    </row>
    <row r="5704" spans="14:14" x14ac:dyDescent="0.25">
      <c r="N5704" s="55"/>
    </row>
    <row r="5705" spans="14:14" x14ac:dyDescent="0.25">
      <c r="N5705" s="55"/>
    </row>
    <row r="5706" spans="14:14" x14ac:dyDescent="0.25">
      <c r="N5706" s="55"/>
    </row>
    <row r="5707" spans="14:14" x14ac:dyDescent="0.25">
      <c r="N5707" s="55"/>
    </row>
    <row r="5708" spans="14:14" x14ac:dyDescent="0.25">
      <c r="N5708" s="55"/>
    </row>
    <row r="5709" spans="14:14" x14ac:dyDescent="0.25">
      <c r="N5709" s="55"/>
    </row>
    <row r="5710" spans="14:14" x14ac:dyDescent="0.25">
      <c r="N5710" s="55"/>
    </row>
    <row r="5711" spans="14:14" x14ac:dyDescent="0.25">
      <c r="N5711" s="55"/>
    </row>
    <row r="5712" spans="14:14" x14ac:dyDescent="0.25">
      <c r="N5712" s="55"/>
    </row>
    <row r="5713" spans="14:14" x14ac:dyDescent="0.25">
      <c r="N5713" s="55"/>
    </row>
    <row r="5714" spans="14:14" x14ac:dyDescent="0.25">
      <c r="N5714" s="55"/>
    </row>
    <row r="5715" spans="14:14" x14ac:dyDescent="0.25">
      <c r="N5715" s="55"/>
    </row>
    <row r="5716" spans="14:14" x14ac:dyDescent="0.25">
      <c r="N5716" s="55"/>
    </row>
    <row r="5717" spans="14:14" x14ac:dyDescent="0.25">
      <c r="N5717" s="55"/>
    </row>
    <row r="5718" spans="14:14" x14ac:dyDescent="0.25">
      <c r="N5718" s="55"/>
    </row>
    <row r="5719" spans="14:14" x14ac:dyDescent="0.25">
      <c r="N5719" s="55"/>
    </row>
    <row r="5720" spans="14:14" x14ac:dyDescent="0.25">
      <c r="N5720" s="55"/>
    </row>
    <row r="5721" spans="14:14" x14ac:dyDescent="0.25">
      <c r="N5721" s="55"/>
    </row>
    <row r="5722" spans="14:14" x14ac:dyDescent="0.25">
      <c r="N5722" s="55"/>
    </row>
    <row r="5723" spans="14:14" x14ac:dyDescent="0.25">
      <c r="N5723" s="55"/>
    </row>
    <row r="5724" spans="14:14" x14ac:dyDescent="0.25">
      <c r="N5724" s="55"/>
    </row>
    <row r="5725" spans="14:14" x14ac:dyDescent="0.25">
      <c r="N5725" s="55"/>
    </row>
    <row r="5726" spans="14:14" x14ac:dyDescent="0.25">
      <c r="N5726" s="55"/>
    </row>
    <row r="5727" spans="14:14" x14ac:dyDescent="0.25">
      <c r="N5727" s="55"/>
    </row>
    <row r="5728" spans="14:14" x14ac:dyDescent="0.25">
      <c r="N5728" s="55"/>
    </row>
    <row r="5729" spans="14:14" x14ac:dyDescent="0.25">
      <c r="N5729" s="55"/>
    </row>
    <row r="5730" spans="14:14" x14ac:dyDescent="0.25">
      <c r="N5730" s="55"/>
    </row>
    <row r="5731" spans="14:14" x14ac:dyDescent="0.25">
      <c r="N5731" s="55"/>
    </row>
    <row r="5732" spans="14:14" x14ac:dyDescent="0.25">
      <c r="N5732" s="55"/>
    </row>
    <row r="5733" spans="14:14" x14ac:dyDescent="0.25">
      <c r="N5733" s="55"/>
    </row>
    <row r="5734" spans="14:14" x14ac:dyDescent="0.25">
      <c r="N5734" s="55"/>
    </row>
    <row r="5735" spans="14:14" x14ac:dyDescent="0.25">
      <c r="N5735" s="55"/>
    </row>
    <row r="5736" spans="14:14" x14ac:dyDescent="0.25">
      <c r="N5736" s="55"/>
    </row>
    <row r="5737" spans="14:14" x14ac:dyDescent="0.25">
      <c r="N5737" s="55"/>
    </row>
    <row r="5738" spans="14:14" x14ac:dyDescent="0.25">
      <c r="N5738" s="55"/>
    </row>
    <row r="5739" spans="14:14" x14ac:dyDescent="0.25">
      <c r="N5739" s="55"/>
    </row>
    <row r="5740" spans="14:14" x14ac:dyDescent="0.25">
      <c r="N5740" s="55"/>
    </row>
    <row r="5741" spans="14:14" x14ac:dyDescent="0.25">
      <c r="N5741" s="55"/>
    </row>
    <row r="5742" spans="14:14" x14ac:dyDescent="0.25">
      <c r="N5742" s="55"/>
    </row>
    <row r="5743" spans="14:14" x14ac:dyDescent="0.25">
      <c r="N5743" s="55"/>
    </row>
    <row r="5744" spans="14:14" x14ac:dyDescent="0.25">
      <c r="N5744" s="55"/>
    </row>
    <row r="5745" spans="14:14" x14ac:dyDescent="0.25">
      <c r="N5745" s="55"/>
    </row>
    <row r="5746" spans="14:14" x14ac:dyDescent="0.25">
      <c r="N5746" s="55"/>
    </row>
    <row r="5747" spans="14:14" x14ac:dyDescent="0.25">
      <c r="N5747" s="55"/>
    </row>
    <row r="5748" spans="14:14" x14ac:dyDescent="0.25">
      <c r="N5748" s="55"/>
    </row>
    <row r="5749" spans="14:14" x14ac:dyDescent="0.25">
      <c r="N5749" s="55"/>
    </row>
    <row r="5750" spans="14:14" x14ac:dyDescent="0.25">
      <c r="N5750" s="55"/>
    </row>
    <row r="5751" spans="14:14" x14ac:dyDescent="0.25">
      <c r="N5751" s="55"/>
    </row>
    <row r="5752" spans="14:14" x14ac:dyDescent="0.25">
      <c r="N5752" s="55"/>
    </row>
    <row r="5753" spans="14:14" x14ac:dyDescent="0.25">
      <c r="N5753" s="55"/>
    </row>
    <row r="5754" spans="14:14" x14ac:dyDescent="0.25">
      <c r="N5754" s="55"/>
    </row>
    <row r="5755" spans="14:14" x14ac:dyDescent="0.25">
      <c r="N5755" s="55"/>
    </row>
    <row r="5756" spans="14:14" x14ac:dyDescent="0.25">
      <c r="N5756" s="55"/>
    </row>
    <row r="5757" spans="14:14" x14ac:dyDescent="0.25">
      <c r="N5757" s="55"/>
    </row>
    <row r="5758" spans="14:14" x14ac:dyDescent="0.25">
      <c r="N5758" s="55"/>
    </row>
    <row r="5759" spans="14:14" x14ac:dyDescent="0.25">
      <c r="N5759" s="55"/>
    </row>
    <row r="5760" spans="14:14" x14ac:dyDescent="0.25">
      <c r="N5760" s="55"/>
    </row>
    <row r="5761" spans="14:14" x14ac:dyDescent="0.25">
      <c r="N5761" s="55"/>
    </row>
    <row r="5762" spans="14:14" x14ac:dyDescent="0.25">
      <c r="N5762" s="55"/>
    </row>
    <row r="5763" spans="14:14" x14ac:dyDescent="0.25">
      <c r="N5763" s="55"/>
    </row>
    <row r="5764" spans="14:14" x14ac:dyDescent="0.25">
      <c r="N5764" s="55"/>
    </row>
    <row r="5765" spans="14:14" x14ac:dyDescent="0.25">
      <c r="N5765" s="55"/>
    </row>
    <row r="5766" spans="14:14" x14ac:dyDescent="0.25">
      <c r="N5766" s="55"/>
    </row>
    <row r="5767" spans="14:14" x14ac:dyDescent="0.25">
      <c r="N5767" s="55"/>
    </row>
    <row r="5768" spans="14:14" x14ac:dyDescent="0.25">
      <c r="N5768" s="55"/>
    </row>
    <row r="5769" spans="14:14" x14ac:dyDescent="0.25">
      <c r="N5769" s="55"/>
    </row>
    <row r="5770" spans="14:14" x14ac:dyDescent="0.25">
      <c r="N5770" s="55"/>
    </row>
    <row r="5771" spans="14:14" x14ac:dyDescent="0.25">
      <c r="N5771" s="55"/>
    </row>
    <row r="5772" spans="14:14" x14ac:dyDescent="0.25">
      <c r="N5772" s="55"/>
    </row>
    <row r="5773" spans="14:14" x14ac:dyDescent="0.25">
      <c r="N5773" s="55"/>
    </row>
    <row r="5774" spans="14:14" x14ac:dyDescent="0.25">
      <c r="N5774" s="55"/>
    </row>
    <row r="5775" spans="14:14" x14ac:dyDescent="0.25">
      <c r="N5775" s="55"/>
    </row>
    <row r="5776" spans="14:14" x14ac:dyDescent="0.25">
      <c r="N5776" s="55"/>
    </row>
    <row r="5777" spans="14:14" x14ac:dyDescent="0.25">
      <c r="N5777" s="55"/>
    </row>
    <row r="5778" spans="14:14" x14ac:dyDescent="0.25">
      <c r="N5778" s="55"/>
    </row>
    <row r="5779" spans="14:14" x14ac:dyDescent="0.25">
      <c r="N5779" s="55"/>
    </row>
    <row r="5780" spans="14:14" x14ac:dyDescent="0.25">
      <c r="N5780" s="55"/>
    </row>
    <row r="5781" spans="14:14" x14ac:dyDescent="0.25">
      <c r="N5781" s="55"/>
    </row>
    <row r="5782" spans="14:14" x14ac:dyDescent="0.25">
      <c r="N5782" s="55"/>
    </row>
    <row r="5783" spans="14:14" x14ac:dyDescent="0.25">
      <c r="N5783" s="55"/>
    </row>
    <row r="5784" spans="14:14" x14ac:dyDescent="0.25">
      <c r="N5784" s="55"/>
    </row>
    <row r="5785" spans="14:14" x14ac:dyDescent="0.25">
      <c r="N5785" s="55"/>
    </row>
    <row r="5786" spans="14:14" x14ac:dyDescent="0.25">
      <c r="N5786" s="55"/>
    </row>
    <row r="5787" spans="14:14" x14ac:dyDescent="0.25">
      <c r="N5787" s="55"/>
    </row>
    <row r="5788" spans="14:14" x14ac:dyDescent="0.25">
      <c r="N5788" s="55"/>
    </row>
    <row r="5789" spans="14:14" x14ac:dyDescent="0.25">
      <c r="N5789" s="55"/>
    </row>
    <row r="5790" spans="14:14" x14ac:dyDescent="0.25">
      <c r="N5790" s="55"/>
    </row>
    <row r="5791" spans="14:14" x14ac:dyDescent="0.25">
      <c r="N5791" s="55"/>
    </row>
    <row r="5792" spans="14:14" x14ac:dyDescent="0.25">
      <c r="N5792" s="55"/>
    </row>
    <row r="5793" spans="14:14" x14ac:dyDescent="0.25">
      <c r="N5793" s="55"/>
    </row>
    <row r="5794" spans="14:14" x14ac:dyDescent="0.25">
      <c r="N5794" s="55"/>
    </row>
    <row r="5795" spans="14:14" x14ac:dyDescent="0.25">
      <c r="N5795" s="55"/>
    </row>
    <row r="5796" spans="14:14" x14ac:dyDescent="0.25">
      <c r="N5796" s="55"/>
    </row>
    <row r="5797" spans="14:14" x14ac:dyDescent="0.25">
      <c r="N5797" s="55"/>
    </row>
    <row r="5798" spans="14:14" x14ac:dyDescent="0.25">
      <c r="N5798" s="55"/>
    </row>
    <row r="5799" spans="14:14" x14ac:dyDescent="0.25">
      <c r="N5799" s="55"/>
    </row>
    <row r="5800" spans="14:14" x14ac:dyDescent="0.25">
      <c r="N5800" s="55"/>
    </row>
    <row r="5801" spans="14:14" x14ac:dyDescent="0.25">
      <c r="N5801" s="55"/>
    </row>
    <row r="5802" spans="14:14" x14ac:dyDescent="0.25">
      <c r="N5802" s="55"/>
    </row>
    <row r="5803" spans="14:14" x14ac:dyDescent="0.25">
      <c r="N5803" s="55"/>
    </row>
    <row r="5804" spans="14:14" x14ac:dyDescent="0.25">
      <c r="N5804" s="55"/>
    </row>
    <row r="5805" spans="14:14" x14ac:dyDescent="0.25">
      <c r="N5805" s="55"/>
    </row>
    <row r="5806" spans="14:14" x14ac:dyDescent="0.25">
      <c r="N5806" s="55"/>
    </row>
    <row r="5807" spans="14:14" x14ac:dyDescent="0.25">
      <c r="N5807" s="55"/>
    </row>
    <row r="5808" spans="14:14" x14ac:dyDescent="0.25">
      <c r="N5808" s="55"/>
    </row>
    <row r="5809" spans="14:14" x14ac:dyDescent="0.25">
      <c r="N5809" s="55"/>
    </row>
    <row r="5810" spans="14:14" x14ac:dyDescent="0.25">
      <c r="N5810" s="55"/>
    </row>
    <row r="5811" spans="14:14" x14ac:dyDescent="0.25">
      <c r="N5811" s="55"/>
    </row>
    <row r="5812" spans="14:14" x14ac:dyDescent="0.25">
      <c r="N5812" s="55"/>
    </row>
    <row r="5813" spans="14:14" x14ac:dyDescent="0.25">
      <c r="N5813" s="55"/>
    </row>
    <row r="5814" spans="14:14" x14ac:dyDescent="0.25">
      <c r="N5814" s="55"/>
    </row>
    <row r="5815" spans="14:14" x14ac:dyDescent="0.25">
      <c r="N5815" s="55"/>
    </row>
    <row r="5816" spans="14:14" x14ac:dyDescent="0.25">
      <c r="N5816" s="55"/>
    </row>
    <row r="5817" spans="14:14" x14ac:dyDescent="0.25">
      <c r="N5817" s="55"/>
    </row>
    <row r="5818" spans="14:14" x14ac:dyDescent="0.25">
      <c r="N5818" s="55"/>
    </row>
    <row r="5819" spans="14:14" x14ac:dyDescent="0.25">
      <c r="N5819" s="55"/>
    </row>
    <row r="5820" spans="14:14" x14ac:dyDescent="0.25">
      <c r="N5820" s="55"/>
    </row>
    <row r="5821" spans="14:14" x14ac:dyDescent="0.25">
      <c r="N5821" s="55"/>
    </row>
    <row r="5822" spans="14:14" x14ac:dyDescent="0.25">
      <c r="N5822" s="55"/>
    </row>
    <row r="5823" spans="14:14" x14ac:dyDescent="0.25">
      <c r="N5823" s="55"/>
    </row>
    <row r="5824" spans="14:14" x14ac:dyDescent="0.25">
      <c r="N5824" s="55"/>
    </row>
    <row r="5825" spans="14:14" x14ac:dyDescent="0.25">
      <c r="N5825" s="55"/>
    </row>
    <row r="5826" spans="14:14" x14ac:dyDescent="0.25">
      <c r="N5826" s="55"/>
    </row>
    <row r="5827" spans="14:14" x14ac:dyDescent="0.25">
      <c r="N5827" s="55"/>
    </row>
    <row r="5828" spans="14:14" x14ac:dyDescent="0.25">
      <c r="N5828" s="55"/>
    </row>
    <row r="5829" spans="14:14" x14ac:dyDescent="0.25">
      <c r="N5829" s="55"/>
    </row>
    <row r="5830" spans="14:14" x14ac:dyDescent="0.25">
      <c r="N5830" s="55"/>
    </row>
    <row r="5831" spans="14:14" x14ac:dyDescent="0.25">
      <c r="N5831" s="55"/>
    </row>
    <row r="5832" spans="14:14" x14ac:dyDescent="0.25">
      <c r="N5832" s="55"/>
    </row>
    <row r="5833" spans="14:14" x14ac:dyDescent="0.25">
      <c r="N5833" s="55"/>
    </row>
    <row r="5834" spans="14:14" x14ac:dyDescent="0.25">
      <c r="N5834" s="55"/>
    </row>
    <row r="5835" spans="14:14" x14ac:dyDescent="0.25">
      <c r="N5835" s="55"/>
    </row>
    <row r="5836" spans="14:14" x14ac:dyDescent="0.25">
      <c r="N5836" s="55"/>
    </row>
    <row r="5837" spans="14:14" x14ac:dyDescent="0.25">
      <c r="N5837" s="55"/>
    </row>
    <row r="5838" spans="14:14" x14ac:dyDescent="0.25">
      <c r="N5838" s="55"/>
    </row>
    <row r="5839" spans="14:14" x14ac:dyDescent="0.25">
      <c r="N5839" s="55"/>
    </row>
    <row r="5840" spans="14:14" x14ac:dyDescent="0.25">
      <c r="N5840" s="55"/>
    </row>
    <row r="5841" spans="14:14" x14ac:dyDescent="0.25">
      <c r="N5841" s="55"/>
    </row>
    <row r="5842" spans="14:14" x14ac:dyDescent="0.25">
      <c r="N5842" s="55"/>
    </row>
    <row r="5843" spans="14:14" x14ac:dyDescent="0.25">
      <c r="N5843" s="55"/>
    </row>
    <row r="5844" spans="14:14" x14ac:dyDescent="0.25">
      <c r="N5844" s="55"/>
    </row>
    <row r="5845" spans="14:14" x14ac:dyDescent="0.25">
      <c r="N5845" s="55"/>
    </row>
    <row r="5846" spans="14:14" x14ac:dyDescent="0.25">
      <c r="N5846" s="55"/>
    </row>
    <row r="5847" spans="14:14" x14ac:dyDescent="0.25">
      <c r="N5847" s="55"/>
    </row>
    <row r="5848" spans="14:14" x14ac:dyDescent="0.25">
      <c r="N5848" s="55"/>
    </row>
    <row r="5849" spans="14:14" x14ac:dyDescent="0.25">
      <c r="N5849" s="55"/>
    </row>
    <row r="5850" spans="14:14" x14ac:dyDescent="0.25">
      <c r="N5850" s="55"/>
    </row>
    <row r="5851" spans="14:14" x14ac:dyDescent="0.25">
      <c r="N5851" s="55"/>
    </row>
    <row r="5852" spans="14:14" x14ac:dyDescent="0.25">
      <c r="N5852" s="55"/>
    </row>
    <row r="5853" spans="14:14" x14ac:dyDescent="0.25">
      <c r="N5853" s="55"/>
    </row>
    <row r="5854" spans="14:14" x14ac:dyDescent="0.25">
      <c r="N5854" s="55"/>
    </row>
    <row r="5855" spans="14:14" x14ac:dyDescent="0.25">
      <c r="N5855" s="55"/>
    </row>
    <row r="5856" spans="14:14" x14ac:dyDescent="0.25">
      <c r="N5856" s="55"/>
    </row>
    <row r="5857" spans="14:14" x14ac:dyDescent="0.25">
      <c r="N5857" s="55"/>
    </row>
    <row r="5858" spans="14:14" x14ac:dyDescent="0.25">
      <c r="N5858" s="55"/>
    </row>
    <row r="5859" spans="14:14" x14ac:dyDescent="0.25">
      <c r="N5859" s="55"/>
    </row>
    <row r="5860" spans="14:14" x14ac:dyDescent="0.25">
      <c r="N5860" s="55"/>
    </row>
    <row r="5861" spans="14:14" x14ac:dyDescent="0.25">
      <c r="N5861" s="55"/>
    </row>
    <row r="5862" spans="14:14" x14ac:dyDescent="0.25">
      <c r="N5862" s="55"/>
    </row>
    <row r="5863" spans="14:14" x14ac:dyDescent="0.25">
      <c r="N5863" s="55"/>
    </row>
    <row r="5864" spans="14:14" x14ac:dyDescent="0.25">
      <c r="N5864" s="55"/>
    </row>
    <row r="5865" spans="14:14" x14ac:dyDescent="0.25">
      <c r="N5865" s="55"/>
    </row>
    <row r="5866" spans="14:14" x14ac:dyDescent="0.25">
      <c r="N5866" s="55"/>
    </row>
    <row r="5867" spans="14:14" x14ac:dyDescent="0.25">
      <c r="N5867" s="55"/>
    </row>
    <row r="5868" spans="14:14" x14ac:dyDescent="0.25">
      <c r="N5868" s="55"/>
    </row>
    <row r="5869" spans="14:14" x14ac:dyDescent="0.25">
      <c r="N5869" s="55"/>
    </row>
    <row r="5870" spans="14:14" x14ac:dyDescent="0.25">
      <c r="N5870" s="55"/>
    </row>
    <row r="5871" spans="14:14" x14ac:dyDescent="0.25">
      <c r="N5871" s="55"/>
    </row>
    <row r="5872" spans="14:14" x14ac:dyDescent="0.25">
      <c r="N5872" s="55"/>
    </row>
    <row r="5873" spans="14:14" x14ac:dyDescent="0.25">
      <c r="N5873" s="55"/>
    </row>
    <row r="5874" spans="14:14" x14ac:dyDescent="0.25">
      <c r="N5874" s="55"/>
    </row>
    <row r="5875" spans="14:14" x14ac:dyDescent="0.25">
      <c r="N5875" s="55"/>
    </row>
    <row r="5876" spans="14:14" x14ac:dyDescent="0.25">
      <c r="N5876" s="55"/>
    </row>
    <row r="5877" spans="14:14" x14ac:dyDescent="0.25">
      <c r="N5877" s="55"/>
    </row>
    <row r="5878" spans="14:14" x14ac:dyDescent="0.25">
      <c r="N5878" s="55"/>
    </row>
    <row r="5879" spans="14:14" x14ac:dyDescent="0.25">
      <c r="N5879" s="55"/>
    </row>
    <row r="5880" spans="14:14" x14ac:dyDescent="0.25">
      <c r="N5880" s="55"/>
    </row>
    <row r="5881" spans="14:14" x14ac:dyDescent="0.25">
      <c r="N5881" s="55"/>
    </row>
    <row r="5882" spans="14:14" x14ac:dyDescent="0.25">
      <c r="N5882" s="55"/>
    </row>
    <row r="5883" spans="14:14" x14ac:dyDescent="0.25">
      <c r="N5883" s="55"/>
    </row>
    <row r="5884" spans="14:14" x14ac:dyDescent="0.25">
      <c r="N5884" s="55"/>
    </row>
    <row r="5885" spans="14:14" x14ac:dyDescent="0.25">
      <c r="N5885" s="55"/>
    </row>
    <row r="5886" spans="14:14" x14ac:dyDescent="0.25">
      <c r="N5886" s="55"/>
    </row>
    <row r="5887" spans="14:14" x14ac:dyDescent="0.25">
      <c r="N5887" s="55"/>
    </row>
    <row r="5888" spans="14:14" x14ac:dyDescent="0.25">
      <c r="N5888" s="55"/>
    </row>
    <row r="5889" spans="14:14" x14ac:dyDescent="0.25">
      <c r="N5889" s="55"/>
    </row>
    <row r="5890" spans="14:14" x14ac:dyDescent="0.25">
      <c r="N5890" s="55"/>
    </row>
    <row r="5891" spans="14:14" x14ac:dyDescent="0.25">
      <c r="N5891" s="55"/>
    </row>
    <row r="5892" spans="14:14" x14ac:dyDescent="0.25">
      <c r="N5892" s="55"/>
    </row>
    <row r="5893" spans="14:14" x14ac:dyDescent="0.25">
      <c r="N5893" s="55"/>
    </row>
    <row r="5894" spans="14:14" x14ac:dyDescent="0.25">
      <c r="N5894" s="55"/>
    </row>
    <row r="5895" spans="14:14" x14ac:dyDescent="0.25">
      <c r="N5895" s="55"/>
    </row>
    <row r="5896" spans="14:14" x14ac:dyDescent="0.25">
      <c r="N5896" s="55"/>
    </row>
    <row r="5897" spans="14:14" x14ac:dyDescent="0.25">
      <c r="N5897" s="55"/>
    </row>
    <row r="5898" spans="14:14" x14ac:dyDescent="0.25">
      <c r="N5898" s="55"/>
    </row>
    <row r="5899" spans="14:14" x14ac:dyDescent="0.25">
      <c r="N5899" s="55"/>
    </row>
    <row r="5900" spans="14:14" x14ac:dyDescent="0.25">
      <c r="N5900" s="55"/>
    </row>
    <row r="5901" spans="14:14" x14ac:dyDescent="0.25">
      <c r="N5901" s="55"/>
    </row>
    <row r="5902" spans="14:14" x14ac:dyDescent="0.25">
      <c r="N5902" s="55"/>
    </row>
    <row r="5903" spans="14:14" x14ac:dyDescent="0.25">
      <c r="N5903" s="55"/>
    </row>
    <row r="5904" spans="14:14" x14ac:dyDescent="0.25">
      <c r="N5904" s="55"/>
    </row>
    <row r="5905" spans="14:14" x14ac:dyDescent="0.25">
      <c r="N5905" s="55"/>
    </row>
    <row r="5906" spans="14:14" x14ac:dyDescent="0.25">
      <c r="N5906" s="55"/>
    </row>
    <row r="5907" spans="14:14" x14ac:dyDescent="0.25">
      <c r="N5907" s="55"/>
    </row>
    <row r="5908" spans="14:14" x14ac:dyDescent="0.25">
      <c r="N5908" s="55"/>
    </row>
    <row r="5909" spans="14:14" x14ac:dyDescent="0.25">
      <c r="N5909" s="55"/>
    </row>
    <row r="5910" spans="14:14" x14ac:dyDescent="0.25">
      <c r="N5910" s="55"/>
    </row>
    <row r="5911" spans="14:14" x14ac:dyDescent="0.25">
      <c r="N5911" s="55"/>
    </row>
    <row r="5912" spans="14:14" x14ac:dyDescent="0.25">
      <c r="N5912" s="55"/>
    </row>
    <row r="5913" spans="14:14" x14ac:dyDescent="0.25">
      <c r="N5913" s="55"/>
    </row>
    <row r="5914" spans="14:14" x14ac:dyDescent="0.25">
      <c r="N5914" s="55"/>
    </row>
    <row r="5915" spans="14:14" x14ac:dyDescent="0.25">
      <c r="N5915" s="55"/>
    </row>
    <row r="5916" spans="14:14" x14ac:dyDescent="0.25">
      <c r="N5916" s="55"/>
    </row>
    <row r="5917" spans="14:14" x14ac:dyDescent="0.25">
      <c r="N5917" s="55"/>
    </row>
    <row r="5918" spans="14:14" x14ac:dyDescent="0.25">
      <c r="N5918" s="55"/>
    </row>
    <row r="5919" spans="14:14" x14ac:dyDescent="0.25">
      <c r="N5919" s="55"/>
    </row>
    <row r="5920" spans="14:14" x14ac:dyDescent="0.25">
      <c r="N5920" s="55"/>
    </row>
    <row r="5921" spans="14:14" x14ac:dyDescent="0.25">
      <c r="N5921" s="55"/>
    </row>
    <row r="5922" spans="14:14" x14ac:dyDescent="0.25">
      <c r="N5922" s="55"/>
    </row>
    <row r="5923" spans="14:14" x14ac:dyDescent="0.25">
      <c r="N5923" s="55"/>
    </row>
    <row r="5924" spans="14:14" x14ac:dyDescent="0.25">
      <c r="N5924" s="55"/>
    </row>
    <row r="5925" spans="14:14" x14ac:dyDescent="0.25">
      <c r="N5925" s="55"/>
    </row>
    <row r="5926" spans="14:14" x14ac:dyDescent="0.25">
      <c r="N5926" s="55"/>
    </row>
    <row r="5927" spans="14:14" x14ac:dyDescent="0.25">
      <c r="N5927" s="55"/>
    </row>
    <row r="5928" spans="14:14" x14ac:dyDescent="0.25">
      <c r="N5928" s="55"/>
    </row>
    <row r="5929" spans="14:14" x14ac:dyDescent="0.25">
      <c r="N5929" s="55"/>
    </row>
    <row r="5930" spans="14:14" x14ac:dyDescent="0.25">
      <c r="N5930" s="55"/>
    </row>
    <row r="5931" spans="14:14" x14ac:dyDescent="0.25">
      <c r="N5931" s="55"/>
    </row>
    <row r="5932" spans="14:14" x14ac:dyDescent="0.25">
      <c r="N5932" s="55"/>
    </row>
    <row r="5933" spans="14:14" x14ac:dyDescent="0.25">
      <c r="N5933" s="55"/>
    </row>
    <row r="5934" spans="14:14" x14ac:dyDescent="0.25">
      <c r="N5934" s="55"/>
    </row>
    <row r="5935" spans="14:14" x14ac:dyDescent="0.25">
      <c r="N5935" s="55"/>
    </row>
    <row r="5936" spans="14:14" x14ac:dyDescent="0.25">
      <c r="N5936" s="55"/>
    </row>
    <row r="5937" spans="14:14" x14ac:dyDescent="0.25">
      <c r="N5937" s="55"/>
    </row>
    <row r="5938" spans="14:14" x14ac:dyDescent="0.25">
      <c r="N5938" s="55"/>
    </row>
    <row r="5939" spans="14:14" x14ac:dyDescent="0.25">
      <c r="N5939" s="55"/>
    </row>
    <row r="5940" spans="14:14" x14ac:dyDescent="0.25">
      <c r="N5940" s="55"/>
    </row>
    <row r="5941" spans="14:14" x14ac:dyDescent="0.25">
      <c r="N5941" s="55"/>
    </row>
    <row r="5942" spans="14:14" x14ac:dyDescent="0.25">
      <c r="N5942" s="55"/>
    </row>
    <row r="5943" spans="14:14" x14ac:dyDescent="0.25">
      <c r="N5943" s="55"/>
    </row>
    <row r="5944" spans="14:14" x14ac:dyDescent="0.25">
      <c r="N5944" s="55"/>
    </row>
    <row r="5945" spans="14:14" x14ac:dyDescent="0.25">
      <c r="N5945" s="55"/>
    </row>
    <row r="5946" spans="14:14" x14ac:dyDescent="0.25">
      <c r="N5946" s="55"/>
    </row>
    <row r="5947" spans="14:14" x14ac:dyDescent="0.25">
      <c r="N5947" s="55"/>
    </row>
    <row r="5948" spans="14:14" x14ac:dyDescent="0.25">
      <c r="N5948" s="55"/>
    </row>
    <row r="5949" spans="14:14" x14ac:dyDescent="0.25">
      <c r="N5949" s="55"/>
    </row>
    <row r="5950" spans="14:14" x14ac:dyDescent="0.25">
      <c r="N5950" s="55"/>
    </row>
    <row r="5951" spans="14:14" x14ac:dyDescent="0.25">
      <c r="N5951" s="55"/>
    </row>
    <row r="5952" spans="14:14" x14ac:dyDescent="0.25">
      <c r="N5952" s="55"/>
    </row>
    <row r="5953" spans="14:14" x14ac:dyDescent="0.25">
      <c r="N5953" s="55"/>
    </row>
    <row r="5954" spans="14:14" x14ac:dyDescent="0.25">
      <c r="N5954" s="55"/>
    </row>
    <row r="5955" spans="14:14" x14ac:dyDescent="0.25">
      <c r="N5955" s="55"/>
    </row>
    <row r="5956" spans="14:14" x14ac:dyDescent="0.25">
      <c r="N5956" s="55"/>
    </row>
    <row r="5957" spans="14:14" x14ac:dyDescent="0.25">
      <c r="N5957" s="55"/>
    </row>
    <row r="5958" spans="14:14" x14ac:dyDescent="0.25">
      <c r="N5958" s="55"/>
    </row>
    <row r="5959" spans="14:14" x14ac:dyDescent="0.25">
      <c r="N5959" s="55"/>
    </row>
    <row r="5960" spans="14:14" x14ac:dyDescent="0.25">
      <c r="N5960" s="55"/>
    </row>
    <row r="5961" spans="14:14" x14ac:dyDescent="0.25">
      <c r="N5961" s="55"/>
    </row>
    <row r="5962" spans="14:14" x14ac:dyDescent="0.25">
      <c r="N5962" s="55"/>
    </row>
    <row r="5963" spans="14:14" x14ac:dyDescent="0.25">
      <c r="N5963" s="55"/>
    </row>
    <row r="5964" spans="14:14" x14ac:dyDescent="0.25">
      <c r="N5964" s="55"/>
    </row>
    <row r="5965" spans="14:14" x14ac:dyDescent="0.25">
      <c r="N5965" s="55"/>
    </row>
    <row r="5966" spans="14:14" x14ac:dyDescent="0.25">
      <c r="N5966" s="55"/>
    </row>
    <row r="5967" spans="14:14" x14ac:dyDescent="0.25">
      <c r="N5967" s="55"/>
    </row>
    <row r="5968" spans="14:14" x14ac:dyDescent="0.25">
      <c r="N5968" s="55"/>
    </row>
    <row r="5969" spans="14:14" x14ac:dyDescent="0.25">
      <c r="N5969" s="55"/>
    </row>
    <row r="5970" spans="14:14" x14ac:dyDescent="0.25">
      <c r="N5970" s="55"/>
    </row>
    <row r="5971" spans="14:14" x14ac:dyDescent="0.25">
      <c r="N5971" s="55"/>
    </row>
    <row r="5972" spans="14:14" x14ac:dyDescent="0.25">
      <c r="N5972" s="55"/>
    </row>
    <row r="5973" spans="14:14" x14ac:dyDescent="0.25">
      <c r="N5973" s="55"/>
    </row>
    <row r="5974" spans="14:14" x14ac:dyDescent="0.25">
      <c r="N5974" s="55"/>
    </row>
    <row r="5975" spans="14:14" x14ac:dyDescent="0.25">
      <c r="N5975" s="55"/>
    </row>
    <row r="5976" spans="14:14" x14ac:dyDescent="0.25">
      <c r="N5976" s="55"/>
    </row>
    <row r="5977" spans="14:14" x14ac:dyDescent="0.25">
      <c r="N5977" s="55"/>
    </row>
    <row r="5978" spans="14:14" x14ac:dyDescent="0.25">
      <c r="N5978" s="55"/>
    </row>
    <row r="5979" spans="14:14" x14ac:dyDescent="0.25">
      <c r="N5979" s="55"/>
    </row>
    <row r="5980" spans="14:14" x14ac:dyDescent="0.25">
      <c r="N5980" s="55"/>
    </row>
    <row r="5981" spans="14:14" x14ac:dyDescent="0.25">
      <c r="N5981" s="55"/>
    </row>
    <row r="5982" spans="14:14" x14ac:dyDescent="0.25">
      <c r="N5982" s="55"/>
    </row>
    <row r="5983" spans="14:14" x14ac:dyDescent="0.25">
      <c r="N5983" s="55"/>
    </row>
    <row r="5984" spans="14:14" x14ac:dyDescent="0.25">
      <c r="N5984" s="55"/>
    </row>
    <row r="5985" spans="14:14" x14ac:dyDescent="0.25">
      <c r="N5985" s="55"/>
    </row>
    <row r="5986" spans="14:14" x14ac:dyDescent="0.25">
      <c r="N5986" s="55"/>
    </row>
    <row r="5987" spans="14:14" x14ac:dyDescent="0.25">
      <c r="N5987" s="55"/>
    </row>
    <row r="5988" spans="14:14" x14ac:dyDescent="0.25">
      <c r="N5988" s="55"/>
    </row>
    <row r="5989" spans="14:14" x14ac:dyDescent="0.25">
      <c r="N5989" s="55"/>
    </row>
    <row r="5990" spans="14:14" x14ac:dyDescent="0.25">
      <c r="N5990" s="55"/>
    </row>
    <row r="5991" spans="14:14" x14ac:dyDescent="0.25">
      <c r="N5991" s="55"/>
    </row>
    <row r="5992" spans="14:14" x14ac:dyDescent="0.25">
      <c r="N5992" s="55"/>
    </row>
    <row r="5993" spans="14:14" x14ac:dyDescent="0.25">
      <c r="N5993" s="55"/>
    </row>
    <row r="5994" spans="14:14" x14ac:dyDescent="0.25">
      <c r="N5994" s="55"/>
    </row>
    <row r="5995" spans="14:14" x14ac:dyDescent="0.25">
      <c r="N5995" s="55"/>
    </row>
    <row r="5996" spans="14:14" x14ac:dyDescent="0.25">
      <c r="N5996" s="55"/>
    </row>
    <row r="5997" spans="14:14" x14ac:dyDescent="0.25">
      <c r="N5997" s="55"/>
    </row>
    <row r="5998" spans="14:14" x14ac:dyDescent="0.25">
      <c r="N5998" s="55"/>
    </row>
    <row r="5999" spans="14:14" x14ac:dyDescent="0.25">
      <c r="N5999" s="55"/>
    </row>
    <row r="6000" spans="14:14" x14ac:dyDescent="0.25">
      <c r="N6000" s="55"/>
    </row>
    <row r="6001" spans="14:14" x14ac:dyDescent="0.25">
      <c r="N6001" s="55"/>
    </row>
    <row r="6002" spans="14:14" x14ac:dyDescent="0.25">
      <c r="N6002" s="55"/>
    </row>
    <row r="6003" spans="14:14" x14ac:dyDescent="0.25">
      <c r="N6003" s="55"/>
    </row>
    <row r="6004" spans="14:14" x14ac:dyDescent="0.25">
      <c r="N6004" s="55"/>
    </row>
    <row r="6005" spans="14:14" x14ac:dyDescent="0.25">
      <c r="N6005" s="55"/>
    </row>
    <row r="6006" spans="14:14" x14ac:dyDescent="0.25">
      <c r="N6006" s="55"/>
    </row>
    <row r="6007" spans="14:14" x14ac:dyDescent="0.25">
      <c r="N6007" s="55"/>
    </row>
    <row r="6008" spans="14:14" x14ac:dyDescent="0.25">
      <c r="N6008" s="55"/>
    </row>
    <row r="6009" spans="14:14" x14ac:dyDescent="0.25">
      <c r="N6009" s="55"/>
    </row>
    <row r="6010" spans="14:14" x14ac:dyDescent="0.25">
      <c r="N6010" s="55"/>
    </row>
    <row r="6011" spans="14:14" x14ac:dyDescent="0.25">
      <c r="N6011" s="55"/>
    </row>
    <row r="6012" spans="14:14" x14ac:dyDescent="0.25">
      <c r="N6012" s="55"/>
    </row>
    <row r="6013" spans="14:14" x14ac:dyDescent="0.25">
      <c r="N6013" s="55"/>
    </row>
    <row r="6014" spans="14:14" x14ac:dyDescent="0.25">
      <c r="N6014" s="55"/>
    </row>
    <row r="6015" spans="14:14" x14ac:dyDescent="0.25">
      <c r="N6015" s="55"/>
    </row>
    <row r="6016" spans="14:14" x14ac:dyDescent="0.25">
      <c r="N6016" s="55"/>
    </row>
    <row r="6017" spans="14:14" x14ac:dyDescent="0.25">
      <c r="N6017" s="55"/>
    </row>
    <row r="6018" spans="14:14" x14ac:dyDescent="0.25">
      <c r="N6018" s="55"/>
    </row>
    <row r="6019" spans="14:14" x14ac:dyDescent="0.25">
      <c r="N6019" s="55"/>
    </row>
    <row r="6020" spans="14:14" x14ac:dyDescent="0.25">
      <c r="N6020" s="55"/>
    </row>
    <row r="6021" spans="14:14" x14ac:dyDescent="0.25">
      <c r="N6021" s="55"/>
    </row>
    <row r="6022" spans="14:14" x14ac:dyDescent="0.25">
      <c r="N6022" s="55"/>
    </row>
    <row r="6023" spans="14:14" x14ac:dyDescent="0.25">
      <c r="N6023" s="55"/>
    </row>
    <row r="6024" spans="14:14" x14ac:dyDescent="0.25">
      <c r="N6024" s="55"/>
    </row>
    <row r="6025" spans="14:14" x14ac:dyDescent="0.25">
      <c r="N6025" s="55"/>
    </row>
    <row r="6026" spans="14:14" x14ac:dyDescent="0.25">
      <c r="N6026" s="55"/>
    </row>
    <row r="6027" spans="14:14" x14ac:dyDescent="0.25">
      <c r="N6027" s="55"/>
    </row>
    <row r="6028" spans="14:14" x14ac:dyDescent="0.25">
      <c r="N6028" s="55"/>
    </row>
    <row r="6029" spans="14:14" x14ac:dyDescent="0.25">
      <c r="N6029" s="55"/>
    </row>
    <row r="6030" spans="14:14" x14ac:dyDescent="0.25">
      <c r="N6030" s="55"/>
    </row>
    <row r="6031" spans="14:14" x14ac:dyDescent="0.25">
      <c r="N6031" s="55"/>
    </row>
    <row r="6032" spans="14:14" x14ac:dyDescent="0.25">
      <c r="N6032" s="55"/>
    </row>
    <row r="6033" spans="14:14" x14ac:dyDescent="0.25">
      <c r="N6033" s="55"/>
    </row>
    <row r="6034" spans="14:14" x14ac:dyDescent="0.25">
      <c r="N6034" s="55"/>
    </row>
    <row r="6035" spans="14:14" x14ac:dyDescent="0.25">
      <c r="N6035" s="55"/>
    </row>
    <row r="6036" spans="14:14" x14ac:dyDescent="0.25">
      <c r="N6036" s="55"/>
    </row>
    <row r="6037" spans="14:14" x14ac:dyDescent="0.25">
      <c r="N6037" s="55"/>
    </row>
    <row r="6038" spans="14:14" x14ac:dyDescent="0.25">
      <c r="N6038" s="55"/>
    </row>
    <row r="6039" spans="14:14" x14ac:dyDescent="0.25">
      <c r="N6039" s="55"/>
    </row>
    <row r="6040" spans="14:14" x14ac:dyDescent="0.25">
      <c r="N6040" s="55"/>
    </row>
    <row r="6041" spans="14:14" x14ac:dyDescent="0.25">
      <c r="N6041" s="55"/>
    </row>
    <row r="6042" spans="14:14" x14ac:dyDescent="0.25">
      <c r="N6042" s="55"/>
    </row>
    <row r="6043" spans="14:14" x14ac:dyDescent="0.25">
      <c r="N6043" s="55"/>
    </row>
    <row r="6044" spans="14:14" x14ac:dyDescent="0.25">
      <c r="N6044" s="55"/>
    </row>
    <row r="6045" spans="14:14" x14ac:dyDescent="0.25">
      <c r="N6045" s="55"/>
    </row>
    <row r="6046" spans="14:14" x14ac:dyDescent="0.25">
      <c r="N6046" s="55"/>
    </row>
    <row r="6047" spans="14:14" x14ac:dyDescent="0.25">
      <c r="N6047" s="55"/>
    </row>
    <row r="6048" spans="14:14" x14ac:dyDescent="0.25">
      <c r="N6048" s="55"/>
    </row>
    <row r="6049" spans="14:14" x14ac:dyDescent="0.25">
      <c r="N6049" s="55"/>
    </row>
    <row r="6050" spans="14:14" x14ac:dyDescent="0.25">
      <c r="N6050" s="55"/>
    </row>
    <row r="6051" spans="14:14" x14ac:dyDescent="0.25">
      <c r="N6051" s="55"/>
    </row>
    <row r="6052" spans="14:14" x14ac:dyDescent="0.25">
      <c r="N6052" s="55"/>
    </row>
    <row r="6053" spans="14:14" x14ac:dyDescent="0.25">
      <c r="N6053" s="55"/>
    </row>
    <row r="6054" spans="14:14" x14ac:dyDescent="0.25">
      <c r="N6054" s="55"/>
    </row>
    <row r="6055" spans="14:14" x14ac:dyDescent="0.25">
      <c r="N6055" s="55"/>
    </row>
    <row r="6056" spans="14:14" x14ac:dyDescent="0.25">
      <c r="N6056" s="55"/>
    </row>
    <row r="6057" spans="14:14" x14ac:dyDescent="0.25">
      <c r="N6057" s="55"/>
    </row>
    <row r="6058" spans="14:14" x14ac:dyDescent="0.25">
      <c r="N6058" s="55"/>
    </row>
    <row r="6059" spans="14:14" x14ac:dyDescent="0.25">
      <c r="N6059" s="55"/>
    </row>
    <row r="6060" spans="14:14" x14ac:dyDescent="0.25">
      <c r="N6060" s="55"/>
    </row>
    <row r="6061" spans="14:14" x14ac:dyDescent="0.25">
      <c r="N6061" s="55"/>
    </row>
    <row r="6062" spans="14:14" x14ac:dyDescent="0.25">
      <c r="N6062" s="55"/>
    </row>
    <row r="6063" spans="14:14" x14ac:dyDescent="0.25">
      <c r="N6063" s="55"/>
    </row>
    <row r="6064" spans="14:14" x14ac:dyDescent="0.25">
      <c r="N6064" s="55"/>
    </row>
    <row r="6065" spans="14:14" x14ac:dyDescent="0.25">
      <c r="N6065" s="55"/>
    </row>
    <row r="6066" spans="14:14" x14ac:dyDescent="0.25">
      <c r="N6066" s="55"/>
    </row>
    <row r="6067" spans="14:14" x14ac:dyDescent="0.25">
      <c r="N6067" s="55"/>
    </row>
    <row r="6068" spans="14:14" x14ac:dyDescent="0.25">
      <c r="N6068" s="55"/>
    </row>
    <row r="6069" spans="14:14" x14ac:dyDescent="0.25">
      <c r="N6069" s="55"/>
    </row>
    <row r="6070" spans="14:14" x14ac:dyDescent="0.25">
      <c r="N6070" s="55"/>
    </row>
    <row r="6071" spans="14:14" x14ac:dyDescent="0.25">
      <c r="N6071" s="55"/>
    </row>
    <row r="6072" spans="14:14" x14ac:dyDescent="0.25">
      <c r="N6072" s="55"/>
    </row>
    <row r="6073" spans="14:14" x14ac:dyDescent="0.25">
      <c r="N6073" s="55"/>
    </row>
    <row r="6074" spans="14:14" x14ac:dyDescent="0.25">
      <c r="N6074" s="55"/>
    </row>
    <row r="6075" spans="14:14" x14ac:dyDescent="0.25">
      <c r="N6075" s="55"/>
    </row>
    <row r="6076" spans="14:14" x14ac:dyDescent="0.25">
      <c r="N6076" s="55"/>
    </row>
    <row r="6077" spans="14:14" x14ac:dyDescent="0.25">
      <c r="N6077" s="55"/>
    </row>
    <row r="6078" spans="14:14" x14ac:dyDescent="0.25">
      <c r="N6078" s="55"/>
    </row>
    <row r="6079" spans="14:14" x14ac:dyDescent="0.25">
      <c r="N6079" s="55"/>
    </row>
    <row r="6080" spans="14:14" x14ac:dyDescent="0.25">
      <c r="N6080" s="55"/>
    </row>
    <row r="6081" spans="14:14" x14ac:dyDescent="0.25">
      <c r="N6081" s="55"/>
    </row>
    <row r="6082" spans="14:14" x14ac:dyDescent="0.25">
      <c r="N6082" s="55"/>
    </row>
    <row r="6083" spans="14:14" x14ac:dyDescent="0.25">
      <c r="N6083" s="55"/>
    </row>
    <row r="6084" spans="14:14" x14ac:dyDescent="0.25">
      <c r="N6084" s="55"/>
    </row>
    <row r="6085" spans="14:14" x14ac:dyDescent="0.25">
      <c r="N6085" s="55"/>
    </row>
    <row r="6086" spans="14:14" x14ac:dyDescent="0.25">
      <c r="N6086" s="55"/>
    </row>
    <row r="6087" spans="14:14" x14ac:dyDescent="0.25">
      <c r="N6087" s="55"/>
    </row>
    <row r="6088" spans="14:14" x14ac:dyDescent="0.25">
      <c r="N6088" s="55"/>
    </row>
    <row r="6089" spans="14:14" x14ac:dyDescent="0.25">
      <c r="N6089" s="55"/>
    </row>
    <row r="6090" spans="14:14" x14ac:dyDescent="0.25">
      <c r="N6090" s="55"/>
    </row>
    <row r="6091" spans="14:14" x14ac:dyDescent="0.25">
      <c r="N6091" s="55"/>
    </row>
    <row r="6092" spans="14:14" x14ac:dyDescent="0.25">
      <c r="N6092" s="55"/>
    </row>
    <row r="6093" spans="14:14" x14ac:dyDescent="0.25">
      <c r="N6093" s="55"/>
    </row>
    <row r="6094" spans="14:14" x14ac:dyDescent="0.25">
      <c r="N6094" s="55"/>
    </row>
    <row r="6095" spans="14:14" x14ac:dyDescent="0.25">
      <c r="N6095" s="55"/>
    </row>
    <row r="6096" spans="14:14" x14ac:dyDescent="0.25">
      <c r="N6096" s="55"/>
    </row>
    <row r="6097" spans="14:14" x14ac:dyDescent="0.25">
      <c r="N6097" s="55"/>
    </row>
    <row r="6098" spans="14:14" x14ac:dyDescent="0.25">
      <c r="N6098" s="55"/>
    </row>
    <row r="6099" spans="14:14" x14ac:dyDescent="0.25">
      <c r="N6099" s="55"/>
    </row>
    <row r="6100" spans="14:14" x14ac:dyDescent="0.25">
      <c r="N6100" s="55"/>
    </row>
    <row r="6101" spans="14:14" x14ac:dyDescent="0.25">
      <c r="N6101" s="55"/>
    </row>
    <row r="6102" spans="14:14" x14ac:dyDescent="0.25">
      <c r="N6102" s="55"/>
    </row>
    <row r="6103" spans="14:14" x14ac:dyDescent="0.25">
      <c r="N6103" s="55"/>
    </row>
    <row r="6104" spans="14:14" x14ac:dyDescent="0.25">
      <c r="N6104" s="55"/>
    </row>
    <row r="6105" spans="14:14" x14ac:dyDescent="0.25">
      <c r="N6105" s="55"/>
    </row>
    <row r="6106" spans="14:14" x14ac:dyDescent="0.25">
      <c r="N6106" s="55"/>
    </row>
    <row r="6107" spans="14:14" x14ac:dyDescent="0.25">
      <c r="N6107" s="55"/>
    </row>
    <row r="6108" spans="14:14" x14ac:dyDescent="0.25">
      <c r="N6108" s="55"/>
    </row>
    <row r="6109" spans="14:14" x14ac:dyDescent="0.25">
      <c r="N6109" s="55"/>
    </row>
    <row r="6110" spans="14:14" x14ac:dyDescent="0.25">
      <c r="N6110" s="55"/>
    </row>
    <row r="6111" spans="14:14" x14ac:dyDescent="0.25">
      <c r="N6111" s="55"/>
    </row>
    <row r="6112" spans="14:14" x14ac:dyDescent="0.25">
      <c r="N6112" s="55"/>
    </row>
    <row r="6113" spans="14:14" x14ac:dyDescent="0.25">
      <c r="N6113" s="55"/>
    </row>
    <row r="6114" spans="14:14" x14ac:dyDescent="0.25">
      <c r="N6114" s="55"/>
    </row>
    <row r="6115" spans="14:14" x14ac:dyDescent="0.25">
      <c r="N6115" s="55"/>
    </row>
    <row r="6116" spans="14:14" x14ac:dyDescent="0.25">
      <c r="N6116" s="55"/>
    </row>
    <row r="6117" spans="14:14" x14ac:dyDescent="0.25">
      <c r="N6117" s="55"/>
    </row>
    <row r="6118" spans="14:14" x14ac:dyDescent="0.25">
      <c r="N6118" s="55"/>
    </row>
    <row r="6119" spans="14:14" x14ac:dyDescent="0.25">
      <c r="N6119" s="55"/>
    </row>
    <row r="6120" spans="14:14" x14ac:dyDescent="0.25">
      <c r="N6120" s="55"/>
    </row>
    <row r="6121" spans="14:14" x14ac:dyDescent="0.25">
      <c r="N6121" s="55"/>
    </row>
    <row r="6122" spans="14:14" x14ac:dyDescent="0.25">
      <c r="N6122" s="55"/>
    </row>
    <row r="6123" spans="14:14" x14ac:dyDescent="0.25">
      <c r="N6123" s="55"/>
    </row>
    <row r="6124" spans="14:14" x14ac:dyDescent="0.25">
      <c r="N6124" s="55"/>
    </row>
    <row r="6125" spans="14:14" x14ac:dyDescent="0.25">
      <c r="N6125" s="55"/>
    </row>
    <row r="6126" spans="14:14" x14ac:dyDescent="0.25">
      <c r="N6126" s="55"/>
    </row>
    <row r="6127" spans="14:14" x14ac:dyDescent="0.25">
      <c r="N6127" s="55"/>
    </row>
    <row r="6128" spans="14:14" x14ac:dyDescent="0.25">
      <c r="N6128" s="55"/>
    </row>
    <row r="6129" spans="14:14" x14ac:dyDescent="0.25">
      <c r="N6129" s="55"/>
    </row>
    <row r="6130" spans="14:14" x14ac:dyDescent="0.25">
      <c r="N6130" s="55"/>
    </row>
    <row r="6131" spans="14:14" x14ac:dyDescent="0.25">
      <c r="N6131" s="55"/>
    </row>
    <row r="6132" spans="14:14" x14ac:dyDescent="0.25">
      <c r="N6132" s="55"/>
    </row>
    <row r="6133" spans="14:14" x14ac:dyDescent="0.25">
      <c r="N6133" s="55"/>
    </row>
    <row r="6134" spans="14:14" x14ac:dyDescent="0.25">
      <c r="N6134" s="55"/>
    </row>
    <row r="6135" spans="14:14" x14ac:dyDescent="0.25">
      <c r="N6135" s="55"/>
    </row>
    <row r="6136" spans="14:14" x14ac:dyDescent="0.25">
      <c r="N6136" s="55"/>
    </row>
    <row r="6137" spans="14:14" x14ac:dyDescent="0.25">
      <c r="N6137" s="55"/>
    </row>
    <row r="6138" spans="14:14" x14ac:dyDescent="0.25">
      <c r="N6138" s="55"/>
    </row>
    <row r="6139" spans="14:14" x14ac:dyDescent="0.25">
      <c r="N6139" s="55"/>
    </row>
    <row r="6140" spans="14:14" x14ac:dyDescent="0.25">
      <c r="N6140" s="55"/>
    </row>
    <row r="6141" spans="14:14" x14ac:dyDescent="0.25">
      <c r="N6141" s="55"/>
    </row>
    <row r="6142" spans="14:14" x14ac:dyDescent="0.25">
      <c r="N6142" s="55"/>
    </row>
    <row r="6143" spans="14:14" x14ac:dyDescent="0.25">
      <c r="N6143" s="55"/>
    </row>
    <row r="6144" spans="14:14" x14ac:dyDescent="0.25">
      <c r="N6144" s="55"/>
    </row>
    <row r="6145" spans="14:14" x14ac:dyDescent="0.25">
      <c r="N6145" s="55"/>
    </row>
    <row r="6146" spans="14:14" x14ac:dyDescent="0.25">
      <c r="N6146" s="55"/>
    </row>
    <row r="6147" spans="14:14" x14ac:dyDescent="0.25">
      <c r="N6147" s="55"/>
    </row>
    <row r="6148" spans="14:14" x14ac:dyDescent="0.25">
      <c r="N6148" s="55"/>
    </row>
    <row r="6149" spans="14:14" x14ac:dyDescent="0.25">
      <c r="N6149" s="55"/>
    </row>
    <row r="6150" spans="14:14" x14ac:dyDescent="0.25">
      <c r="N6150" s="55"/>
    </row>
    <row r="6151" spans="14:14" x14ac:dyDescent="0.25">
      <c r="N6151" s="5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in_sortemp"/>
  <dimension ref="A3:G7"/>
  <sheetViews>
    <sheetView topLeftCell="A4" zoomScale="60" zoomScaleNormal="60" workbookViewId="0">
      <selection activeCell="B11" sqref="B11"/>
    </sheetView>
  </sheetViews>
  <sheetFormatPr defaultRowHeight="15" x14ac:dyDescent="0.25"/>
  <cols>
    <col min="1" max="1" width="20" bestFit="1" customWidth="1"/>
    <col min="2" max="2" width="26.85546875" bestFit="1" customWidth="1"/>
    <col min="3" max="3" width="13.5703125" customWidth="1"/>
    <col min="4" max="4" width="26.42578125" bestFit="1" customWidth="1"/>
    <col min="5" max="5" width="37.5703125" bestFit="1" customWidth="1"/>
    <col min="6" max="6" width="14.42578125" bestFit="1" customWidth="1"/>
    <col min="7" max="11" width="19.42578125" customWidth="1"/>
    <col min="12" max="14" width="19.42578125" bestFit="1" customWidth="1"/>
    <col min="15" max="15" width="18" customWidth="1"/>
    <col min="16" max="16" width="19.42578125" bestFit="1" customWidth="1"/>
    <col min="17" max="17" width="18" bestFit="1" customWidth="1"/>
    <col min="18" max="32" width="23.42578125" customWidth="1"/>
    <col min="33" max="33" width="18" customWidth="1"/>
    <col min="34" max="44" width="27.140625" bestFit="1" customWidth="1"/>
    <col min="45" max="47" width="18" bestFit="1" customWidth="1"/>
    <col min="48" max="186" width="24.5703125" bestFit="1" customWidth="1"/>
    <col min="187" max="187" width="16.5703125" bestFit="1" customWidth="1"/>
  </cols>
  <sheetData>
    <row r="3" spans="1:7" x14ac:dyDescent="0.25">
      <c r="A3" s="50" t="s">
        <v>60</v>
      </c>
      <c r="F3" s="50" t="s">
        <v>17</v>
      </c>
      <c r="G3" s="50" t="s">
        <v>18</v>
      </c>
    </row>
    <row r="4" spans="1:7" x14ac:dyDescent="0.25">
      <c r="F4" t="s">
        <v>56</v>
      </c>
      <c r="G4" t="s">
        <v>57</v>
      </c>
    </row>
    <row r="5" spans="1:7" x14ac:dyDescent="0.25">
      <c r="A5" s="50" t="s">
        <v>7</v>
      </c>
      <c r="B5" s="50" t="s">
        <v>8</v>
      </c>
      <c r="C5" s="50" t="s">
        <v>20</v>
      </c>
      <c r="D5" s="50" t="s">
        <v>94</v>
      </c>
      <c r="E5" s="50" t="s">
        <v>21</v>
      </c>
      <c r="F5" t="s">
        <v>56</v>
      </c>
    </row>
    <row r="6" spans="1:7" x14ac:dyDescent="0.25">
      <c r="A6" t="s">
        <v>56</v>
      </c>
      <c r="B6" t="s">
        <v>56</v>
      </c>
      <c r="C6" t="s">
        <v>56</v>
      </c>
      <c r="D6" t="s">
        <v>56</v>
      </c>
      <c r="E6" t="s">
        <v>56</v>
      </c>
      <c r="F6" s="51"/>
      <c r="G6" s="51"/>
    </row>
    <row r="7" spans="1:7" x14ac:dyDescent="0.25">
      <c r="A7" t="s">
        <v>57</v>
      </c>
      <c r="F7" s="51"/>
      <c r="G7" s="51"/>
    </row>
  </sheetData>
  <conditionalFormatting sqref="A8:A154">
    <cfRule type="duplicateValues" dxfId="2" priority="1"/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ortim"/>
  <dimension ref="A1:X246"/>
  <sheetViews>
    <sheetView topLeftCell="G1" workbookViewId="0">
      <selection activeCell="T1" sqref="T1:T1048576"/>
    </sheetView>
  </sheetViews>
  <sheetFormatPr defaultRowHeight="15" x14ac:dyDescent="0.25"/>
  <cols>
    <col min="1" max="1" width="11.7109375" bestFit="1" customWidth="1"/>
    <col min="2" max="2" width="8.42578125" bestFit="1" customWidth="1"/>
    <col min="3" max="3" width="15.42578125" bestFit="1" customWidth="1"/>
    <col min="4" max="4" width="16" bestFit="1" customWidth="1"/>
    <col min="5" max="5" width="13.42578125" bestFit="1" customWidth="1"/>
    <col min="6" max="6" width="28.42578125" bestFit="1" customWidth="1"/>
    <col min="7" max="7" width="19.7109375" bestFit="1" customWidth="1"/>
    <col min="8" max="8" width="17.28515625" bestFit="1" customWidth="1"/>
    <col min="9" max="9" width="37.28515625" bestFit="1" customWidth="1"/>
    <col min="10" max="10" width="15.7109375" bestFit="1" customWidth="1"/>
    <col min="11" max="11" width="17.28515625" bestFit="1" customWidth="1"/>
    <col min="12" max="12" width="9" customWidth="1"/>
    <col min="13" max="13" width="12.42578125" bestFit="1" customWidth="1"/>
    <col min="14" max="14" width="15.5703125" bestFit="1" customWidth="1"/>
    <col min="15" max="15" width="10.28515625" customWidth="1"/>
    <col min="16" max="16" width="17.85546875" customWidth="1"/>
    <col min="17" max="20" width="20.28515625" customWidth="1"/>
    <col min="21" max="21" width="27.140625" bestFit="1" customWidth="1"/>
    <col min="22" max="22" width="18.28515625" bestFit="1" customWidth="1"/>
    <col min="23" max="23" width="34.28515625" style="62" bestFit="1" customWidth="1"/>
  </cols>
  <sheetData>
    <row r="1" spans="1:24" x14ac:dyDescent="0.25">
      <c r="A1" t="s">
        <v>5</v>
      </c>
      <c r="B1" t="s">
        <v>6</v>
      </c>
      <c r="C1" t="s">
        <v>1</v>
      </c>
      <c r="D1" t="s">
        <v>2</v>
      </c>
      <c r="E1" t="s">
        <v>0</v>
      </c>
      <c r="F1" t="s">
        <v>3</v>
      </c>
      <c r="G1" t="s">
        <v>4</v>
      </c>
      <c r="H1" t="s">
        <v>15</v>
      </c>
      <c r="I1" t="s">
        <v>16</v>
      </c>
      <c r="J1" t="s">
        <v>93</v>
      </c>
      <c r="K1" t="s">
        <v>17</v>
      </c>
      <c r="L1" t="s">
        <v>18</v>
      </c>
      <c r="M1" t="s">
        <v>19</v>
      </c>
      <c r="N1" t="s">
        <v>114</v>
      </c>
      <c r="O1" t="s">
        <v>95</v>
      </c>
      <c r="P1" t="s">
        <v>96</v>
      </c>
      <c r="Q1" t="s">
        <v>115</v>
      </c>
      <c r="R1" t="s">
        <v>116</v>
      </c>
      <c r="S1" t="s">
        <v>117</v>
      </c>
      <c r="T1" t="s">
        <v>118</v>
      </c>
      <c r="U1" t="s">
        <v>38</v>
      </c>
      <c r="V1" t="s">
        <v>39</v>
      </c>
      <c r="W1" t="s">
        <v>40</v>
      </c>
      <c r="X1" t="s">
        <v>98</v>
      </c>
    </row>
    <row r="2" spans="1:24" x14ac:dyDescent="0.25">
      <c r="W2"/>
    </row>
    <row r="3" spans="1:24" x14ac:dyDescent="0.25">
      <c r="W3"/>
    </row>
    <row r="4" spans="1:24" x14ac:dyDescent="0.25">
      <c r="W4"/>
    </row>
    <row r="5" spans="1:24" x14ac:dyDescent="0.25">
      <c r="W5"/>
    </row>
    <row r="6" spans="1:24" x14ac:dyDescent="0.25">
      <c r="W6"/>
    </row>
    <row r="7" spans="1:24" x14ac:dyDescent="0.25">
      <c r="W7"/>
    </row>
    <row r="8" spans="1:24" x14ac:dyDescent="0.25">
      <c r="W8"/>
    </row>
    <row r="9" spans="1:24" x14ac:dyDescent="0.25">
      <c r="W9"/>
    </row>
    <row r="10" spans="1:24" x14ac:dyDescent="0.25">
      <c r="W10"/>
    </row>
    <row r="11" spans="1:24" x14ac:dyDescent="0.25">
      <c r="W11"/>
    </row>
    <row r="12" spans="1:24" x14ac:dyDescent="0.25">
      <c r="W12"/>
    </row>
    <row r="13" spans="1:24" x14ac:dyDescent="0.25">
      <c r="W13"/>
    </row>
    <row r="14" spans="1:24" x14ac:dyDescent="0.25">
      <c r="W14"/>
    </row>
    <row r="15" spans="1:24" x14ac:dyDescent="0.25">
      <c r="W15"/>
    </row>
    <row r="16" spans="1:24" x14ac:dyDescent="0.25">
      <c r="W16"/>
    </row>
    <row r="17" spans="23:23" x14ac:dyDescent="0.25">
      <c r="W17"/>
    </row>
    <row r="18" spans="23:23" x14ac:dyDescent="0.25">
      <c r="W18"/>
    </row>
    <row r="19" spans="23:23" x14ac:dyDescent="0.25">
      <c r="W19"/>
    </row>
    <row r="20" spans="23:23" x14ac:dyDescent="0.25">
      <c r="W20"/>
    </row>
    <row r="21" spans="23:23" x14ac:dyDescent="0.25">
      <c r="W21"/>
    </row>
    <row r="22" spans="23:23" x14ac:dyDescent="0.25">
      <c r="W22"/>
    </row>
    <row r="23" spans="23:23" x14ac:dyDescent="0.25">
      <c r="W23"/>
    </row>
    <row r="24" spans="23:23" x14ac:dyDescent="0.25">
      <c r="W24"/>
    </row>
    <row r="25" spans="23:23" x14ac:dyDescent="0.25">
      <c r="W25"/>
    </row>
    <row r="26" spans="23:23" x14ac:dyDescent="0.25">
      <c r="W26"/>
    </row>
    <row r="27" spans="23:23" x14ac:dyDescent="0.25">
      <c r="W27"/>
    </row>
    <row r="28" spans="23:23" x14ac:dyDescent="0.25">
      <c r="W28"/>
    </row>
    <row r="29" spans="23:23" x14ac:dyDescent="0.25">
      <c r="W29"/>
    </row>
    <row r="30" spans="23:23" x14ac:dyDescent="0.25">
      <c r="W30"/>
    </row>
    <row r="31" spans="23:23" x14ac:dyDescent="0.25">
      <c r="W31"/>
    </row>
    <row r="32" spans="23:23" x14ac:dyDescent="0.25">
      <c r="W32"/>
    </row>
    <row r="33" spans="23:23" x14ac:dyDescent="0.25">
      <c r="W33"/>
    </row>
    <row r="34" spans="23:23" x14ac:dyDescent="0.25">
      <c r="W34"/>
    </row>
    <row r="35" spans="23:23" x14ac:dyDescent="0.25">
      <c r="W35"/>
    </row>
    <row r="36" spans="23:23" x14ac:dyDescent="0.25">
      <c r="W36"/>
    </row>
    <row r="37" spans="23:23" x14ac:dyDescent="0.25">
      <c r="W37"/>
    </row>
    <row r="38" spans="23:23" x14ac:dyDescent="0.25">
      <c r="W38"/>
    </row>
    <row r="39" spans="23:23" x14ac:dyDescent="0.25">
      <c r="W39"/>
    </row>
    <row r="40" spans="23:23" x14ac:dyDescent="0.25">
      <c r="W40"/>
    </row>
    <row r="41" spans="23:23" x14ac:dyDescent="0.25">
      <c r="W41"/>
    </row>
    <row r="42" spans="23:23" x14ac:dyDescent="0.25">
      <c r="W42"/>
    </row>
    <row r="43" spans="23:23" x14ac:dyDescent="0.25">
      <c r="W43"/>
    </row>
    <row r="44" spans="23:23" x14ac:dyDescent="0.25">
      <c r="W44"/>
    </row>
    <row r="45" spans="23:23" x14ac:dyDescent="0.25">
      <c r="W45"/>
    </row>
    <row r="46" spans="23:23" x14ac:dyDescent="0.25">
      <c r="W46"/>
    </row>
    <row r="47" spans="23:23" x14ac:dyDescent="0.25">
      <c r="W47"/>
    </row>
    <row r="48" spans="23:23" x14ac:dyDescent="0.25">
      <c r="W48"/>
    </row>
    <row r="49" spans="23:23" x14ac:dyDescent="0.25">
      <c r="W49"/>
    </row>
    <row r="50" spans="23:23" x14ac:dyDescent="0.25">
      <c r="W50"/>
    </row>
    <row r="51" spans="23:23" x14ac:dyDescent="0.25">
      <c r="W51"/>
    </row>
    <row r="52" spans="23:23" x14ac:dyDescent="0.25">
      <c r="W52"/>
    </row>
    <row r="53" spans="23:23" x14ac:dyDescent="0.25">
      <c r="W53"/>
    </row>
    <row r="54" spans="23:23" x14ac:dyDescent="0.25">
      <c r="W54"/>
    </row>
    <row r="55" spans="23:23" x14ac:dyDescent="0.25">
      <c r="W55"/>
    </row>
    <row r="56" spans="23:23" x14ac:dyDescent="0.25">
      <c r="W56"/>
    </row>
    <row r="57" spans="23:23" x14ac:dyDescent="0.25">
      <c r="W57"/>
    </row>
    <row r="58" spans="23:23" x14ac:dyDescent="0.25">
      <c r="W58"/>
    </row>
    <row r="59" spans="23:23" x14ac:dyDescent="0.25">
      <c r="W59"/>
    </row>
    <row r="60" spans="23:23" x14ac:dyDescent="0.25">
      <c r="W60"/>
    </row>
    <row r="61" spans="23:23" x14ac:dyDescent="0.25">
      <c r="W61"/>
    </row>
    <row r="62" spans="23:23" x14ac:dyDescent="0.25">
      <c r="W62"/>
    </row>
    <row r="63" spans="23:23" x14ac:dyDescent="0.25">
      <c r="W63"/>
    </row>
    <row r="64" spans="23:23" x14ac:dyDescent="0.25">
      <c r="W64"/>
    </row>
    <row r="65" spans="23:23" x14ac:dyDescent="0.25">
      <c r="W65"/>
    </row>
    <row r="66" spans="23:23" x14ac:dyDescent="0.25">
      <c r="W66"/>
    </row>
    <row r="67" spans="23:23" x14ac:dyDescent="0.25">
      <c r="W67"/>
    </row>
    <row r="68" spans="23:23" x14ac:dyDescent="0.25">
      <c r="W68"/>
    </row>
    <row r="69" spans="23:23" x14ac:dyDescent="0.25">
      <c r="W69"/>
    </row>
    <row r="70" spans="23:23" x14ac:dyDescent="0.25">
      <c r="W70"/>
    </row>
    <row r="71" spans="23:23" x14ac:dyDescent="0.25">
      <c r="W71"/>
    </row>
    <row r="72" spans="23:23" x14ac:dyDescent="0.25">
      <c r="W72"/>
    </row>
    <row r="73" spans="23:23" x14ac:dyDescent="0.25">
      <c r="W73"/>
    </row>
    <row r="74" spans="23:23" x14ac:dyDescent="0.25">
      <c r="W74"/>
    </row>
    <row r="75" spans="23:23" x14ac:dyDescent="0.25">
      <c r="W75"/>
    </row>
    <row r="76" spans="23:23" x14ac:dyDescent="0.25">
      <c r="W76"/>
    </row>
    <row r="77" spans="23:23" x14ac:dyDescent="0.25">
      <c r="W77"/>
    </row>
    <row r="78" spans="23:23" x14ac:dyDescent="0.25">
      <c r="W78"/>
    </row>
    <row r="79" spans="23:23" x14ac:dyDescent="0.25">
      <c r="W79"/>
    </row>
    <row r="80" spans="23:23" x14ac:dyDescent="0.25">
      <c r="W80"/>
    </row>
    <row r="81" spans="23:23" x14ac:dyDescent="0.25">
      <c r="W81"/>
    </row>
    <row r="82" spans="23:23" x14ac:dyDescent="0.25">
      <c r="W82"/>
    </row>
    <row r="83" spans="23:23" x14ac:dyDescent="0.25">
      <c r="W83"/>
    </row>
    <row r="84" spans="23:23" x14ac:dyDescent="0.25">
      <c r="W84"/>
    </row>
    <row r="85" spans="23:23" x14ac:dyDescent="0.25">
      <c r="W85"/>
    </row>
    <row r="86" spans="23:23" x14ac:dyDescent="0.25">
      <c r="W86"/>
    </row>
    <row r="87" spans="23:23" x14ac:dyDescent="0.25">
      <c r="W87"/>
    </row>
    <row r="88" spans="23:23" x14ac:dyDescent="0.25">
      <c r="W88"/>
    </row>
    <row r="89" spans="23:23" x14ac:dyDescent="0.25">
      <c r="W89"/>
    </row>
    <row r="90" spans="23:23" x14ac:dyDescent="0.25">
      <c r="W90"/>
    </row>
    <row r="91" spans="23:23" x14ac:dyDescent="0.25">
      <c r="W91"/>
    </row>
    <row r="92" spans="23:23" x14ac:dyDescent="0.25">
      <c r="W92"/>
    </row>
    <row r="93" spans="23:23" x14ac:dyDescent="0.25">
      <c r="W93"/>
    </row>
    <row r="94" spans="23:23" x14ac:dyDescent="0.25">
      <c r="W94"/>
    </row>
    <row r="95" spans="23:23" x14ac:dyDescent="0.25">
      <c r="W95"/>
    </row>
    <row r="96" spans="23:23" x14ac:dyDescent="0.25">
      <c r="W96"/>
    </row>
    <row r="97" spans="23:23" x14ac:dyDescent="0.25">
      <c r="W97"/>
    </row>
    <row r="98" spans="23:23" x14ac:dyDescent="0.25">
      <c r="W98"/>
    </row>
    <row r="99" spans="23:23" x14ac:dyDescent="0.25">
      <c r="W99"/>
    </row>
    <row r="100" spans="23:23" x14ac:dyDescent="0.25">
      <c r="W100"/>
    </row>
    <row r="101" spans="23:23" x14ac:dyDescent="0.25">
      <c r="W101"/>
    </row>
    <row r="102" spans="23:23" x14ac:dyDescent="0.25">
      <c r="W102"/>
    </row>
    <row r="103" spans="23:23" x14ac:dyDescent="0.25">
      <c r="W103"/>
    </row>
    <row r="104" spans="23:23" x14ac:dyDescent="0.25">
      <c r="W104"/>
    </row>
    <row r="105" spans="23:23" x14ac:dyDescent="0.25">
      <c r="W105"/>
    </row>
    <row r="106" spans="23:23" x14ac:dyDescent="0.25">
      <c r="W106"/>
    </row>
    <row r="107" spans="23:23" x14ac:dyDescent="0.25">
      <c r="W107"/>
    </row>
    <row r="108" spans="23:23" x14ac:dyDescent="0.25">
      <c r="W108"/>
    </row>
    <row r="109" spans="23:23" x14ac:dyDescent="0.25">
      <c r="W109"/>
    </row>
    <row r="110" spans="23:23" x14ac:dyDescent="0.25">
      <c r="W110"/>
    </row>
    <row r="111" spans="23:23" x14ac:dyDescent="0.25">
      <c r="W111"/>
    </row>
    <row r="112" spans="23:23" x14ac:dyDescent="0.25">
      <c r="W112"/>
    </row>
    <row r="113" spans="23:23" x14ac:dyDescent="0.25">
      <c r="W113"/>
    </row>
    <row r="114" spans="23:23" x14ac:dyDescent="0.25">
      <c r="W114"/>
    </row>
    <row r="115" spans="23:23" x14ac:dyDescent="0.25">
      <c r="W115"/>
    </row>
    <row r="116" spans="23:23" x14ac:dyDescent="0.25">
      <c r="W116"/>
    </row>
    <row r="117" spans="23:23" x14ac:dyDescent="0.25">
      <c r="W117"/>
    </row>
    <row r="118" spans="23:23" x14ac:dyDescent="0.25">
      <c r="W118"/>
    </row>
    <row r="119" spans="23:23" x14ac:dyDescent="0.25">
      <c r="W119"/>
    </row>
    <row r="120" spans="23:23" x14ac:dyDescent="0.25">
      <c r="W120"/>
    </row>
    <row r="121" spans="23:23" x14ac:dyDescent="0.25">
      <c r="W121"/>
    </row>
    <row r="122" spans="23:23" x14ac:dyDescent="0.25">
      <c r="W122"/>
    </row>
    <row r="123" spans="23:23" x14ac:dyDescent="0.25">
      <c r="W123"/>
    </row>
    <row r="124" spans="23:23" x14ac:dyDescent="0.25">
      <c r="W124"/>
    </row>
    <row r="125" spans="23:23" x14ac:dyDescent="0.25">
      <c r="W125"/>
    </row>
    <row r="126" spans="23:23" x14ac:dyDescent="0.25">
      <c r="W126"/>
    </row>
    <row r="127" spans="23:23" x14ac:dyDescent="0.25">
      <c r="W127"/>
    </row>
    <row r="128" spans="23:23" x14ac:dyDescent="0.25">
      <c r="W128"/>
    </row>
    <row r="129" spans="23:23" x14ac:dyDescent="0.25">
      <c r="W129"/>
    </row>
    <row r="130" spans="23:23" x14ac:dyDescent="0.25">
      <c r="W130"/>
    </row>
    <row r="131" spans="23:23" x14ac:dyDescent="0.25">
      <c r="W131"/>
    </row>
    <row r="132" spans="23:23" x14ac:dyDescent="0.25">
      <c r="W132"/>
    </row>
    <row r="133" spans="23:23" x14ac:dyDescent="0.25">
      <c r="W133"/>
    </row>
    <row r="134" spans="23:23" x14ac:dyDescent="0.25">
      <c r="W134"/>
    </row>
    <row r="135" spans="23:23" x14ac:dyDescent="0.25">
      <c r="W135"/>
    </row>
    <row r="136" spans="23:23" x14ac:dyDescent="0.25">
      <c r="W136"/>
    </row>
    <row r="137" spans="23:23" x14ac:dyDescent="0.25">
      <c r="W137"/>
    </row>
    <row r="138" spans="23:23" x14ac:dyDescent="0.25">
      <c r="W138"/>
    </row>
    <row r="139" spans="23:23" x14ac:dyDescent="0.25">
      <c r="W139"/>
    </row>
    <row r="140" spans="23:23" x14ac:dyDescent="0.25">
      <c r="W140"/>
    </row>
    <row r="141" spans="23:23" x14ac:dyDescent="0.25">
      <c r="W141"/>
    </row>
    <row r="142" spans="23:23" x14ac:dyDescent="0.25">
      <c r="W142"/>
    </row>
    <row r="143" spans="23:23" x14ac:dyDescent="0.25">
      <c r="W143"/>
    </row>
    <row r="144" spans="23:23" x14ac:dyDescent="0.25">
      <c r="W144"/>
    </row>
    <row r="145" spans="23:23" x14ac:dyDescent="0.25">
      <c r="W145"/>
    </row>
    <row r="146" spans="23:23" x14ac:dyDescent="0.25">
      <c r="W146"/>
    </row>
    <row r="147" spans="23:23" x14ac:dyDescent="0.25">
      <c r="W147"/>
    </row>
    <row r="148" spans="23:23" x14ac:dyDescent="0.25">
      <c r="W148"/>
    </row>
    <row r="149" spans="23:23" x14ac:dyDescent="0.25">
      <c r="W149"/>
    </row>
    <row r="150" spans="23:23" x14ac:dyDescent="0.25">
      <c r="W150"/>
    </row>
    <row r="151" spans="23:23" x14ac:dyDescent="0.25">
      <c r="W151"/>
    </row>
    <row r="152" spans="23:23" x14ac:dyDescent="0.25">
      <c r="W152"/>
    </row>
    <row r="153" spans="23:23" x14ac:dyDescent="0.25">
      <c r="W153"/>
    </row>
    <row r="154" spans="23:23" x14ac:dyDescent="0.25">
      <c r="W154"/>
    </row>
    <row r="155" spans="23:23" x14ac:dyDescent="0.25">
      <c r="W155"/>
    </row>
    <row r="156" spans="23:23" x14ac:dyDescent="0.25">
      <c r="W156"/>
    </row>
    <row r="157" spans="23:23" x14ac:dyDescent="0.25">
      <c r="W157"/>
    </row>
    <row r="158" spans="23:23" x14ac:dyDescent="0.25">
      <c r="W158"/>
    </row>
    <row r="159" spans="23:23" x14ac:dyDescent="0.25">
      <c r="W159"/>
    </row>
    <row r="160" spans="23:23" x14ac:dyDescent="0.25">
      <c r="W160"/>
    </row>
    <row r="161" spans="23:23" x14ac:dyDescent="0.25">
      <c r="W161"/>
    </row>
    <row r="162" spans="23:23" x14ac:dyDescent="0.25">
      <c r="W162"/>
    </row>
    <row r="163" spans="23:23" x14ac:dyDescent="0.25">
      <c r="W163"/>
    </row>
    <row r="164" spans="23:23" x14ac:dyDescent="0.25">
      <c r="W164"/>
    </row>
    <row r="165" spans="23:23" x14ac:dyDescent="0.25">
      <c r="W165"/>
    </row>
    <row r="166" spans="23:23" x14ac:dyDescent="0.25">
      <c r="W166"/>
    </row>
    <row r="167" spans="23:23" x14ac:dyDescent="0.25">
      <c r="W167"/>
    </row>
    <row r="168" spans="23:23" x14ac:dyDescent="0.25">
      <c r="W168"/>
    </row>
    <row r="169" spans="23:23" x14ac:dyDescent="0.25">
      <c r="W169"/>
    </row>
    <row r="170" spans="23:23" x14ac:dyDescent="0.25">
      <c r="W170"/>
    </row>
    <row r="171" spans="23:23" x14ac:dyDescent="0.25">
      <c r="W171"/>
    </row>
    <row r="172" spans="23:23" x14ac:dyDescent="0.25">
      <c r="W172"/>
    </row>
    <row r="173" spans="23:23" x14ac:dyDescent="0.25">
      <c r="W173"/>
    </row>
    <row r="174" spans="23:23" x14ac:dyDescent="0.25">
      <c r="W174"/>
    </row>
    <row r="175" spans="23:23" x14ac:dyDescent="0.25">
      <c r="W175"/>
    </row>
    <row r="176" spans="23:23" x14ac:dyDescent="0.25">
      <c r="W176"/>
    </row>
    <row r="177" spans="23:23" x14ac:dyDescent="0.25">
      <c r="W177"/>
    </row>
    <row r="178" spans="23:23" x14ac:dyDescent="0.25">
      <c r="W178"/>
    </row>
    <row r="179" spans="23:23" x14ac:dyDescent="0.25">
      <c r="W179"/>
    </row>
    <row r="180" spans="23:23" x14ac:dyDescent="0.25">
      <c r="W180"/>
    </row>
    <row r="181" spans="23:23" x14ac:dyDescent="0.25">
      <c r="W181"/>
    </row>
    <row r="182" spans="23:23" x14ac:dyDescent="0.25">
      <c r="W182"/>
    </row>
    <row r="183" spans="23:23" x14ac:dyDescent="0.25">
      <c r="W183"/>
    </row>
    <row r="184" spans="23:23" x14ac:dyDescent="0.25">
      <c r="W184"/>
    </row>
    <row r="185" spans="23:23" x14ac:dyDescent="0.25">
      <c r="W185"/>
    </row>
    <row r="186" spans="23:23" x14ac:dyDescent="0.25">
      <c r="W186"/>
    </row>
    <row r="187" spans="23:23" x14ac:dyDescent="0.25">
      <c r="W187"/>
    </row>
    <row r="188" spans="23:23" x14ac:dyDescent="0.25">
      <c r="W188"/>
    </row>
    <row r="189" spans="23:23" x14ac:dyDescent="0.25">
      <c r="W189"/>
    </row>
    <row r="190" spans="23:23" x14ac:dyDescent="0.25">
      <c r="W190"/>
    </row>
    <row r="191" spans="23:23" x14ac:dyDescent="0.25">
      <c r="W191"/>
    </row>
    <row r="192" spans="23:23" x14ac:dyDescent="0.25">
      <c r="W192"/>
    </row>
    <row r="193" spans="23:23" x14ac:dyDescent="0.25">
      <c r="W193"/>
    </row>
    <row r="194" spans="23:23" x14ac:dyDescent="0.25">
      <c r="W194"/>
    </row>
    <row r="195" spans="23:23" x14ac:dyDescent="0.25">
      <c r="W195"/>
    </row>
    <row r="196" spans="23:23" x14ac:dyDescent="0.25">
      <c r="W196"/>
    </row>
    <row r="197" spans="23:23" x14ac:dyDescent="0.25">
      <c r="W197"/>
    </row>
    <row r="198" spans="23:23" x14ac:dyDescent="0.25">
      <c r="W198"/>
    </row>
    <row r="199" spans="23:23" x14ac:dyDescent="0.25">
      <c r="W199"/>
    </row>
    <row r="200" spans="23:23" x14ac:dyDescent="0.25">
      <c r="W200"/>
    </row>
    <row r="201" spans="23:23" x14ac:dyDescent="0.25">
      <c r="W201"/>
    </row>
    <row r="202" spans="23:23" x14ac:dyDescent="0.25">
      <c r="W202"/>
    </row>
    <row r="203" spans="23:23" x14ac:dyDescent="0.25">
      <c r="W203"/>
    </row>
    <row r="204" spans="23:23" x14ac:dyDescent="0.25">
      <c r="W204"/>
    </row>
    <row r="205" spans="23:23" x14ac:dyDescent="0.25">
      <c r="W205"/>
    </row>
    <row r="206" spans="23:23" x14ac:dyDescent="0.25">
      <c r="W206"/>
    </row>
    <row r="207" spans="23:23" x14ac:dyDescent="0.25">
      <c r="W207"/>
    </row>
    <row r="208" spans="23:23" x14ac:dyDescent="0.25">
      <c r="W208"/>
    </row>
    <row r="209" spans="22:23" x14ac:dyDescent="0.25">
      <c r="W209"/>
    </row>
    <row r="210" spans="22:23" x14ac:dyDescent="0.25">
      <c r="W210"/>
    </row>
    <row r="211" spans="22:23" x14ac:dyDescent="0.25">
      <c r="W211"/>
    </row>
    <row r="212" spans="22:23" x14ac:dyDescent="0.25">
      <c r="W212"/>
    </row>
    <row r="213" spans="22:23" x14ac:dyDescent="0.25">
      <c r="W213"/>
    </row>
    <row r="214" spans="22:23" x14ac:dyDescent="0.25">
      <c r="W214"/>
    </row>
    <row r="215" spans="22:23" x14ac:dyDescent="0.25">
      <c r="W215"/>
    </row>
    <row r="216" spans="22:23" x14ac:dyDescent="0.25">
      <c r="W216"/>
    </row>
    <row r="217" spans="22:23" x14ac:dyDescent="0.25">
      <c r="W217"/>
    </row>
    <row r="218" spans="22:23" x14ac:dyDescent="0.25">
      <c r="W218"/>
    </row>
    <row r="219" spans="22:23" x14ac:dyDescent="0.25">
      <c r="W219"/>
    </row>
    <row r="220" spans="22:23" x14ac:dyDescent="0.25">
      <c r="W220"/>
    </row>
    <row r="221" spans="22:23" x14ac:dyDescent="0.25">
      <c r="W221"/>
    </row>
    <row r="222" spans="22:23" x14ac:dyDescent="0.25">
      <c r="W222"/>
    </row>
    <row r="223" spans="22:23" x14ac:dyDescent="0.25">
      <c r="W223"/>
    </row>
    <row r="224" spans="22:23" x14ac:dyDescent="0.25">
      <c r="V224" s="51"/>
      <c r="W224"/>
    </row>
    <row r="225" spans="22:23" x14ac:dyDescent="0.25">
      <c r="V225" s="51"/>
      <c r="W225"/>
    </row>
    <row r="226" spans="22:23" x14ac:dyDescent="0.25">
      <c r="V226" s="51"/>
      <c r="W226"/>
    </row>
    <row r="227" spans="22:23" x14ac:dyDescent="0.25">
      <c r="V227" s="51"/>
      <c r="W227"/>
    </row>
    <row r="228" spans="22:23" x14ac:dyDescent="0.25">
      <c r="V228" s="51"/>
      <c r="W228"/>
    </row>
    <row r="229" spans="22:23" x14ac:dyDescent="0.25">
      <c r="V229" s="51"/>
      <c r="W229"/>
    </row>
    <row r="230" spans="22:23" x14ac:dyDescent="0.25">
      <c r="V230" s="51"/>
      <c r="W230"/>
    </row>
    <row r="231" spans="22:23" x14ac:dyDescent="0.25">
      <c r="V231" s="51"/>
      <c r="W231"/>
    </row>
    <row r="232" spans="22:23" x14ac:dyDescent="0.25">
      <c r="V232" s="51"/>
      <c r="W232"/>
    </row>
    <row r="233" spans="22:23" x14ac:dyDescent="0.25">
      <c r="V233" s="51"/>
      <c r="W233"/>
    </row>
    <row r="234" spans="22:23" x14ac:dyDescent="0.25">
      <c r="V234" s="51"/>
      <c r="W234"/>
    </row>
    <row r="235" spans="22:23" x14ac:dyDescent="0.25">
      <c r="V235" s="51"/>
      <c r="W235"/>
    </row>
    <row r="236" spans="22:23" x14ac:dyDescent="0.25">
      <c r="V236" s="51"/>
      <c r="W236"/>
    </row>
    <row r="237" spans="22:23" x14ac:dyDescent="0.25">
      <c r="V237" s="51"/>
      <c r="W237"/>
    </row>
    <row r="238" spans="22:23" x14ac:dyDescent="0.25">
      <c r="V238" s="51"/>
      <c r="W238"/>
    </row>
    <row r="239" spans="22:23" x14ac:dyDescent="0.25">
      <c r="V239" s="51"/>
      <c r="W239"/>
    </row>
    <row r="240" spans="22:23" x14ac:dyDescent="0.25">
      <c r="V240" s="51"/>
      <c r="W240"/>
    </row>
    <row r="241" spans="22:23" x14ac:dyDescent="0.25">
      <c r="V241" s="51"/>
      <c r="W241"/>
    </row>
    <row r="242" spans="22:23" x14ac:dyDescent="0.25">
      <c r="V242" s="51"/>
      <c r="W242"/>
    </row>
    <row r="243" spans="22:23" x14ac:dyDescent="0.25">
      <c r="V243" s="51"/>
      <c r="W243"/>
    </row>
    <row r="244" spans="22:23" x14ac:dyDescent="0.25">
      <c r="V244" s="51"/>
      <c r="W244"/>
    </row>
    <row r="245" spans="22:23" x14ac:dyDescent="0.25">
      <c r="V245" s="51"/>
      <c r="W245"/>
    </row>
    <row r="246" spans="22:23" x14ac:dyDescent="0.25">
      <c r="V246" s="51"/>
      <c r="W246"/>
    </row>
  </sheetData>
  <phoneticPr fontId="1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din_sortim"/>
  <dimension ref="A3:C5"/>
  <sheetViews>
    <sheetView workbookViewId="0">
      <selection activeCell="C5" sqref="C5"/>
    </sheetView>
  </sheetViews>
  <sheetFormatPr defaultRowHeight="15" x14ac:dyDescent="0.25"/>
  <cols>
    <col min="1" max="1" width="18.5703125" customWidth="1"/>
    <col min="2" max="2" width="19.5703125" bestFit="1" customWidth="1"/>
    <col min="3" max="3" width="10.7109375" bestFit="1" customWidth="1"/>
    <col min="4" max="4" width="12.28515625" bestFit="1" customWidth="1"/>
    <col min="5" max="5" width="13.140625" bestFit="1" customWidth="1"/>
    <col min="6" max="6" width="7.42578125" bestFit="1" customWidth="1"/>
    <col min="7" max="7" width="7" bestFit="1" customWidth="1"/>
    <col min="8" max="8" width="12.5703125" bestFit="1" customWidth="1"/>
    <col min="9" max="9" width="8.42578125" bestFit="1" customWidth="1"/>
    <col min="10" max="10" width="10.7109375" bestFit="1" customWidth="1"/>
    <col min="11" max="11" width="8.42578125" bestFit="1" customWidth="1"/>
    <col min="12" max="12" width="10.7109375" bestFit="1" customWidth="1"/>
    <col min="13" max="13" width="15.7109375" bestFit="1" customWidth="1"/>
    <col min="14" max="14" width="21.5703125" bestFit="1" customWidth="1"/>
    <col min="15" max="15" width="17.28515625" bestFit="1" customWidth="1"/>
    <col min="16" max="16" width="20.7109375" bestFit="1" customWidth="1"/>
    <col min="17" max="17" width="16.7109375" bestFit="1" customWidth="1"/>
    <col min="18" max="18" width="21.85546875" bestFit="1" customWidth="1"/>
    <col min="19" max="19" width="15.85546875" bestFit="1" customWidth="1"/>
    <col min="20" max="20" width="21.7109375" bestFit="1" customWidth="1"/>
    <col min="21" max="21" width="21.85546875" bestFit="1" customWidth="1"/>
    <col min="22" max="22" width="15.7109375" bestFit="1" customWidth="1"/>
    <col min="23" max="23" width="21.5703125" bestFit="1" customWidth="1"/>
    <col min="24" max="24" width="15.85546875" bestFit="1" customWidth="1"/>
    <col min="25" max="25" width="21.7109375" bestFit="1" customWidth="1"/>
    <col min="26" max="26" width="21.85546875" bestFit="1" customWidth="1"/>
    <col min="27" max="27" width="15.7109375" bestFit="1" customWidth="1"/>
    <col min="28" max="28" width="21.5703125" bestFit="1" customWidth="1"/>
    <col min="29" max="29" width="22.5703125" bestFit="1" customWidth="1"/>
    <col min="30" max="30" width="15.85546875" bestFit="1" customWidth="1"/>
    <col min="31" max="31" width="21.7109375" bestFit="1" customWidth="1"/>
    <col min="32" max="32" width="15.7109375" bestFit="1" customWidth="1"/>
    <col min="33" max="33" width="21.5703125" bestFit="1" customWidth="1"/>
    <col min="34" max="34" width="15.85546875" bestFit="1" customWidth="1"/>
    <col min="35" max="35" width="21.7109375" bestFit="1" customWidth="1"/>
    <col min="36" max="36" width="15.7109375" bestFit="1" customWidth="1"/>
    <col min="37" max="37" width="21.5703125" bestFit="1" customWidth="1"/>
    <col min="38" max="38" width="5.42578125" bestFit="1" customWidth="1"/>
    <col min="39" max="39" width="7" bestFit="1" customWidth="1"/>
    <col min="40" max="40" width="15.85546875" bestFit="1" customWidth="1"/>
    <col min="41" max="41" width="10.7109375" bestFit="1" customWidth="1"/>
    <col min="42" max="42" width="17.42578125" bestFit="1" customWidth="1"/>
    <col min="43" max="43" width="26.85546875" bestFit="1" customWidth="1"/>
    <col min="44" max="44" width="25.28515625" bestFit="1" customWidth="1"/>
    <col min="45" max="45" width="22.28515625" bestFit="1" customWidth="1"/>
    <col min="46" max="46" width="26.140625" bestFit="1" customWidth="1"/>
    <col min="47" max="47" width="19.5703125" bestFit="1" customWidth="1"/>
    <col min="48" max="48" width="25.140625" bestFit="1" customWidth="1"/>
    <col min="49" max="49" width="12.7109375" bestFit="1" customWidth="1"/>
    <col min="50" max="50" width="28" bestFit="1" customWidth="1"/>
    <col min="51" max="51" width="19.5703125" bestFit="1" customWidth="1"/>
    <col min="52" max="52" width="19.140625" bestFit="1" customWidth="1"/>
    <col min="53" max="53" width="22.28515625" bestFit="1" customWidth="1"/>
    <col min="54" max="54" width="29.42578125" bestFit="1" customWidth="1"/>
    <col min="55" max="56" width="19.5703125" bestFit="1" customWidth="1"/>
    <col min="57" max="57" width="20" bestFit="1" customWidth="1"/>
    <col min="58" max="58" width="19.140625" bestFit="1" customWidth="1"/>
    <col min="59" max="59" width="20.5703125" bestFit="1" customWidth="1"/>
    <col min="60" max="60" width="21.140625" bestFit="1" customWidth="1"/>
    <col min="61" max="61" width="23.7109375" bestFit="1" customWidth="1"/>
    <col min="62" max="62" width="18.85546875" bestFit="1" customWidth="1"/>
    <col min="63" max="64" width="19.140625" bestFit="1" customWidth="1"/>
    <col min="65" max="65" width="24.28515625" bestFit="1" customWidth="1"/>
    <col min="66" max="66" width="24.85546875" bestFit="1" customWidth="1"/>
    <col min="67" max="67" width="28" bestFit="1" customWidth="1"/>
    <col min="68" max="68" width="24.85546875" bestFit="1" customWidth="1"/>
    <col min="69" max="69" width="18.85546875" bestFit="1" customWidth="1"/>
    <col min="70" max="70" width="26.42578125" bestFit="1" customWidth="1"/>
    <col min="71" max="71" width="18.85546875" bestFit="1" customWidth="1"/>
    <col min="72" max="72" width="25.28515625" bestFit="1" customWidth="1"/>
    <col min="73" max="73" width="25.85546875" bestFit="1" customWidth="1"/>
    <col min="74" max="75" width="19.140625" bestFit="1" customWidth="1"/>
    <col min="76" max="76" width="26.42578125" bestFit="1" customWidth="1"/>
    <col min="77" max="77" width="29.42578125" bestFit="1" customWidth="1"/>
    <col min="78" max="78" width="25.28515625" bestFit="1" customWidth="1"/>
    <col min="79" max="79" width="18.5703125" bestFit="1" customWidth="1"/>
    <col min="80" max="80" width="24.28515625" bestFit="1" customWidth="1"/>
    <col min="81" max="81" width="26.42578125" bestFit="1" customWidth="1"/>
    <col min="82" max="82" width="16.28515625" bestFit="1" customWidth="1"/>
    <col min="83" max="83" width="20.5703125" bestFit="1" customWidth="1"/>
    <col min="84" max="84" width="26.5703125" bestFit="1" customWidth="1"/>
    <col min="85" max="85" width="28" bestFit="1" customWidth="1"/>
    <col min="86" max="86" width="26.28515625" bestFit="1" customWidth="1"/>
    <col min="87" max="87" width="18.5703125" bestFit="1" customWidth="1"/>
    <col min="88" max="88" width="26.5703125" bestFit="1" customWidth="1"/>
    <col min="89" max="89" width="24.5703125" bestFit="1" customWidth="1"/>
    <col min="90" max="90" width="28" bestFit="1" customWidth="1"/>
    <col min="91" max="91" width="27.85546875" bestFit="1" customWidth="1"/>
    <col min="92" max="92" width="25.28515625" bestFit="1" customWidth="1"/>
    <col min="93" max="93" width="26.140625" bestFit="1" customWidth="1"/>
    <col min="94" max="94" width="26.85546875" bestFit="1" customWidth="1"/>
    <col min="95" max="95" width="28.42578125" bestFit="1" customWidth="1"/>
    <col min="96" max="96" width="27.85546875" bestFit="1" customWidth="1"/>
    <col min="97" max="97" width="22.7109375" bestFit="1" customWidth="1"/>
    <col min="98" max="98" width="28.42578125" bestFit="1" customWidth="1"/>
    <col min="99" max="99" width="25.28515625" bestFit="1" customWidth="1"/>
    <col min="100" max="100" width="20.5703125" bestFit="1" customWidth="1"/>
    <col min="101" max="102" width="22.28515625" bestFit="1" customWidth="1"/>
    <col min="103" max="103" width="22" bestFit="1" customWidth="1"/>
    <col min="104" max="104" width="20" bestFit="1" customWidth="1"/>
    <col min="105" max="105" width="23.7109375" bestFit="1" customWidth="1"/>
    <col min="106" max="106" width="19" bestFit="1" customWidth="1"/>
    <col min="107" max="107" width="16.28515625" bestFit="1" customWidth="1"/>
    <col min="108" max="108" width="19" bestFit="1" customWidth="1"/>
    <col min="109" max="109" width="20" bestFit="1" customWidth="1"/>
    <col min="110" max="110" width="24.7109375" bestFit="1" customWidth="1"/>
    <col min="111" max="111" width="18.5703125" bestFit="1" customWidth="1"/>
    <col min="112" max="112" width="18.85546875" bestFit="1" customWidth="1"/>
    <col min="113" max="113" width="20.7109375" bestFit="1" customWidth="1"/>
    <col min="114" max="114" width="18.7109375" bestFit="1" customWidth="1"/>
    <col min="115" max="115" width="25.5703125" bestFit="1" customWidth="1"/>
    <col min="116" max="116" width="19.140625" bestFit="1" customWidth="1"/>
    <col min="117" max="117" width="19" bestFit="1" customWidth="1"/>
    <col min="118" max="118" width="20.5703125" bestFit="1" customWidth="1"/>
    <col min="119" max="119" width="19.5703125" bestFit="1" customWidth="1"/>
    <col min="120" max="120" width="18.28515625" bestFit="1" customWidth="1"/>
    <col min="121" max="121" width="22.28515625" bestFit="1" customWidth="1"/>
    <col min="122" max="122" width="20.5703125" bestFit="1" customWidth="1"/>
    <col min="123" max="123" width="18.7109375" bestFit="1" customWidth="1"/>
    <col min="124" max="124" width="26.140625" bestFit="1" customWidth="1"/>
    <col min="125" max="125" width="21" bestFit="1" customWidth="1"/>
    <col min="126" max="126" width="20.5703125" bestFit="1" customWidth="1"/>
    <col min="127" max="127" width="19" bestFit="1" customWidth="1"/>
    <col min="128" max="128" width="21.140625" bestFit="1" customWidth="1"/>
    <col min="129" max="129" width="22.28515625" bestFit="1" customWidth="1"/>
    <col min="130" max="130" width="20.7109375" bestFit="1" customWidth="1"/>
    <col min="131" max="131" width="18.28515625" bestFit="1" customWidth="1"/>
    <col min="132" max="132" width="18.85546875" bestFit="1" customWidth="1"/>
    <col min="133" max="133" width="25.85546875" bestFit="1" customWidth="1"/>
    <col min="134" max="134" width="21.140625" bestFit="1" customWidth="1"/>
    <col min="135" max="135" width="27" bestFit="1" customWidth="1"/>
    <col min="136" max="136" width="20.28515625" bestFit="1" customWidth="1"/>
    <col min="137" max="137" width="26.42578125" bestFit="1" customWidth="1"/>
    <col min="138" max="138" width="28" bestFit="1" customWidth="1"/>
    <col min="139" max="139" width="23.140625" bestFit="1" customWidth="1"/>
    <col min="140" max="140" width="19.140625" bestFit="1" customWidth="1"/>
    <col min="141" max="141" width="18.28515625" bestFit="1" customWidth="1"/>
    <col min="142" max="142" width="18" bestFit="1" customWidth="1"/>
    <col min="143" max="143" width="18.28515625" bestFit="1" customWidth="1"/>
    <col min="144" max="144" width="18" bestFit="1" customWidth="1"/>
    <col min="145" max="145" width="20.5703125" bestFit="1" customWidth="1"/>
    <col min="146" max="146" width="25.5703125" bestFit="1" customWidth="1"/>
    <col min="147" max="147" width="24.85546875" bestFit="1" customWidth="1"/>
    <col min="148" max="148" width="23.140625" bestFit="1" customWidth="1"/>
    <col min="149" max="149" width="20.5703125" bestFit="1" customWidth="1"/>
    <col min="150" max="151" width="24.42578125" bestFit="1" customWidth="1"/>
    <col min="152" max="152" width="24" bestFit="1" customWidth="1"/>
    <col min="153" max="153" width="23.7109375" bestFit="1" customWidth="1"/>
    <col min="154" max="154" width="24.7109375" bestFit="1" customWidth="1"/>
    <col min="155" max="155" width="28" bestFit="1" customWidth="1"/>
    <col min="156" max="156" width="24.85546875" bestFit="1" customWidth="1"/>
    <col min="157" max="157" width="27" bestFit="1" customWidth="1"/>
    <col min="158" max="158" width="19.7109375" bestFit="1" customWidth="1"/>
    <col min="159" max="159" width="25.5703125" bestFit="1" customWidth="1"/>
    <col min="160" max="160" width="19.7109375" bestFit="1" customWidth="1"/>
    <col min="161" max="161" width="24.28515625" bestFit="1" customWidth="1"/>
    <col min="162" max="162" width="24.42578125" bestFit="1" customWidth="1"/>
    <col min="163" max="163" width="22.28515625" bestFit="1" customWidth="1"/>
    <col min="164" max="164" width="24" bestFit="1" customWidth="1"/>
    <col min="165" max="165" width="18.7109375" bestFit="1" customWidth="1"/>
    <col min="166" max="166" width="20.42578125" bestFit="1" customWidth="1"/>
    <col min="167" max="167" width="24" bestFit="1" customWidth="1"/>
    <col min="168" max="168" width="28" bestFit="1" customWidth="1"/>
    <col min="169" max="169" width="20.7109375" bestFit="1" customWidth="1"/>
    <col min="170" max="170" width="26.5703125" bestFit="1" customWidth="1"/>
    <col min="171" max="171" width="18" bestFit="1" customWidth="1"/>
    <col min="172" max="172" width="24" bestFit="1" customWidth="1"/>
    <col min="173" max="173" width="27" bestFit="1" customWidth="1"/>
    <col min="174" max="174" width="27.7109375" bestFit="1" customWidth="1"/>
    <col min="175" max="175" width="23.7109375" bestFit="1" customWidth="1"/>
    <col min="176" max="176" width="21.7109375" bestFit="1" customWidth="1"/>
    <col min="177" max="177" width="24.85546875" bestFit="1" customWidth="1"/>
    <col min="178" max="178" width="28.42578125" bestFit="1" customWidth="1"/>
    <col min="179" max="179" width="25.28515625" bestFit="1" customWidth="1"/>
    <col min="180" max="180" width="24.5703125" bestFit="1" customWidth="1"/>
    <col min="181" max="181" width="18.28515625" bestFit="1" customWidth="1"/>
    <col min="182" max="182" width="24.85546875" bestFit="1" customWidth="1"/>
    <col min="183" max="184" width="28" bestFit="1" customWidth="1"/>
    <col min="185" max="185" width="19.42578125" bestFit="1" customWidth="1"/>
    <col min="186" max="186" width="26.140625" bestFit="1" customWidth="1"/>
    <col min="187" max="187" width="28" bestFit="1" customWidth="1"/>
    <col min="188" max="188" width="10.7109375" bestFit="1" customWidth="1"/>
  </cols>
  <sheetData>
    <row r="3" spans="1:3" x14ac:dyDescent="0.25">
      <c r="B3" s="50" t="s">
        <v>55</v>
      </c>
    </row>
    <row r="4" spans="1:3" x14ac:dyDescent="0.25">
      <c r="B4" t="s">
        <v>56</v>
      </c>
      <c r="C4" t="s">
        <v>57</v>
      </c>
    </row>
    <row r="5" spans="1:3" x14ac:dyDescent="0.25">
      <c r="A5" t="s">
        <v>58</v>
      </c>
      <c r="B5" s="51"/>
      <c r="C5" s="5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carga_exclusao">
    <tabColor rgb="FFFF5229"/>
  </sheetPr>
  <dimension ref="A1:K237"/>
  <sheetViews>
    <sheetView showGridLines="0" topLeftCell="A226" workbookViewId="0">
      <selection activeCell="K237" sqref="A3:K237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140625" customWidth="1"/>
    <col min="11" max="11" width="10.85546875" bestFit="1" customWidth="1"/>
  </cols>
  <sheetData>
    <row r="1" spans="1:11" x14ac:dyDescent="0.25">
      <c r="A1" s="120" t="s">
        <v>61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</row>
    <row r="2" spans="1:11" ht="45" x14ac:dyDescent="0.25">
      <c r="A2" s="56" t="s">
        <v>62</v>
      </c>
      <c r="B2" s="56" t="s">
        <v>63</v>
      </c>
      <c r="C2" s="56" t="s">
        <v>64</v>
      </c>
      <c r="D2" s="56" t="s">
        <v>65</v>
      </c>
      <c r="E2" s="56" t="s">
        <v>66</v>
      </c>
      <c r="F2" s="57" t="s">
        <v>67</v>
      </c>
      <c r="G2" s="57" t="s">
        <v>68</v>
      </c>
      <c r="H2" s="56" t="s">
        <v>69</v>
      </c>
      <c r="I2" s="57">
        <v>1</v>
      </c>
      <c r="J2" s="56" t="s">
        <v>70</v>
      </c>
      <c r="K2" s="57" t="s">
        <v>12</v>
      </c>
    </row>
    <row r="3" spans="1:11" x14ac:dyDescent="0.25">
      <c r="F3" s="55"/>
    </row>
    <row r="4" spans="1:11" x14ac:dyDescent="0.25">
      <c r="F4" s="55"/>
    </row>
    <row r="5" spans="1:11" x14ac:dyDescent="0.25">
      <c r="F5" s="55"/>
    </row>
    <row r="6" spans="1:11" x14ac:dyDescent="0.25">
      <c r="F6" s="55"/>
    </row>
    <row r="7" spans="1:11" x14ac:dyDescent="0.25">
      <c r="F7" s="55"/>
    </row>
    <row r="8" spans="1:11" x14ac:dyDescent="0.25">
      <c r="F8" s="55"/>
    </row>
    <row r="9" spans="1:11" x14ac:dyDescent="0.25">
      <c r="F9" s="55"/>
    </row>
    <row r="10" spans="1:11" x14ac:dyDescent="0.25">
      <c r="F10" s="55"/>
    </row>
    <row r="11" spans="1:11" x14ac:dyDescent="0.25">
      <c r="F11" s="55"/>
    </row>
    <row r="12" spans="1:11" x14ac:dyDescent="0.25">
      <c r="F12" s="55"/>
    </row>
    <row r="13" spans="1:11" x14ac:dyDescent="0.25">
      <c r="F13" s="55"/>
    </row>
    <row r="14" spans="1:11" x14ac:dyDescent="0.25">
      <c r="F14" s="55"/>
    </row>
    <row r="15" spans="1:11" x14ac:dyDescent="0.25">
      <c r="F15" s="55"/>
    </row>
    <row r="16" spans="1:11" x14ac:dyDescent="0.25">
      <c r="F16" s="55"/>
    </row>
    <row r="17" spans="6:6" x14ac:dyDescent="0.25">
      <c r="F17" s="55"/>
    </row>
    <row r="18" spans="6:6" x14ac:dyDescent="0.25">
      <c r="F18" s="55"/>
    </row>
    <row r="19" spans="6:6" x14ac:dyDescent="0.25">
      <c r="F19" s="55"/>
    </row>
    <row r="20" spans="6:6" x14ac:dyDescent="0.25">
      <c r="F20" s="55"/>
    </row>
    <row r="21" spans="6:6" x14ac:dyDescent="0.25">
      <c r="F21" s="55"/>
    </row>
    <row r="22" spans="6:6" x14ac:dyDescent="0.25">
      <c r="F22" s="55"/>
    </row>
    <row r="23" spans="6:6" x14ac:dyDescent="0.25">
      <c r="F23" s="55"/>
    </row>
    <row r="24" spans="6:6" x14ac:dyDescent="0.25">
      <c r="F24" s="55"/>
    </row>
    <row r="25" spans="6:6" x14ac:dyDescent="0.25">
      <c r="F25" s="55"/>
    </row>
    <row r="26" spans="6:6" x14ac:dyDescent="0.25">
      <c r="F26" s="55"/>
    </row>
    <row r="27" spans="6:6" x14ac:dyDescent="0.25">
      <c r="F27" s="55"/>
    </row>
    <row r="28" spans="6:6" x14ac:dyDescent="0.25">
      <c r="F28" s="55"/>
    </row>
    <row r="29" spans="6:6" x14ac:dyDescent="0.25">
      <c r="F29" s="55"/>
    </row>
    <row r="30" spans="6:6" x14ac:dyDescent="0.25">
      <c r="F30" s="55"/>
    </row>
    <row r="31" spans="6:6" x14ac:dyDescent="0.25">
      <c r="F31" s="55"/>
    </row>
    <row r="32" spans="6:6" x14ac:dyDescent="0.25">
      <c r="F32" s="55"/>
    </row>
    <row r="33" spans="6:6" x14ac:dyDescent="0.25">
      <c r="F33" s="55"/>
    </row>
    <row r="34" spans="6:6" x14ac:dyDescent="0.25">
      <c r="F34" s="55"/>
    </row>
    <row r="35" spans="6:6" x14ac:dyDescent="0.25">
      <c r="F35" s="55"/>
    </row>
    <row r="36" spans="6:6" x14ac:dyDescent="0.25">
      <c r="F36" s="55"/>
    </row>
    <row r="37" spans="6:6" x14ac:dyDescent="0.25">
      <c r="F37" s="55"/>
    </row>
    <row r="38" spans="6:6" x14ac:dyDescent="0.25">
      <c r="F38" s="55"/>
    </row>
    <row r="39" spans="6:6" x14ac:dyDescent="0.25">
      <c r="F39" s="55"/>
    </row>
    <row r="40" spans="6:6" x14ac:dyDescent="0.25">
      <c r="F40" s="55"/>
    </row>
    <row r="41" spans="6:6" x14ac:dyDescent="0.25">
      <c r="F41" s="55"/>
    </row>
    <row r="42" spans="6:6" x14ac:dyDescent="0.25">
      <c r="F42" s="55"/>
    </row>
    <row r="43" spans="6:6" x14ac:dyDescent="0.25">
      <c r="F43" s="55"/>
    </row>
    <row r="44" spans="6:6" x14ac:dyDescent="0.25">
      <c r="F44" s="55"/>
    </row>
    <row r="45" spans="6:6" x14ac:dyDescent="0.25">
      <c r="F45" s="55"/>
    </row>
    <row r="46" spans="6:6" x14ac:dyDescent="0.25">
      <c r="F46" s="55"/>
    </row>
    <row r="47" spans="6:6" x14ac:dyDescent="0.25">
      <c r="F47" s="55"/>
    </row>
    <row r="48" spans="6:6" x14ac:dyDescent="0.25">
      <c r="F48" s="55"/>
    </row>
    <row r="49" spans="6:6" x14ac:dyDescent="0.25">
      <c r="F49" s="55"/>
    </row>
    <row r="50" spans="6:6" x14ac:dyDescent="0.25">
      <c r="F50" s="55"/>
    </row>
    <row r="51" spans="6:6" x14ac:dyDescent="0.25">
      <c r="F51" s="55"/>
    </row>
    <row r="52" spans="6:6" x14ac:dyDescent="0.25">
      <c r="F52" s="55"/>
    </row>
    <row r="53" spans="6:6" x14ac:dyDescent="0.25">
      <c r="F53" s="55"/>
    </row>
    <row r="54" spans="6:6" x14ac:dyDescent="0.25">
      <c r="F54" s="55"/>
    </row>
    <row r="55" spans="6:6" x14ac:dyDescent="0.25">
      <c r="F55" s="55"/>
    </row>
    <row r="56" spans="6:6" x14ac:dyDescent="0.25">
      <c r="F56" s="55"/>
    </row>
    <row r="57" spans="6:6" x14ac:dyDescent="0.25">
      <c r="F57" s="55"/>
    </row>
    <row r="58" spans="6:6" x14ac:dyDescent="0.25">
      <c r="F58" s="55"/>
    </row>
    <row r="59" spans="6:6" x14ac:dyDescent="0.25">
      <c r="F59" s="55"/>
    </row>
    <row r="60" spans="6:6" x14ac:dyDescent="0.25">
      <c r="F60" s="55"/>
    </row>
    <row r="61" spans="6:6" x14ac:dyDescent="0.25">
      <c r="F61" s="55"/>
    </row>
    <row r="62" spans="6:6" x14ac:dyDescent="0.25">
      <c r="F62" s="55"/>
    </row>
    <row r="63" spans="6:6" x14ac:dyDescent="0.25">
      <c r="F63" s="55"/>
    </row>
    <row r="64" spans="6:6" x14ac:dyDescent="0.25">
      <c r="F64" s="55"/>
    </row>
    <row r="65" spans="6:6" x14ac:dyDescent="0.25">
      <c r="F65" s="55"/>
    </row>
    <row r="66" spans="6:6" x14ac:dyDescent="0.25">
      <c r="F66" s="55"/>
    </row>
    <row r="67" spans="6:6" x14ac:dyDescent="0.25">
      <c r="F67" s="55"/>
    </row>
    <row r="68" spans="6:6" x14ac:dyDescent="0.25">
      <c r="F68" s="55"/>
    </row>
    <row r="69" spans="6:6" x14ac:dyDescent="0.25">
      <c r="F69" s="55"/>
    </row>
    <row r="70" spans="6:6" x14ac:dyDescent="0.25">
      <c r="F70" s="55"/>
    </row>
    <row r="71" spans="6:6" x14ac:dyDescent="0.25">
      <c r="F71" s="55"/>
    </row>
    <row r="72" spans="6:6" x14ac:dyDescent="0.25">
      <c r="F72" s="55"/>
    </row>
    <row r="73" spans="6:6" x14ac:dyDescent="0.25">
      <c r="F73" s="55"/>
    </row>
    <row r="74" spans="6:6" x14ac:dyDescent="0.25">
      <c r="F74" s="55"/>
    </row>
    <row r="75" spans="6:6" x14ac:dyDescent="0.25">
      <c r="F75" s="55"/>
    </row>
    <row r="76" spans="6:6" x14ac:dyDescent="0.25">
      <c r="F76" s="55"/>
    </row>
    <row r="77" spans="6:6" x14ac:dyDescent="0.25">
      <c r="F77" s="55"/>
    </row>
    <row r="78" spans="6:6" x14ac:dyDescent="0.25">
      <c r="F78" s="55"/>
    </row>
    <row r="79" spans="6:6" x14ac:dyDescent="0.25">
      <c r="F79" s="55"/>
    </row>
    <row r="80" spans="6:6" x14ac:dyDescent="0.25">
      <c r="F80" s="55"/>
    </row>
    <row r="81" spans="6:6" x14ac:dyDescent="0.25">
      <c r="F81" s="55"/>
    </row>
    <row r="82" spans="6:6" x14ac:dyDescent="0.25">
      <c r="F82" s="55"/>
    </row>
    <row r="83" spans="6:6" x14ac:dyDescent="0.25">
      <c r="F83" s="55"/>
    </row>
    <row r="84" spans="6:6" x14ac:dyDescent="0.25">
      <c r="F84" s="55"/>
    </row>
    <row r="85" spans="6:6" x14ac:dyDescent="0.25">
      <c r="F85" s="55"/>
    </row>
    <row r="86" spans="6:6" x14ac:dyDescent="0.25">
      <c r="F86" s="55"/>
    </row>
    <row r="87" spans="6:6" x14ac:dyDescent="0.25">
      <c r="F87" s="55"/>
    </row>
    <row r="88" spans="6:6" x14ac:dyDescent="0.25">
      <c r="F88" s="55"/>
    </row>
    <row r="89" spans="6:6" x14ac:dyDescent="0.25">
      <c r="F89" s="55"/>
    </row>
    <row r="90" spans="6:6" x14ac:dyDescent="0.25">
      <c r="F90" s="55"/>
    </row>
    <row r="91" spans="6:6" x14ac:dyDescent="0.25">
      <c r="F91" s="55"/>
    </row>
    <row r="92" spans="6:6" x14ac:dyDescent="0.25">
      <c r="F92" s="55"/>
    </row>
    <row r="93" spans="6:6" x14ac:dyDescent="0.25">
      <c r="F93" s="55"/>
    </row>
    <row r="94" spans="6:6" x14ac:dyDescent="0.25">
      <c r="F94" s="55"/>
    </row>
    <row r="95" spans="6:6" x14ac:dyDescent="0.25">
      <c r="F95" s="55"/>
    </row>
    <row r="96" spans="6:6" x14ac:dyDescent="0.25">
      <c r="F96" s="55"/>
    </row>
    <row r="97" spans="6:6" x14ac:dyDescent="0.25">
      <c r="F97" s="55"/>
    </row>
    <row r="98" spans="6:6" x14ac:dyDescent="0.25">
      <c r="F98" s="55"/>
    </row>
    <row r="99" spans="6:6" x14ac:dyDescent="0.25">
      <c r="F99" s="55"/>
    </row>
    <row r="100" spans="6:6" x14ac:dyDescent="0.25">
      <c r="F100" s="55"/>
    </row>
    <row r="101" spans="6:6" x14ac:dyDescent="0.25">
      <c r="F101" s="55"/>
    </row>
    <row r="102" spans="6:6" x14ac:dyDescent="0.25">
      <c r="F102" s="55"/>
    </row>
    <row r="103" spans="6:6" x14ac:dyDescent="0.25">
      <c r="F103" s="55"/>
    </row>
    <row r="104" spans="6:6" x14ac:dyDescent="0.25">
      <c r="F104" s="55"/>
    </row>
    <row r="105" spans="6:6" x14ac:dyDescent="0.25">
      <c r="F105" s="55"/>
    </row>
    <row r="106" spans="6:6" x14ac:dyDescent="0.25">
      <c r="F106" s="55"/>
    </row>
    <row r="107" spans="6:6" x14ac:dyDescent="0.25">
      <c r="F107" s="55"/>
    </row>
    <row r="108" spans="6:6" x14ac:dyDescent="0.25">
      <c r="F108" s="55"/>
    </row>
    <row r="109" spans="6:6" x14ac:dyDescent="0.25">
      <c r="F109" s="55"/>
    </row>
    <row r="110" spans="6:6" x14ac:dyDescent="0.25">
      <c r="F110" s="55"/>
    </row>
    <row r="111" spans="6:6" x14ac:dyDescent="0.25">
      <c r="F111" s="55"/>
    </row>
    <row r="112" spans="6:6" x14ac:dyDescent="0.25">
      <c r="F112" s="55"/>
    </row>
    <row r="113" spans="6:6" x14ac:dyDescent="0.25">
      <c r="F113" s="55"/>
    </row>
    <row r="114" spans="6:6" x14ac:dyDescent="0.25">
      <c r="F114" s="55"/>
    </row>
    <row r="115" spans="6:6" x14ac:dyDescent="0.25">
      <c r="F115" s="55"/>
    </row>
    <row r="116" spans="6:6" x14ac:dyDescent="0.25">
      <c r="F116" s="55"/>
    </row>
    <row r="117" spans="6:6" x14ac:dyDescent="0.25">
      <c r="F117" s="55"/>
    </row>
    <row r="118" spans="6:6" x14ac:dyDescent="0.25">
      <c r="F118" s="55"/>
    </row>
    <row r="119" spans="6:6" x14ac:dyDescent="0.25">
      <c r="F119" s="55"/>
    </row>
    <row r="120" spans="6:6" x14ac:dyDescent="0.25">
      <c r="F120" s="55"/>
    </row>
    <row r="121" spans="6:6" x14ac:dyDescent="0.25">
      <c r="F121" s="55"/>
    </row>
    <row r="122" spans="6:6" x14ac:dyDescent="0.25">
      <c r="F122" s="55"/>
    </row>
    <row r="123" spans="6:6" x14ac:dyDescent="0.25">
      <c r="F123" s="55"/>
    </row>
    <row r="124" spans="6:6" x14ac:dyDescent="0.25">
      <c r="F124" s="55"/>
    </row>
    <row r="125" spans="6:6" x14ac:dyDescent="0.25">
      <c r="F125" s="55"/>
    </row>
    <row r="126" spans="6:6" x14ac:dyDescent="0.25">
      <c r="F126" s="55"/>
    </row>
    <row r="127" spans="6:6" x14ac:dyDescent="0.25">
      <c r="F127" s="55"/>
    </row>
    <row r="128" spans="6:6" x14ac:dyDescent="0.25">
      <c r="F128" s="55"/>
    </row>
    <row r="129" spans="6:6" x14ac:dyDescent="0.25">
      <c r="F129" s="55"/>
    </row>
    <row r="130" spans="6:6" x14ac:dyDescent="0.25">
      <c r="F130" s="55"/>
    </row>
    <row r="131" spans="6:6" x14ac:dyDescent="0.25">
      <c r="F131" s="55"/>
    </row>
    <row r="132" spans="6:6" x14ac:dyDescent="0.25">
      <c r="F132" s="55"/>
    </row>
    <row r="133" spans="6:6" x14ac:dyDescent="0.25">
      <c r="F133" s="55"/>
    </row>
    <row r="134" spans="6:6" x14ac:dyDescent="0.25">
      <c r="F134" s="55"/>
    </row>
    <row r="135" spans="6:6" x14ac:dyDescent="0.25">
      <c r="F135" s="55"/>
    </row>
    <row r="136" spans="6:6" x14ac:dyDescent="0.25">
      <c r="F136" s="55"/>
    </row>
    <row r="137" spans="6:6" x14ac:dyDescent="0.25">
      <c r="F137" s="55"/>
    </row>
    <row r="138" spans="6:6" x14ac:dyDescent="0.25">
      <c r="F138" s="55"/>
    </row>
    <row r="139" spans="6:6" x14ac:dyDescent="0.25">
      <c r="F139" s="55"/>
    </row>
    <row r="140" spans="6:6" x14ac:dyDescent="0.25">
      <c r="F140" s="55"/>
    </row>
    <row r="141" spans="6:6" x14ac:dyDescent="0.25">
      <c r="F141" s="55"/>
    </row>
    <row r="142" spans="6:6" x14ac:dyDescent="0.25">
      <c r="F142" s="55"/>
    </row>
    <row r="143" spans="6:6" x14ac:dyDescent="0.25">
      <c r="F143" s="55"/>
    </row>
    <row r="144" spans="6:6" x14ac:dyDescent="0.25">
      <c r="F144" s="55"/>
    </row>
    <row r="145" spans="6:6" x14ac:dyDescent="0.25">
      <c r="F145" s="55"/>
    </row>
    <row r="146" spans="6:6" x14ac:dyDescent="0.25">
      <c r="F146" s="55"/>
    </row>
    <row r="147" spans="6:6" x14ac:dyDescent="0.25">
      <c r="F147" s="55"/>
    </row>
    <row r="148" spans="6:6" x14ac:dyDescent="0.25">
      <c r="F148" s="55"/>
    </row>
    <row r="149" spans="6:6" x14ac:dyDescent="0.25">
      <c r="F149" s="55"/>
    </row>
    <row r="150" spans="6:6" x14ac:dyDescent="0.25">
      <c r="F150" s="55"/>
    </row>
    <row r="151" spans="6:6" x14ac:dyDescent="0.25">
      <c r="F151" s="55"/>
    </row>
    <row r="152" spans="6:6" x14ac:dyDescent="0.25">
      <c r="F152" s="55"/>
    </row>
    <row r="153" spans="6:6" x14ac:dyDescent="0.25">
      <c r="F153" s="55"/>
    </row>
    <row r="154" spans="6:6" x14ac:dyDescent="0.25">
      <c r="F154" s="55"/>
    </row>
    <row r="155" spans="6:6" x14ac:dyDescent="0.25">
      <c r="F155" s="55"/>
    </row>
    <row r="156" spans="6:6" x14ac:dyDescent="0.25">
      <c r="F156" s="55"/>
    </row>
    <row r="157" spans="6:6" x14ac:dyDescent="0.25">
      <c r="F157" s="55"/>
    </row>
    <row r="158" spans="6:6" x14ac:dyDescent="0.25">
      <c r="F158" s="55"/>
    </row>
    <row r="159" spans="6:6" x14ac:dyDescent="0.25">
      <c r="F159" s="55"/>
    </row>
    <row r="160" spans="6:6" x14ac:dyDescent="0.25">
      <c r="F160" s="55"/>
    </row>
    <row r="161" spans="6:6" x14ac:dyDescent="0.25">
      <c r="F161" s="55"/>
    </row>
    <row r="162" spans="6:6" x14ac:dyDescent="0.25">
      <c r="F162" s="55"/>
    </row>
    <row r="163" spans="6:6" x14ac:dyDescent="0.25">
      <c r="F163" s="55"/>
    </row>
    <row r="164" spans="6:6" x14ac:dyDescent="0.25">
      <c r="F164" s="55"/>
    </row>
    <row r="165" spans="6:6" x14ac:dyDescent="0.25">
      <c r="F165" s="55"/>
    </row>
    <row r="166" spans="6:6" x14ac:dyDescent="0.25">
      <c r="F166" s="55"/>
    </row>
    <row r="167" spans="6:6" x14ac:dyDescent="0.25">
      <c r="F167" s="55"/>
    </row>
    <row r="168" spans="6:6" x14ac:dyDescent="0.25">
      <c r="F168" s="55"/>
    </row>
    <row r="169" spans="6:6" x14ac:dyDescent="0.25">
      <c r="F169" s="55"/>
    </row>
    <row r="170" spans="6:6" x14ac:dyDescent="0.25">
      <c r="F170" s="55"/>
    </row>
    <row r="171" spans="6:6" x14ac:dyDescent="0.25">
      <c r="F171" s="55"/>
    </row>
    <row r="172" spans="6:6" x14ac:dyDescent="0.25">
      <c r="F172" s="55"/>
    </row>
    <row r="173" spans="6:6" x14ac:dyDescent="0.25">
      <c r="F173" s="55"/>
    </row>
    <row r="174" spans="6:6" x14ac:dyDescent="0.25">
      <c r="F174" s="55"/>
    </row>
    <row r="175" spans="6:6" x14ac:dyDescent="0.25">
      <c r="F175" s="55"/>
    </row>
    <row r="176" spans="6:6" x14ac:dyDescent="0.25">
      <c r="F176" s="55"/>
    </row>
    <row r="177" spans="6:6" x14ac:dyDescent="0.25">
      <c r="F177" s="55"/>
    </row>
    <row r="178" spans="6:6" x14ac:dyDescent="0.25">
      <c r="F178" s="55"/>
    </row>
    <row r="179" spans="6:6" x14ac:dyDescent="0.25">
      <c r="F179" s="55"/>
    </row>
    <row r="180" spans="6:6" x14ac:dyDescent="0.25">
      <c r="F180" s="55"/>
    </row>
    <row r="181" spans="6:6" x14ac:dyDescent="0.25">
      <c r="F181" s="55"/>
    </row>
    <row r="182" spans="6:6" x14ac:dyDescent="0.25">
      <c r="F182" s="55"/>
    </row>
    <row r="183" spans="6:6" x14ac:dyDescent="0.25">
      <c r="F183" s="55"/>
    </row>
    <row r="184" spans="6:6" x14ac:dyDescent="0.25">
      <c r="F184" s="55"/>
    </row>
    <row r="185" spans="6:6" x14ac:dyDescent="0.25">
      <c r="F185" s="55"/>
    </row>
    <row r="186" spans="6:6" x14ac:dyDescent="0.25">
      <c r="F186" s="55"/>
    </row>
    <row r="187" spans="6:6" x14ac:dyDescent="0.25">
      <c r="F187" s="55"/>
    </row>
    <row r="188" spans="6:6" x14ac:dyDescent="0.25">
      <c r="F188" s="55"/>
    </row>
    <row r="189" spans="6:6" x14ac:dyDescent="0.25">
      <c r="F189" s="55"/>
    </row>
    <row r="190" spans="6:6" x14ac:dyDescent="0.25">
      <c r="F190" s="55"/>
    </row>
    <row r="191" spans="6:6" x14ac:dyDescent="0.25">
      <c r="F191" s="55"/>
    </row>
    <row r="192" spans="6:6" x14ac:dyDescent="0.25">
      <c r="F192" s="55"/>
    </row>
    <row r="193" spans="6:6" x14ac:dyDescent="0.25">
      <c r="F193" s="55"/>
    </row>
    <row r="194" spans="6:6" x14ac:dyDescent="0.25">
      <c r="F194" s="55"/>
    </row>
    <row r="195" spans="6:6" x14ac:dyDescent="0.25">
      <c r="F195" s="55"/>
    </row>
    <row r="196" spans="6:6" x14ac:dyDescent="0.25">
      <c r="F196" s="55"/>
    </row>
    <row r="197" spans="6:6" x14ac:dyDescent="0.25">
      <c r="F197" s="55"/>
    </row>
    <row r="198" spans="6:6" x14ac:dyDescent="0.25">
      <c r="F198" s="55"/>
    </row>
    <row r="199" spans="6:6" x14ac:dyDescent="0.25">
      <c r="F199" s="55"/>
    </row>
    <row r="200" spans="6:6" x14ac:dyDescent="0.25">
      <c r="F200" s="55"/>
    </row>
    <row r="201" spans="6:6" x14ac:dyDescent="0.25">
      <c r="F201" s="55"/>
    </row>
    <row r="202" spans="6:6" x14ac:dyDescent="0.25">
      <c r="F202" s="55"/>
    </row>
    <row r="203" spans="6:6" x14ac:dyDescent="0.25">
      <c r="F203" s="55"/>
    </row>
    <row r="204" spans="6:6" x14ac:dyDescent="0.25">
      <c r="F204" s="55"/>
    </row>
    <row r="205" spans="6:6" x14ac:dyDescent="0.25">
      <c r="F205" s="55"/>
    </row>
    <row r="206" spans="6:6" x14ac:dyDescent="0.25">
      <c r="F206" s="55"/>
    </row>
    <row r="207" spans="6:6" x14ac:dyDescent="0.25">
      <c r="F207" s="55"/>
    </row>
    <row r="208" spans="6:6" x14ac:dyDescent="0.25">
      <c r="F208" s="55"/>
    </row>
    <row r="209" spans="6:6" x14ac:dyDescent="0.25">
      <c r="F209" s="55"/>
    </row>
    <row r="210" spans="6:6" x14ac:dyDescent="0.25">
      <c r="F210" s="55"/>
    </row>
    <row r="211" spans="6:6" x14ac:dyDescent="0.25">
      <c r="F211" s="55"/>
    </row>
    <row r="212" spans="6:6" x14ac:dyDescent="0.25">
      <c r="F212" s="55"/>
    </row>
    <row r="213" spans="6:6" x14ac:dyDescent="0.25">
      <c r="F213" s="55"/>
    </row>
    <row r="214" spans="6:6" x14ac:dyDescent="0.25">
      <c r="F214" s="55"/>
    </row>
    <row r="215" spans="6:6" x14ac:dyDescent="0.25">
      <c r="F215" s="55"/>
    </row>
    <row r="216" spans="6:6" x14ac:dyDescent="0.25">
      <c r="F216" s="55"/>
    </row>
    <row r="217" spans="6:6" x14ac:dyDescent="0.25">
      <c r="F217" s="55"/>
    </row>
    <row r="218" spans="6:6" x14ac:dyDescent="0.25">
      <c r="F218" s="55"/>
    </row>
    <row r="219" spans="6:6" x14ac:dyDescent="0.25">
      <c r="F219" s="55"/>
    </row>
    <row r="220" spans="6:6" x14ac:dyDescent="0.25">
      <c r="F220" s="55"/>
    </row>
    <row r="221" spans="6:6" x14ac:dyDescent="0.25">
      <c r="F221" s="55"/>
    </row>
    <row r="222" spans="6:6" x14ac:dyDescent="0.25">
      <c r="F222" s="55"/>
    </row>
    <row r="223" spans="6:6" x14ac:dyDescent="0.25">
      <c r="F223" s="55"/>
    </row>
    <row r="224" spans="6:6" x14ac:dyDescent="0.25">
      <c r="F224" s="55"/>
    </row>
    <row r="225" spans="6:6" x14ac:dyDescent="0.25">
      <c r="F225" s="55"/>
    </row>
    <row r="226" spans="6:6" x14ac:dyDescent="0.25">
      <c r="F226" s="55"/>
    </row>
    <row r="227" spans="6:6" x14ac:dyDescent="0.25">
      <c r="F227" s="55"/>
    </row>
    <row r="228" spans="6:6" x14ac:dyDescent="0.25">
      <c r="F228" s="55"/>
    </row>
    <row r="229" spans="6:6" x14ac:dyDescent="0.25">
      <c r="F229" s="55"/>
    </row>
    <row r="230" spans="6:6" x14ac:dyDescent="0.25">
      <c r="F230" s="55"/>
    </row>
    <row r="231" spans="6:6" x14ac:dyDescent="0.25">
      <c r="F231" s="55"/>
    </row>
    <row r="232" spans="6:6" x14ac:dyDescent="0.25">
      <c r="F232" s="55"/>
    </row>
    <row r="233" spans="6:6" x14ac:dyDescent="0.25">
      <c r="F233" s="55"/>
    </row>
    <row r="234" spans="6:6" x14ac:dyDescent="0.25">
      <c r="F234" s="55"/>
    </row>
    <row r="235" spans="6:6" x14ac:dyDescent="0.25">
      <c r="F235" s="55"/>
    </row>
    <row r="236" spans="6:6" x14ac:dyDescent="0.25">
      <c r="F236" s="55"/>
    </row>
    <row r="237" spans="6:6" x14ac:dyDescent="0.25">
      <c r="F237" s="55"/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arga_inclusao"/>
  <dimension ref="A1:K750"/>
  <sheetViews>
    <sheetView showGridLines="0" workbookViewId="0">
      <selection activeCell="O29" activeCellId="1" sqref="L17:AJ697 O28:O29"/>
    </sheetView>
  </sheetViews>
  <sheetFormatPr defaultRowHeight="15" x14ac:dyDescent="0.25"/>
  <cols>
    <col min="1" max="1" width="10.85546875" bestFit="1" customWidth="1"/>
    <col min="2" max="2" width="12.7109375" bestFit="1" customWidth="1"/>
    <col min="3" max="3" width="6.85546875" bestFit="1" customWidth="1"/>
    <col min="4" max="4" width="16.28515625" bestFit="1" customWidth="1"/>
    <col min="5" max="5" width="15.140625" bestFit="1" customWidth="1"/>
    <col min="6" max="6" width="15.85546875" bestFit="1" customWidth="1"/>
    <col min="7" max="7" width="12" bestFit="1" customWidth="1"/>
    <col min="8" max="8" width="15.5703125" bestFit="1" customWidth="1"/>
    <col min="9" max="9" width="5.85546875" customWidth="1"/>
    <col min="10" max="10" width="5.28515625" bestFit="1" customWidth="1"/>
    <col min="11" max="11" width="10.85546875" bestFit="1" customWidth="1"/>
  </cols>
  <sheetData>
    <row r="1" spans="1:11" x14ac:dyDescent="0.25">
      <c r="A1" s="121" t="s">
        <v>61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</row>
    <row r="2" spans="1:11" ht="45" x14ac:dyDescent="0.25">
      <c r="A2" s="53" t="s">
        <v>62</v>
      </c>
      <c r="B2" s="53" t="s">
        <v>63</v>
      </c>
      <c r="C2" s="53" t="s">
        <v>64</v>
      </c>
      <c r="D2" s="53" t="s">
        <v>65</v>
      </c>
      <c r="E2" s="53" t="s">
        <v>66</v>
      </c>
      <c r="F2" s="54" t="s">
        <v>67</v>
      </c>
      <c r="G2" s="54" t="s">
        <v>68</v>
      </c>
      <c r="H2" s="53" t="s">
        <v>69</v>
      </c>
      <c r="I2" s="54">
        <v>1</v>
      </c>
      <c r="J2" s="53" t="s">
        <v>70</v>
      </c>
      <c r="K2" s="54" t="s">
        <v>12</v>
      </c>
    </row>
    <row r="3" spans="1:11" x14ac:dyDescent="0.25">
      <c r="A3" t="s">
        <v>71</v>
      </c>
      <c r="B3">
        <v>201</v>
      </c>
      <c r="C3">
        <v>16</v>
      </c>
      <c r="D3">
        <v>507</v>
      </c>
      <c r="E3">
        <v>1</v>
      </c>
      <c r="F3" s="55">
        <f ca="1">TODAY()</f>
        <v>44281</v>
      </c>
      <c r="H3">
        <v>3</v>
      </c>
      <c r="I3">
        <v>1</v>
      </c>
      <c r="J3">
        <v>1</v>
      </c>
      <c r="K3" t="s">
        <v>97</v>
      </c>
    </row>
    <row r="4" spans="1:11" x14ac:dyDescent="0.25">
      <c r="A4" t="s">
        <v>71</v>
      </c>
      <c r="B4">
        <v>202</v>
      </c>
      <c r="C4">
        <v>16</v>
      </c>
      <c r="D4">
        <v>507</v>
      </c>
      <c r="E4">
        <v>1</v>
      </c>
      <c r="F4" s="55">
        <f t="shared" ref="F4:F37" ca="1" si="0">TODAY()</f>
        <v>44281</v>
      </c>
      <c r="H4">
        <v>3</v>
      </c>
      <c r="I4">
        <v>1</v>
      </c>
      <c r="J4">
        <v>1</v>
      </c>
      <c r="K4" t="s">
        <v>97</v>
      </c>
    </row>
    <row r="5" spans="1:11" x14ac:dyDescent="0.25">
      <c r="A5" t="s">
        <v>71</v>
      </c>
      <c r="B5">
        <v>203</v>
      </c>
      <c r="C5">
        <v>16</v>
      </c>
      <c r="D5">
        <v>507</v>
      </c>
      <c r="E5">
        <v>1</v>
      </c>
      <c r="F5" s="55">
        <f t="shared" ca="1" si="0"/>
        <v>44281</v>
      </c>
      <c r="H5">
        <v>3</v>
      </c>
      <c r="I5">
        <v>1</v>
      </c>
      <c r="J5">
        <v>1</v>
      </c>
      <c r="K5" t="s">
        <v>97</v>
      </c>
    </row>
    <row r="6" spans="1:11" x14ac:dyDescent="0.25">
      <c r="A6" t="s">
        <v>71</v>
      </c>
      <c r="B6">
        <v>204</v>
      </c>
      <c r="C6">
        <v>16</v>
      </c>
      <c r="D6">
        <v>507</v>
      </c>
      <c r="E6">
        <v>1</v>
      </c>
      <c r="F6" s="55">
        <f t="shared" ca="1" si="0"/>
        <v>44281</v>
      </c>
      <c r="H6">
        <v>3</v>
      </c>
      <c r="I6">
        <v>1</v>
      </c>
      <c r="J6">
        <v>1</v>
      </c>
      <c r="K6" t="s">
        <v>97</v>
      </c>
    </row>
    <row r="7" spans="1:11" x14ac:dyDescent="0.25">
      <c r="A7" t="s">
        <v>71</v>
      </c>
      <c r="B7">
        <v>205</v>
      </c>
      <c r="C7">
        <v>16</v>
      </c>
      <c r="D7">
        <v>507</v>
      </c>
      <c r="E7">
        <v>1</v>
      </c>
      <c r="F7" s="55">
        <f t="shared" ca="1" si="0"/>
        <v>44281</v>
      </c>
      <c r="H7">
        <v>3</v>
      </c>
      <c r="I7">
        <v>1</v>
      </c>
      <c r="J7">
        <v>1</v>
      </c>
      <c r="K7" t="s">
        <v>97</v>
      </c>
    </row>
    <row r="8" spans="1:11" x14ac:dyDescent="0.25">
      <c r="A8" t="s">
        <v>71</v>
      </c>
      <c r="B8">
        <v>206</v>
      </c>
      <c r="C8">
        <v>16</v>
      </c>
      <c r="D8">
        <v>507</v>
      </c>
      <c r="E8">
        <v>1</v>
      </c>
      <c r="F8" s="55">
        <f t="shared" ca="1" si="0"/>
        <v>44281</v>
      </c>
      <c r="H8">
        <v>3</v>
      </c>
      <c r="I8">
        <v>1</v>
      </c>
      <c r="J8">
        <v>1</v>
      </c>
      <c r="K8" t="s">
        <v>97</v>
      </c>
    </row>
    <row r="9" spans="1:11" x14ac:dyDescent="0.25">
      <c r="A9" t="s">
        <v>71</v>
      </c>
      <c r="B9">
        <v>207</v>
      </c>
      <c r="C9">
        <v>16</v>
      </c>
      <c r="D9">
        <v>507</v>
      </c>
      <c r="E9">
        <v>1</v>
      </c>
      <c r="F9" s="55">
        <f t="shared" ca="1" si="0"/>
        <v>44281</v>
      </c>
      <c r="H9">
        <v>3</v>
      </c>
      <c r="I9">
        <v>1</v>
      </c>
      <c r="J9">
        <v>1</v>
      </c>
      <c r="K9" t="s">
        <v>97</v>
      </c>
    </row>
    <row r="10" spans="1:11" x14ac:dyDescent="0.25">
      <c r="A10" t="s">
        <v>71</v>
      </c>
      <c r="B10">
        <v>208</v>
      </c>
      <c r="C10">
        <v>16</v>
      </c>
      <c r="D10">
        <v>507</v>
      </c>
      <c r="E10">
        <v>1</v>
      </c>
      <c r="F10" s="55">
        <f t="shared" ca="1" si="0"/>
        <v>44281</v>
      </c>
      <c r="H10">
        <v>3</v>
      </c>
      <c r="I10">
        <v>1</v>
      </c>
      <c r="J10">
        <v>1</v>
      </c>
      <c r="K10" t="s">
        <v>97</v>
      </c>
    </row>
    <row r="11" spans="1:11" x14ac:dyDescent="0.25">
      <c r="A11" t="s">
        <v>71</v>
      </c>
      <c r="B11">
        <v>209</v>
      </c>
      <c r="C11">
        <v>16</v>
      </c>
      <c r="D11">
        <v>507</v>
      </c>
      <c r="E11">
        <v>1</v>
      </c>
      <c r="F11" s="55">
        <f t="shared" ca="1" si="0"/>
        <v>44281</v>
      </c>
      <c r="H11">
        <v>3</v>
      </c>
      <c r="I11">
        <v>1</v>
      </c>
      <c r="J11">
        <v>1</v>
      </c>
      <c r="K11" t="s">
        <v>97</v>
      </c>
    </row>
    <row r="12" spans="1:11" x14ac:dyDescent="0.25">
      <c r="A12" t="s">
        <v>71</v>
      </c>
      <c r="B12">
        <v>210</v>
      </c>
      <c r="C12">
        <v>16</v>
      </c>
      <c r="D12">
        <v>507</v>
      </c>
      <c r="E12">
        <v>1</v>
      </c>
      <c r="F12" s="55">
        <f t="shared" ca="1" si="0"/>
        <v>44281</v>
      </c>
      <c r="H12">
        <v>3</v>
      </c>
      <c r="I12">
        <v>1</v>
      </c>
      <c r="J12">
        <v>1</v>
      </c>
      <c r="K12" t="s">
        <v>97</v>
      </c>
    </row>
    <row r="13" spans="1:11" x14ac:dyDescent="0.25">
      <c r="A13" t="s">
        <v>71</v>
      </c>
      <c r="B13">
        <v>211</v>
      </c>
      <c r="C13">
        <v>16</v>
      </c>
      <c r="D13">
        <v>507</v>
      </c>
      <c r="E13">
        <v>1</v>
      </c>
      <c r="F13" s="55">
        <f t="shared" ca="1" si="0"/>
        <v>44281</v>
      </c>
      <c r="H13">
        <v>3</v>
      </c>
      <c r="I13">
        <v>1</v>
      </c>
      <c r="J13">
        <v>1</v>
      </c>
      <c r="K13" t="s">
        <v>97</v>
      </c>
    </row>
    <row r="14" spans="1:11" x14ac:dyDescent="0.25">
      <c r="A14" t="s">
        <v>71</v>
      </c>
      <c r="B14">
        <v>212</v>
      </c>
      <c r="C14">
        <v>16</v>
      </c>
      <c r="D14">
        <v>507</v>
      </c>
      <c r="E14">
        <v>1</v>
      </c>
      <c r="F14" s="55">
        <f t="shared" ca="1" si="0"/>
        <v>44281</v>
      </c>
      <c r="H14">
        <v>3</v>
      </c>
      <c r="I14">
        <v>1</v>
      </c>
      <c r="J14">
        <v>1</v>
      </c>
      <c r="K14" t="s">
        <v>97</v>
      </c>
    </row>
    <row r="15" spans="1:11" x14ac:dyDescent="0.25">
      <c r="A15" t="s">
        <v>71</v>
      </c>
      <c r="B15">
        <v>213</v>
      </c>
      <c r="C15">
        <v>16</v>
      </c>
      <c r="D15">
        <v>507</v>
      </c>
      <c r="E15">
        <v>1</v>
      </c>
      <c r="F15" s="55">
        <f t="shared" ca="1" si="0"/>
        <v>44281</v>
      </c>
      <c r="H15">
        <v>3</v>
      </c>
      <c r="I15">
        <v>1</v>
      </c>
      <c r="J15">
        <v>1</v>
      </c>
      <c r="K15" t="s">
        <v>97</v>
      </c>
    </row>
    <row r="16" spans="1:11" x14ac:dyDescent="0.25">
      <c r="A16" t="s">
        <v>71</v>
      </c>
      <c r="B16">
        <v>214</v>
      </c>
      <c r="C16">
        <v>16</v>
      </c>
      <c r="D16">
        <v>507</v>
      </c>
      <c r="E16">
        <v>1</v>
      </c>
      <c r="F16" s="55">
        <f t="shared" ca="1" si="0"/>
        <v>44281</v>
      </c>
      <c r="H16">
        <v>3</v>
      </c>
      <c r="I16">
        <v>1</v>
      </c>
      <c r="J16">
        <v>1</v>
      </c>
      <c r="K16" t="s">
        <v>97</v>
      </c>
    </row>
    <row r="17" spans="1:11" x14ac:dyDescent="0.25">
      <c r="A17" t="s">
        <v>71</v>
      </c>
      <c r="B17">
        <v>215</v>
      </c>
      <c r="C17">
        <v>16</v>
      </c>
      <c r="D17">
        <v>507</v>
      </c>
      <c r="E17">
        <v>1</v>
      </c>
      <c r="F17" s="55">
        <f t="shared" ca="1" si="0"/>
        <v>44281</v>
      </c>
      <c r="H17">
        <v>3</v>
      </c>
      <c r="I17">
        <v>1</v>
      </c>
      <c r="J17">
        <v>1</v>
      </c>
      <c r="K17" t="s">
        <v>97</v>
      </c>
    </row>
    <row r="18" spans="1:11" x14ac:dyDescent="0.25">
      <c r="A18" t="s">
        <v>71</v>
      </c>
      <c r="B18">
        <v>216</v>
      </c>
      <c r="C18">
        <v>16</v>
      </c>
      <c r="D18">
        <v>507</v>
      </c>
      <c r="E18">
        <v>1</v>
      </c>
      <c r="F18" s="55">
        <f t="shared" ca="1" si="0"/>
        <v>44281</v>
      </c>
      <c r="H18">
        <v>3</v>
      </c>
      <c r="I18">
        <v>1</v>
      </c>
      <c r="J18">
        <v>1</v>
      </c>
      <c r="K18" t="s">
        <v>97</v>
      </c>
    </row>
    <row r="19" spans="1:11" x14ac:dyDescent="0.25">
      <c r="A19" t="s">
        <v>71</v>
      </c>
      <c r="B19">
        <v>217</v>
      </c>
      <c r="C19">
        <v>16</v>
      </c>
      <c r="D19">
        <v>507</v>
      </c>
      <c r="E19">
        <v>1</v>
      </c>
      <c r="F19" s="55">
        <f t="shared" ca="1" si="0"/>
        <v>44281</v>
      </c>
      <c r="H19">
        <v>3</v>
      </c>
      <c r="I19">
        <v>1</v>
      </c>
      <c r="J19">
        <v>1</v>
      </c>
      <c r="K19" t="s">
        <v>97</v>
      </c>
    </row>
    <row r="20" spans="1:11" x14ac:dyDescent="0.25">
      <c r="A20" t="s">
        <v>71</v>
      </c>
      <c r="B20">
        <v>218</v>
      </c>
      <c r="C20">
        <v>16</v>
      </c>
      <c r="D20">
        <v>507</v>
      </c>
      <c r="E20">
        <v>1</v>
      </c>
      <c r="F20" s="55">
        <f t="shared" ca="1" si="0"/>
        <v>44281</v>
      </c>
      <c r="H20">
        <v>3</v>
      </c>
      <c r="I20">
        <v>1</v>
      </c>
      <c r="J20">
        <v>1</v>
      </c>
      <c r="K20" t="s">
        <v>97</v>
      </c>
    </row>
    <row r="21" spans="1:11" x14ac:dyDescent="0.25">
      <c r="A21" t="s">
        <v>71</v>
      </c>
      <c r="B21">
        <v>219</v>
      </c>
      <c r="C21">
        <v>16</v>
      </c>
      <c r="D21">
        <v>507</v>
      </c>
      <c r="E21">
        <v>1</v>
      </c>
      <c r="F21" s="55">
        <f t="shared" ca="1" si="0"/>
        <v>44281</v>
      </c>
      <c r="H21">
        <v>3</v>
      </c>
      <c r="I21">
        <v>1</v>
      </c>
      <c r="J21">
        <v>1</v>
      </c>
      <c r="K21" t="s">
        <v>97</v>
      </c>
    </row>
    <row r="22" spans="1:11" x14ac:dyDescent="0.25">
      <c r="A22" t="s">
        <v>71</v>
      </c>
      <c r="B22">
        <v>220</v>
      </c>
      <c r="C22">
        <v>16</v>
      </c>
      <c r="D22">
        <v>507</v>
      </c>
      <c r="E22">
        <v>1</v>
      </c>
      <c r="F22" s="55">
        <f t="shared" ca="1" si="0"/>
        <v>44281</v>
      </c>
      <c r="H22">
        <v>3</v>
      </c>
      <c r="I22">
        <v>1</v>
      </c>
      <c r="J22">
        <v>1</v>
      </c>
      <c r="K22" t="s">
        <v>97</v>
      </c>
    </row>
    <row r="23" spans="1:11" x14ac:dyDescent="0.25">
      <c r="A23" t="s">
        <v>71</v>
      </c>
      <c r="B23">
        <v>221</v>
      </c>
      <c r="C23">
        <v>16</v>
      </c>
      <c r="D23">
        <v>507</v>
      </c>
      <c r="E23">
        <v>1</v>
      </c>
      <c r="F23" s="55">
        <f t="shared" ca="1" si="0"/>
        <v>44281</v>
      </c>
      <c r="H23">
        <v>3</v>
      </c>
      <c r="I23">
        <v>1</v>
      </c>
      <c r="J23">
        <v>1</v>
      </c>
      <c r="K23" t="s">
        <v>97</v>
      </c>
    </row>
    <row r="24" spans="1:11" x14ac:dyDescent="0.25">
      <c r="A24" t="s">
        <v>71</v>
      </c>
      <c r="B24">
        <v>222</v>
      </c>
      <c r="C24">
        <v>16</v>
      </c>
      <c r="D24">
        <v>507</v>
      </c>
      <c r="E24">
        <v>1</v>
      </c>
      <c r="F24" s="55">
        <f t="shared" ca="1" si="0"/>
        <v>44281</v>
      </c>
      <c r="H24">
        <v>3</v>
      </c>
      <c r="I24">
        <v>1</v>
      </c>
      <c r="J24">
        <v>1</v>
      </c>
      <c r="K24" t="s">
        <v>97</v>
      </c>
    </row>
    <row r="25" spans="1:11" x14ac:dyDescent="0.25">
      <c r="A25" t="s">
        <v>71</v>
      </c>
      <c r="B25">
        <v>223</v>
      </c>
      <c r="C25">
        <v>16</v>
      </c>
      <c r="D25">
        <v>507</v>
      </c>
      <c r="E25">
        <v>1</v>
      </c>
      <c r="F25" s="55">
        <f t="shared" ca="1" si="0"/>
        <v>44281</v>
      </c>
      <c r="H25">
        <v>3</v>
      </c>
      <c r="I25">
        <v>1</v>
      </c>
      <c r="J25">
        <v>1</v>
      </c>
      <c r="K25" t="s">
        <v>97</v>
      </c>
    </row>
    <row r="26" spans="1:11" x14ac:dyDescent="0.25">
      <c r="A26" t="s">
        <v>71</v>
      </c>
      <c r="B26">
        <v>224</v>
      </c>
      <c r="C26">
        <v>16</v>
      </c>
      <c r="D26">
        <v>507</v>
      </c>
      <c r="E26">
        <v>1</v>
      </c>
      <c r="F26" s="55">
        <f t="shared" ca="1" si="0"/>
        <v>44281</v>
      </c>
      <c r="H26">
        <v>3</v>
      </c>
      <c r="I26">
        <v>1</v>
      </c>
      <c r="J26">
        <v>1</v>
      </c>
      <c r="K26" t="s">
        <v>97</v>
      </c>
    </row>
    <row r="27" spans="1:11" x14ac:dyDescent="0.25">
      <c r="A27" t="s">
        <v>71</v>
      </c>
      <c r="B27">
        <v>225</v>
      </c>
      <c r="C27">
        <v>16</v>
      </c>
      <c r="D27">
        <v>507</v>
      </c>
      <c r="E27">
        <v>1</v>
      </c>
      <c r="F27" s="55">
        <f t="shared" ca="1" si="0"/>
        <v>44281</v>
      </c>
      <c r="H27">
        <v>3</v>
      </c>
      <c r="I27">
        <v>1</v>
      </c>
      <c r="J27">
        <v>1</v>
      </c>
      <c r="K27" t="s">
        <v>97</v>
      </c>
    </row>
    <row r="28" spans="1:11" x14ac:dyDescent="0.25">
      <c r="A28" t="s">
        <v>71</v>
      </c>
      <c r="B28">
        <v>226</v>
      </c>
      <c r="C28">
        <v>16</v>
      </c>
      <c r="D28">
        <v>507</v>
      </c>
      <c r="E28">
        <v>1</v>
      </c>
      <c r="F28" s="55">
        <f t="shared" ca="1" si="0"/>
        <v>44281</v>
      </c>
      <c r="H28">
        <v>3</v>
      </c>
      <c r="I28">
        <v>1</v>
      </c>
      <c r="J28">
        <v>1</v>
      </c>
      <c r="K28" t="s">
        <v>97</v>
      </c>
    </row>
    <row r="29" spans="1:11" x14ac:dyDescent="0.25">
      <c r="A29" t="s">
        <v>71</v>
      </c>
      <c r="B29">
        <v>227</v>
      </c>
      <c r="C29">
        <v>16</v>
      </c>
      <c r="D29">
        <v>507</v>
      </c>
      <c r="E29">
        <v>1</v>
      </c>
      <c r="F29" s="55">
        <f t="shared" ca="1" si="0"/>
        <v>44281</v>
      </c>
      <c r="H29">
        <v>3</v>
      </c>
      <c r="I29">
        <v>1</v>
      </c>
      <c r="J29">
        <v>1</v>
      </c>
      <c r="K29" t="s">
        <v>97</v>
      </c>
    </row>
    <row r="30" spans="1:11" x14ac:dyDescent="0.25">
      <c r="A30" t="s">
        <v>71</v>
      </c>
      <c r="B30">
        <v>228</v>
      </c>
      <c r="C30">
        <v>16</v>
      </c>
      <c r="D30">
        <v>507</v>
      </c>
      <c r="E30">
        <v>1</v>
      </c>
      <c r="F30" s="55">
        <f t="shared" ca="1" si="0"/>
        <v>44281</v>
      </c>
      <c r="H30">
        <v>3</v>
      </c>
      <c r="I30">
        <v>1</v>
      </c>
      <c r="J30">
        <v>1</v>
      </c>
      <c r="K30" t="s">
        <v>97</v>
      </c>
    </row>
    <row r="31" spans="1:11" x14ac:dyDescent="0.25">
      <c r="A31" t="s">
        <v>71</v>
      </c>
      <c r="B31">
        <v>229</v>
      </c>
      <c r="C31">
        <v>16</v>
      </c>
      <c r="D31">
        <v>507</v>
      </c>
      <c r="E31">
        <v>1</v>
      </c>
      <c r="F31" s="55">
        <f t="shared" ca="1" si="0"/>
        <v>44281</v>
      </c>
      <c r="H31">
        <v>3</v>
      </c>
      <c r="I31">
        <v>1</v>
      </c>
      <c r="J31">
        <v>1</v>
      </c>
      <c r="K31" t="s">
        <v>97</v>
      </c>
    </row>
    <row r="32" spans="1:11" x14ac:dyDescent="0.25">
      <c r="A32" t="s">
        <v>71</v>
      </c>
      <c r="B32">
        <v>230</v>
      </c>
      <c r="C32">
        <v>16</v>
      </c>
      <c r="D32">
        <v>507</v>
      </c>
      <c r="E32">
        <v>1</v>
      </c>
      <c r="F32" s="55">
        <f t="shared" ca="1" si="0"/>
        <v>44281</v>
      </c>
      <c r="H32">
        <v>3</v>
      </c>
      <c r="I32">
        <v>1</v>
      </c>
      <c r="J32">
        <v>1</v>
      </c>
      <c r="K32" t="s">
        <v>97</v>
      </c>
    </row>
    <row r="33" spans="1:11" x14ac:dyDescent="0.25">
      <c r="A33" t="s">
        <v>71</v>
      </c>
      <c r="B33">
        <v>881</v>
      </c>
      <c r="C33">
        <v>16</v>
      </c>
      <c r="D33">
        <v>507</v>
      </c>
      <c r="E33">
        <v>1</v>
      </c>
      <c r="F33" s="55">
        <f t="shared" ca="1" si="0"/>
        <v>44281</v>
      </c>
      <c r="H33">
        <v>3</v>
      </c>
      <c r="I33">
        <v>1</v>
      </c>
      <c r="J33">
        <v>1</v>
      </c>
      <c r="K33" t="s">
        <v>97</v>
      </c>
    </row>
    <row r="34" spans="1:11" x14ac:dyDescent="0.25">
      <c r="A34" t="s">
        <v>71</v>
      </c>
      <c r="B34">
        <v>882</v>
      </c>
      <c r="C34">
        <v>16</v>
      </c>
      <c r="D34">
        <v>507</v>
      </c>
      <c r="E34">
        <v>1</v>
      </c>
      <c r="F34" s="55">
        <f t="shared" ca="1" si="0"/>
        <v>44281</v>
      </c>
      <c r="H34">
        <v>3</v>
      </c>
      <c r="I34">
        <v>1</v>
      </c>
      <c r="J34">
        <v>1</v>
      </c>
      <c r="K34" t="s">
        <v>97</v>
      </c>
    </row>
    <row r="35" spans="1:11" x14ac:dyDescent="0.25">
      <c r="A35" t="s">
        <v>71</v>
      </c>
      <c r="B35">
        <v>883</v>
      </c>
      <c r="C35">
        <v>16</v>
      </c>
      <c r="D35">
        <v>507</v>
      </c>
      <c r="E35">
        <v>1</v>
      </c>
      <c r="F35" s="55">
        <f t="shared" ca="1" si="0"/>
        <v>44281</v>
      </c>
      <c r="H35">
        <v>3</v>
      </c>
      <c r="I35">
        <v>1</v>
      </c>
      <c r="J35">
        <v>1</v>
      </c>
      <c r="K35" t="s">
        <v>97</v>
      </c>
    </row>
    <row r="36" spans="1:11" x14ac:dyDescent="0.25">
      <c r="A36" t="s">
        <v>71</v>
      </c>
      <c r="B36">
        <v>884</v>
      </c>
      <c r="C36">
        <v>16</v>
      </c>
      <c r="D36">
        <v>507</v>
      </c>
      <c r="E36">
        <v>1</v>
      </c>
      <c r="F36" s="55">
        <f t="shared" ca="1" si="0"/>
        <v>44281</v>
      </c>
      <c r="H36">
        <v>3</v>
      </c>
      <c r="I36">
        <v>1</v>
      </c>
      <c r="J36">
        <v>1</v>
      </c>
      <c r="K36" t="s">
        <v>97</v>
      </c>
    </row>
    <row r="37" spans="1:11" x14ac:dyDescent="0.25">
      <c r="A37" t="s">
        <v>71</v>
      </c>
      <c r="B37">
        <v>885</v>
      </c>
      <c r="C37">
        <v>16</v>
      </c>
      <c r="D37">
        <v>507</v>
      </c>
      <c r="E37">
        <v>1</v>
      </c>
      <c r="F37" s="55">
        <f t="shared" ca="1" si="0"/>
        <v>44281</v>
      </c>
      <c r="H37">
        <v>3</v>
      </c>
      <c r="I37">
        <v>1</v>
      </c>
      <c r="J37">
        <v>1</v>
      </c>
      <c r="K37" t="s">
        <v>97</v>
      </c>
    </row>
    <row r="38" spans="1:11" x14ac:dyDescent="0.25">
      <c r="A38" t="s">
        <v>71</v>
      </c>
      <c r="B38">
        <v>231</v>
      </c>
      <c r="C38">
        <v>16</v>
      </c>
      <c r="D38">
        <v>507</v>
      </c>
      <c r="E38">
        <v>1</v>
      </c>
      <c r="F38" s="55">
        <f ca="1">TODAY()</f>
        <v>44281</v>
      </c>
      <c r="H38">
        <v>1</v>
      </c>
      <c r="I38">
        <v>1</v>
      </c>
      <c r="J38">
        <v>1</v>
      </c>
      <c r="K38" t="s">
        <v>97</v>
      </c>
    </row>
    <row r="39" spans="1:11" x14ac:dyDescent="0.25">
      <c r="A39" t="s">
        <v>71</v>
      </c>
      <c r="B39">
        <v>232</v>
      </c>
      <c r="C39">
        <v>16</v>
      </c>
      <c r="D39">
        <v>507</v>
      </c>
      <c r="E39">
        <v>1</v>
      </c>
      <c r="F39" s="55">
        <f t="shared" ref="F39:F72" ca="1" si="1">TODAY()</f>
        <v>44281</v>
      </c>
      <c r="H39">
        <v>1</v>
      </c>
      <c r="I39">
        <v>1</v>
      </c>
      <c r="J39">
        <v>1</v>
      </c>
      <c r="K39" t="s">
        <v>97</v>
      </c>
    </row>
    <row r="40" spans="1:11" x14ac:dyDescent="0.25">
      <c r="A40" t="s">
        <v>71</v>
      </c>
      <c r="B40">
        <v>233</v>
      </c>
      <c r="C40">
        <v>16</v>
      </c>
      <c r="D40">
        <v>507</v>
      </c>
      <c r="E40">
        <v>1</v>
      </c>
      <c r="F40" s="55">
        <f t="shared" ca="1" si="1"/>
        <v>44281</v>
      </c>
      <c r="H40">
        <v>1</v>
      </c>
      <c r="I40">
        <v>1</v>
      </c>
      <c r="J40">
        <v>1</v>
      </c>
      <c r="K40" t="s">
        <v>97</v>
      </c>
    </row>
    <row r="41" spans="1:11" x14ac:dyDescent="0.25">
      <c r="A41" t="s">
        <v>71</v>
      </c>
      <c r="B41">
        <v>234</v>
      </c>
      <c r="C41">
        <v>16</v>
      </c>
      <c r="D41">
        <v>507</v>
      </c>
      <c r="E41">
        <v>1</v>
      </c>
      <c r="F41" s="55">
        <f t="shared" ca="1" si="1"/>
        <v>44281</v>
      </c>
      <c r="H41">
        <v>1</v>
      </c>
      <c r="I41">
        <v>1</v>
      </c>
      <c r="J41">
        <v>1</v>
      </c>
      <c r="K41" t="s">
        <v>97</v>
      </c>
    </row>
    <row r="42" spans="1:11" x14ac:dyDescent="0.25">
      <c r="A42" t="s">
        <v>71</v>
      </c>
      <c r="B42">
        <v>235</v>
      </c>
      <c r="C42">
        <v>16</v>
      </c>
      <c r="D42">
        <v>507</v>
      </c>
      <c r="E42">
        <v>1</v>
      </c>
      <c r="F42" s="55">
        <f t="shared" ca="1" si="1"/>
        <v>44281</v>
      </c>
      <c r="H42">
        <v>1</v>
      </c>
      <c r="I42">
        <v>1</v>
      </c>
      <c r="J42">
        <v>1</v>
      </c>
      <c r="K42" t="s">
        <v>97</v>
      </c>
    </row>
    <row r="43" spans="1:11" x14ac:dyDescent="0.25">
      <c r="A43" t="s">
        <v>71</v>
      </c>
      <c r="B43">
        <v>236</v>
      </c>
      <c r="C43">
        <v>16</v>
      </c>
      <c r="D43">
        <v>507</v>
      </c>
      <c r="E43">
        <v>1</v>
      </c>
      <c r="F43" s="55">
        <f t="shared" ca="1" si="1"/>
        <v>44281</v>
      </c>
      <c r="H43">
        <v>1</v>
      </c>
      <c r="I43">
        <v>1</v>
      </c>
      <c r="J43">
        <v>1</v>
      </c>
      <c r="K43" t="s">
        <v>97</v>
      </c>
    </row>
    <row r="44" spans="1:11" x14ac:dyDescent="0.25">
      <c r="A44" t="s">
        <v>71</v>
      </c>
      <c r="B44">
        <v>237</v>
      </c>
      <c r="C44">
        <v>16</v>
      </c>
      <c r="D44">
        <v>507</v>
      </c>
      <c r="E44">
        <v>1</v>
      </c>
      <c r="F44" s="55">
        <f t="shared" ca="1" si="1"/>
        <v>44281</v>
      </c>
      <c r="H44">
        <v>1</v>
      </c>
      <c r="I44">
        <v>1</v>
      </c>
      <c r="J44">
        <v>1</v>
      </c>
      <c r="K44" t="s">
        <v>97</v>
      </c>
    </row>
    <row r="45" spans="1:11" x14ac:dyDescent="0.25">
      <c r="A45" t="s">
        <v>71</v>
      </c>
      <c r="B45">
        <v>238</v>
      </c>
      <c r="C45">
        <v>16</v>
      </c>
      <c r="D45">
        <v>507</v>
      </c>
      <c r="E45">
        <v>1</v>
      </c>
      <c r="F45" s="55">
        <f t="shared" ca="1" si="1"/>
        <v>44281</v>
      </c>
      <c r="H45">
        <v>1</v>
      </c>
      <c r="I45">
        <v>1</v>
      </c>
      <c r="J45">
        <v>1</v>
      </c>
      <c r="K45" t="s">
        <v>97</v>
      </c>
    </row>
    <row r="46" spans="1:11" x14ac:dyDescent="0.25">
      <c r="A46" t="s">
        <v>71</v>
      </c>
      <c r="B46">
        <v>239</v>
      </c>
      <c r="C46">
        <v>16</v>
      </c>
      <c r="D46">
        <v>507</v>
      </c>
      <c r="E46">
        <v>1</v>
      </c>
      <c r="F46" s="55">
        <f t="shared" ca="1" si="1"/>
        <v>44281</v>
      </c>
      <c r="H46">
        <v>1</v>
      </c>
      <c r="I46">
        <v>1</v>
      </c>
      <c r="J46">
        <v>1</v>
      </c>
      <c r="K46" t="s">
        <v>97</v>
      </c>
    </row>
    <row r="47" spans="1:11" x14ac:dyDescent="0.25">
      <c r="A47" t="s">
        <v>71</v>
      </c>
      <c r="B47">
        <v>240</v>
      </c>
      <c r="C47">
        <v>16</v>
      </c>
      <c r="D47">
        <v>507</v>
      </c>
      <c r="E47">
        <v>1</v>
      </c>
      <c r="F47" s="55">
        <f t="shared" ca="1" si="1"/>
        <v>44281</v>
      </c>
      <c r="H47">
        <v>1</v>
      </c>
      <c r="I47">
        <v>1</v>
      </c>
      <c r="J47">
        <v>1</v>
      </c>
      <c r="K47" t="s">
        <v>97</v>
      </c>
    </row>
    <row r="48" spans="1:11" x14ac:dyDescent="0.25">
      <c r="A48" t="s">
        <v>71</v>
      </c>
      <c r="B48">
        <v>241</v>
      </c>
      <c r="C48">
        <v>16</v>
      </c>
      <c r="D48">
        <v>507</v>
      </c>
      <c r="E48">
        <v>1</v>
      </c>
      <c r="F48" s="55">
        <f t="shared" ca="1" si="1"/>
        <v>44281</v>
      </c>
      <c r="H48">
        <v>1</v>
      </c>
      <c r="I48">
        <v>1</v>
      </c>
      <c r="J48">
        <v>1</v>
      </c>
      <c r="K48" t="s">
        <v>97</v>
      </c>
    </row>
    <row r="49" spans="1:11" x14ac:dyDescent="0.25">
      <c r="A49" t="s">
        <v>71</v>
      </c>
      <c r="B49">
        <v>242</v>
      </c>
      <c r="C49">
        <v>16</v>
      </c>
      <c r="D49">
        <v>507</v>
      </c>
      <c r="E49">
        <v>1</v>
      </c>
      <c r="F49" s="55">
        <f t="shared" ca="1" si="1"/>
        <v>44281</v>
      </c>
      <c r="H49">
        <v>1</v>
      </c>
      <c r="I49">
        <v>1</v>
      </c>
      <c r="J49">
        <v>1</v>
      </c>
      <c r="K49" t="s">
        <v>97</v>
      </c>
    </row>
    <row r="50" spans="1:11" x14ac:dyDescent="0.25">
      <c r="A50" t="s">
        <v>71</v>
      </c>
      <c r="B50">
        <v>243</v>
      </c>
      <c r="C50">
        <v>16</v>
      </c>
      <c r="D50">
        <v>507</v>
      </c>
      <c r="E50">
        <v>1</v>
      </c>
      <c r="F50" s="55">
        <f t="shared" ca="1" si="1"/>
        <v>44281</v>
      </c>
      <c r="H50">
        <v>1</v>
      </c>
      <c r="I50">
        <v>1</v>
      </c>
      <c r="J50">
        <v>1</v>
      </c>
      <c r="K50" t="s">
        <v>97</v>
      </c>
    </row>
    <row r="51" spans="1:11" x14ac:dyDescent="0.25">
      <c r="A51" t="s">
        <v>71</v>
      </c>
      <c r="B51">
        <v>244</v>
      </c>
      <c r="C51">
        <v>16</v>
      </c>
      <c r="D51">
        <v>507</v>
      </c>
      <c r="E51">
        <v>1</v>
      </c>
      <c r="F51" s="55">
        <f t="shared" ca="1" si="1"/>
        <v>44281</v>
      </c>
      <c r="H51">
        <v>1</v>
      </c>
      <c r="I51">
        <v>1</v>
      </c>
      <c r="J51">
        <v>1</v>
      </c>
      <c r="K51" t="s">
        <v>97</v>
      </c>
    </row>
    <row r="52" spans="1:11" x14ac:dyDescent="0.25">
      <c r="A52" t="s">
        <v>71</v>
      </c>
      <c r="B52">
        <v>245</v>
      </c>
      <c r="C52">
        <v>16</v>
      </c>
      <c r="D52">
        <v>507</v>
      </c>
      <c r="E52">
        <v>1</v>
      </c>
      <c r="F52" s="55">
        <f t="shared" ca="1" si="1"/>
        <v>44281</v>
      </c>
      <c r="H52">
        <v>1</v>
      </c>
      <c r="I52">
        <v>1</v>
      </c>
      <c r="J52">
        <v>1</v>
      </c>
      <c r="K52" t="s">
        <v>97</v>
      </c>
    </row>
    <row r="53" spans="1:11" x14ac:dyDescent="0.25">
      <c r="A53" t="s">
        <v>71</v>
      </c>
      <c r="B53">
        <v>246</v>
      </c>
      <c r="C53">
        <v>16</v>
      </c>
      <c r="D53">
        <v>507</v>
      </c>
      <c r="E53">
        <v>1</v>
      </c>
      <c r="F53" s="55">
        <f t="shared" ca="1" si="1"/>
        <v>44281</v>
      </c>
      <c r="H53">
        <v>1</v>
      </c>
      <c r="I53">
        <v>1</v>
      </c>
      <c r="J53">
        <v>1</v>
      </c>
      <c r="K53" t="s">
        <v>97</v>
      </c>
    </row>
    <row r="54" spans="1:11" x14ac:dyDescent="0.25">
      <c r="A54" t="s">
        <v>71</v>
      </c>
      <c r="B54">
        <v>247</v>
      </c>
      <c r="C54">
        <v>16</v>
      </c>
      <c r="D54">
        <v>507</v>
      </c>
      <c r="E54">
        <v>1</v>
      </c>
      <c r="F54" s="55">
        <f t="shared" ca="1" si="1"/>
        <v>44281</v>
      </c>
      <c r="H54">
        <v>1</v>
      </c>
      <c r="I54">
        <v>1</v>
      </c>
      <c r="J54">
        <v>1</v>
      </c>
      <c r="K54" t="s">
        <v>97</v>
      </c>
    </row>
    <row r="55" spans="1:11" x14ac:dyDescent="0.25">
      <c r="A55" t="s">
        <v>71</v>
      </c>
      <c r="B55">
        <v>248</v>
      </c>
      <c r="C55">
        <v>16</v>
      </c>
      <c r="D55">
        <v>507</v>
      </c>
      <c r="E55">
        <v>1</v>
      </c>
      <c r="F55" s="55">
        <f t="shared" ca="1" si="1"/>
        <v>44281</v>
      </c>
      <c r="H55">
        <v>1</v>
      </c>
      <c r="I55">
        <v>1</v>
      </c>
      <c r="J55">
        <v>1</v>
      </c>
      <c r="K55" t="s">
        <v>97</v>
      </c>
    </row>
    <row r="56" spans="1:11" x14ac:dyDescent="0.25">
      <c r="A56" t="s">
        <v>71</v>
      </c>
      <c r="B56">
        <v>249</v>
      </c>
      <c r="C56">
        <v>16</v>
      </c>
      <c r="D56">
        <v>507</v>
      </c>
      <c r="E56">
        <v>1</v>
      </c>
      <c r="F56" s="55">
        <f t="shared" ca="1" si="1"/>
        <v>44281</v>
      </c>
      <c r="H56">
        <v>1</v>
      </c>
      <c r="I56">
        <v>1</v>
      </c>
      <c r="J56">
        <v>1</v>
      </c>
      <c r="K56" t="s">
        <v>97</v>
      </c>
    </row>
    <row r="57" spans="1:11" x14ac:dyDescent="0.25">
      <c r="A57" t="s">
        <v>71</v>
      </c>
      <c r="B57">
        <v>250</v>
      </c>
      <c r="C57">
        <v>16</v>
      </c>
      <c r="D57">
        <v>507</v>
      </c>
      <c r="E57">
        <v>1</v>
      </c>
      <c r="F57" s="55">
        <f t="shared" ca="1" si="1"/>
        <v>44281</v>
      </c>
      <c r="H57">
        <v>1</v>
      </c>
      <c r="I57">
        <v>1</v>
      </c>
      <c r="J57">
        <v>1</v>
      </c>
      <c r="K57" t="s">
        <v>97</v>
      </c>
    </row>
    <row r="58" spans="1:11" x14ac:dyDescent="0.25">
      <c r="A58" t="s">
        <v>71</v>
      </c>
      <c r="B58">
        <v>251</v>
      </c>
      <c r="C58">
        <v>16</v>
      </c>
      <c r="D58">
        <v>507</v>
      </c>
      <c r="E58">
        <v>1</v>
      </c>
      <c r="F58" s="55">
        <f t="shared" ca="1" si="1"/>
        <v>44281</v>
      </c>
      <c r="H58">
        <v>1</v>
      </c>
      <c r="I58">
        <v>1</v>
      </c>
      <c r="J58">
        <v>1</v>
      </c>
      <c r="K58" t="s">
        <v>97</v>
      </c>
    </row>
    <row r="59" spans="1:11" x14ac:dyDescent="0.25">
      <c r="A59" t="s">
        <v>71</v>
      </c>
      <c r="B59">
        <v>252</v>
      </c>
      <c r="C59">
        <v>16</v>
      </c>
      <c r="D59">
        <v>507</v>
      </c>
      <c r="E59">
        <v>1</v>
      </c>
      <c r="F59" s="55">
        <f t="shared" ca="1" si="1"/>
        <v>44281</v>
      </c>
      <c r="H59">
        <v>1</v>
      </c>
      <c r="I59">
        <v>1</v>
      </c>
      <c r="J59">
        <v>1</v>
      </c>
      <c r="K59" t="s">
        <v>97</v>
      </c>
    </row>
    <row r="60" spans="1:11" x14ac:dyDescent="0.25">
      <c r="A60" t="s">
        <v>71</v>
      </c>
      <c r="B60">
        <v>253</v>
      </c>
      <c r="C60">
        <v>16</v>
      </c>
      <c r="D60">
        <v>507</v>
      </c>
      <c r="E60">
        <v>1</v>
      </c>
      <c r="F60" s="55">
        <f t="shared" ca="1" si="1"/>
        <v>44281</v>
      </c>
      <c r="H60">
        <v>1</v>
      </c>
      <c r="I60">
        <v>1</v>
      </c>
      <c r="J60">
        <v>1</v>
      </c>
      <c r="K60" t="s">
        <v>97</v>
      </c>
    </row>
    <row r="61" spans="1:11" x14ac:dyDescent="0.25">
      <c r="A61" t="s">
        <v>71</v>
      </c>
      <c r="B61">
        <v>254</v>
      </c>
      <c r="C61">
        <v>16</v>
      </c>
      <c r="D61">
        <v>507</v>
      </c>
      <c r="E61">
        <v>1</v>
      </c>
      <c r="F61" s="55">
        <f t="shared" ca="1" si="1"/>
        <v>44281</v>
      </c>
      <c r="H61">
        <v>1</v>
      </c>
      <c r="I61">
        <v>1</v>
      </c>
      <c r="J61">
        <v>1</v>
      </c>
      <c r="K61" t="s">
        <v>97</v>
      </c>
    </row>
    <row r="62" spans="1:11" x14ac:dyDescent="0.25">
      <c r="A62" t="s">
        <v>71</v>
      </c>
      <c r="B62">
        <v>255</v>
      </c>
      <c r="C62">
        <v>16</v>
      </c>
      <c r="D62">
        <v>507</v>
      </c>
      <c r="E62">
        <v>1</v>
      </c>
      <c r="F62" s="55">
        <f t="shared" ca="1" si="1"/>
        <v>44281</v>
      </c>
      <c r="H62">
        <v>1</v>
      </c>
      <c r="I62">
        <v>1</v>
      </c>
      <c r="J62">
        <v>1</v>
      </c>
      <c r="K62" t="s">
        <v>97</v>
      </c>
    </row>
    <row r="63" spans="1:11" x14ac:dyDescent="0.25">
      <c r="A63" t="s">
        <v>71</v>
      </c>
      <c r="B63">
        <v>256</v>
      </c>
      <c r="C63">
        <v>16</v>
      </c>
      <c r="D63">
        <v>507</v>
      </c>
      <c r="E63">
        <v>1</v>
      </c>
      <c r="F63" s="55">
        <f t="shared" ca="1" si="1"/>
        <v>44281</v>
      </c>
      <c r="H63">
        <v>1</v>
      </c>
      <c r="I63">
        <v>1</v>
      </c>
      <c r="J63">
        <v>1</v>
      </c>
      <c r="K63" t="s">
        <v>97</v>
      </c>
    </row>
    <row r="64" spans="1:11" x14ac:dyDescent="0.25">
      <c r="A64" t="s">
        <v>71</v>
      </c>
      <c r="B64">
        <v>257</v>
      </c>
      <c r="C64">
        <v>16</v>
      </c>
      <c r="D64">
        <v>507</v>
      </c>
      <c r="E64">
        <v>1</v>
      </c>
      <c r="F64" s="55">
        <f t="shared" ca="1" si="1"/>
        <v>44281</v>
      </c>
      <c r="H64">
        <v>1</v>
      </c>
      <c r="I64">
        <v>1</v>
      </c>
      <c r="J64">
        <v>1</v>
      </c>
      <c r="K64" t="s">
        <v>97</v>
      </c>
    </row>
    <row r="65" spans="1:11" x14ac:dyDescent="0.25">
      <c r="A65" t="s">
        <v>71</v>
      </c>
      <c r="B65">
        <v>258</v>
      </c>
      <c r="C65">
        <v>16</v>
      </c>
      <c r="D65">
        <v>507</v>
      </c>
      <c r="E65">
        <v>1</v>
      </c>
      <c r="F65" s="55">
        <f t="shared" ca="1" si="1"/>
        <v>44281</v>
      </c>
      <c r="H65">
        <v>1</v>
      </c>
      <c r="I65">
        <v>1</v>
      </c>
      <c r="J65">
        <v>1</v>
      </c>
      <c r="K65" t="s">
        <v>97</v>
      </c>
    </row>
    <row r="66" spans="1:11" x14ac:dyDescent="0.25">
      <c r="A66" t="s">
        <v>71</v>
      </c>
      <c r="B66">
        <v>259</v>
      </c>
      <c r="C66">
        <v>16</v>
      </c>
      <c r="D66">
        <v>507</v>
      </c>
      <c r="E66">
        <v>1</v>
      </c>
      <c r="F66" s="55">
        <f t="shared" ca="1" si="1"/>
        <v>44281</v>
      </c>
      <c r="H66">
        <v>1</v>
      </c>
      <c r="I66">
        <v>1</v>
      </c>
      <c r="J66">
        <v>1</v>
      </c>
      <c r="K66" t="s">
        <v>97</v>
      </c>
    </row>
    <row r="67" spans="1:11" x14ac:dyDescent="0.25">
      <c r="A67" t="s">
        <v>71</v>
      </c>
      <c r="B67">
        <v>260</v>
      </c>
      <c r="C67">
        <v>16</v>
      </c>
      <c r="D67">
        <v>507</v>
      </c>
      <c r="E67">
        <v>1</v>
      </c>
      <c r="F67" s="55">
        <f t="shared" ca="1" si="1"/>
        <v>44281</v>
      </c>
      <c r="H67">
        <v>1</v>
      </c>
      <c r="I67">
        <v>1</v>
      </c>
      <c r="J67">
        <v>1</v>
      </c>
      <c r="K67" t="s">
        <v>97</v>
      </c>
    </row>
    <row r="68" spans="1:11" x14ac:dyDescent="0.25">
      <c r="A68" t="s">
        <v>71</v>
      </c>
      <c r="B68">
        <v>886</v>
      </c>
      <c r="C68">
        <v>16</v>
      </c>
      <c r="D68">
        <v>507</v>
      </c>
      <c r="E68">
        <v>1</v>
      </c>
      <c r="F68" s="55">
        <f t="shared" ca="1" si="1"/>
        <v>44281</v>
      </c>
      <c r="H68">
        <v>1</v>
      </c>
      <c r="I68">
        <v>1</v>
      </c>
      <c r="J68">
        <v>1</v>
      </c>
      <c r="K68" t="s">
        <v>97</v>
      </c>
    </row>
    <row r="69" spans="1:11" x14ac:dyDescent="0.25">
      <c r="A69" t="s">
        <v>71</v>
      </c>
      <c r="B69">
        <v>887</v>
      </c>
      <c r="C69">
        <v>16</v>
      </c>
      <c r="D69">
        <v>507</v>
      </c>
      <c r="E69">
        <v>1</v>
      </c>
      <c r="F69" s="55">
        <f t="shared" ca="1" si="1"/>
        <v>44281</v>
      </c>
      <c r="H69">
        <v>1</v>
      </c>
      <c r="I69">
        <v>1</v>
      </c>
      <c r="J69">
        <v>1</v>
      </c>
      <c r="K69" t="s">
        <v>97</v>
      </c>
    </row>
    <row r="70" spans="1:11" x14ac:dyDescent="0.25">
      <c r="A70" t="s">
        <v>71</v>
      </c>
      <c r="B70">
        <v>888</v>
      </c>
      <c r="C70">
        <v>16</v>
      </c>
      <c r="D70">
        <v>507</v>
      </c>
      <c r="E70">
        <v>1</v>
      </c>
      <c r="F70" s="55">
        <f t="shared" ca="1" si="1"/>
        <v>44281</v>
      </c>
      <c r="H70">
        <v>1</v>
      </c>
      <c r="I70">
        <v>1</v>
      </c>
      <c r="J70">
        <v>1</v>
      </c>
      <c r="K70" t="s">
        <v>97</v>
      </c>
    </row>
    <row r="71" spans="1:11" x14ac:dyDescent="0.25">
      <c r="A71" t="s">
        <v>71</v>
      </c>
      <c r="B71">
        <v>889</v>
      </c>
      <c r="C71">
        <v>16</v>
      </c>
      <c r="D71">
        <v>507</v>
      </c>
      <c r="E71">
        <v>1</v>
      </c>
      <c r="F71" s="55">
        <f t="shared" ca="1" si="1"/>
        <v>44281</v>
      </c>
      <c r="H71">
        <v>1</v>
      </c>
      <c r="I71">
        <v>1</v>
      </c>
      <c r="J71">
        <v>1</v>
      </c>
      <c r="K71" t="s">
        <v>97</v>
      </c>
    </row>
    <row r="72" spans="1:11" x14ac:dyDescent="0.25">
      <c r="A72" t="s">
        <v>71</v>
      </c>
      <c r="B72">
        <v>890</v>
      </c>
      <c r="C72">
        <v>16</v>
      </c>
      <c r="D72">
        <v>507</v>
      </c>
      <c r="E72">
        <v>1</v>
      </c>
      <c r="F72" s="55">
        <f t="shared" ca="1" si="1"/>
        <v>44281</v>
      </c>
      <c r="H72">
        <v>1</v>
      </c>
      <c r="I72">
        <v>1</v>
      </c>
      <c r="J72">
        <v>1</v>
      </c>
      <c r="K72" t="s">
        <v>97</v>
      </c>
    </row>
    <row r="73" spans="1:11" x14ac:dyDescent="0.25">
      <c r="A73" t="s">
        <v>71</v>
      </c>
      <c r="B73">
        <v>321</v>
      </c>
      <c r="C73">
        <v>16</v>
      </c>
      <c r="D73">
        <v>507</v>
      </c>
      <c r="E73">
        <v>1</v>
      </c>
      <c r="F73" s="55">
        <f ca="1">TODAY()</f>
        <v>44281</v>
      </c>
      <c r="H73">
        <v>1</v>
      </c>
      <c r="I73">
        <v>1</v>
      </c>
      <c r="J73">
        <v>1</v>
      </c>
      <c r="K73" t="s">
        <v>97</v>
      </c>
    </row>
    <row r="74" spans="1:11" x14ac:dyDescent="0.25">
      <c r="A74" t="s">
        <v>71</v>
      </c>
      <c r="B74">
        <v>322</v>
      </c>
      <c r="C74">
        <v>16</v>
      </c>
      <c r="D74">
        <v>507</v>
      </c>
      <c r="E74">
        <v>1</v>
      </c>
      <c r="F74" s="55">
        <f t="shared" ref="F74:F107" ca="1" si="2">TODAY()</f>
        <v>44281</v>
      </c>
      <c r="H74">
        <v>1</v>
      </c>
      <c r="I74">
        <v>1</v>
      </c>
      <c r="J74">
        <v>1</v>
      </c>
      <c r="K74" t="s">
        <v>97</v>
      </c>
    </row>
    <row r="75" spans="1:11" x14ac:dyDescent="0.25">
      <c r="A75" t="s">
        <v>71</v>
      </c>
      <c r="B75">
        <v>323</v>
      </c>
      <c r="C75">
        <v>16</v>
      </c>
      <c r="D75">
        <v>507</v>
      </c>
      <c r="E75">
        <v>1</v>
      </c>
      <c r="F75" s="55">
        <f t="shared" ca="1" si="2"/>
        <v>44281</v>
      </c>
      <c r="H75">
        <v>1</v>
      </c>
      <c r="I75">
        <v>1</v>
      </c>
      <c r="J75">
        <v>1</v>
      </c>
      <c r="K75" t="s">
        <v>97</v>
      </c>
    </row>
    <row r="76" spans="1:11" x14ac:dyDescent="0.25">
      <c r="A76" t="s">
        <v>71</v>
      </c>
      <c r="B76">
        <v>324</v>
      </c>
      <c r="C76">
        <v>16</v>
      </c>
      <c r="D76">
        <v>507</v>
      </c>
      <c r="E76">
        <v>1</v>
      </c>
      <c r="F76" s="55">
        <f t="shared" ca="1" si="2"/>
        <v>44281</v>
      </c>
      <c r="H76">
        <v>1</v>
      </c>
      <c r="I76">
        <v>1</v>
      </c>
      <c r="J76">
        <v>1</v>
      </c>
      <c r="K76" t="s">
        <v>97</v>
      </c>
    </row>
    <row r="77" spans="1:11" x14ac:dyDescent="0.25">
      <c r="A77" t="s">
        <v>71</v>
      </c>
      <c r="B77">
        <v>325</v>
      </c>
      <c r="C77">
        <v>16</v>
      </c>
      <c r="D77">
        <v>507</v>
      </c>
      <c r="E77">
        <v>1</v>
      </c>
      <c r="F77" s="55">
        <f t="shared" ca="1" si="2"/>
        <v>44281</v>
      </c>
      <c r="H77">
        <v>1</v>
      </c>
      <c r="I77">
        <v>1</v>
      </c>
      <c r="J77">
        <v>1</v>
      </c>
      <c r="K77" t="s">
        <v>97</v>
      </c>
    </row>
    <row r="78" spans="1:11" x14ac:dyDescent="0.25">
      <c r="A78" t="s">
        <v>71</v>
      </c>
      <c r="B78">
        <v>326</v>
      </c>
      <c r="C78">
        <v>16</v>
      </c>
      <c r="D78">
        <v>507</v>
      </c>
      <c r="E78">
        <v>1</v>
      </c>
      <c r="F78" s="55">
        <f t="shared" ca="1" si="2"/>
        <v>44281</v>
      </c>
      <c r="H78">
        <v>1</v>
      </c>
      <c r="I78">
        <v>1</v>
      </c>
      <c r="J78">
        <v>1</v>
      </c>
      <c r="K78" t="s">
        <v>97</v>
      </c>
    </row>
    <row r="79" spans="1:11" x14ac:dyDescent="0.25">
      <c r="A79" t="s">
        <v>71</v>
      </c>
      <c r="B79">
        <v>327</v>
      </c>
      <c r="C79">
        <v>16</v>
      </c>
      <c r="D79">
        <v>507</v>
      </c>
      <c r="E79">
        <v>1</v>
      </c>
      <c r="F79" s="55">
        <f t="shared" ca="1" si="2"/>
        <v>44281</v>
      </c>
      <c r="H79">
        <v>1</v>
      </c>
      <c r="I79">
        <v>1</v>
      </c>
      <c r="J79">
        <v>1</v>
      </c>
      <c r="K79" t="s">
        <v>97</v>
      </c>
    </row>
    <row r="80" spans="1:11" x14ac:dyDescent="0.25">
      <c r="A80" t="s">
        <v>71</v>
      </c>
      <c r="B80">
        <v>328</v>
      </c>
      <c r="C80">
        <v>16</v>
      </c>
      <c r="D80">
        <v>507</v>
      </c>
      <c r="E80">
        <v>1</v>
      </c>
      <c r="F80" s="55">
        <f t="shared" ca="1" si="2"/>
        <v>44281</v>
      </c>
      <c r="H80">
        <v>1</v>
      </c>
      <c r="I80">
        <v>1</v>
      </c>
      <c r="J80">
        <v>1</v>
      </c>
      <c r="K80" t="s">
        <v>97</v>
      </c>
    </row>
    <row r="81" spans="1:11" x14ac:dyDescent="0.25">
      <c r="A81" t="s">
        <v>71</v>
      </c>
      <c r="B81">
        <v>329</v>
      </c>
      <c r="C81">
        <v>16</v>
      </c>
      <c r="D81">
        <v>507</v>
      </c>
      <c r="E81">
        <v>1</v>
      </c>
      <c r="F81" s="55">
        <f t="shared" ca="1" si="2"/>
        <v>44281</v>
      </c>
      <c r="H81">
        <v>1</v>
      </c>
      <c r="I81">
        <v>1</v>
      </c>
      <c r="J81">
        <v>1</v>
      </c>
      <c r="K81" t="s">
        <v>97</v>
      </c>
    </row>
    <row r="82" spans="1:11" x14ac:dyDescent="0.25">
      <c r="A82" t="s">
        <v>71</v>
      </c>
      <c r="B82">
        <v>330</v>
      </c>
      <c r="C82">
        <v>16</v>
      </c>
      <c r="D82">
        <v>507</v>
      </c>
      <c r="E82">
        <v>1</v>
      </c>
      <c r="F82" s="55">
        <f t="shared" ca="1" si="2"/>
        <v>44281</v>
      </c>
      <c r="H82">
        <v>1</v>
      </c>
      <c r="I82">
        <v>1</v>
      </c>
      <c r="J82">
        <v>1</v>
      </c>
      <c r="K82" t="s">
        <v>97</v>
      </c>
    </row>
    <row r="83" spans="1:11" x14ac:dyDescent="0.25">
      <c r="A83" t="s">
        <v>71</v>
      </c>
      <c r="B83">
        <v>331</v>
      </c>
      <c r="C83">
        <v>16</v>
      </c>
      <c r="D83">
        <v>507</v>
      </c>
      <c r="E83">
        <v>1</v>
      </c>
      <c r="F83" s="55">
        <f t="shared" ca="1" si="2"/>
        <v>44281</v>
      </c>
      <c r="H83">
        <v>1</v>
      </c>
      <c r="I83">
        <v>1</v>
      </c>
      <c r="J83">
        <v>1</v>
      </c>
      <c r="K83" t="s">
        <v>97</v>
      </c>
    </row>
    <row r="84" spans="1:11" x14ac:dyDescent="0.25">
      <c r="A84" t="s">
        <v>71</v>
      </c>
      <c r="B84">
        <v>332</v>
      </c>
      <c r="C84">
        <v>16</v>
      </c>
      <c r="D84">
        <v>507</v>
      </c>
      <c r="E84">
        <v>1</v>
      </c>
      <c r="F84" s="55">
        <f t="shared" ca="1" si="2"/>
        <v>44281</v>
      </c>
      <c r="H84">
        <v>1</v>
      </c>
      <c r="I84">
        <v>1</v>
      </c>
      <c r="J84">
        <v>1</v>
      </c>
      <c r="K84" t="s">
        <v>97</v>
      </c>
    </row>
    <row r="85" spans="1:11" x14ac:dyDescent="0.25">
      <c r="A85" t="s">
        <v>71</v>
      </c>
      <c r="B85">
        <v>333</v>
      </c>
      <c r="C85">
        <v>16</v>
      </c>
      <c r="D85">
        <v>507</v>
      </c>
      <c r="E85">
        <v>1</v>
      </c>
      <c r="F85" s="55">
        <f t="shared" ca="1" si="2"/>
        <v>44281</v>
      </c>
      <c r="H85">
        <v>1</v>
      </c>
      <c r="I85">
        <v>1</v>
      </c>
      <c r="J85">
        <v>1</v>
      </c>
      <c r="K85" t="s">
        <v>97</v>
      </c>
    </row>
    <row r="86" spans="1:11" x14ac:dyDescent="0.25">
      <c r="A86" t="s">
        <v>71</v>
      </c>
      <c r="B86">
        <v>334</v>
      </c>
      <c r="C86">
        <v>16</v>
      </c>
      <c r="D86">
        <v>507</v>
      </c>
      <c r="E86">
        <v>1</v>
      </c>
      <c r="F86" s="55">
        <f t="shared" ca="1" si="2"/>
        <v>44281</v>
      </c>
      <c r="H86">
        <v>1</v>
      </c>
      <c r="I86">
        <v>1</v>
      </c>
      <c r="J86">
        <v>1</v>
      </c>
      <c r="K86" t="s">
        <v>97</v>
      </c>
    </row>
    <row r="87" spans="1:11" x14ac:dyDescent="0.25">
      <c r="A87" t="s">
        <v>71</v>
      </c>
      <c r="B87">
        <v>335</v>
      </c>
      <c r="C87">
        <v>16</v>
      </c>
      <c r="D87">
        <v>507</v>
      </c>
      <c r="E87">
        <v>1</v>
      </c>
      <c r="F87" s="55">
        <f t="shared" ca="1" si="2"/>
        <v>44281</v>
      </c>
      <c r="H87">
        <v>1</v>
      </c>
      <c r="I87">
        <v>1</v>
      </c>
      <c r="J87">
        <v>1</v>
      </c>
      <c r="K87" t="s">
        <v>97</v>
      </c>
    </row>
    <row r="88" spans="1:11" x14ac:dyDescent="0.25">
      <c r="A88" t="s">
        <v>71</v>
      </c>
      <c r="B88">
        <v>336</v>
      </c>
      <c r="C88">
        <v>16</v>
      </c>
      <c r="D88">
        <v>507</v>
      </c>
      <c r="E88">
        <v>1</v>
      </c>
      <c r="F88" s="55">
        <f t="shared" ca="1" si="2"/>
        <v>44281</v>
      </c>
      <c r="H88">
        <v>1</v>
      </c>
      <c r="I88">
        <v>1</v>
      </c>
      <c r="J88">
        <v>1</v>
      </c>
      <c r="K88" t="s">
        <v>97</v>
      </c>
    </row>
    <row r="89" spans="1:11" x14ac:dyDescent="0.25">
      <c r="A89" t="s">
        <v>71</v>
      </c>
      <c r="B89">
        <v>337</v>
      </c>
      <c r="C89">
        <v>16</v>
      </c>
      <c r="D89">
        <v>507</v>
      </c>
      <c r="E89">
        <v>1</v>
      </c>
      <c r="F89" s="55">
        <f t="shared" ca="1" si="2"/>
        <v>44281</v>
      </c>
      <c r="H89">
        <v>1</v>
      </c>
      <c r="I89">
        <v>1</v>
      </c>
      <c r="J89">
        <v>1</v>
      </c>
      <c r="K89" t="s">
        <v>97</v>
      </c>
    </row>
    <row r="90" spans="1:11" x14ac:dyDescent="0.25">
      <c r="A90" t="s">
        <v>71</v>
      </c>
      <c r="B90">
        <v>338</v>
      </c>
      <c r="C90">
        <v>16</v>
      </c>
      <c r="D90">
        <v>507</v>
      </c>
      <c r="E90">
        <v>1</v>
      </c>
      <c r="F90" s="55">
        <f t="shared" ca="1" si="2"/>
        <v>44281</v>
      </c>
      <c r="H90">
        <v>1</v>
      </c>
      <c r="I90">
        <v>1</v>
      </c>
      <c r="J90">
        <v>1</v>
      </c>
      <c r="K90" t="s">
        <v>97</v>
      </c>
    </row>
    <row r="91" spans="1:11" x14ac:dyDescent="0.25">
      <c r="A91" t="s">
        <v>71</v>
      </c>
      <c r="B91">
        <v>339</v>
      </c>
      <c r="C91">
        <v>16</v>
      </c>
      <c r="D91">
        <v>507</v>
      </c>
      <c r="E91">
        <v>1</v>
      </c>
      <c r="F91" s="55">
        <f t="shared" ca="1" si="2"/>
        <v>44281</v>
      </c>
      <c r="H91">
        <v>1</v>
      </c>
      <c r="I91">
        <v>1</v>
      </c>
      <c r="J91">
        <v>1</v>
      </c>
      <c r="K91" t="s">
        <v>97</v>
      </c>
    </row>
    <row r="92" spans="1:11" x14ac:dyDescent="0.25">
      <c r="A92" t="s">
        <v>71</v>
      </c>
      <c r="B92">
        <v>340</v>
      </c>
      <c r="C92">
        <v>16</v>
      </c>
      <c r="D92">
        <v>507</v>
      </c>
      <c r="E92">
        <v>1</v>
      </c>
      <c r="F92" s="55">
        <f t="shared" ca="1" si="2"/>
        <v>44281</v>
      </c>
      <c r="H92">
        <v>1</v>
      </c>
      <c r="I92">
        <v>1</v>
      </c>
      <c r="J92">
        <v>1</v>
      </c>
      <c r="K92" t="s">
        <v>97</v>
      </c>
    </row>
    <row r="93" spans="1:11" x14ac:dyDescent="0.25">
      <c r="A93" t="s">
        <v>71</v>
      </c>
      <c r="B93">
        <v>341</v>
      </c>
      <c r="C93">
        <v>16</v>
      </c>
      <c r="D93">
        <v>507</v>
      </c>
      <c r="E93">
        <v>1</v>
      </c>
      <c r="F93" s="55">
        <f t="shared" ca="1" si="2"/>
        <v>44281</v>
      </c>
      <c r="H93">
        <v>1</v>
      </c>
      <c r="I93">
        <v>1</v>
      </c>
      <c r="J93">
        <v>1</v>
      </c>
      <c r="K93" t="s">
        <v>97</v>
      </c>
    </row>
    <row r="94" spans="1:11" x14ac:dyDescent="0.25">
      <c r="A94" t="s">
        <v>71</v>
      </c>
      <c r="B94">
        <v>342</v>
      </c>
      <c r="C94">
        <v>16</v>
      </c>
      <c r="D94">
        <v>507</v>
      </c>
      <c r="E94">
        <v>1</v>
      </c>
      <c r="F94" s="55">
        <f t="shared" ca="1" si="2"/>
        <v>44281</v>
      </c>
      <c r="H94">
        <v>1</v>
      </c>
      <c r="I94">
        <v>1</v>
      </c>
      <c r="J94">
        <v>1</v>
      </c>
      <c r="K94" t="s">
        <v>97</v>
      </c>
    </row>
    <row r="95" spans="1:11" x14ac:dyDescent="0.25">
      <c r="A95" t="s">
        <v>71</v>
      </c>
      <c r="B95">
        <v>343</v>
      </c>
      <c r="C95">
        <v>16</v>
      </c>
      <c r="D95">
        <v>507</v>
      </c>
      <c r="E95">
        <v>1</v>
      </c>
      <c r="F95" s="55">
        <f t="shared" ca="1" si="2"/>
        <v>44281</v>
      </c>
      <c r="H95">
        <v>1</v>
      </c>
      <c r="I95">
        <v>1</v>
      </c>
      <c r="J95">
        <v>1</v>
      </c>
      <c r="K95" t="s">
        <v>97</v>
      </c>
    </row>
    <row r="96" spans="1:11" x14ac:dyDescent="0.25">
      <c r="A96" t="s">
        <v>71</v>
      </c>
      <c r="B96">
        <v>344</v>
      </c>
      <c r="C96">
        <v>16</v>
      </c>
      <c r="D96">
        <v>507</v>
      </c>
      <c r="E96">
        <v>1</v>
      </c>
      <c r="F96" s="55">
        <f t="shared" ca="1" si="2"/>
        <v>44281</v>
      </c>
      <c r="H96">
        <v>1</v>
      </c>
      <c r="I96">
        <v>1</v>
      </c>
      <c r="J96">
        <v>1</v>
      </c>
      <c r="K96" t="s">
        <v>97</v>
      </c>
    </row>
    <row r="97" spans="1:11" x14ac:dyDescent="0.25">
      <c r="A97" t="s">
        <v>71</v>
      </c>
      <c r="B97">
        <v>345</v>
      </c>
      <c r="C97">
        <v>16</v>
      </c>
      <c r="D97">
        <v>507</v>
      </c>
      <c r="E97">
        <v>1</v>
      </c>
      <c r="F97" s="55">
        <f t="shared" ca="1" si="2"/>
        <v>44281</v>
      </c>
      <c r="H97">
        <v>1</v>
      </c>
      <c r="I97">
        <v>1</v>
      </c>
      <c r="J97">
        <v>1</v>
      </c>
      <c r="K97" t="s">
        <v>97</v>
      </c>
    </row>
    <row r="98" spans="1:11" x14ac:dyDescent="0.25">
      <c r="A98" t="s">
        <v>71</v>
      </c>
      <c r="B98">
        <v>346</v>
      </c>
      <c r="C98">
        <v>16</v>
      </c>
      <c r="D98">
        <v>507</v>
      </c>
      <c r="E98">
        <v>1</v>
      </c>
      <c r="F98" s="55">
        <f t="shared" ca="1" si="2"/>
        <v>44281</v>
      </c>
      <c r="H98">
        <v>1</v>
      </c>
      <c r="I98">
        <v>1</v>
      </c>
      <c r="J98">
        <v>1</v>
      </c>
      <c r="K98" t="s">
        <v>97</v>
      </c>
    </row>
    <row r="99" spans="1:11" x14ac:dyDescent="0.25">
      <c r="A99" t="s">
        <v>71</v>
      </c>
      <c r="B99">
        <v>347</v>
      </c>
      <c r="C99">
        <v>16</v>
      </c>
      <c r="D99">
        <v>507</v>
      </c>
      <c r="E99">
        <v>1</v>
      </c>
      <c r="F99" s="55">
        <f t="shared" ca="1" si="2"/>
        <v>44281</v>
      </c>
      <c r="H99">
        <v>1</v>
      </c>
      <c r="I99">
        <v>1</v>
      </c>
      <c r="J99">
        <v>1</v>
      </c>
      <c r="K99" t="s">
        <v>97</v>
      </c>
    </row>
    <row r="100" spans="1:11" x14ac:dyDescent="0.25">
      <c r="A100" t="s">
        <v>71</v>
      </c>
      <c r="B100">
        <v>348</v>
      </c>
      <c r="C100">
        <v>16</v>
      </c>
      <c r="D100">
        <v>507</v>
      </c>
      <c r="E100">
        <v>1</v>
      </c>
      <c r="F100" s="55">
        <f t="shared" ca="1" si="2"/>
        <v>44281</v>
      </c>
      <c r="H100">
        <v>1</v>
      </c>
      <c r="I100">
        <v>1</v>
      </c>
      <c r="J100">
        <v>1</v>
      </c>
      <c r="K100" t="s">
        <v>97</v>
      </c>
    </row>
    <row r="101" spans="1:11" x14ac:dyDescent="0.25">
      <c r="A101" t="s">
        <v>71</v>
      </c>
      <c r="B101">
        <v>349</v>
      </c>
      <c r="C101">
        <v>16</v>
      </c>
      <c r="D101">
        <v>507</v>
      </c>
      <c r="E101">
        <v>1</v>
      </c>
      <c r="F101" s="55">
        <f t="shared" ca="1" si="2"/>
        <v>44281</v>
      </c>
      <c r="H101">
        <v>1</v>
      </c>
      <c r="I101">
        <v>1</v>
      </c>
      <c r="J101">
        <v>1</v>
      </c>
      <c r="K101" t="s">
        <v>97</v>
      </c>
    </row>
    <row r="102" spans="1:11" x14ac:dyDescent="0.25">
      <c r="A102" t="s">
        <v>71</v>
      </c>
      <c r="B102">
        <v>350</v>
      </c>
      <c r="C102">
        <v>16</v>
      </c>
      <c r="D102">
        <v>507</v>
      </c>
      <c r="E102">
        <v>1</v>
      </c>
      <c r="F102" s="55">
        <f t="shared" ca="1" si="2"/>
        <v>44281</v>
      </c>
      <c r="H102">
        <v>1</v>
      </c>
      <c r="I102">
        <v>1</v>
      </c>
      <c r="J102">
        <v>1</v>
      </c>
      <c r="K102" t="s">
        <v>97</v>
      </c>
    </row>
    <row r="103" spans="1:11" x14ac:dyDescent="0.25">
      <c r="A103" t="s">
        <v>71</v>
      </c>
      <c r="B103">
        <v>351</v>
      </c>
      <c r="C103">
        <v>16</v>
      </c>
      <c r="D103">
        <v>507</v>
      </c>
      <c r="E103">
        <v>1</v>
      </c>
      <c r="F103" s="55">
        <f t="shared" ca="1" si="2"/>
        <v>44281</v>
      </c>
      <c r="H103">
        <v>1</v>
      </c>
      <c r="I103">
        <v>1</v>
      </c>
      <c r="J103">
        <v>1</v>
      </c>
      <c r="K103" t="s">
        <v>97</v>
      </c>
    </row>
    <row r="104" spans="1:11" x14ac:dyDescent="0.25">
      <c r="A104" t="s">
        <v>71</v>
      </c>
      <c r="B104">
        <v>352</v>
      </c>
      <c r="C104">
        <v>16</v>
      </c>
      <c r="D104">
        <v>507</v>
      </c>
      <c r="E104">
        <v>1</v>
      </c>
      <c r="F104" s="55">
        <f t="shared" ca="1" si="2"/>
        <v>44281</v>
      </c>
      <c r="H104">
        <v>1</v>
      </c>
      <c r="I104">
        <v>1</v>
      </c>
      <c r="J104">
        <v>1</v>
      </c>
      <c r="K104" t="s">
        <v>97</v>
      </c>
    </row>
    <row r="105" spans="1:11" x14ac:dyDescent="0.25">
      <c r="A105" t="s">
        <v>71</v>
      </c>
      <c r="B105">
        <v>353</v>
      </c>
      <c r="C105">
        <v>16</v>
      </c>
      <c r="D105">
        <v>507</v>
      </c>
      <c r="E105">
        <v>1</v>
      </c>
      <c r="F105" s="55">
        <f t="shared" ca="1" si="2"/>
        <v>44281</v>
      </c>
      <c r="H105">
        <v>1</v>
      </c>
      <c r="I105">
        <v>1</v>
      </c>
      <c r="J105">
        <v>1</v>
      </c>
      <c r="K105" t="s">
        <v>97</v>
      </c>
    </row>
    <row r="106" spans="1:11" x14ac:dyDescent="0.25">
      <c r="A106" t="s">
        <v>71</v>
      </c>
      <c r="B106">
        <v>354</v>
      </c>
      <c r="C106">
        <v>16</v>
      </c>
      <c r="D106">
        <v>507</v>
      </c>
      <c r="E106">
        <v>1</v>
      </c>
      <c r="F106" s="55">
        <f t="shared" ca="1" si="2"/>
        <v>44281</v>
      </c>
      <c r="H106">
        <v>1</v>
      </c>
      <c r="I106">
        <v>1</v>
      </c>
      <c r="J106">
        <v>1</v>
      </c>
      <c r="K106" t="s">
        <v>97</v>
      </c>
    </row>
    <row r="107" spans="1:11" x14ac:dyDescent="0.25">
      <c r="A107" t="s">
        <v>71</v>
      </c>
      <c r="B107">
        <v>355</v>
      </c>
      <c r="C107">
        <v>16</v>
      </c>
      <c r="D107">
        <v>507</v>
      </c>
      <c r="E107">
        <v>1</v>
      </c>
      <c r="F107" s="55">
        <f t="shared" ca="1" si="2"/>
        <v>44281</v>
      </c>
      <c r="H107">
        <v>1</v>
      </c>
      <c r="I107">
        <v>1</v>
      </c>
      <c r="J107">
        <v>1</v>
      </c>
      <c r="K107" t="s">
        <v>97</v>
      </c>
    </row>
    <row r="108" spans="1:11" x14ac:dyDescent="0.25">
      <c r="A108" t="s">
        <v>71</v>
      </c>
      <c r="B108">
        <v>356</v>
      </c>
      <c r="C108">
        <v>16</v>
      </c>
      <c r="D108">
        <v>507</v>
      </c>
      <c r="E108">
        <v>1</v>
      </c>
      <c r="F108" s="55">
        <f ca="1">TODAY()</f>
        <v>44281</v>
      </c>
      <c r="H108">
        <v>1</v>
      </c>
      <c r="I108">
        <v>1</v>
      </c>
      <c r="J108">
        <v>1</v>
      </c>
      <c r="K108" t="s">
        <v>97</v>
      </c>
    </row>
    <row r="109" spans="1:11" x14ac:dyDescent="0.25">
      <c r="A109" t="s">
        <v>71</v>
      </c>
      <c r="B109">
        <v>357</v>
      </c>
      <c r="C109">
        <v>16</v>
      </c>
      <c r="D109">
        <v>507</v>
      </c>
      <c r="E109">
        <v>1</v>
      </c>
      <c r="F109" s="55">
        <f t="shared" ref="F109:F142" ca="1" si="3">TODAY()</f>
        <v>44281</v>
      </c>
      <c r="H109">
        <v>1</v>
      </c>
      <c r="I109">
        <v>1</v>
      </c>
      <c r="J109">
        <v>1</v>
      </c>
      <c r="K109" t="s">
        <v>97</v>
      </c>
    </row>
    <row r="110" spans="1:11" x14ac:dyDescent="0.25">
      <c r="A110" t="s">
        <v>71</v>
      </c>
      <c r="B110">
        <v>358</v>
      </c>
      <c r="C110">
        <v>16</v>
      </c>
      <c r="D110">
        <v>507</v>
      </c>
      <c r="E110">
        <v>1</v>
      </c>
      <c r="F110" s="55">
        <f t="shared" ca="1" si="3"/>
        <v>44281</v>
      </c>
      <c r="H110">
        <v>1</v>
      </c>
      <c r="I110">
        <v>1</v>
      </c>
      <c r="J110">
        <v>1</v>
      </c>
      <c r="K110" t="s">
        <v>97</v>
      </c>
    </row>
    <row r="111" spans="1:11" x14ac:dyDescent="0.25">
      <c r="A111" t="s">
        <v>71</v>
      </c>
      <c r="B111">
        <v>359</v>
      </c>
      <c r="C111">
        <v>16</v>
      </c>
      <c r="D111">
        <v>507</v>
      </c>
      <c r="E111">
        <v>1</v>
      </c>
      <c r="F111" s="55">
        <f t="shared" ca="1" si="3"/>
        <v>44281</v>
      </c>
      <c r="H111">
        <v>1</v>
      </c>
      <c r="I111">
        <v>1</v>
      </c>
      <c r="J111">
        <v>1</v>
      </c>
      <c r="K111" t="s">
        <v>97</v>
      </c>
    </row>
    <row r="112" spans="1:11" x14ac:dyDescent="0.25">
      <c r="A112" t="s">
        <v>71</v>
      </c>
      <c r="B112">
        <v>360</v>
      </c>
      <c r="C112">
        <v>16</v>
      </c>
      <c r="D112">
        <v>507</v>
      </c>
      <c r="E112">
        <v>1</v>
      </c>
      <c r="F112" s="55">
        <f t="shared" ca="1" si="3"/>
        <v>44281</v>
      </c>
      <c r="H112">
        <v>1</v>
      </c>
      <c r="I112">
        <v>1</v>
      </c>
      <c r="J112">
        <v>1</v>
      </c>
      <c r="K112" t="s">
        <v>97</v>
      </c>
    </row>
    <row r="113" spans="1:11" x14ac:dyDescent="0.25">
      <c r="A113" t="s">
        <v>71</v>
      </c>
      <c r="B113">
        <v>361</v>
      </c>
      <c r="C113">
        <v>16</v>
      </c>
      <c r="D113">
        <v>507</v>
      </c>
      <c r="E113">
        <v>1</v>
      </c>
      <c r="F113" s="55">
        <f t="shared" ca="1" si="3"/>
        <v>44281</v>
      </c>
      <c r="H113">
        <v>1</v>
      </c>
      <c r="I113">
        <v>1</v>
      </c>
      <c r="J113">
        <v>1</v>
      </c>
      <c r="K113" t="s">
        <v>97</v>
      </c>
    </row>
    <row r="114" spans="1:11" x14ac:dyDescent="0.25">
      <c r="A114" t="s">
        <v>71</v>
      </c>
      <c r="B114">
        <v>362</v>
      </c>
      <c r="C114">
        <v>16</v>
      </c>
      <c r="D114">
        <v>507</v>
      </c>
      <c r="E114">
        <v>1</v>
      </c>
      <c r="F114" s="55">
        <f t="shared" ca="1" si="3"/>
        <v>44281</v>
      </c>
      <c r="H114">
        <v>1</v>
      </c>
      <c r="I114">
        <v>1</v>
      </c>
      <c r="J114">
        <v>1</v>
      </c>
      <c r="K114" t="s">
        <v>97</v>
      </c>
    </row>
    <row r="115" spans="1:11" x14ac:dyDescent="0.25">
      <c r="A115" t="s">
        <v>71</v>
      </c>
      <c r="B115">
        <v>363</v>
      </c>
      <c r="C115">
        <v>16</v>
      </c>
      <c r="D115">
        <v>507</v>
      </c>
      <c r="E115">
        <v>1</v>
      </c>
      <c r="F115" s="55">
        <f t="shared" ca="1" si="3"/>
        <v>44281</v>
      </c>
      <c r="H115">
        <v>1</v>
      </c>
      <c r="I115">
        <v>1</v>
      </c>
      <c r="J115">
        <v>1</v>
      </c>
      <c r="K115" t="s">
        <v>97</v>
      </c>
    </row>
    <row r="116" spans="1:11" x14ac:dyDescent="0.25">
      <c r="A116" t="s">
        <v>71</v>
      </c>
      <c r="B116">
        <v>364</v>
      </c>
      <c r="C116">
        <v>16</v>
      </c>
      <c r="D116">
        <v>507</v>
      </c>
      <c r="E116">
        <v>1</v>
      </c>
      <c r="F116" s="55">
        <f t="shared" ca="1" si="3"/>
        <v>44281</v>
      </c>
      <c r="H116">
        <v>1</v>
      </c>
      <c r="I116">
        <v>1</v>
      </c>
      <c r="J116">
        <v>1</v>
      </c>
      <c r="K116" t="s">
        <v>97</v>
      </c>
    </row>
    <row r="117" spans="1:11" x14ac:dyDescent="0.25">
      <c r="A117" t="s">
        <v>71</v>
      </c>
      <c r="B117">
        <v>365</v>
      </c>
      <c r="C117">
        <v>16</v>
      </c>
      <c r="D117">
        <v>507</v>
      </c>
      <c r="E117">
        <v>1</v>
      </c>
      <c r="F117" s="55">
        <f t="shared" ca="1" si="3"/>
        <v>44281</v>
      </c>
      <c r="H117">
        <v>1</v>
      </c>
      <c r="I117">
        <v>1</v>
      </c>
      <c r="J117">
        <v>1</v>
      </c>
      <c r="K117" t="s">
        <v>97</v>
      </c>
    </row>
    <row r="118" spans="1:11" x14ac:dyDescent="0.25">
      <c r="A118" t="s">
        <v>71</v>
      </c>
      <c r="B118">
        <v>366</v>
      </c>
      <c r="C118">
        <v>16</v>
      </c>
      <c r="D118">
        <v>507</v>
      </c>
      <c r="E118">
        <v>1</v>
      </c>
      <c r="F118" s="55">
        <f t="shared" ca="1" si="3"/>
        <v>44281</v>
      </c>
      <c r="H118">
        <v>1</v>
      </c>
      <c r="I118">
        <v>1</v>
      </c>
      <c r="J118">
        <v>1</v>
      </c>
      <c r="K118" t="s">
        <v>97</v>
      </c>
    </row>
    <row r="119" spans="1:11" x14ac:dyDescent="0.25">
      <c r="A119" t="s">
        <v>71</v>
      </c>
      <c r="B119">
        <v>367</v>
      </c>
      <c r="C119">
        <v>16</v>
      </c>
      <c r="D119">
        <v>507</v>
      </c>
      <c r="E119">
        <v>1</v>
      </c>
      <c r="F119" s="55">
        <f t="shared" ca="1" si="3"/>
        <v>44281</v>
      </c>
      <c r="H119">
        <v>1</v>
      </c>
      <c r="I119">
        <v>1</v>
      </c>
      <c r="J119">
        <v>1</v>
      </c>
      <c r="K119" t="s">
        <v>97</v>
      </c>
    </row>
    <row r="120" spans="1:11" x14ac:dyDescent="0.25">
      <c r="A120" t="s">
        <v>71</v>
      </c>
      <c r="B120">
        <v>368</v>
      </c>
      <c r="C120">
        <v>16</v>
      </c>
      <c r="D120">
        <v>507</v>
      </c>
      <c r="E120">
        <v>1</v>
      </c>
      <c r="F120" s="55">
        <f t="shared" ca="1" si="3"/>
        <v>44281</v>
      </c>
      <c r="H120">
        <v>1</v>
      </c>
      <c r="I120">
        <v>1</v>
      </c>
      <c r="J120">
        <v>1</v>
      </c>
      <c r="K120" t="s">
        <v>97</v>
      </c>
    </row>
    <row r="121" spans="1:11" x14ac:dyDescent="0.25">
      <c r="A121" t="s">
        <v>71</v>
      </c>
      <c r="B121">
        <v>369</v>
      </c>
      <c r="C121">
        <v>16</v>
      </c>
      <c r="D121">
        <v>507</v>
      </c>
      <c r="E121">
        <v>1</v>
      </c>
      <c r="F121" s="55">
        <f t="shared" ca="1" si="3"/>
        <v>44281</v>
      </c>
      <c r="H121">
        <v>1</v>
      </c>
      <c r="I121">
        <v>1</v>
      </c>
      <c r="J121">
        <v>1</v>
      </c>
      <c r="K121" t="s">
        <v>97</v>
      </c>
    </row>
    <row r="122" spans="1:11" x14ac:dyDescent="0.25">
      <c r="A122" t="s">
        <v>71</v>
      </c>
      <c r="B122">
        <v>370</v>
      </c>
      <c r="C122">
        <v>16</v>
      </c>
      <c r="D122">
        <v>507</v>
      </c>
      <c r="E122">
        <v>1</v>
      </c>
      <c r="F122" s="55">
        <f t="shared" ca="1" si="3"/>
        <v>44281</v>
      </c>
      <c r="H122">
        <v>1</v>
      </c>
      <c r="I122">
        <v>1</v>
      </c>
      <c r="J122">
        <v>1</v>
      </c>
      <c r="K122" t="s">
        <v>97</v>
      </c>
    </row>
    <row r="123" spans="1:11" x14ac:dyDescent="0.25">
      <c r="A123" t="s">
        <v>71</v>
      </c>
      <c r="B123">
        <v>371</v>
      </c>
      <c r="C123">
        <v>16</v>
      </c>
      <c r="D123">
        <v>507</v>
      </c>
      <c r="E123">
        <v>1</v>
      </c>
      <c r="F123" s="55">
        <f t="shared" ca="1" si="3"/>
        <v>44281</v>
      </c>
      <c r="H123">
        <v>1</v>
      </c>
      <c r="I123">
        <v>1</v>
      </c>
      <c r="J123">
        <v>1</v>
      </c>
      <c r="K123" t="s">
        <v>97</v>
      </c>
    </row>
    <row r="124" spans="1:11" x14ac:dyDescent="0.25">
      <c r="A124" t="s">
        <v>71</v>
      </c>
      <c r="B124">
        <v>372</v>
      </c>
      <c r="C124">
        <v>16</v>
      </c>
      <c r="D124">
        <v>507</v>
      </c>
      <c r="E124">
        <v>1</v>
      </c>
      <c r="F124" s="55">
        <f t="shared" ca="1" si="3"/>
        <v>44281</v>
      </c>
      <c r="H124">
        <v>1</v>
      </c>
      <c r="I124">
        <v>1</v>
      </c>
      <c r="J124">
        <v>1</v>
      </c>
      <c r="K124" t="s">
        <v>97</v>
      </c>
    </row>
    <row r="125" spans="1:11" x14ac:dyDescent="0.25">
      <c r="A125" t="s">
        <v>71</v>
      </c>
      <c r="B125">
        <v>373</v>
      </c>
      <c r="C125">
        <v>16</v>
      </c>
      <c r="D125">
        <v>507</v>
      </c>
      <c r="E125">
        <v>1</v>
      </c>
      <c r="F125" s="55">
        <f t="shared" ca="1" si="3"/>
        <v>44281</v>
      </c>
      <c r="H125">
        <v>1</v>
      </c>
      <c r="I125">
        <v>1</v>
      </c>
      <c r="J125">
        <v>1</v>
      </c>
      <c r="K125" t="s">
        <v>97</v>
      </c>
    </row>
    <row r="126" spans="1:11" x14ac:dyDescent="0.25">
      <c r="A126" t="s">
        <v>71</v>
      </c>
      <c r="B126">
        <v>374</v>
      </c>
      <c r="C126">
        <v>16</v>
      </c>
      <c r="D126">
        <v>507</v>
      </c>
      <c r="E126">
        <v>1</v>
      </c>
      <c r="F126" s="55">
        <f t="shared" ca="1" si="3"/>
        <v>44281</v>
      </c>
      <c r="H126">
        <v>1</v>
      </c>
      <c r="I126">
        <v>1</v>
      </c>
      <c r="J126">
        <v>1</v>
      </c>
      <c r="K126" t="s">
        <v>97</v>
      </c>
    </row>
    <row r="127" spans="1:11" x14ac:dyDescent="0.25">
      <c r="A127" t="s">
        <v>71</v>
      </c>
      <c r="B127">
        <v>375</v>
      </c>
      <c r="C127">
        <v>16</v>
      </c>
      <c r="D127">
        <v>507</v>
      </c>
      <c r="E127">
        <v>1</v>
      </c>
      <c r="F127" s="55">
        <f t="shared" ca="1" si="3"/>
        <v>44281</v>
      </c>
      <c r="H127">
        <v>1</v>
      </c>
      <c r="I127">
        <v>1</v>
      </c>
      <c r="J127">
        <v>1</v>
      </c>
      <c r="K127" t="s">
        <v>97</v>
      </c>
    </row>
    <row r="128" spans="1:11" x14ac:dyDescent="0.25">
      <c r="A128" t="s">
        <v>71</v>
      </c>
      <c r="B128">
        <v>376</v>
      </c>
      <c r="C128">
        <v>16</v>
      </c>
      <c r="D128">
        <v>507</v>
      </c>
      <c r="E128">
        <v>1</v>
      </c>
      <c r="F128" s="55">
        <f t="shared" ca="1" si="3"/>
        <v>44281</v>
      </c>
      <c r="H128">
        <v>1</v>
      </c>
      <c r="I128">
        <v>1</v>
      </c>
      <c r="J128">
        <v>1</v>
      </c>
      <c r="K128" t="s">
        <v>97</v>
      </c>
    </row>
    <row r="129" spans="1:11" x14ac:dyDescent="0.25">
      <c r="A129" t="s">
        <v>71</v>
      </c>
      <c r="B129">
        <v>377</v>
      </c>
      <c r="C129">
        <v>16</v>
      </c>
      <c r="D129">
        <v>507</v>
      </c>
      <c r="E129">
        <v>1</v>
      </c>
      <c r="F129" s="55">
        <f t="shared" ca="1" si="3"/>
        <v>44281</v>
      </c>
      <c r="H129">
        <v>1</v>
      </c>
      <c r="I129">
        <v>1</v>
      </c>
      <c r="J129">
        <v>1</v>
      </c>
      <c r="K129" t="s">
        <v>97</v>
      </c>
    </row>
    <row r="130" spans="1:11" x14ac:dyDescent="0.25">
      <c r="A130" t="s">
        <v>71</v>
      </c>
      <c r="B130">
        <v>378</v>
      </c>
      <c r="C130">
        <v>16</v>
      </c>
      <c r="D130">
        <v>507</v>
      </c>
      <c r="E130">
        <v>1</v>
      </c>
      <c r="F130" s="55">
        <f t="shared" ca="1" si="3"/>
        <v>44281</v>
      </c>
      <c r="H130">
        <v>1</v>
      </c>
      <c r="I130">
        <v>1</v>
      </c>
      <c r="J130">
        <v>1</v>
      </c>
      <c r="K130" t="s">
        <v>97</v>
      </c>
    </row>
    <row r="131" spans="1:11" x14ac:dyDescent="0.25">
      <c r="A131" t="s">
        <v>71</v>
      </c>
      <c r="B131">
        <v>379</v>
      </c>
      <c r="C131">
        <v>16</v>
      </c>
      <c r="D131">
        <v>507</v>
      </c>
      <c r="E131">
        <v>1</v>
      </c>
      <c r="F131" s="55">
        <f t="shared" ca="1" si="3"/>
        <v>44281</v>
      </c>
      <c r="H131">
        <v>1</v>
      </c>
      <c r="I131">
        <v>1</v>
      </c>
      <c r="J131">
        <v>1</v>
      </c>
      <c r="K131" t="s">
        <v>97</v>
      </c>
    </row>
    <row r="132" spans="1:11" x14ac:dyDescent="0.25">
      <c r="A132" t="s">
        <v>71</v>
      </c>
      <c r="B132">
        <v>380</v>
      </c>
      <c r="C132">
        <v>16</v>
      </c>
      <c r="D132">
        <v>507</v>
      </c>
      <c r="E132">
        <v>1</v>
      </c>
      <c r="F132" s="55">
        <f t="shared" ca="1" si="3"/>
        <v>44281</v>
      </c>
      <c r="H132">
        <v>1</v>
      </c>
      <c r="I132">
        <v>1</v>
      </c>
      <c r="J132">
        <v>1</v>
      </c>
      <c r="K132" t="s">
        <v>97</v>
      </c>
    </row>
    <row r="133" spans="1:11" x14ac:dyDescent="0.25">
      <c r="A133" t="s">
        <v>71</v>
      </c>
      <c r="B133">
        <v>381</v>
      </c>
      <c r="C133">
        <v>16</v>
      </c>
      <c r="D133">
        <v>507</v>
      </c>
      <c r="E133">
        <v>1</v>
      </c>
      <c r="F133" s="55">
        <f t="shared" ca="1" si="3"/>
        <v>44281</v>
      </c>
      <c r="H133">
        <v>1</v>
      </c>
      <c r="I133">
        <v>1</v>
      </c>
      <c r="J133">
        <v>1</v>
      </c>
      <c r="K133" t="s">
        <v>97</v>
      </c>
    </row>
    <row r="134" spans="1:11" x14ac:dyDescent="0.25">
      <c r="A134" t="s">
        <v>71</v>
      </c>
      <c r="B134">
        <v>382</v>
      </c>
      <c r="C134">
        <v>16</v>
      </c>
      <c r="D134">
        <v>507</v>
      </c>
      <c r="E134">
        <v>1</v>
      </c>
      <c r="F134" s="55">
        <f t="shared" ca="1" si="3"/>
        <v>44281</v>
      </c>
      <c r="H134">
        <v>1</v>
      </c>
      <c r="I134">
        <v>1</v>
      </c>
      <c r="J134">
        <v>1</v>
      </c>
      <c r="K134" t="s">
        <v>97</v>
      </c>
    </row>
    <row r="135" spans="1:11" x14ac:dyDescent="0.25">
      <c r="A135" t="s">
        <v>71</v>
      </c>
      <c r="B135">
        <v>383</v>
      </c>
      <c r="C135">
        <v>16</v>
      </c>
      <c r="D135">
        <v>507</v>
      </c>
      <c r="E135">
        <v>1</v>
      </c>
      <c r="F135" s="55">
        <f t="shared" ca="1" si="3"/>
        <v>44281</v>
      </c>
      <c r="H135">
        <v>1</v>
      </c>
      <c r="I135">
        <v>1</v>
      </c>
      <c r="J135">
        <v>1</v>
      </c>
      <c r="K135" t="s">
        <v>97</v>
      </c>
    </row>
    <row r="136" spans="1:11" x14ac:dyDescent="0.25">
      <c r="A136" t="s">
        <v>71</v>
      </c>
      <c r="B136">
        <v>384</v>
      </c>
      <c r="C136">
        <v>16</v>
      </c>
      <c r="D136">
        <v>507</v>
      </c>
      <c r="E136">
        <v>1</v>
      </c>
      <c r="F136" s="55">
        <f t="shared" ca="1" si="3"/>
        <v>44281</v>
      </c>
      <c r="H136">
        <v>1</v>
      </c>
      <c r="I136">
        <v>1</v>
      </c>
      <c r="J136">
        <v>1</v>
      </c>
      <c r="K136" t="s">
        <v>97</v>
      </c>
    </row>
    <row r="137" spans="1:11" x14ac:dyDescent="0.25">
      <c r="A137" t="s">
        <v>71</v>
      </c>
      <c r="B137">
        <v>385</v>
      </c>
      <c r="C137">
        <v>16</v>
      </c>
      <c r="D137">
        <v>507</v>
      </c>
      <c r="E137">
        <v>1</v>
      </c>
      <c r="F137" s="55">
        <f t="shared" ca="1" si="3"/>
        <v>44281</v>
      </c>
      <c r="H137">
        <v>1</v>
      </c>
      <c r="I137">
        <v>1</v>
      </c>
      <c r="J137">
        <v>1</v>
      </c>
      <c r="K137" t="s">
        <v>97</v>
      </c>
    </row>
    <row r="138" spans="1:11" x14ac:dyDescent="0.25">
      <c r="A138" t="s">
        <v>71</v>
      </c>
      <c r="B138">
        <v>386</v>
      </c>
      <c r="C138">
        <v>16</v>
      </c>
      <c r="D138">
        <v>507</v>
      </c>
      <c r="E138">
        <v>1</v>
      </c>
      <c r="F138" s="55">
        <f t="shared" ca="1" si="3"/>
        <v>44281</v>
      </c>
      <c r="H138">
        <v>1</v>
      </c>
      <c r="I138">
        <v>1</v>
      </c>
      <c r="J138">
        <v>1</v>
      </c>
      <c r="K138" t="s">
        <v>97</v>
      </c>
    </row>
    <row r="139" spans="1:11" x14ac:dyDescent="0.25">
      <c r="A139" t="s">
        <v>71</v>
      </c>
      <c r="B139">
        <v>387</v>
      </c>
      <c r="C139">
        <v>16</v>
      </c>
      <c r="D139">
        <v>507</v>
      </c>
      <c r="E139">
        <v>1</v>
      </c>
      <c r="F139" s="55">
        <f t="shared" ca="1" si="3"/>
        <v>44281</v>
      </c>
      <c r="H139">
        <v>1</v>
      </c>
      <c r="I139">
        <v>1</v>
      </c>
      <c r="J139">
        <v>1</v>
      </c>
      <c r="K139" t="s">
        <v>97</v>
      </c>
    </row>
    <row r="140" spans="1:11" x14ac:dyDescent="0.25">
      <c r="A140" t="s">
        <v>71</v>
      </c>
      <c r="B140">
        <v>388</v>
      </c>
      <c r="C140">
        <v>16</v>
      </c>
      <c r="D140">
        <v>507</v>
      </c>
      <c r="E140">
        <v>1</v>
      </c>
      <c r="F140" s="55">
        <f t="shared" ca="1" si="3"/>
        <v>44281</v>
      </c>
      <c r="H140">
        <v>1</v>
      </c>
      <c r="I140">
        <v>1</v>
      </c>
      <c r="J140">
        <v>1</v>
      </c>
      <c r="K140" t="s">
        <v>97</v>
      </c>
    </row>
    <row r="141" spans="1:11" x14ac:dyDescent="0.25">
      <c r="A141" t="s">
        <v>71</v>
      </c>
      <c r="B141">
        <v>389</v>
      </c>
      <c r="C141">
        <v>16</v>
      </c>
      <c r="D141">
        <v>507</v>
      </c>
      <c r="E141">
        <v>1</v>
      </c>
      <c r="F141" s="55">
        <f t="shared" ca="1" si="3"/>
        <v>44281</v>
      </c>
      <c r="H141">
        <v>1</v>
      </c>
      <c r="I141">
        <v>1</v>
      </c>
      <c r="J141">
        <v>1</v>
      </c>
      <c r="K141" t="s">
        <v>97</v>
      </c>
    </row>
    <row r="142" spans="1:11" x14ac:dyDescent="0.25">
      <c r="A142" t="s">
        <v>71</v>
      </c>
      <c r="B142">
        <v>390</v>
      </c>
      <c r="C142">
        <v>16</v>
      </c>
      <c r="D142">
        <v>507</v>
      </c>
      <c r="E142">
        <v>1</v>
      </c>
      <c r="F142" s="55">
        <f t="shared" ca="1" si="3"/>
        <v>44281</v>
      </c>
      <c r="H142">
        <v>1</v>
      </c>
      <c r="I142">
        <v>1</v>
      </c>
      <c r="J142">
        <v>1</v>
      </c>
      <c r="K142" t="s">
        <v>97</v>
      </c>
    </row>
    <row r="143" spans="1:11" x14ac:dyDescent="0.25">
      <c r="A143" t="s">
        <v>71</v>
      </c>
      <c r="B143">
        <v>461</v>
      </c>
      <c r="C143">
        <v>16</v>
      </c>
      <c r="D143">
        <v>507</v>
      </c>
      <c r="E143">
        <v>1</v>
      </c>
      <c r="F143" s="55">
        <f ca="1">TODAY()</f>
        <v>44281</v>
      </c>
      <c r="H143">
        <v>1</v>
      </c>
      <c r="I143">
        <v>1</v>
      </c>
      <c r="J143">
        <v>1</v>
      </c>
      <c r="K143" t="s">
        <v>97</v>
      </c>
    </row>
    <row r="144" spans="1:11" x14ac:dyDescent="0.25">
      <c r="A144" t="s">
        <v>71</v>
      </c>
      <c r="B144">
        <v>462</v>
      </c>
      <c r="C144">
        <v>16</v>
      </c>
      <c r="D144">
        <v>507</v>
      </c>
      <c r="E144">
        <v>1</v>
      </c>
      <c r="F144" s="55">
        <f t="shared" ref="F144:F177" ca="1" si="4">TODAY()</f>
        <v>44281</v>
      </c>
      <c r="H144">
        <v>1</v>
      </c>
      <c r="I144">
        <v>1</v>
      </c>
      <c r="J144">
        <v>1</v>
      </c>
      <c r="K144" t="s">
        <v>97</v>
      </c>
    </row>
    <row r="145" spans="1:11" x14ac:dyDescent="0.25">
      <c r="A145" t="s">
        <v>71</v>
      </c>
      <c r="B145">
        <v>463</v>
      </c>
      <c r="C145">
        <v>16</v>
      </c>
      <c r="D145">
        <v>507</v>
      </c>
      <c r="E145">
        <v>1</v>
      </c>
      <c r="F145" s="55">
        <f t="shared" ca="1" si="4"/>
        <v>44281</v>
      </c>
      <c r="H145">
        <v>1</v>
      </c>
      <c r="I145">
        <v>1</v>
      </c>
      <c r="J145">
        <v>1</v>
      </c>
      <c r="K145" t="s">
        <v>97</v>
      </c>
    </row>
    <row r="146" spans="1:11" x14ac:dyDescent="0.25">
      <c r="A146" t="s">
        <v>71</v>
      </c>
      <c r="B146">
        <v>464</v>
      </c>
      <c r="C146">
        <v>16</v>
      </c>
      <c r="D146">
        <v>507</v>
      </c>
      <c r="E146">
        <v>1</v>
      </c>
      <c r="F146" s="55">
        <f t="shared" ca="1" si="4"/>
        <v>44281</v>
      </c>
      <c r="H146">
        <v>1</v>
      </c>
      <c r="I146">
        <v>1</v>
      </c>
      <c r="J146">
        <v>1</v>
      </c>
      <c r="K146" t="s">
        <v>97</v>
      </c>
    </row>
    <row r="147" spans="1:11" x14ac:dyDescent="0.25">
      <c r="A147" t="s">
        <v>71</v>
      </c>
      <c r="B147">
        <v>465</v>
      </c>
      <c r="C147">
        <v>16</v>
      </c>
      <c r="D147">
        <v>507</v>
      </c>
      <c r="E147">
        <v>1</v>
      </c>
      <c r="F147" s="55">
        <f t="shared" ca="1" si="4"/>
        <v>44281</v>
      </c>
      <c r="H147">
        <v>1</v>
      </c>
      <c r="I147">
        <v>1</v>
      </c>
      <c r="J147">
        <v>1</v>
      </c>
      <c r="K147" t="s">
        <v>97</v>
      </c>
    </row>
    <row r="148" spans="1:11" x14ac:dyDescent="0.25">
      <c r="A148" t="s">
        <v>71</v>
      </c>
      <c r="B148">
        <v>466</v>
      </c>
      <c r="C148">
        <v>16</v>
      </c>
      <c r="D148">
        <v>507</v>
      </c>
      <c r="E148">
        <v>1</v>
      </c>
      <c r="F148" s="55">
        <f t="shared" ca="1" si="4"/>
        <v>44281</v>
      </c>
      <c r="H148">
        <v>1</v>
      </c>
      <c r="I148">
        <v>1</v>
      </c>
      <c r="J148">
        <v>1</v>
      </c>
      <c r="K148" t="s">
        <v>97</v>
      </c>
    </row>
    <row r="149" spans="1:11" x14ac:dyDescent="0.25">
      <c r="A149" t="s">
        <v>71</v>
      </c>
      <c r="B149">
        <v>467</v>
      </c>
      <c r="C149">
        <v>16</v>
      </c>
      <c r="D149">
        <v>507</v>
      </c>
      <c r="E149">
        <v>1</v>
      </c>
      <c r="F149" s="55">
        <f t="shared" ca="1" si="4"/>
        <v>44281</v>
      </c>
      <c r="H149">
        <v>1</v>
      </c>
      <c r="I149">
        <v>1</v>
      </c>
      <c r="J149">
        <v>1</v>
      </c>
      <c r="K149" t="s">
        <v>97</v>
      </c>
    </row>
    <row r="150" spans="1:11" x14ac:dyDescent="0.25">
      <c r="A150" t="s">
        <v>71</v>
      </c>
      <c r="B150">
        <v>468</v>
      </c>
      <c r="C150">
        <v>16</v>
      </c>
      <c r="D150">
        <v>507</v>
      </c>
      <c r="E150">
        <v>1</v>
      </c>
      <c r="F150" s="55">
        <f t="shared" ca="1" si="4"/>
        <v>44281</v>
      </c>
      <c r="H150">
        <v>1</v>
      </c>
      <c r="I150">
        <v>1</v>
      </c>
      <c r="J150">
        <v>1</v>
      </c>
      <c r="K150" t="s">
        <v>97</v>
      </c>
    </row>
    <row r="151" spans="1:11" x14ac:dyDescent="0.25">
      <c r="A151" t="s">
        <v>71</v>
      </c>
      <c r="B151">
        <v>469</v>
      </c>
      <c r="C151">
        <v>16</v>
      </c>
      <c r="D151">
        <v>507</v>
      </c>
      <c r="E151">
        <v>1</v>
      </c>
      <c r="F151" s="55">
        <f t="shared" ca="1" si="4"/>
        <v>44281</v>
      </c>
      <c r="H151">
        <v>1</v>
      </c>
      <c r="I151">
        <v>1</v>
      </c>
      <c r="J151">
        <v>1</v>
      </c>
      <c r="K151" t="s">
        <v>97</v>
      </c>
    </row>
    <row r="152" spans="1:11" x14ac:dyDescent="0.25">
      <c r="A152" t="s">
        <v>71</v>
      </c>
      <c r="B152">
        <v>470</v>
      </c>
      <c r="C152">
        <v>16</v>
      </c>
      <c r="D152">
        <v>507</v>
      </c>
      <c r="E152">
        <v>1</v>
      </c>
      <c r="F152" s="55">
        <f t="shared" ca="1" si="4"/>
        <v>44281</v>
      </c>
      <c r="H152">
        <v>1</v>
      </c>
      <c r="I152">
        <v>1</v>
      </c>
      <c r="J152">
        <v>1</v>
      </c>
      <c r="K152" t="s">
        <v>97</v>
      </c>
    </row>
    <row r="153" spans="1:11" x14ac:dyDescent="0.25">
      <c r="A153" t="s">
        <v>71</v>
      </c>
      <c r="B153">
        <v>471</v>
      </c>
      <c r="C153">
        <v>16</v>
      </c>
      <c r="D153">
        <v>507</v>
      </c>
      <c r="E153">
        <v>1</v>
      </c>
      <c r="F153" s="55">
        <f t="shared" ca="1" si="4"/>
        <v>44281</v>
      </c>
      <c r="H153">
        <v>1</v>
      </c>
      <c r="I153">
        <v>1</v>
      </c>
      <c r="J153">
        <v>1</v>
      </c>
      <c r="K153" t="s">
        <v>97</v>
      </c>
    </row>
    <row r="154" spans="1:11" x14ac:dyDescent="0.25">
      <c r="A154" t="s">
        <v>71</v>
      </c>
      <c r="B154">
        <v>472</v>
      </c>
      <c r="C154">
        <v>16</v>
      </c>
      <c r="D154">
        <v>507</v>
      </c>
      <c r="E154">
        <v>1</v>
      </c>
      <c r="F154" s="55">
        <f t="shared" ca="1" si="4"/>
        <v>44281</v>
      </c>
      <c r="H154">
        <v>1</v>
      </c>
      <c r="I154">
        <v>1</v>
      </c>
      <c r="J154">
        <v>1</v>
      </c>
      <c r="K154" t="s">
        <v>97</v>
      </c>
    </row>
    <row r="155" spans="1:11" x14ac:dyDescent="0.25">
      <c r="A155" t="s">
        <v>71</v>
      </c>
      <c r="B155">
        <v>473</v>
      </c>
      <c r="C155">
        <v>16</v>
      </c>
      <c r="D155">
        <v>507</v>
      </c>
      <c r="E155">
        <v>1</v>
      </c>
      <c r="F155" s="55">
        <f t="shared" ca="1" si="4"/>
        <v>44281</v>
      </c>
      <c r="H155">
        <v>1</v>
      </c>
      <c r="I155">
        <v>1</v>
      </c>
      <c r="J155">
        <v>1</v>
      </c>
      <c r="K155" t="s">
        <v>97</v>
      </c>
    </row>
    <row r="156" spans="1:11" x14ac:dyDescent="0.25">
      <c r="A156" t="s">
        <v>71</v>
      </c>
      <c r="B156">
        <v>474</v>
      </c>
      <c r="C156">
        <v>16</v>
      </c>
      <c r="D156">
        <v>507</v>
      </c>
      <c r="E156">
        <v>1</v>
      </c>
      <c r="F156" s="55">
        <f t="shared" ca="1" si="4"/>
        <v>44281</v>
      </c>
      <c r="H156">
        <v>1</v>
      </c>
      <c r="I156">
        <v>1</v>
      </c>
      <c r="J156">
        <v>1</v>
      </c>
      <c r="K156" t="s">
        <v>97</v>
      </c>
    </row>
    <row r="157" spans="1:11" x14ac:dyDescent="0.25">
      <c r="A157" t="s">
        <v>71</v>
      </c>
      <c r="B157">
        <v>475</v>
      </c>
      <c r="C157">
        <v>16</v>
      </c>
      <c r="D157">
        <v>507</v>
      </c>
      <c r="E157">
        <v>1</v>
      </c>
      <c r="F157" s="55">
        <f t="shared" ca="1" si="4"/>
        <v>44281</v>
      </c>
      <c r="H157">
        <v>1</v>
      </c>
      <c r="I157">
        <v>1</v>
      </c>
      <c r="J157">
        <v>1</v>
      </c>
      <c r="K157" t="s">
        <v>97</v>
      </c>
    </row>
    <row r="158" spans="1:11" x14ac:dyDescent="0.25">
      <c r="A158" t="s">
        <v>71</v>
      </c>
      <c r="B158">
        <v>476</v>
      </c>
      <c r="C158">
        <v>16</v>
      </c>
      <c r="D158">
        <v>507</v>
      </c>
      <c r="E158">
        <v>1</v>
      </c>
      <c r="F158" s="55">
        <f t="shared" ca="1" si="4"/>
        <v>44281</v>
      </c>
      <c r="H158">
        <v>1</v>
      </c>
      <c r="I158">
        <v>1</v>
      </c>
      <c r="J158">
        <v>1</v>
      </c>
      <c r="K158" t="s">
        <v>97</v>
      </c>
    </row>
    <row r="159" spans="1:11" x14ac:dyDescent="0.25">
      <c r="A159" t="s">
        <v>71</v>
      </c>
      <c r="B159">
        <v>477</v>
      </c>
      <c r="C159">
        <v>16</v>
      </c>
      <c r="D159">
        <v>507</v>
      </c>
      <c r="E159">
        <v>1</v>
      </c>
      <c r="F159" s="55">
        <f t="shared" ca="1" si="4"/>
        <v>44281</v>
      </c>
      <c r="H159">
        <v>1</v>
      </c>
      <c r="I159">
        <v>1</v>
      </c>
      <c r="J159">
        <v>1</v>
      </c>
      <c r="K159" t="s">
        <v>97</v>
      </c>
    </row>
    <row r="160" spans="1:11" x14ac:dyDescent="0.25">
      <c r="A160" t="s">
        <v>71</v>
      </c>
      <c r="B160">
        <v>478</v>
      </c>
      <c r="C160">
        <v>16</v>
      </c>
      <c r="D160">
        <v>507</v>
      </c>
      <c r="E160">
        <v>1</v>
      </c>
      <c r="F160" s="55">
        <f t="shared" ca="1" si="4"/>
        <v>44281</v>
      </c>
      <c r="H160">
        <v>1</v>
      </c>
      <c r="I160">
        <v>1</v>
      </c>
      <c r="J160">
        <v>1</v>
      </c>
      <c r="K160" t="s">
        <v>97</v>
      </c>
    </row>
    <row r="161" spans="1:11" x14ac:dyDescent="0.25">
      <c r="A161" t="s">
        <v>71</v>
      </c>
      <c r="B161">
        <v>479</v>
      </c>
      <c r="C161">
        <v>16</v>
      </c>
      <c r="D161">
        <v>507</v>
      </c>
      <c r="E161">
        <v>1</v>
      </c>
      <c r="F161" s="55">
        <f t="shared" ca="1" si="4"/>
        <v>44281</v>
      </c>
      <c r="H161">
        <v>1</v>
      </c>
      <c r="I161">
        <v>1</v>
      </c>
      <c r="J161">
        <v>1</v>
      </c>
      <c r="K161" t="s">
        <v>97</v>
      </c>
    </row>
    <row r="162" spans="1:11" x14ac:dyDescent="0.25">
      <c r="A162" t="s">
        <v>71</v>
      </c>
      <c r="B162">
        <v>480</v>
      </c>
      <c r="C162">
        <v>16</v>
      </c>
      <c r="D162">
        <v>507</v>
      </c>
      <c r="E162">
        <v>1</v>
      </c>
      <c r="F162" s="55">
        <f t="shared" ca="1" si="4"/>
        <v>44281</v>
      </c>
      <c r="H162">
        <v>1</v>
      </c>
      <c r="I162">
        <v>1</v>
      </c>
      <c r="J162">
        <v>1</v>
      </c>
      <c r="K162" t="s">
        <v>97</v>
      </c>
    </row>
    <row r="163" spans="1:11" x14ac:dyDescent="0.25">
      <c r="A163" t="s">
        <v>71</v>
      </c>
      <c r="B163">
        <v>481</v>
      </c>
      <c r="C163">
        <v>16</v>
      </c>
      <c r="D163">
        <v>507</v>
      </c>
      <c r="E163">
        <v>1</v>
      </c>
      <c r="F163" s="55">
        <f t="shared" ca="1" si="4"/>
        <v>44281</v>
      </c>
      <c r="H163">
        <v>1</v>
      </c>
      <c r="I163">
        <v>1</v>
      </c>
      <c r="J163">
        <v>1</v>
      </c>
      <c r="K163" t="s">
        <v>97</v>
      </c>
    </row>
    <row r="164" spans="1:11" x14ac:dyDescent="0.25">
      <c r="A164" t="s">
        <v>71</v>
      </c>
      <c r="B164">
        <v>482</v>
      </c>
      <c r="C164">
        <v>16</v>
      </c>
      <c r="D164">
        <v>507</v>
      </c>
      <c r="E164">
        <v>1</v>
      </c>
      <c r="F164" s="55">
        <f t="shared" ca="1" si="4"/>
        <v>44281</v>
      </c>
      <c r="H164">
        <v>1</v>
      </c>
      <c r="I164">
        <v>1</v>
      </c>
      <c r="J164">
        <v>1</v>
      </c>
      <c r="K164" t="s">
        <v>97</v>
      </c>
    </row>
    <row r="165" spans="1:11" x14ac:dyDescent="0.25">
      <c r="A165" t="s">
        <v>71</v>
      </c>
      <c r="B165">
        <v>483</v>
      </c>
      <c r="C165">
        <v>16</v>
      </c>
      <c r="D165">
        <v>507</v>
      </c>
      <c r="E165">
        <v>1</v>
      </c>
      <c r="F165" s="55">
        <f t="shared" ca="1" si="4"/>
        <v>44281</v>
      </c>
      <c r="H165">
        <v>1</v>
      </c>
      <c r="I165">
        <v>1</v>
      </c>
      <c r="J165">
        <v>1</v>
      </c>
      <c r="K165" t="s">
        <v>97</v>
      </c>
    </row>
    <row r="166" spans="1:11" x14ac:dyDescent="0.25">
      <c r="A166" t="s">
        <v>71</v>
      </c>
      <c r="B166">
        <v>484</v>
      </c>
      <c r="C166">
        <v>16</v>
      </c>
      <c r="D166">
        <v>507</v>
      </c>
      <c r="E166">
        <v>1</v>
      </c>
      <c r="F166" s="55">
        <f t="shared" ca="1" si="4"/>
        <v>44281</v>
      </c>
      <c r="H166">
        <v>1</v>
      </c>
      <c r="I166">
        <v>1</v>
      </c>
      <c r="J166">
        <v>1</v>
      </c>
      <c r="K166" t="s">
        <v>97</v>
      </c>
    </row>
    <row r="167" spans="1:11" x14ac:dyDescent="0.25">
      <c r="A167" t="s">
        <v>71</v>
      </c>
      <c r="B167">
        <v>485</v>
      </c>
      <c r="C167">
        <v>16</v>
      </c>
      <c r="D167">
        <v>507</v>
      </c>
      <c r="E167">
        <v>1</v>
      </c>
      <c r="F167" s="55">
        <f t="shared" ca="1" si="4"/>
        <v>44281</v>
      </c>
      <c r="H167">
        <v>1</v>
      </c>
      <c r="I167">
        <v>1</v>
      </c>
      <c r="J167">
        <v>1</v>
      </c>
      <c r="K167" t="s">
        <v>97</v>
      </c>
    </row>
    <row r="168" spans="1:11" x14ac:dyDescent="0.25">
      <c r="A168" t="s">
        <v>71</v>
      </c>
      <c r="B168">
        <v>486</v>
      </c>
      <c r="C168">
        <v>16</v>
      </c>
      <c r="D168">
        <v>507</v>
      </c>
      <c r="E168">
        <v>1</v>
      </c>
      <c r="F168" s="55">
        <f t="shared" ca="1" si="4"/>
        <v>44281</v>
      </c>
      <c r="H168">
        <v>1</v>
      </c>
      <c r="I168">
        <v>1</v>
      </c>
      <c r="J168">
        <v>1</v>
      </c>
      <c r="K168" t="s">
        <v>97</v>
      </c>
    </row>
    <row r="169" spans="1:11" x14ac:dyDescent="0.25">
      <c r="A169" t="s">
        <v>71</v>
      </c>
      <c r="B169">
        <v>487</v>
      </c>
      <c r="C169">
        <v>16</v>
      </c>
      <c r="D169">
        <v>507</v>
      </c>
      <c r="E169">
        <v>1</v>
      </c>
      <c r="F169" s="55">
        <f t="shared" ca="1" si="4"/>
        <v>44281</v>
      </c>
      <c r="H169">
        <v>1</v>
      </c>
      <c r="I169">
        <v>1</v>
      </c>
      <c r="J169">
        <v>1</v>
      </c>
      <c r="K169" t="s">
        <v>97</v>
      </c>
    </row>
    <row r="170" spans="1:11" x14ac:dyDescent="0.25">
      <c r="A170" t="s">
        <v>71</v>
      </c>
      <c r="B170">
        <v>488</v>
      </c>
      <c r="C170">
        <v>16</v>
      </c>
      <c r="D170">
        <v>507</v>
      </c>
      <c r="E170">
        <v>1</v>
      </c>
      <c r="F170" s="55">
        <f t="shared" ca="1" si="4"/>
        <v>44281</v>
      </c>
      <c r="H170">
        <v>1</v>
      </c>
      <c r="I170">
        <v>1</v>
      </c>
      <c r="J170">
        <v>1</v>
      </c>
      <c r="K170" t="s">
        <v>97</v>
      </c>
    </row>
    <row r="171" spans="1:11" x14ac:dyDescent="0.25">
      <c r="A171" t="s">
        <v>71</v>
      </c>
      <c r="B171">
        <v>489</v>
      </c>
      <c r="C171">
        <v>16</v>
      </c>
      <c r="D171">
        <v>507</v>
      </c>
      <c r="E171">
        <v>1</v>
      </c>
      <c r="F171" s="55">
        <f t="shared" ca="1" si="4"/>
        <v>44281</v>
      </c>
      <c r="H171">
        <v>1</v>
      </c>
      <c r="I171">
        <v>1</v>
      </c>
      <c r="J171">
        <v>1</v>
      </c>
      <c r="K171" t="s">
        <v>97</v>
      </c>
    </row>
    <row r="172" spans="1:11" x14ac:dyDescent="0.25">
      <c r="A172" t="s">
        <v>71</v>
      </c>
      <c r="B172">
        <v>490</v>
      </c>
      <c r="C172">
        <v>16</v>
      </c>
      <c r="D172">
        <v>507</v>
      </c>
      <c r="E172">
        <v>1</v>
      </c>
      <c r="F172" s="55">
        <f t="shared" ca="1" si="4"/>
        <v>44281</v>
      </c>
      <c r="H172">
        <v>1</v>
      </c>
      <c r="I172">
        <v>1</v>
      </c>
      <c r="J172">
        <v>1</v>
      </c>
      <c r="K172" t="s">
        <v>97</v>
      </c>
    </row>
    <row r="173" spans="1:11" x14ac:dyDescent="0.25">
      <c r="A173" t="s">
        <v>71</v>
      </c>
      <c r="B173">
        <v>491</v>
      </c>
      <c r="C173">
        <v>16</v>
      </c>
      <c r="D173">
        <v>507</v>
      </c>
      <c r="E173">
        <v>1</v>
      </c>
      <c r="F173" s="55">
        <f t="shared" ca="1" si="4"/>
        <v>44281</v>
      </c>
      <c r="H173">
        <v>1</v>
      </c>
      <c r="I173">
        <v>1</v>
      </c>
      <c r="J173">
        <v>1</v>
      </c>
      <c r="K173" t="s">
        <v>97</v>
      </c>
    </row>
    <row r="174" spans="1:11" x14ac:dyDescent="0.25">
      <c r="A174" t="s">
        <v>71</v>
      </c>
      <c r="B174">
        <v>492</v>
      </c>
      <c r="C174">
        <v>16</v>
      </c>
      <c r="D174">
        <v>507</v>
      </c>
      <c r="E174">
        <v>1</v>
      </c>
      <c r="F174" s="55">
        <f t="shared" ca="1" si="4"/>
        <v>44281</v>
      </c>
      <c r="H174">
        <v>1</v>
      </c>
      <c r="I174">
        <v>1</v>
      </c>
      <c r="J174">
        <v>1</v>
      </c>
      <c r="K174" t="s">
        <v>97</v>
      </c>
    </row>
    <row r="175" spans="1:11" x14ac:dyDescent="0.25">
      <c r="A175" t="s">
        <v>71</v>
      </c>
      <c r="B175">
        <v>493</v>
      </c>
      <c r="C175">
        <v>16</v>
      </c>
      <c r="D175">
        <v>507</v>
      </c>
      <c r="E175">
        <v>1</v>
      </c>
      <c r="F175" s="55">
        <f t="shared" ca="1" si="4"/>
        <v>44281</v>
      </c>
      <c r="H175">
        <v>1</v>
      </c>
      <c r="I175">
        <v>1</v>
      </c>
      <c r="J175">
        <v>1</v>
      </c>
      <c r="K175" t="s">
        <v>97</v>
      </c>
    </row>
    <row r="176" spans="1:11" x14ac:dyDescent="0.25">
      <c r="A176" t="s">
        <v>71</v>
      </c>
      <c r="B176">
        <v>494</v>
      </c>
      <c r="C176">
        <v>16</v>
      </c>
      <c r="D176">
        <v>507</v>
      </c>
      <c r="E176">
        <v>1</v>
      </c>
      <c r="F176" s="55">
        <f t="shared" ca="1" si="4"/>
        <v>44281</v>
      </c>
      <c r="H176">
        <v>1</v>
      </c>
      <c r="I176">
        <v>1</v>
      </c>
      <c r="J176">
        <v>1</v>
      </c>
      <c r="K176" t="s">
        <v>97</v>
      </c>
    </row>
    <row r="177" spans="1:11" x14ac:dyDescent="0.25">
      <c r="A177" t="s">
        <v>71</v>
      </c>
      <c r="B177">
        <v>495</v>
      </c>
      <c r="C177">
        <v>16</v>
      </c>
      <c r="D177">
        <v>507</v>
      </c>
      <c r="E177">
        <v>1</v>
      </c>
      <c r="F177" s="55">
        <f t="shared" ca="1" si="4"/>
        <v>44281</v>
      </c>
      <c r="H177">
        <v>1</v>
      </c>
      <c r="I177">
        <v>1</v>
      </c>
      <c r="J177">
        <v>1</v>
      </c>
      <c r="K177" t="s">
        <v>97</v>
      </c>
    </row>
    <row r="178" spans="1:11" x14ac:dyDescent="0.25">
      <c r="A178" t="s">
        <v>71</v>
      </c>
      <c r="B178">
        <v>496</v>
      </c>
      <c r="C178">
        <v>16</v>
      </c>
      <c r="D178">
        <v>507</v>
      </c>
      <c r="E178">
        <v>1</v>
      </c>
      <c r="F178" s="55">
        <f ca="1">TODAY()</f>
        <v>44281</v>
      </c>
      <c r="H178">
        <v>1</v>
      </c>
      <c r="I178">
        <v>1</v>
      </c>
      <c r="J178">
        <v>1</v>
      </c>
      <c r="K178" t="s">
        <v>97</v>
      </c>
    </row>
    <row r="179" spans="1:11" x14ac:dyDescent="0.25">
      <c r="A179" t="s">
        <v>71</v>
      </c>
      <c r="B179">
        <v>497</v>
      </c>
      <c r="C179">
        <v>16</v>
      </c>
      <c r="D179">
        <v>507</v>
      </c>
      <c r="E179">
        <v>1</v>
      </c>
      <c r="F179" s="55">
        <f t="shared" ref="F179:F212" ca="1" si="5">TODAY()</f>
        <v>44281</v>
      </c>
      <c r="H179">
        <v>1</v>
      </c>
      <c r="I179">
        <v>1</v>
      </c>
      <c r="J179">
        <v>1</v>
      </c>
      <c r="K179" t="s">
        <v>97</v>
      </c>
    </row>
    <row r="180" spans="1:11" x14ac:dyDescent="0.25">
      <c r="A180" t="s">
        <v>71</v>
      </c>
      <c r="B180">
        <v>498</v>
      </c>
      <c r="C180">
        <v>16</v>
      </c>
      <c r="D180">
        <v>507</v>
      </c>
      <c r="E180">
        <v>1</v>
      </c>
      <c r="F180" s="55">
        <f t="shared" ca="1" si="5"/>
        <v>44281</v>
      </c>
      <c r="H180">
        <v>1</v>
      </c>
      <c r="I180">
        <v>1</v>
      </c>
      <c r="J180">
        <v>1</v>
      </c>
      <c r="K180" t="s">
        <v>97</v>
      </c>
    </row>
    <row r="181" spans="1:11" x14ac:dyDescent="0.25">
      <c r="A181" t="s">
        <v>71</v>
      </c>
      <c r="B181">
        <v>499</v>
      </c>
      <c r="C181">
        <v>16</v>
      </c>
      <c r="D181">
        <v>507</v>
      </c>
      <c r="E181">
        <v>1</v>
      </c>
      <c r="F181" s="55">
        <f t="shared" ca="1" si="5"/>
        <v>44281</v>
      </c>
      <c r="H181">
        <v>1</v>
      </c>
      <c r="I181">
        <v>1</v>
      </c>
      <c r="J181">
        <v>1</v>
      </c>
      <c r="K181" t="s">
        <v>97</v>
      </c>
    </row>
    <row r="182" spans="1:11" x14ac:dyDescent="0.25">
      <c r="A182" t="s">
        <v>71</v>
      </c>
      <c r="B182">
        <v>500</v>
      </c>
      <c r="C182">
        <v>16</v>
      </c>
      <c r="D182">
        <v>507</v>
      </c>
      <c r="E182">
        <v>1</v>
      </c>
      <c r="F182" s="55">
        <f t="shared" ca="1" si="5"/>
        <v>44281</v>
      </c>
      <c r="H182">
        <v>1</v>
      </c>
      <c r="I182">
        <v>1</v>
      </c>
      <c r="J182">
        <v>1</v>
      </c>
      <c r="K182" t="s">
        <v>97</v>
      </c>
    </row>
    <row r="183" spans="1:11" x14ac:dyDescent="0.25">
      <c r="A183" t="s">
        <v>71</v>
      </c>
      <c r="B183">
        <v>501</v>
      </c>
      <c r="C183">
        <v>16</v>
      </c>
      <c r="D183">
        <v>507</v>
      </c>
      <c r="E183">
        <v>1</v>
      </c>
      <c r="F183" s="55">
        <f t="shared" ca="1" si="5"/>
        <v>44281</v>
      </c>
      <c r="H183">
        <v>1</v>
      </c>
      <c r="I183">
        <v>1</v>
      </c>
      <c r="J183">
        <v>1</v>
      </c>
      <c r="K183" t="s">
        <v>97</v>
      </c>
    </row>
    <row r="184" spans="1:11" x14ac:dyDescent="0.25">
      <c r="A184" t="s">
        <v>71</v>
      </c>
      <c r="B184">
        <v>502</v>
      </c>
      <c r="C184">
        <v>16</v>
      </c>
      <c r="D184">
        <v>507</v>
      </c>
      <c r="E184">
        <v>1</v>
      </c>
      <c r="F184" s="55">
        <f t="shared" ca="1" si="5"/>
        <v>44281</v>
      </c>
      <c r="H184">
        <v>1</v>
      </c>
      <c r="I184">
        <v>1</v>
      </c>
      <c r="J184">
        <v>1</v>
      </c>
      <c r="K184" t="s">
        <v>97</v>
      </c>
    </row>
    <row r="185" spans="1:11" x14ac:dyDescent="0.25">
      <c r="A185" t="s">
        <v>71</v>
      </c>
      <c r="B185">
        <v>503</v>
      </c>
      <c r="C185">
        <v>16</v>
      </c>
      <c r="D185">
        <v>507</v>
      </c>
      <c r="E185">
        <v>1</v>
      </c>
      <c r="F185" s="55">
        <f t="shared" ca="1" si="5"/>
        <v>44281</v>
      </c>
      <c r="H185">
        <v>1</v>
      </c>
      <c r="I185">
        <v>1</v>
      </c>
      <c r="J185">
        <v>1</v>
      </c>
      <c r="K185" t="s">
        <v>97</v>
      </c>
    </row>
    <row r="186" spans="1:11" x14ac:dyDescent="0.25">
      <c r="A186" t="s">
        <v>71</v>
      </c>
      <c r="B186">
        <v>504</v>
      </c>
      <c r="C186">
        <v>16</v>
      </c>
      <c r="D186">
        <v>507</v>
      </c>
      <c r="E186">
        <v>1</v>
      </c>
      <c r="F186" s="55">
        <f t="shared" ca="1" si="5"/>
        <v>44281</v>
      </c>
      <c r="H186">
        <v>1</v>
      </c>
      <c r="I186">
        <v>1</v>
      </c>
      <c r="J186">
        <v>1</v>
      </c>
      <c r="K186" t="s">
        <v>97</v>
      </c>
    </row>
    <row r="187" spans="1:11" x14ac:dyDescent="0.25">
      <c r="A187" t="s">
        <v>71</v>
      </c>
      <c r="B187">
        <v>505</v>
      </c>
      <c r="C187">
        <v>16</v>
      </c>
      <c r="D187">
        <v>507</v>
      </c>
      <c r="E187">
        <v>1</v>
      </c>
      <c r="F187" s="55">
        <f t="shared" ca="1" si="5"/>
        <v>44281</v>
      </c>
      <c r="H187">
        <v>1</v>
      </c>
      <c r="I187">
        <v>1</v>
      </c>
      <c r="J187">
        <v>1</v>
      </c>
      <c r="K187" t="s">
        <v>97</v>
      </c>
    </row>
    <row r="188" spans="1:11" x14ac:dyDescent="0.25">
      <c r="A188" t="s">
        <v>71</v>
      </c>
      <c r="B188">
        <v>506</v>
      </c>
      <c r="C188">
        <v>16</v>
      </c>
      <c r="D188">
        <v>507</v>
      </c>
      <c r="E188">
        <v>1</v>
      </c>
      <c r="F188" s="55">
        <f t="shared" ca="1" si="5"/>
        <v>44281</v>
      </c>
      <c r="H188">
        <v>1</v>
      </c>
      <c r="I188">
        <v>1</v>
      </c>
      <c r="J188">
        <v>1</v>
      </c>
      <c r="K188" t="s">
        <v>97</v>
      </c>
    </row>
    <row r="189" spans="1:11" x14ac:dyDescent="0.25">
      <c r="A189" t="s">
        <v>71</v>
      </c>
      <c r="B189">
        <v>507</v>
      </c>
      <c r="C189">
        <v>16</v>
      </c>
      <c r="D189">
        <v>507</v>
      </c>
      <c r="E189">
        <v>1</v>
      </c>
      <c r="F189" s="55">
        <f t="shared" ca="1" si="5"/>
        <v>44281</v>
      </c>
      <c r="H189">
        <v>1</v>
      </c>
      <c r="I189">
        <v>1</v>
      </c>
      <c r="J189">
        <v>1</v>
      </c>
      <c r="K189" t="s">
        <v>97</v>
      </c>
    </row>
    <row r="190" spans="1:11" x14ac:dyDescent="0.25">
      <c r="A190" t="s">
        <v>71</v>
      </c>
      <c r="B190">
        <v>508</v>
      </c>
      <c r="C190">
        <v>16</v>
      </c>
      <c r="D190">
        <v>507</v>
      </c>
      <c r="E190">
        <v>1</v>
      </c>
      <c r="F190" s="55">
        <f t="shared" ca="1" si="5"/>
        <v>44281</v>
      </c>
      <c r="H190">
        <v>1</v>
      </c>
      <c r="I190">
        <v>1</v>
      </c>
      <c r="J190">
        <v>1</v>
      </c>
      <c r="K190" t="s">
        <v>97</v>
      </c>
    </row>
    <row r="191" spans="1:11" x14ac:dyDescent="0.25">
      <c r="A191" t="s">
        <v>71</v>
      </c>
      <c r="B191">
        <v>509</v>
      </c>
      <c r="C191">
        <v>16</v>
      </c>
      <c r="D191">
        <v>507</v>
      </c>
      <c r="E191">
        <v>1</v>
      </c>
      <c r="F191" s="55">
        <f t="shared" ca="1" si="5"/>
        <v>44281</v>
      </c>
      <c r="H191">
        <v>1</v>
      </c>
      <c r="I191">
        <v>1</v>
      </c>
      <c r="J191">
        <v>1</v>
      </c>
      <c r="K191" t="s">
        <v>97</v>
      </c>
    </row>
    <row r="192" spans="1:11" x14ac:dyDescent="0.25">
      <c r="A192" t="s">
        <v>71</v>
      </c>
      <c r="B192">
        <v>510</v>
      </c>
      <c r="C192">
        <v>16</v>
      </c>
      <c r="D192">
        <v>507</v>
      </c>
      <c r="E192">
        <v>1</v>
      </c>
      <c r="F192" s="55">
        <f t="shared" ca="1" si="5"/>
        <v>44281</v>
      </c>
      <c r="H192">
        <v>1</v>
      </c>
      <c r="I192">
        <v>1</v>
      </c>
      <c r="J192">
        <v>1</v>
      </c>
      <c r="K192" t="s">
        <v>97</v>
      </c>
    </row>
    <row r="193" spans="1:11" x14ac:dyDescent="0.25">
      <c r="A193" t="s">
        <v>71</v>
      </c>
      <c r="B193">
        <v>511</v>
      </c>
      <c r="C193">
        <v>16</v>
      </c>
      <c r="D193">
        <v>507</v>
      </c>
      <c r="E193">
        <v>1</v>
      </c>
      <c r="F193" s="55">
        <f t="shared" ca="1" si="5"/>
        <v>44281</v>
      </c>
      <c r="H193">
        <v>1</v>
      </c>
      <c r="I193">
        <v>1</v>
      </c>
      <c r="J193">
        <v>1</v>
      </c>
      <c r="K193" t="s">
        <v>97</v>
      </c>
    </row>
    <row r="194" spans="1:11" x14ac:dyDescent="0.25">
      <c r="A194" t="s">
        <v>71</v>
      </c>
      <c r="B194">
        <v>512</v>
      </c>
      <c r="C194">
        <v>16</v>
      </c>
      <c r="D194">
        <v>507</v>
      </c>
      <c r="E194">
        <v>1</v>
      </c>
      <c r="F194" s="55">
        <f t="shared" ca="1" si="5"/>
        <v>44281</v>
      </c>
      <c r="H194">
        <v>1</v>
      </c>
      <c r="I194">
        <v>1</v>
      </c>
      <c r="J194">
        <v>1</v>
      </c>
      <c r="K194" t="s">
        <v>97</v>
      </c>
    </row>
    <row r="195" spans="1:11" x14ac:dyDescent="0.25">
      <c r="A195" t="s">
        <v>71</v>
      </c>
      <c r="B195">
        <v>513</v>
      </c>
      <c r="C195">
        <v>16</v>
      </c>
      <c r="D195">
        <v>507</v>
      </c>
      <c r="E195">
        <v>1</v>
      </c>
      <c r="F195" s="55">
        <f t="shared" ca="1" si="5"/>
        <v>44281</v>
      </c>
      <c r="H195">
        <v>1</v>
      </c>
      <c r="I195">
        <v>1</v>
      </c>
      <c r="J195">
        <v>1</v>
      </c>
      <c r="K195" t="s">
        <v>97</v>
      </c>
    </row>
    <row r="196" spans="1:11" x14ac:dyDescent="0.25">
      <c r="A196" t="s">
        <v>71</v>
      </c>
      <c r="B196">
        <v>514</v>
      </c>
      <c r="C196">
        <v>16</v>
      </c>
      <c r="D196">
        <v>507</v>
      </c>
      <c r="E196">
        <v>1</v>
      </c>
      <c r="F196" s="55">
        <f t="shared" ca="1" si="5"/>
        <v>44281</v>
      </c>
      <c r="H196">
        <v>1</v>
      </c>
      <c r="I196">
        <v>1</v>
      </c>
      <c r="J196">
        <v>1</v>
      </c>
      <c r="K196" t="s">
        <v>97</v>
      </c>
    </row>
    <row r="197" spans="1:11" x14ac:dyDescent="0.25">
      <c r="A197" t="s">
        <v>71</v>
      </c>
      <c r="B197">
        <v>515</v>
      </c>
      <c r="C197">
        <v>16</v>
      </c>
      <c r="D197">
        <v>507</v>
      </c>
      <c r="E197">
        <v>1</v>
      </c>
      <c r="F197" s="55">
        <f t="shared" ca="1" si="5"/>
        <v>44281</v>
      </c>
      <c r="H197">
        <v>1</v>
      </c>
      <c r="I197">
        <v>1</v>
      </c>
      <c r="J197">
        <v>1</v>
      </c>
      <c r="K197" t="s">
        <v>97</v>
      </c>
    </row>
    <row r="198" spans="1:11" x14ac:dyDescent="0.25">
      <c r="A198" t="s">
        <v>71</v>
      </c>
      <c r="B198">
        <v>516</v>
      </c>
      <c r="C198">
        <v>16</v>
      </c>
      <c r="D198">
        <v>507</v>
      </c>
      <c r="E198">
        <v>1</v>
      </c>
      <c r="F198" s="55">
        <f t="shared" ca="1" si="5"/>
        <v>44281</v>
      </c>
      <c r="H198">
        <v>1</v>
      </c>
      <c r="I198">
        <v>1</v>
      </c>
      <c r="J198">
        <v>1</v>
      </c>
      <c r="K198" t="s">
        <v>97</v>
      </c>
    </row>
    <row r="199" spans="1:11" x14ac:dyDescent="0.25">
      <c r="A199" t="s">
        <v>71</v>
      </c>
      <c r="B199">
        <v>517</v>
      </c>
      <c r="C199">
        <v>16</v>
      </c>
      <c r="D199">
        <v>507</v>
      </c>
      <c r="E199">
        <v>1</v>
      </c>
      <c r="F199" s="55">
        <f t="shared" ca="1" si="5"/>
        <v>44281</v>
      </c>
      <c r="H199">
        <v>1</v>
      </c>
      <c r="I199">
        <v>1</v>
      </c>
      <c r="J199">
        <v>1</v>
      </c>
      <c r="K199" t="s">
        <v>97</v>
      </c>
    </row>
    <row r="200" spans="1:11" x14ac:dyDescent="0.25">
      <c r="A200" t="s">
        <v>71</v>
      </c>
      <c r="B200">
        <v>518</v>
      </c>
      <c r="C200">
        <v>16</v>
      </c>
      <c r="D200">
        <v>507</v>
      </c>
      <c r="E200">
        <v>1</v>
      </c>
      <c r="F200" s="55">
        <f t="shared" ca="1" si="5"/>
        <v>44281</v>
      </c>
      <c r="H200">
        <v>1</v>
      </c>
      <c r="I200">
        <v>1</v>
      </c>
      <c r="J200">
        <v>1</v>
      </c>
      <c r="K200" t="s">
        <v>97</v>
      </c>
    </row>
    <row r="201" spans="1:11" x14ac:dyDescent="0.25">
      <c r="A201" t="s">
        <v>71</v>
      </c>
      <c r="B201">
        <v>519</v>
      </c>
      <c r="C201">
        <v>16</v>
      </c>
      <c r="D201">
        <v>507</v>
      </c>
      <c r="E201">
        <v>1</v>
      </c>
      <c r="F201" s="55">
        <f t="shared" ca="1" si="5"/>
        <v>44281</v>
      </c>
      <c r="H201">
        <v>1</v>
      </c>
      <c r="I201">
        <v>1</v>
      </c>
      <c r="J201">
        <v>1</v>
      </c>
      <c r="K201" t="s">
        <v>97</v>
      </c>
    </row>
    <row r="202" spans="1:11" x14ac:dyDescent="0.25">
      <c r="A202" t="s">
        <v>71</v>
      </c>
      <c r="B202">
        <v>520</v>
      </c>
      <c r="C202">
        <v>16</v>
      </c>
      <c r="D202">
        <v>507</v>
      </c>
      <c r="E202">
        <v>1</v>
      </c>
      <c r="F202" s="55">
        <f t="shared" ca="1" si="5"/>
        <v>44281</v>
      </c>
      <c r="H202">
        <v>1</v>
      </c>
      <c r="I202">
        <v>1</v>
      </c>
      <c r="J202">
        <v>1</v>
      </c>
      <c r="K202" t="s">
        <v>97</v>
      </c>
    </row>
    <row r="203" spans="1:11" x14ac:dyDescent="0.25">
      <c r="A203" t="s">
        <v>71</v>
      </c>
      <c r="B203">
        <v>521</v>
      </c>
      <c r="C203">
        <v>16</v>
      </c>
      <c r="D203">
        <v>507</v>
      </c>
      <c r="E203">
        <v>1</v>
      </c>
      <c r="F203" s="55">
        <f t="shared" ca="1" si="5"/>
        <v>44281</v>
      </c>
      <c r="H203">
        <v>1</v>
      </c>
      <c r="I203">
        <v>1</v>
      </c>
      <c r="J203">
        <v>1</v>
      </c>
      <c r="K203" t="s">
        <v>97</v>
      </c>
    </row>
    <row r="204" spans="1:11" x14ac:dyDescent="0.25">
      <c r="A204" t="s">
        <v>71</v>
      </c>
      <c r="B204">
        <v>522</v>
      </c>
      <c r="C204">
        <v>16</v>
      </c>
      <c r="D204">
        <v>507</v>
      </c>
      <c r="E204">
        <v>1</v>
      </c>
      <c r="F204" s="55">
        <f t="shared" ca="1" si="5"/>
        <v>44281</v>
      </c>
      <c r="H204">
        <v>1</v>
      </c>
      <c r="I204">
        <v>1</v>
      </c>
      <c r="J204">
        <v>1</v>
      </c>
      <c r="K204" t="s">
        <v>97</v>
      </c>
    </row>
    <row r="205" spans="1:11" x14ac:dyDescent="0.25">
      <c r="A205" t="s">
        <v>71</v>
      </c>
      <c r="B205">
        <v>523</v>
      </c>
      <c r="C205">
        <v>16</v>
      </c>
      <c r="D205">
        <v>507</v>
      </c>
      <c r="E205">
        <v>1</v>
      </c>
      <c r="F205" s="55">
        <f t="shared" ca="1" si="5"/>
        <v>44281</v>
      </c>
      <c r="H205">
        <v>1</v>
      </c>
      <c r="I205">
        <v>1</v>
      </c>
      <c r="J205">
        <v>1</v>
      </c>
      <c r="K205" t="s">
        <v>97</v>
      </c>
    </row>
    <row r="206" spans="1:11" x14ac:dyDescent="0.25">
      <c r="A206" t="s">
        <v>71</v>
      </c>
      <c r="B206">
        <v>524</v>
      </c>
      <c r="C206">
        <v>16</v>
      </c>
      <c r="D206">
        <v>507</v>
      </c>
      <c r="E206">
        <v>1</v>
      </c>
      <c r="F206" s="55">
        <f t="shared" ca="1" si="5"/>
        <v>44281</v>
      </c>
      <c r="H206">
        <v>1</v>
      </c>
      <c r="I206">
        <v>1</v>
      </c>
      <c r="J206">
        <v>1</v>
      </c>
      <c r="K206" t="s">
        <v>97</v>
      </c>
    </row>
    <row r="207" spans="1:11" x14ac:dyDescent="0.25">
      <c r="A207" t="s">
        <v>71</v>
      </c>
      <c r="B207">
        <v>525</v>
      </c>
      <c r="C207">
        <v>16</v>
      </c>
      <c r="D207">
        <v>507</v>
      </c>
      <c r="E207">
        <v>1</v>
      </c>
      <c r="F207" s="55">
        <f t="shared" ca="1" si="5"/>
        <v>44281</v>
      </c>
      <c r="H207">
        <v>1</v>
      </c>
      <c r="I207">
        <v>1</v>
      </c>
      <c r="J207">
        <v>1</v>
      </c>
      <c r="K207" t="s">
        <v>97</v>
      </c>
    </row>
    <row r="208" spans="1:11" x14ac:dyDescent="0.25">
      <c r="A208" t="s">
        <v>71</v>
      </c>
      <c r="B208">
        <v>526</v>
      </c>
      <c r="C208">
        <v>16</v>
      </c>
      <c r="D208">
        <v>507</v>
      </c>
      <c r="E208">
        <v>1</v>
      </c>
      <c r="F208" s="55">
        <f t="shared" ca="1" si="5"/>
        <v>44281</v>
      </c>
      <c r="H208">
        <v>1</v>
      </c>
      <c r="I208">
        <v>1</v>
      </c>
      <c r="J208">
        <v>1</v>
      </c>
      <c r="K208" t="s">
        <v>97</v>
      </c>
    </row>
    <row r="209" spans="1:11" x14ac:dyDescent="0.25">
      <c r="A209" t="s">
        <v>71</v>
      </c>
      <c r="B209">
        <v>527</v>
      </c>
      <c r="C209">
        <v>16</v>
      </c>
      <c r="D209">
        <v>507</v>
      </c>
      <c r="E209">
        <v>1</v>
      </c>
      <c r="F209" s="55">
        <f t="shared" ca="1" si="5"/>
        <v>44281</v>
      </c>
      <c r="H209">
        <v>1</v>
      </c>
      <c r="I209">
        <v>1</v>
      </c>
      <c r="J209">
        <v>1</v>
      </c>
      <c r="K209" t="s">
        <v>97</v>
      </c>
    </row>
    <row r="210" spans="1:11" x14ac:dyDescent="0.25">
      <c r="A210" t="s">
        <v>71</v>
      </c>
      <c r="B210">
        <v>528</v>
      </c>
      <c r="C210">
        <v>16</v>
      </c>
      <c r="D210">
        <v>507</v>
      </c>
      <c r="E210">
        <v>1</v>
      </c>
      <c r="F210" s="55">
        <f t="shared" ca="1" si="5"/>
        <v>44281</v>
      </c>
      <c r="H210">
        <v>1</v>
      </c>
      <c r="I210">
        <v>1</v>
      </c>
      <c r="J210">
        <v>1</v>
      </c>
      <c r="K210" t="s">
        <v>97</v>
      </c>
    </row>
    <row r="211" spans="1:11" x14ac:dyDescent="0.25">
      <c r="A211" t="s">
        <v>71</v>
      </c>
      <c r="B211">
        <v>529</v>
      </c>
      <c r="C211">
        <v>16</v>
      </c>
      <c r="D211">
        <v>507</v>
      </c>
      <c r="E211">
        <v>1</v>
      </c>
      <c r="F211" s="55">
        <f t="shared" ca="1" si="5"/>
        <v>44281</v>
      </c>
      <c r="H211">
        <v>1</v>
      </c>
      <c r="I211">
        <v>1</v>
      </c>
      <c r="J211">
        <v>1</v>
      </c>
      <c r="K211" t="s">
        <v>97</v>
      </c>
    </row>
    <row r="212" spans="1:11" x14ac:dyDescent="0.25">
      <c r="A212" t="s">
        <v>71</v>
      </c>
      <c r="B212">
        <v>530</v>
      </c>
      <c r="C212">
        <v>16</v>
      </c>
      <c r="D212">
        <v>507</v>
      </c>
      <c r="E212">
        <v>1</v>
      </c>
      <c r="F212" s="55">
        <f t="shared" ca="1" si="5"/>
        <v>44281</v>
      </c>
      <c r="H212">
        <v>1</v>
      </c>
      <c r="I212">
        <v>1</v>
      </c>
      <c r="J212">
        <v>1</v>
      </c>
      <c r="K212" t="s">
        <v>97</v>
      </c>
    </row>
    <row r="213" spans="1:11" x14ac:dyDescent="0.25">
      <c r="A213" t="s">
        <v>71</v>
      </c>
      <c r="B213">
        <v>601</v>
      </c>
      <c r="C213">
        <v>16</v>
      </c>
      <c r="D213">
        <v>507</v>
      </c>
      <c r="E213">
        <v>1</v>
      </c>
      <c r="F213" s="55">
        <f ca="1">TODAY()</f>
        <v>44281</v>
      </c>
      <c r="H213">
        <v>1</v>
      </c>
      <c r="I213">
        <v>1</v>
      </c>
      <c r="J213">
        <v>1</v>
      </c>
      <c r="K213" t="s">
        <v>97</v>
      </c>
    </row>
    <row r="214" spans="1:11" x14ac:dyDescent="0.25">
      <c r="A214" t="s">
        <v>71</v>
      </c>
      <c r="B214">
        <v>602</v>
      </c>
      <c r="C214">
        <v>16</v>
      </c>
      <c r="D214">
        <v>507</v>
      </c>
      <c r="E214">
        <v>1</v>
      </c>
      <c r="F214" s="55">
        <f t="shared" ref="F214:F247" ca="1" si="6">TODAY()</f>
        <v>44281</v>
      </c>
      <c r="H214">
        <v>1</v>
      </c>
      <c r="I214">
        <v>1</v>
      </c>
      <c r="J214">
        <v>1</v>
      </c>
      <c r="K214" t="s">
        <v>97</v>
      </c>
    </row>
    <row r="215" spans="1:11" x14ac:dyDescent="0.25">
      <c r="A215" t="s">
        <v>71</v>
      </c>
      <c r="B215">
        <v>603</v>
      </c>
      <c r="C215">
        <v>16</v>
      </c>
      <c r="D215">
        <v>507</v>
      </c>
      <c r="E215">
        <v>1</v>
      </c>
      <c r="F215" s="55">
        <f t="shared" ca="1" si="6"/>
        <v>44281</v>
      </c>
      <c r="H215">
        <v>1</v>
      </c>
      <c r="I215">
        <v>1</v>
      </c>
      <c r="J215">
        <v>1</v>
      </c>
      <c r="K215" t="s">
        <v>97</v>
      </c>
    </row>
    <row r="216" spans="1:11" x14ac:dyDescent="0.25">
      <c r="A216" t="s">
        <v>71</v>
      </c>
      <c r="B216">
        <v>604</v>
      </c>
      <c r="C216">
        <v>16</v>
      </c>
      <c r="D216">
        <v>507</v>
      </c>
      <c r="E216">
        <v>1</v>
      </c>
      <c r="F216" s="55">
        <f t="shared" ca="1" si="6"/>
        <v>44281</v>
      </c>
      <c r="H216">
        <v>1</v>
      </c>
      <c r="I216">
        <v>1</v>
      </c>
      <c r="J216">
        <v>1</v>
      </c>
      <c r="K216" t="s">
        <v>97</v>
      </c>
    </row>
    <row r="217" spans="1:11" x14ac:dyDescent="0.25">
      <c r="A217" t="s">
        <v>71</v>
      </c>
      <c r="B217">
        <v>605</v>
      </c>
      <c r="C217">
        <v>16</v>
      </c>
      <c r="D217">
        <v>507</v>
      </c>
      <c r="E217">
        <v>1</v>
      </c>
      <c r="F217" s="55">
        <f t="shared" ca="1" si="6"/>
        <v>44281</v>
      </c>
      <c r="H217">
        <v>1</v>
      </c>
      <c r="I217">
        <v>1</v>
      </c>
      <c r="J217">
        <v>1</v>
      </c>
      <c r="K217" t="s">
        <v>97</v>
      </c>
    </row>
    <row r="218" spans="1:11" x14ac:dyDescent="0.25">
      <c r="A218" t="s">
        <v>71</v>
      </c>
      <c r="B218">
        <v>606</v>
      </c>
      <c r="C218">
        <v>16</v>
      </c>
      <c r="D218">
        <v>507</v>
      </c>
      <c r="E218">
        <v>1</v>
      </c>
      <c r="F218" s="55">
        <f t="shared" ca="1" si="6"/>
        <v>44281</v>
      </c>
      <c r="H218">
        <v>1</v>
      </c>
      <c r="I218">
        <v>1</v>
      </c>
      <c r="J218">
        <v>1</v>
      </c>
      <c r="K218" t="s">
        <v>97</v>
      </c>
    </row>
    <row r="219" spans="1:11" x14ac:dyDescent="0.25">
      <c r="A219" t="s">
        <v>71</v>
      </c>
      <c r="B219">
        <v>607</v>
      </c>
      <c r="C219">
        <v>16</v>
      </c>
      <c r="D219">
        <v>507</v>
      </c>
      <c r="E219">
        <v>1</v>
      </c>
      <c r="F219" s="55">
        <f t="shared" ca="1" si="6"/>
        <v>44281</v>
      </c>
      <c r="H219">
        <v>1</v>
      </c>
      <c r="I219">
        <v>1</v>
      </c>
      <c r="J219">
        <v>1</v>
      </c>
      <c r="K219" t="s">
        <v>97</v>
      </c>
    </row>
    <row r="220" spans="1:11" x14ac:dyDescent="0.25">
      <c r="A220" t="s">
        <v>71</v>
      </c>
      <c r="B220">
        <v>608</v>
      </c>
      <c r="C220">
        <v>16</v>
      </c>
      <c r="D220">
        <v>507</v>
      </c>
      <c r="E220">
        <v>1</v>
      </c>
      <c r="F220" s="55">
        <f t="shared" ca="1" si="6"/>
        <v>44281</v>
      </c>
      <c r="H220">
        <v>1</v>
      </c>
      <c r="I220">
        <v>1</v>
      </c>
      <c r="J220">
        <v>1</v>
      </c>
      <c r="K220" t="s">
        <v>97</v>
      </c>
    </row>
    <row r="221" spans="1:11" x14ac:dyDescent="0.25">
      <c r="A221" t="s">
        <v>71</v>
      </c>
      <c r="B221">
        <v>609</v>
      </c>
      <c r="C221">
        <v>16</v>
      </c>
      <c r="D221">
        <v>507</v>
      </c>
      <c r="E221">
        <v>1</v>
      </c>
      <c r="F221" s="55">
        <f t="shared" ca="1" si="6"/>
        <v>44281</v>
      </c>
      <c r="H221">
        <v>1</v>
      </c>
      <c r="I221">
        <v>1</v>
      </c>
      <c r="J221">
        <v>1</v>
      </c>
      <c r="K221" t="s">
        <v>97</v>
      </c>
    </row>
    <row r="222" spans="1:11" x14ac:dyDescent="0.25">
      <c r="A222" t="s">
        <v>71</v>
      </c>
      <c r="B222">
        <v>610</v>
      </c>
      <c r="C222">
        <v>16</v>
      </c>
      <c r="D222">
        <v>507</v>
      </c>
      <c r="E222">
        <v>1</v>
      </c>
      <c r="F222" s="55">
        <f t="shared" ca="1" si="6"/>
        <v>44281</v>
      </c>
      <c r="H222">
        <v>1</v>
      </c>
      <c r="I222">
        <v>1</v>
      </c>
      <c r="J222">
        <v>1</v>
      </c>
      <c r="K222" t="s">
        <v>97</v>
      </c>
    </row>
    <row r="223" spans="1:11" x14ac:dyDescent="0.25">
      <c r="A223" t="s">
        <v>71</v>
      </c>
      <c r="B223">
        <v>611</v>
      </c>
      <c r="C223">
        <v>16</v>
      </c>
      <c r="D223">
        <v>507</v>
      </c>
      <c r="E223">
        <v>1</v>
      </c>
      <c r="F223" s="55">
        <f t="shared" ca="1" si="6"/>
        <v>44281</v>
      </c>
      <c r="H223">
        <v>1</v>
      </c>
      <c r="I223">
        <v>1</v>
      </c>
      <c r="J223">
        <v>1</v>
      </c>
      <c r="K223" t="s">
        <v>97</v>
      </c>
    </row>
    <row r="224" spans="1:11" x14ac:dyDescent="0.25">
      <c r="A224" t="s">
        <v>71</v>
      </c>
      <c r="B224">
        <v>612</v>
      </c>
      <c r="C224">
        <v>16</v>
      </c>
      <c r="D224">
        <v>507</v>
      </c>
      <c r="E224">
        <v>1</v>
      </c>
      <c r="F224" s="55">
        <f t="shared" ca="1" si="6"/>
        <v>44281</v>
      </c>
      <c r="H224">
        <v>1</v>
      </c>
      <c r="I224">
        <v>1</v>
      </c>
      <c r="J224">
        <v>1</v>
      </c>
      <c r="K224" t="s">
        <v>97</v>
      </c>
    </row>
    <row r="225" spans="1:11" x14ac:dyDescent="0.25">
      <c r="A225" t="s">
        <v>71</v>
      </c>
      <c r="B225">
        <v>613</v>
      </c>
      <c r="C225">
        <v>16</v>
      </c>
      <c r="D225">
        <v>507</v>
      </c>
      <c r="E225">
        <v>1</v>
      </c>
      <c r="F225" s="55">
        <f t="shared" ca="1" si="6"/>
        <v>44281</v>
      </c>
      <c r="H225">
        <v>1</v>
      </c>
      <c r="I225">
        <v>1</v>
      </c>
      <c r="J225">
        <v>1</v>
      </c>
      <c r="K225" t="s">
        <v>97</v>
      </c>
    </row>
    <row r="226" spans="1:11" x14ac:dyDescent="0.25">
      <c r="A226" t="s">
        <v>71</v>
      </c>
      <c r="B226">
        <v>614</v>
      </c>
      <c r="C226">
        <v>16</v>
      </c>
      <c r="D226">
        <v>507</v>
      </c>
      <c r="E226">
        <v>1</v>
      </c>
      <c r="F226" s="55">
        <f t="shared" ca="1" si="6"/>
        <v>44281</v>
      </c>
      <c r="H226">
        <v>1</v>
      </c>
      <c r="I226">
        <v>1</v>
      </c>
      <c r="J226">
        <v>1</v>
      </c>
      <c r="K226" t="s">
        <v>97</v>
      </c>
    </row>
    <row r="227" spans="1:11" x14ac:dyDescent="0.25">
      <c r="A227" t="s">
        <v>71</v>
      </c>
      <c r="B227">
        <v>615</v>
      </c>
      <c r="C227">
        <v>16</v>
      </c>
      <c r="D227">
        <v>507</v>
      </c>
      <c r="E227">
        <v>1</v>
      </c>
      <c r="F227" s="55">
        <f t="shared" ca="1" si="6"/>
        <v>44281</v>
      </c>
      <c r="H227">
        <v>1</v>
      </c>
      <c r="I227">
        <v>1</v>
      </c>
      <c r="J227">
        <v>1</v>
      </c>
      <c r="K227" t="s">
        <v>97</v>
      </c>
    </row>
    <row r="228" spans="1:11" x14ac:dyDescent="0.25">
      <c r="A228" t="s">
        <v>71</v>
      </c>
      <c r="B228">
        <v>616</v>
      </c>
      <c r="C228">
        <v>16</v>
      </c>
      <c r="D228">
        <v>507</v>
      </c>
      <c r="E228">
        <v>1</v>
      </c>
      <c r="F228" s="55">
        <f t="shared" ca="1" si="6"/>
        <v>44281</v>
      </c>
      <c r="H228">
        <v>1</v>
      </c>
      <c r="I228">
        <v>1</v>
      </c>
      <c r="J228">
        <v>1</v>
      </c>
      <c r="K228" t="s">
        <v>97</v>
      </c>
    </row>
    <row r="229" spans="1:11" x14ac:dyDescent="0.25">
      <c r="A229" t="s">
        <v>71</v>
      </c>
      <c r="B229">
        <v>617</v>
      </c>
      <c r="C229">
        <v>16</v>
      </c>
      <c r="D229">
        <v>507</v>
      </c>
      <c r="E229">
        <v>1</v>
      </c>
      <c r="F229" s="55">
        <f t="shared" ca="1" si="6"/>
        <v>44281</v>
      </c>
      <c r="H229">
        <v>1</v>
      </c>
      <c r="I229">
        <v>1</v>
      </c>
      <c r="J229">
        <v>1</v>
      </c>
      <c r="K229" t="s">
        <v>97</v>
      </c>
    </row>
    <row r="230" spans="1:11" x14ac:dyDescent="0.25">
      <c r="A230" t="s">
        <v>71</v>
      </c>
      <c r="B230">
        <v>618</v>
      </c>
      <c r="C230">
        <v>16</v>
      </c>
      <c r="D230">
        <v>507</v>
      </c>
      <c r="E230">
        <v>1</v>
      </c>
      <c r="F230" s="55">
        <f t="shared" ca="1" si="6"/>
        <v>44281</v>
      </c>
      <c r="H230">
        <v>1</v>
      </c>
      <c r="I230">
        <v>1</v>
      </c>
      <c r="J230">
        <v>1</v>
      </c>
      <c r="K230" t="s">
        <v>97</v>
      </c>
    </row>
    <row r="231" spans="1:11" x14ac:dyDescent="0.25">
      <c r="A231" t="s">
        <v>71</v>
      </c>
      <c r="B231">
        <v>619</v>
      </c>
      <c r="C231">
        <v>16</v>
      </c>
      <c r="D231">
        <v>507</v>
      </c>
      <c r="E231">
        <v>1</v>
      </c>
      <c r="F231" s="55">
        <f t="shared" ca="1" si="6"/>
        <v>44281</v>
      </c>
      <c r="H231">
        <v>1</v>
      </c>
      <c r="I231">
        <v>1</v>
      </c>
      <c r="J231">
        <v>1</v>
      </c>
      <c r="K231" t="s">
        <v>97</v>
      </c>
    </row>
    <row r="232" spans="1:11" x14ac:dyDescent="0.25">
      <c r="A232" t="s">
        <v>71</v>
      </c>
      <c r="B232">
        <v>620</v>
      </c>
      <c r="C232">
        <v>16</v>
      </c>
      <c r="D232">
        <v>507</v>
      </c>
      <c r="E232">
        <v>1</v>
      </c>
      <c r="F232" s="55">
        <f t="shared" ca="1" si="6"/>
        <v>44281</v>
      </c>
      <c r="H232">
        <v>1</v>
      </c>
      <c r="I232">
        <v>1</v>
      </c>
      <c r="J232">
        <v>1</v>
      </c>
      <c r="K232" t="s">
        <v>97</v>
      </c>
    </row>
    <row r="233" spans="1:11" x14ac:dyDescent="0.25">
      <c r="A233" t="s">
        <v>71</v>
      </c>
      <c r="B233">
        <v>621</v>
      </c>
      <c r="C233">
        <v>16</v>
      </c>
      <c r="D233">
        <v>507</v>
      </c>
      <c r="E233">
        <v>1</v>
      </c>
      <c r="F233" s="55">
        <f t="shared" ca="1" si="6"/>
        <v>44281</v>
      </c>
      <c r="H233">
        <v>1</v>
      </c>
      <c r="I233">
        <v>1</v>
      </c>
      <c r="J233">
        <v>1</v>
      </c>
      <c r="K233" t="s">
        <v>97</v>
      </c>
    </row>
    <row r="234" spans="1:11" x14ac:dyDescent="0.25">
      <c r="A234" t="s">
        <v>71</v>
      </c>
      <c r="B234">
        <v>622</v>
      </c>
      <c r="C234">
        <v>16</v>
      </c>
      <c r="D234">
        <v>507</v>
      </c>
      <c r="E234">
        <v>1</v>
      </c>
      <c r="F234" s="55">
        <f t="shared" ca="1" si="6"/>
        <v>44281</v>
      </c>
      <c r="H234">
        <v>1</v>
      </c>
      <c r="I234">
        <v>1</v>
      </c>
      <c r="J234">
        <v>1</v>
      </c>
      <c r="K234" t="s">
        <v>97</v>
      </c>
    </row>
    <row r="235" spans="1:11" x14ac:dyDescent="0.25">
      <c r="A235" t="s">
        <v>71</v>
      </c>
      <c r="B235">
        <v>623</v>
      </c>
      <c r="C235">
        <v>16</v>
      </c>
      <c r="D235">
        <v>507</v>
      </c>
      <c r="E235">
        <v>1</v>
      </c>
      <c r="F235" s="55">
        <f t="shared" ca="1" si="6"/>
        <v>44281</v>
      </c>
      <c r="H235">
        <v>1</v>
      </c>
      <c r="I235">
        <v>1</v>
      </c>
      <c r="J235">
        <v>1</v>
      </c>
      <c r="K235" t="s">
        <v>97</v>
      </c>
    </row>
    <row r="236" spans="1:11" x14ac:dyDescent="0.25">
      <c r="A236" t="s">
        <v>71</v>
      </c>
      <c r="B236">
        <v>624</v>
      </c>
      <c r="C236">
        <v>16</v>
      </c>
      <c r="D236">
        <v>507</v>
      </c>
      <c r="E236">
        <v>1</v>
      </c>
      <c r="F236" s="55">
        <f t="shared" ca="1" si="6"/>
        <v>44281</v>
      </c>
      <c r="H236">
        <v>1</v>
      </c>
      <c r="I236">
        <v>1</v>
      </c>
      <c r="J236">
        <v>1</v>
      </c>
      <c r="K236" t="s">
        <v>97</v>
      </c>
    </row>
    <row r="237" spans="1:11" x14ac:dyDescent="0.25">
      <c r="A237" t="s">
        <v>71</v>
      </c>
      <c r="B237">
        <v>625</v>
      </c>
      <c r="C237">
        <v>16</v>
      </c>
      <c r="D237">
        <v>507</v>
      </c>
      <c r="E237">
        <v>1</v>
      </c>
      <c r="F237" s="55">
        <f t="shared" ca="1" si="6"/>
        <v>44281</v>
      </c>
      <c r="H237">
        <v>1</v>
      </c>
      <c r="I237">
        <v>1</v>
      </c>
      <c r="J237">
        <v>1</v>
      </c>
      <c r="K237" t="s">
        <v>97</v>
      </c>
    </row>
    <row r="238" spans="1:11" x14ac:dyDescent="0.25">
      <c r="A238" t="s">
        <v>71</v>
      </c>
      <c r="B238">
        <v>626</v>
      </c>
      <c r="C238">
        <v>16</v>
      </c>
      <c r="D238">
        <v>507</v>
      </c>
      <c r="E238">
        <v>1</v>
      </c>
      <c r="F238" s="55">
        <f t="shared" ca="1" si="6"/>
        <v>44281</v>
      </c>
      <c r="H238">
        <v>1</v>
      </c>
      <c r="I238">
        <v>1</v>
      </c>
      <c r="J238">
        <v>1</v>
      </c>
      <c r="K238" t="s">
        <v>97</v>
      </c>
    </row>
    <row r="239" spans="1:11" x14ac:dyDescent="0.25">
      <c r="A239" t="s">
        <v>71</v>
      </c>
      <c r="B239">
        <v>627</v>
      </c>
      <c r="C239">
        <v>16</v>
      </c>
      <c r="D239">
        <v>507</v>
      </c>
      <c r="E239">
        <v>1</v>
      </c>
      <c r="F239" s="55">
        <f t="shared" ca="1" si="6"/>
        <v>44281</v>
      </c>
      <c r="H239">
        <v>1</v>
      </c>
      <c r="I239">
        <v>1</v>
      </c>
      <c r="J239">
        <v>1</v>
      </c>
      <c r="K239" t="s">
        <v>97</v>
      </c>
    </row>
    <row r="240" spans="1:11" x14ac:dyDescent="0.25">
      <c r="A240" t="s">
        <v>71</v>
      </c>
      <c r="B240">
        <v>628</v>
      </c>
      <c r="C240">
        <v>16</v>
      </c>
      <c r="D240">
        <v>507</v>
      </c>
      <c r="E240">
        <v>1</v>
      </c>
      <c r="F240" s="55">
        <f t="shared" ca="1" si="6"/>
        <v>44281</v>
      </c>
      <c r="H240">
        <v>1</v>
      </c>
      <c r="I240">
        <v>1</v>
      </c>
      <c r="J240">
        <v>1</v>
      </c>
      <c r="K240" t="s">
        <v>97</v>
      </c>
    </row>
    <row r="241" spans="1:11" x14ac:dyDescent="0.25">
      <c r="A241" t="s">
        <v>71</v>
      </c>
      <c r="B241">
        <v>629</v>
      </c>
      <c r="C241">
        <v>16</v>
      </c>
      <c r="D241">
        <v>507</v>
      </c>
      <c r="E241">
        <v>1</v>
      </c>
      <c r="F241" s="55">
        <f t="shared" ca="1" si="6"/>
        <v>44281</v>
      </c>
      <c r="H241">
        <v>1</v>
      </c>
      <c r="I241">
        <v>1</v>
      </c>
      <c r="J241">
        <v>1</v>
      </c>
      <c r="K241" t="s">
        <v>97</v>
      </c>
    </row>
    <row r="242" spans="1:11" x14ac:dyDescent="0.25">
      <c r="A242" t="s">
        <v>71</v>
      </c>
      <c r="B242">
        <v>630</v>
      </c>
      <c r="C242">
        <v>16</v>
      </c>
      <c r="D242">
        <v>507</v>
      </c>
      <c r="E242">
        <v>1</v>
      </c>
      <c r="F242" s="55">
        <f t="shared" ca="1" si="6"/>
        <v>44281</v>
      </c>
      <c r="H242">
        <v>1</v>
      </c>
      <c r="I242">
        <v>1</v>
      </c>
      <c r="J242">
        <v>1</v>
      </c>
      <c r="K242" t="s">
        <v>97</v>
      </c>
    </row>
    <row r="243" spans="1:11" x14ac:dyDescent="0.25">
      <c r="A243" t="s">
        <v>71</v>
      </c>
      <c r="B243">
        <v>631</v>
      </c>
      <c r="C243">
        <v>16</v>
      </c>
      <c r="D243">
        <v>507</v>
      </c>
      <c r="E243">
        <v>1</v>
      </c>
      <c r="F243" s="55">
        <f t="shared" ca="1" si="6"/>
        <v>44281</v>
      </c>
      <c r="H243">
        <v>1</v>
      </c>
      <c r="I243">
        <v>1</v>
      </c>
      <c r="J243">
        <v>1</v>
      </c>
      <c r="K243" t="s">
        <v>97</v>
      </c>
    </row>
    <row r="244" spans="1:11" x14ac:dyDescent="0.25">
      <c r="A244" t="s">
        <v>71</v>
      </c>
      <c r="B244">
        <v>632</v>
      </c>
      <c r="C244">
        <v>16</v>
      </c>
      <c r="D244">
        <v>507</v>
      </c>
      <c r="E244">
        <v>1</v>
      </c>
      <c r="F244" s="55">
        <f t="shared" ca="1" si="6"/>
        <v>44281</v>
      </c>
      <c r="H244">
        <v>1</v>
      </c>
      <c r="I244">
        <v>1</v>
      </c>
      <c r="J244">
        <v>1</v>
      </c>
      <c r="K244" t="s">
        <v>97</v>
      </c>
    </row>
    <row r="245" spans="1:11" x14ac:dyDescent="0.25">
      <c r="A245" t="s">
        <v>71</v>
      </c>
      <c r="B245">
        <v>633</v>
      </c>
      <c r="C245">
        <v>16</v>
      </c>
      <c r="D245">
        <v>507</v>
      </c>
      <c r="E245">
        <v>1</v>
      </c>
      <c r="F245" s="55">
        <f t="shared" ca="1" si="6"/>
        <v>44281</v>
      </c>
      <c r="H245">
        <v>1</v>
      </c>
      <c r="I245">
        <v>1</v>
      </c>
      <c r="J245">
        <v>1</v>
      </c>
      <c r="K245" t="s">
        <v>97</v>
      </c>
    </row>
    <row r="246" spans="1:11" x14ac:dyDescent="0.25">
      <c r="A246" t="s">
        <v>71</v>
      </c>
      <c r="B246">
        <v>634</v>
      </c>
      <c r="C246">
        <v>16</v>
      </c>
      <c r="D246">
        <v>507</v>
      </c>
      <c r="E246">
        <v>1</v>
      </c>
      <c r="F246" s="55">
        <f t="shared" ca="1" si="6"/>
        <v>44281</v>
      </c>
      <c r="H246">
        <v>1</v>
      </c>
      <c r="I246">
        <v>1</v>
      </c>
      <c r="J246">
        <v>1</v>
      </c>
      <c r="K246" t="s">
        <v>97</v>
      </c>
    </row>
    <row r="247" spans="1:11" x14ac:dyDescent="0.25">
      <c r="A247" t="s">
        <v>71</v>
      </c>
      <c r="B247">
        <v>635</v>
      </c>
      <c r="C247">
        <v>16</v>
      </c>
      <c r="D247">
        <v>507</v>
      </c>
      <c r="E247">
        <v>1</v>
      </c>
      <c r="F247" s="55">
        <f t="shared" ca="1" si="6"/>
        <v>44281</v>
      </c>
      <c r="H247">
        <v>1</v>
      </c>
      <c r="I247">
        <v>1</v>
      </c>
      <c r="J247">
        <v>1</v>
      </c>
      <c r="K247" t="s">
        <v>97</v>
      </c>
    </row>
    <row r="248" spans="1:11" x14ac:dyDescent="0.25">
      <c r="A248" t="s">
        <v>71</v>
      </c>
      <c r="B248">
        <v>636</v>
      </c>
      <c r="C248">
        <v>16</v>
      </c>
      <c r="D248">
        <v>507</v>
      </c>
      <c r="E248">
        <v>1</v>
      </c>
      <c r="F248" s="55">
        <f ca="1">TODAY()</f>
        <v>44281</v>
      </c>
      <c r="H248">
        <v>1</v>
      </c>
      <c r="I248">
        <v>1</v>
      </c>
      <c r="J248">
        <v>1</v>
      </c>
      <c r="K248" t="s">
        <v>97</v>
      </c>
    </row>
    <row r="249" spans="1:11" x14ac:dyDescent="0.25">
      <c r="A249" t="s">
        <v>71</v>
      </c>
      <c r="B249">
        <v>637</v>
      </c>
      <c r="C249">
        <v>16</v>
      </c>
      <c r="D249">
        <v>507</v>
      </c>
      <c r="E249">
        <v>1</v>
      </c>
      <c r="F249" s="55">
        <f t="shared" ref="F249:F282" ca="1" si="7">TODAY()</f>
        <v>44281</v>
      </c>
      <c r="H249">
        <v>1</v>
      </c>
      <c r="I249">
        <v>1</v>
      </c>
      <c r="J249">
        <v>1</v>
      </c>
      <c r="K249" t="s">
        <v>97</v>
      </c>
    </row>
    <row r="250" spans="1:11" x14ac:dyDescent="0.25">
      <c r="A250" t="s">
        <v>71</v>
      </c>
      <c r="B250">
        <v>638</v>
      </c>
      <c r="C250">
        <v>16</v>
      </c>
      <c r="D250">
        <v>507</v>
      </c>
      <c r="E250">
        <v>1</v>
      </c>
      <c r="F250" s="55">
        <f t="shared" ca="1" si="7"/>
        <v>44281</v>
      </c>
      <c r="H250">
        <v>1</v>
      </c>
      <c r="I250">
        <v>1</v>
      </c>
      <c r="J250">
        <v>1</v>
      </c>
      <c r="K250" t="s">
        <v>97</v>
      </c>
    </row>
    <row r="251" spans="1:11" x14ac:dyDescent="0.25">
      <c r="A251" t="s">
        <v>71</v>
      </c>
      <c r="B251">
        <v>639</v>
      </c>
      <c r="C251">
        <v>16</v>
      </c>
      <c r="D251">
        <v>507</v>
      </c>
      <c r="E251">
        <v>1</v>
      </c>
      <c r="F251" s="55">
        <f t="shared" ca="1" si="7"/>
        <v>44281</v>
      </c>
      <c r="H251">
        <v>1</v>
      </c>
      <c r="I251">
        <v>1</v>
      </c>
      <c r="J251">
        <v>1</v>
      </c>
      <c r="K251" t="s">
        <v>97</v>
      </c>
    </row>
    <row r="252" spans="1:11" x14ac:dyDescent="0.25">
      <c r="A252" t="s">
        <v>71</v>
      </c>
      <c r="B252">
        <v>640</v>
      </c>
      <c r="C252">
        <v>16</v>
      </c>
      <c r="D252">
        <v>507</v>
      </c>
      <c r="E252">
        <v>1</v>
      </c>
      <c r="F252" s="55">
        <f t="shared" ca="1" si="7"/>
        <v>44281</v>
      </c>
      <c r="H252">
        <v>1</v>
      </c>
      <c r="I252">
        <v>1</v>
      </c>
      <c r="J252">
        <v>1</v>
      </c>
      <c r="K252" t="s">
        <v>97</v>
      </c>
    </row>
    <row r="253" spans="1:11" x14ac:dyDescent="0.25">
      <c r="A253" t="s">
        <v>71</v>
      </c>
      <c r="B253">
        <v>641</v>
      </c>
      <c r="C253">
        <v>16</v>
      </c>
      <c r="D253">
        <v>507</v>
      </c>
      <c r="E253">
        <v>1</v>
      </c>
      <c r="F253" s="55">
        <f t="shared" ca="1" si="7"/>
        <v>44281</v>
      </c>
      <c r="H253">
        <v>1</v>
      </c>
      <c r="I253">
        <v>1</v>
      </c>
      <c r="J253">
        <v>1</v>
      </c>
      <c r="K253" t="s">
        <v>97</v>
      </c>
    </row>
    <row r="254" spans="1:11" x14ac:dyDescent="0.25">
      <c r="A254" t="s">
        <v>71</v>
      </c>
      <c r="B254">
        <v>642</v>
      </c>
      <c r="C254">
        <v>16</v>
      </c>
      <c r="D254">
        <v>507</v>
      </c>
      <c r="E254">
        <v>1</v>
      </c>
      <c r="F254" s="55">
        <f t="shared" ca="1" si="7"/>
        <v>44281</v>
      </c>
      <c r="H254">
        <v>1</v>
      </c>
      <c r="I254">
        <v>1</v>
      </c>
      <c r="J254">
        <v>1</v>
      </c>
      <c r="K254" t="s">
        <v>97</v>
      </c>
    </row>
    <row r="255" spans="1:11" x14ac:dyDescent="0.25">
      <c r="A255" t="s">
        <v>71</v>
      </c>
      <c r="B255">
        <v>643</v>
      </c>
      <c r="C255">
        <v>16</v>
      </c>
      <c r="D255">
        <v>507</v>
      </c>
      <c r="E255">
        <v>1</v>
      </c>
      <c r="F255" s="55">
        <f t="shared" ca="1" si="7"/>
        <v>44281</v>
      </c>
      <c r="H255">
        <v>1</v>
      </c>
      <c r="I255">
        <v>1</v>
      </c>
      <c r="J255">
        <v>1</v>
      </c>
      <c r="K255" t="s">
        <v>97</v>
      </c>
    </row>
    <row r="256" spans="1:11" x14ac:dyDescent="0.25">
      <c r="A256" t="s">
        <v>71</v>
      </c>
      <c r="B256">
        <v>644</v>
      </c>
      <c r="C256">
        <v>16</v>
      </c>
      <c r="D256">
        <v>507</v>
      </c>
      <c r="E256">
        <v>1</v>
      </c>
      <c r="F256" s="55">
        <f t="shared" ca="1" si="7"/>
        <v>44281</v>
      </c>
      <c r="H256">
        <v>1</v>
      </c>
      <c r="I256">
        <v>1</v>
      </c>
      <c r="J256">
        <v>1</v>
      </c>
      <c r="K256" t="s">
        <v>97</v>
      </c>
    </row>
    <row r="257" spans="1:11" x14ac:dyDescent="0.25">
      <c r="A257" t="s">
        <v>71</v>
      </c>
      <c r="B257">
        <v>645</v>
      </c>
      <c r="C257">
        <v>16</v>
      </c>
      <c r="D257">
        <v>507</v>
      </c>
      <c r="E257">
        <v>1</v>
      </c>
      <c r="F257" s="55">
        <f t="shared" ca="1" si="7"/>
        <v>44281</v>
      </c>
      <c r="H257">
        <v>1</v>
      </c>
      <c r="I257">
        <v>1</v>
      </c>
      <c r="J257">
        <v>1</v>
      </c>
      <c r="K257" t="s">
        <v>97</v>
      </c>
    </row>
    <row r="258" spans="1:11" x14ac:dyDescent="0.25">
      <c r="A258" t="s">
        <v>71</v>
      </c>
      <c r="B258">
        <v>646</v>
      </c>
      <c r="C258">
        <v>16</v>
      </c>
      <c r="D258">
        <v>507</v>
      </c>
      <c r="E258">
        <v>1</v>
      </c>
      <c r="F258" s="55">
        <f t="shared" ca="1" si="7"/>
        <v>44281</v>
      </c>
      <c r="H258">
        <v>1</v>
      </c>
      <c r="I258">
        <v>1</v>
      </c>
      <c r="J258">
        <v>1</v>
      </c>
      <c r="K258" t="s">
        <v>97</v>
      </c>
    </row>
    <row r="259" spans="1:11" x14ac:dyDescent="0.25">
      <c r="A259" t="s">
        <v>71</v>
      </c>
      <c r="B259">
        <v>647</v>
      </c>
      <c r="C259">
        <v>16</v>
      </c>
      <c r="D259">
        <v>507</v>
      </c>
      <c r="E259">
        <v>1</v>
      </c>
      <c r="F259" s="55">
        <f t="shared" ca="1" si="7"/>
        <v>44281</v>
      </c>
      <c r="H259">
        <v>1</v>
      </c>
      <c r="I259">
        <v>1</v>
      </c>
      <c r="J259">
        <v>1</v>
      </c>
      <c r="K259" t="s">
        <v>97</v>
      </c>
    </row>
    <row r="260" spans="1:11" x14ac:dyDescent="0.25">
      <c r="A260" t="s">
        <v>71</v>
      </c>
      <c r="B260">
        <v>648</v>
      </c>
      <c r="C260">
        <v>16</v>
      </c>
      <c r="D260">
        <v>507</v>
      </c>
      <c r="E260">
        <v>1</v>
      </c>
      <c r="F260" s="55">
        <f t="shared" ca="1" si="7"/>
        <v>44281</v>
      </c>
      <c r="H260">
        <v>1</v>
      </c>
      <c r="I260">
        <v>1</v>
      </c>
      <c r="J260">
        <v>1</v>
      </c>
      <c r="K260" t="s">
        <v>97</v>
      </c>
    </row>
    <row r="261" spans="1:11" x14ac:dyDescent="0.25">
      <c r="A261" t="s">
        <v>71</v>
      </c>
      <c r="B261">
        <v>649</v>
      </c>
      <c r="C261">
        <v>16</v>
      </c>
      <c r="D261">
        <v>507</v>
      </c>
      <c r="E261">
        <v>1</v>
      </c>
      <c r="F261" s="55">
        <f t="shared" ca="1" si="7"/>
        <v>44281</v>
      </c>
      <c r="H261">
        <v>1</v>
      </c>
      <c r="I261">
        <v>1</v>
      </c>
      <c r="J261">
        <v>1</v>
      </c>
      <c r="K261" t="s">
        <v>97</v>
      </c>
    </row>
    <row r="262" spans="1:11" x14ac:dyDescent="0.25">
      <c r="A262" t="s">
        <v>71</v>
      </c>
      <c r="B262">
        <v>650</v>
      </c>
      <c r="C262">
        <v>16</v>
      </c>
      <c r="D262">
        <v>507</v>
      </c>
      <c r="E262">
        <v>1</v>
      </c>
      <c r="F262" s="55">
        <f t="shared" ca="1" si="7"/>
        <v>44281</v>
      </c>
      <c r="H262">
        <v>1</v>
      </c>
      <c r="I262">
        <v>1</v>
      </c>
      <c r="J262">
        <v>1</v>
      </c>
      <c r="K262" t="s">
        <v>97</v>
      </c>
    </row>
    <row r="263" spans="1:11" x14ac:dyDescent="0.25">
      <c r="A263" t="s">
        <v>71</v>
      </c>
      <c r="B263">
        <v>651</v>
      </c>
      <c r="C263">
        <v>16</v>
      </c>
      <c r="D263">
        <v>507</v>
      </c>
      <c r="E263">
        <v>1</v>
      </c>
      <c r="F263" s="55">
        <f t="shared" ca="1" si="7"/>
        <v>44281</v>
      </c>
      <c r="H263">
        <v>1</v>
      </c>
      <c r="I263">
        <v>1</v>
      </c>
      <c r="J263">
        <v>1</v>
      </c>
      <c r="K263" t="s">
        <v>97</v>
      </c>
    </row>
    <row r="264" spans="1:11" x14ac:dyDescent="0.25">
      <c r="A264" t="s">
        <v>71</v>
      </c>
      <c r="B264">
        <v>652</v>
      </c>
      <c r="C264">
        <v>16</v>
      </c>
      <c r="D264">
        <v>507</v>
      </c>
      <c r="E264">
        <v>1</v>
      </c>
      <c r="F264" s="55">
        <f t="shared" ca="1" si="7"/>
        <v>44281</v>
      </c>
      <c r="H264">
        <v>1</v>
      </c>
      <c r="I264">
        <v>1</v>
      </c>
      <c r="J264">
        <v>1</v>
      </c>
      <c r="K264" t="s">
        <v>97</v>
      </c>
    </row>
    <row r="265" spans="1:11" x14ac:dyDescent="0.25">
      <c r="A265" t="s">
        <v>71</v>
      </c>
      <c r="B265">
        <v>653</v>
      </c>
      <c r="C265">
        <v>16</v>
      </c>
      <c r="D265">
        <v>507</v>
      </c>
      <c r="E265">
        <v>1</v>
      </c>
      <c r="F265" s="55">
        <f t="shared" ca="1" si="7"/>
        <v>44281</v>
      </c>
      <c r="H265">
        <v>1</v>
      </c>
      <c r="I265">
        <v>1</v>
      </c>
      <c r="J265">
        <v>1</v>
      </c>
      <c r="K265" t="s">
        <v>97</v>
      </c>
    </row>
    <row r="266" spans="1:11" x14ac:dyDescent="0.25">
      <c r="A266" t="s">
        <v>71</v>
      </c>
      <c r="B266">
        <v>654</v>
      </c>
      <c r="C266">
        <v>16</v>
      </c>
      <c r="D266">
        <v>507</v>
      </c>
      <c r="E266">
        <v>1</v>
      </c>
      <c r="F266" s="55">
        <f t="shared" ca="1" si="7"/>
        <v>44281</v>
      </c>
      <c r="H266">
        <v>1</v>
      </c>
      <c r="I266">
        <v>1</v>
      </c>
      <c r="J266">
        <v>1</v>
      </c>
      <c r="K266" t="s">
        <v>97</v>
      </c>
    </row>
    <row r="267" spans="1:11" x14ac:dyDescent="0.25">
      <c r="A267" t="s">
        <v>71</v>
      </c>
      <c r="B267">
        <v>655</v>
      </c>
      <c r="C267">
        <v>16</v>
      </c>
      <c r="D267">
        <v>507</v>
      </c>
      <c r="E267">
        <v>1</v>
      </c>
      <c r="F267" s="55">
        <f t="shared" ca="1" si="7"/>
        <v>44281</v>
      </c>
      <c r="H267">
        <v>1</v>
      </c>
      <c r="I267">
        <v>1</v>
      </c>
      <c r="J267">
        <v>1</v>
      </c>
      <c r="K267" t="s">
        <v>97</v>
      </c>
    </row>
    <row r="268" spans="1:11" x14ac:dyDescent="0.25">
      <c r="A268" t="s">
        <v>71</v>
      </c>
      <c r="B268">
        <v>656</v>
      </c>
      <c r="C268">
        <v>16</v>
      </c>
      <c r="D268">
        <v>507</v>
      </c>
      <c r="E268">
        <v>1</v>
      </c>
      <c r="F268" s="55">
        <f t="shared" ca="1" si="7"/>
        <v>44281</v>
      </c>
      <c r="H268">
        <v>1</v>
      </c>
      <c r="I268">
        <v>1</v>
      </c>
      <c r="J268">
        <v>1</v>
      </c>
      <c r="K268" t="s">
        <v>97</v>
      </c>
    </row>
    <row r="269" spans="1:11" x14ac:dyDescent="0.25">
      <c r="A269" t="s">
        <v>71</v>
      </c>
      <c r="B269">
        <v>657</v>
      </c>
      <c r="C269">
        <v>16</v>
      </c>
      <c r="D269">
        <v>507</v>
      </c>
      <c r="E269">
        <v>1</v>
      </c>
      <c r="F269" s="55">
        <f t="shared" ca="1" si="7"/>
        <v>44281</v>
      </c>
      <c r="H269">
        <v>1</v>
      </c>
      <c r="I269">
        <v>1</v>
      </c>
      <c r="J269">
        <v>1</v>
      </c>
      <c r="K269" t="s">
        <v>97</v>
      </c>
    </row>
    <row r="270" spans="1:11" x14ac:dyDescent="0.25">
      <c r="A270" t="s">
        <v>71</v>
      </c>
      <c r="B270">
        <v>658</v>
      </c>
      <c r="C270">
        <v>16</v>
      </c>
      <c r="D270">
        <v>507</v>
      </c>
      <c r="E270">
        <v>1</v>
      </c>
      <c r="F270" s="55">
        <f t="shared" ca="1" si="7"/>
        <v>44281</v>
      </c>
      <c r="H270">
        <v>1</v>
      </c>
      <c r="I270">
        <v>1</v>
      </c>
      <c r="J270">
        <v>1</v>
      </c>
      <c r="K270" t="s">
        <v>97</v>
      </c>
    </row>
    <row r="271" spans="1:11" x14ac:dyDescent="0.25">
      <c r="A271" t="s">
        <v>71</v>
      </c>
      <c r="B271">
        <v>659</v>
      </c>
      <c r="C271">
        <v>16</v>
      </c>
      <c r="D271">
        <v>507</v>
      </c>
      <c r="E271">
        <v>1</v>
      </c>
      <c r="F271" s="55">
        <f t="shared" ca="1" si="7"/>
        <v>44281</v>
      </c>
      <c r="H271">
        <v>1</v>
      </c>
      <c r="I271">
        <v>1</v>
      </c>
      <c r="J271">
        <v>1</v>
      </c>
      <c r="K271" t="s">
        <v>97</v>
      </c>
    </row>
    <row r="272" spans="1:11" x14ac:dyDescent="0.25">
      <c r="A272" t="s">
        <v>71</v>
      </c>
      <c r="B272">
        <v>660</v>
      </c>
      <c r="C272">
        <v>16</v>
      </c>
      <c r="D272">
        <v>507</v>
      </c>
      <c r="E272">
        <v>1</v>
      </c>
      <c r="F272" s="55">
        <f t="shared" ca="1" si="7"/>
        <v>44281</v>
      </c>
      <c r="H272">
        <v>1</v>
      </c>
      <c r="I272">
        <v>1</v>
      </c>
      <c r="J272">
        <v>1</v>
      </c>
      <c r="K272" t="s">
        <v>97</v>
      </c>
    </row>
    <row r="273" spans="1:11" x14ac:dyDescent="0.25">
      <c r="A273" t="s">
        <v>71</v>
      </c>
      <c r="B273">
        <v>661</v>
      </c>
      <c r="C273">
        <v>16</v>
      </c>
      <c r="D273">
        <v>507</v>
      </c>
      <c r="E273">
        <v>1</v>
      </c>
      <c r="F273" s="55">
        <f t="shared" ca="1" si="7"/>
        <v>44281</v>
      </c>
      <c r="H273">
        <v>1</v>
      </c>
      <c r="I273">
        <v>1</v>
      </c>
      <c r="J273">
        <v>1</v>
      </c>
      <c r="K273" t="s">
        <v>97</v>
      </c>
    </row>
    <row r="274" spans="1:11" x14ac:dyDescent="0.25">
      <c r="A274" t="s">
        <v>71</v>
      </c>
      <c r="B274">
        <v>662</v>
      </c>
      <c r="C274">
        <v>16</v>
      </c>
      <c r="D274">
        <v>507</v>
      </c>
      <c r="E274">
        <v>1</v>
      </c>
      <c r="F274" s="55">
        <f t="shared" ca="1" si="7"/>
        <v>44281</v>
      </c>
      <c r="H274">
        <v>1</v>
      </c>
      <c r="I274">
        <v>1</v>
      </c>
      <c r="J274">
        <v>1</v>
      </c>
      <c r="K274" t="s">
        <v>97</v>
      </c>
    </row>
    <row r="275" spans="1:11" x14ac:dyDescent="0.25">
      <c r="A275" t="s">
        <v>71</v>
      </c>
      <c r="B275">
        <v>663</v>
      </c>
      <c r="C275">
        <v>16</v>
      </c>
      <c r="D275">
        <v>507</v>
      </c>
      <c r="E275">
        <v>1</v>
      </c>
      <c r="F275" s="55">
        <f t="shared" ca="1" si="7"/>
        <v>44281</v>
      </c>
      <c r="H275">
        <v>1</v>
      </c>
      <c r="I275">
        <v>1</v>
      </c>
      <c r="J275">
        <v>1</v>
      </c>
      <c r="K275" t="s">
        <v>97</v>
      </c>
    </row>
    <row r="276" spans="1:11" x14ac:dyDescent="0.25">
      <c r="A276" t="s">
        <v>71</v>
      </c>
      <c r="B276">
        <v>664</v>
      </c>
      <c r="C276">
        <v>16</v>
      </c>
      <c r="D276">
        <v>507</v>
      </c>
      <c r="E276">
        <v>1</v>
      </c>
      <c r="F276" s="55">
        <f t="shared" ca="1" si="7"/>
        <v>44281</v>
      </c>
      <c r="H276">
        <v>1</v>
      </c>
      <c r="I276">
        <v>1</v>
      </c>
      <c r="J276">
        <v>1</v>
      </c>
      <c r="K276" t="s">
        <v>97</v>
      </c>
    </row>
    <row r="277" spans="1:11" x14ac:dyDescent="0.25">
      <c r="A277" t="s">
        <v>71</v>
      </c>
      <c r="B277">
        <v>665</v>
      </c>
      <c r="C277">
        <v>16</v>
      </c>
      <c r="D277">
        <v>507</v>
      </c>
      <c r="E277">
        <v>1</v>
      </c>
      <c r="F277" s="55">
        <f t="shared" ca="1" si="7"/>
        <v>44281</v>
      </c>
      <c r="H277">
        <v>1</v>
      </c>
      <c r="I277">
        <v>1</v>
      </c>
      <c r="J277">
        <v>1</v>
      </c>
      <c r="K277" t="s">
        <v>97</v>
      </c>
    </row>
    <row r="278" spans="1:11" x14ac:dyDescent="0.25">
      <c r="A278" t="s">
        <v>71</v>
      </c>
      <c r="B278">
        <v>666</v>
      </c>
      <c r="C278">
        <v>16</v>
      </c>
      <c r="D278">
        <v>507</v>
      </c>
      <c r="E278">
        <v>1</v>
      </c>
      <c r="F278" s="55">
        <f t="shared" ca="1" si="7"/>
        <v>44281</v>
      </c>
      <c r="H278">
        <v>1</v>
      </c>
      <c r="I278">
        <v>1</v>
      </c>
      <c r="J278">
        <v>1</v>
      </c>
      <c r="K278" t="s">
        <v>97</v>
      </c>
    </row>
    <row r="279" spans="1:11" x14ac:dyDescent="0.25">
      <c r="A279" t="s">
        <v>71</v>
      </c>
      <c r="B279">
        <v>667</v>
      </c>
      <c r="C279">
        <v>16</v>
      </c>
      <c r="D279">
        <v>507</v>
      </c>
      <c r="E279">
        <v>1</v>
      </c>
      <c r="F279" s="55">
        <f t="shared" ca="1" si="7"/>
        <v>44281</v>
      </c>
      <c r="H279">
        <v>1</v>
      </c>
      <c r="I279">
        <v>1</v>
      </c>
      <c r="J279">
        <v>1</v>
      </c>
      <c r="K279" t="s">
        <v>97</v>
      </c>
    </row>
    <row r="280" spans="1:11" x14ac:dyDescent="0.25">
      <c r="A280" t="s">
        <v>71</v>
      </c>
      <c r="B280">
        <v>668</v>
      </c>
      <c r="C280">
        <v>16</v>
      </c>
      <c r="D280">
        <v>507</v>
      </c>
      <c r="E280">
        <v>1</v>
      </c>
      <c r="F280" s="55">
        <f t="shared" ca="1" si="7"/>
        <v>44281</v>
      </c>
      <c r="H280">
        <v>1</v>
      </c>
      <c r="I280">
        <v>1</v>
      </c>
      <c r="J280">
        <v>1</v>
      </c>
      <c r="K280" t="s">
        <v>97</v>
      </c>
    </row>
    <row r="281" spans="1:11" x14ac:dyDescent="0.25">
      <c r="A281" t="s">
        <v>71</v>
      </c>
      <c r="B281">
        <v>669</v>
      </c>
      <c r="C281">
        <v>16</v>
      </c>
      <c r="D281">
        <v>507</v>
      </c>
      <c r="E281">
        <v>1</v>
      </c>
      <c r="F281" s="55">
        <f t="shared" ca="1" si="7"/>
        <v>44281</v>
      </c>
      <c r="H281">
        <v>1</v>
      </c>
      <c r="I281">
        <v>1</v>
      </c>
      <c r="J281">
        <v>1</v>
      </c>
      <c r="K281" t="s">
        <v>97</v>
      </c>
    </row>
    <row r="282" spans="1:11" x14ac:dyDescent="0.25">
      <c r="A282" t="s">
        <v>71</v>
      </c>
      <c r="B282">
        <v>670</v>
      </c>
      <c r="C282">
        <v>16</v>
      </c>
      <c r="D282">
        <v>507</v>
      </c>
      <c r="E282">
        <v>1</v>
      </c>
      <c r="F282" s="55">
        <f t="shared" ca="1" si="7"/>
        <v>44281</v>
      </c>
      <c r="H282">
        <v>1</v>
      </c>
      <c r="I282">
        <v>1</v>
      </c>
      <c r="J282">
        <v>1</v>
      </c>
      <c r="K282" t="s">
        <v>97</v>
      </c>
    </row>
    <row r="283" spans="1:11" x14ac:dyDescent="0.25">
      <c r="A283" t="s">
        <v>71</v>
      </c>
      <c r="B283">
        <v>2202</v>
      </c>
      <c r="C283">
        <v>16</v>
      </c>
      <c r="D283">
        <v>507</v>
      </c>
      <c r="E283">
        <v>1</v>
      </c>
      <c r="F283" s="55">
        <f ca="1">TODAY()</f>
        <v>44281</v>
      </c>
      <c r="H283">
        <v>3</v>
      </c>
      <c r="I283">
        <v>1</v>
      </c>
      <c r="J283">
        <v>1</v>
      </c>
      <c r="K283" t="s">
        <v>97</v>
      </c>
    </row>
    <row r="284" spans="1:11" x14ac:dyDescent="0.25">
      <c r="A284" t="s">
        <v>71</v>
      </c>
      <c r="B284">
        <v>2205</v>
      </c>
      <c r="C284">
        <v>16</v>
      </c>
      <c r="D284">
        <v>507</v>
      </c>
      <c r="E284">
        <v>1</v>
      </c>
      <c r="F284" s="55">
        <f t="shared" ref="F284:F287" ca="1" si="8">TODAY()</f>
        <v>44281</v>
      </c>
      <c r="H284">
        <v>3</v>
      </c>
      <c r="I284">
        <v>1</v>
      </c>
      <c r="J284">
        <v>1</v>
      </c>
      <c r="K284" t="s">
        <v>97</v>
      </c>
    </row>
    <row r="285" spans="1:11" x14ac:dyDescent="0.25">
      <c r="A285" t="s">
        <v>71</v>
      </c>
      <c r="B285">
        <v>2204</v>
      </c>
      <c r="C285">
        <v>16</v>
      </c>
      <c r="D285">
        <v>507</v>
      </c>
      <c r="E285">
        <v>1</v>
      </c>
      <c r="F285" s="55">
        <f t="shared" ca="1" si="8"/>
        <v>44281</v>
      </c>
      <c r="H285">
        <v>3</v>
      </c>
      <c r="I285">
        <v>1</v>
      </c>
      <c r="J285">
        <v>1</v>
      </c>
      <c r="K285" t="s">
        <v>97</v>
      </c>
    </row>
    <row r="286" spans="1:11" x14ac:dyDescent="0.25">
      <c r="A286" t="s">
        <v>71</v>
      </c>
      <c r="B286">
        <v>2203</v>
      </c>
      <c r="C286">
        <v>16</v>
      </c>
      <c r="D286">
        <v>507</v>
      </c>
      <c r="E286">
        <v>1</v>
      </c>
      <c r="F286" s="55">
        <f t="shared" ca="1" si="8"/>
        <v>44281</v>
      </c>
      <c r="H286">
        <v>3</v>
      </c>
      <c r="I286">
        <v>1</v>
      </c>
      <c r="J286">
        <v>1</v>
      </c>
      <c r="K286" t="s">
        <v>97</v>
      </c>
    </row>
    <row r="287" spans="1:11" x14ac:dyDescent="0.25">
      <c r="A287" t="s">
        <v>71</v>
      </c>
      <c r="B287">
        <v>2201</v>
      </c>
      <c r="C287">
        <v>16</v>
      </c>
      <c r="D287">
        <v>507</v>
      </c>
      <c r="E287">
        <v>1</v>
      </c>
      <c r="F287" s="55">
        <f t="shared" ca="1" si="8"/>
        <v>44281</v>
      </c>
      <c r="H287">
        <v>3</v>
      </c>
      <c r="I287">
        <v>1</v>
      </c>
      <c r="J287">
        <v>1</v>
      </c>
      <c r="K287" t="s">
        <v>97</v>
      </c>
    </row>
    <row r="288" spans="1:11" x14ac:dyDescent="0.25">
      <c r="A288" t="s">
        <v>71</v>
      </c>
      <c r="B288">
        <v>741</v>
      </c>
      <c r="C288">
        <v>16</v>
      </c>
      <c r="D288">
        <v>507</v>
      </c>
      <c r="E288">
        <v>1</v>
      </c>
      <c r="F288" s="55">
        <f ca="1">TODAY()</f>
        <v>44281</v>
      </c>
      <c r="H288">
        <v>1</v>
      </c>
      <c r="I288">
        <v>1</v>
      </c>
      <c r="J288">
        <v>1</v>
      </c>
      <c r="K288" t="s">
        <v>97</v>
      </c>
    </row>
    <row r="289" spans="1:11" x14ac:dyDescent="0.25">
      <c r="A289" t="s">
        <v>71</v>
      </c>
      <c r="B289">
        <v>742</v>
      </c>
      <c r="C289">
        <v>16</v>
      </c>
      <c r="D289">
        <v>507</v>
      </c>
      <c r="E289">
        <v>1</v>
      </c>
      <c r="F289" s="55">
        <f t="shared" ref="F289:F322" ca="1" si="9">TODAY()</f>
        <v>44281</v>
      </c>
      <c r="H289">
        <v>1</v>
      </c>
      <c r="I289">
        <v>1</v>
      </c>
      <c r="J289">
        <v>1</v>
      </c>
      <c r="K289" t="s">
        <v>97</v>
      </c>
    </row>
    <row r="290" spans="1:11" x14ac:dyDescent="0.25">
      <c r="A290" t="s">
        <v>71</v>
      </c>
      <c r="B290">
        <v>743</v>
      </c>
      <c r="C290">
        <v>16</v>
      </c>
      <c r="D290">
        <v>507</v>
      </c>
      <c r="E290">
        <v>1</v>
      </c>
      <c r="F290" s="55">
        <f t="shared" ca="1" si="9"/>
        <v>44281</v>
      </c>
      <c r="H290">
        <v>1</v>
      </c>
      <c r="I290">
        <v>1</v>
      </c>
      <c r="J290">
        <v>1</v>
      </c>
      <c r="K290" t="s">
        <v>97</v>
      </c>
    </row>
    <row r="291" spans="1:11" x14ac:dyDescent="0.25">
      <c r="A291" t="s">
        <v>71</v>
      </c>
      <c r="B291">
        <v>744</v>
      </c>
      <c r="C291">
        <v>16</v>
      </c>
      <c r="D291">
        <v>507</v>
      </c>
      <c r="E291">
        <v>1</v>
      </c>
      <c r="F291" s="55">
        <f t="shared" ca="1" si="9"/>
        <v>44281</v>
      </c>
      <c r="H291">
        <v>1</v>
      </c>
      <c r="I291">
        <v>1</v>
      </c>
      <c r="J291">
        <v>1</v>
      </c>
      <c r="K291" t="s">
        <v>97</v>
      </c>
    </row>
    <row r="292" spans="1:11" x14ac:dyDescent="0.25">
      <c r="A292" t="s">
        <v>71</v>
      </c>
      <c r="B292">
        <v>745</v>
      </c>
      <c r="C292">
        <v>16</v>
      </c>
      <c r="D292">
        <v>507</v>
      </c>
      <c r="E292">
        <v>1</v>
      </c>
      <c r="F292" s="55">
        <f t="shared" ca="1" si="9"/>
        <v>44281</v>
      </c>
      <c r="H292">
        <v>1</v>
      </c>
      <c r="I292">
        <v>1</v>
      </c>
      <c r="J292">
        <v>1</v>
      </c>
      <c r="K292" t="s">
        <v>97</v>
      </c>
    </row>
    <row r="293" spans="1:11" x14ac:dyDescent="0.25">
      <c r="A293" t="s">
        <v>71</v>
      </c>
      <c r="B293">
        <v>746</v>
      </c>
      <c r="C293">
        <v>16</v>
      </c>
      <c r="D293">
        <v>507</v>
      </c>
      <c r="E293">
        <v>1</v>
      </c>
      <c r="F293" s="55">
        <f t="shared" ca="1" si="9"/>
        <v>44281</v>
      </c>
      <c r="H293">
        <v>1</v>
      </c>
      <c r="I293">
        <v>1</v>
      </c>
      <c r="J293">
        <v>1</v>
      </c>
      <c r="K293" t="s">
        <v>97</v>
      </c>
    </row>
    <row r="294" spans="1:11" x14ac:dyDescent="0.25">
      <c r="A294" t="s">
        <v>71</v>
      </c>
      <c r="B294">
        <v>747</v>
      </c>
      <c r="C294">
        <v>16</v>
      </c>
      <c r="D294">
        <v>507</v>
      </c>
      <c r="E294">
        <v>1</v>
      </c>
      <c r="F294" s="55">
        <f t="shared" ca="1" si="9"/>
        <v>44281</v>
      </c>
      <c r="H294">
        <v>1</v>
      </c>
      <c r="I294">
        <v>1</v>
      </c>
      <c r="J294">
        <v>1</v>
      </c>
      <c r="K294" t="s">
        <v>97</v>
      </c>
    </row>
    <row r="295" spans="1:11" x14ac:dyDescent="0.25">
      <c r="A295" t="s">
        <v>71</v>
      </c>
      <c r="B295">
        <v>748</v>
      </c>
      <c r="C295">
        <v>16</v>
      </c>
      <c r="D295">
        <v>507</v>
      </c>
      <c r="E295">
        <v>1</v>
      </c>
      <c r="F295" s="55">
        <f t="shared" ca="1" si="9"/>
        <v>44281</v>
      </c>
      <c r="H295">
        <v>1</v>
      </c>
      <c r="I295">
        <v>1</v>
      </c>
      <c r="J295">
        <v>1</v>
      </c>
      <c r="K295" t="s">
        <v>97</v>
      </c>
    </row>
    <row r="296" spans="1:11" x14ac:dyDescent="0.25">
      <c r="A296" t="s">
        <v>71</v>
      </c>
      <c r="B296">
        <v>749</v>
      </c>
      <c r="C296">
        <v>16</v>
      </c>
      <c r="D296">
        <v>507</v>
      </c>
      <c r="E296">
        <v>1</v>
      </c>
      <c r="F296" s="55">
        <f t="shared" ca="1" si="9"/>
        <v>44281</v>
      </c>
      <c r="H296">
        <v>1</v>
      </c>
      <c r="I296">
        <v>1</v>
      </c>
      <c r="J296">
        <v>1</v>
      </c>
      <c r="K296" t="s">
        <v>97</v>
      </c>
    </row>
    <row r="297" spans="1:11" x14ac:dyDescent="0.25">
      <c r="A297" t="s">
        <v>71</v>
      </c>
      <c r="B297">
        <v>750</v>
      </c>
      <c r="C297">
        <v>16</v>
      </c>
      <c r="D297">
        <v>507</v>
      </c>
      <c r="E297">
        <v>1</v>
      </c>
      <c r="F297" s="55">
        <f t="shared" ca="1" si="9"/>
        <v>44281</v>
      </c>
      <c r="H297">
        <v>1</v>
      </c>
      <c r="I297">
        <v>1</v>
      </c>
      <c r="J297">
        <v>1</v>
      </c>
      <c r="K297" t="s">
        <v>97</v>
      </c>
    </row>
    <row r="298" spans="1:11" x14ac:dyDescent="0.25">
      <c r="A298" t="s">
        <v>71</v>
      </c>
      <c r="B298">
        <v>751</v>
      </c>
      <c r="C298">
        <v>16</v>
      </c>
      <c r="D298">
        <v>507</v>
      </c>
      <c r="E298">
        <v>1</v>
      </c>
      <c r="F298" s="55">
        <f t="shared" ca="1" si="9"/>
        <v>44281</v>
      </c>
      <c r="H298">
        <v>1</v>
      </c>
      <c r="I298">
        <v>1</v>
      </c>
      <c r="J298">
        <v>1</v>
      </c>
      <c r="K298" t="s">
        <v>97</v>
      </c>
    </row>
    <row r="299" spans="1:11" x14ac:dyDescent="0.25">
      <c r="A299" t="s">
        <v>71</v>
      </c>
      <c r="B299">
        <v>752</v>
      </c>
      <c r="C299">
        <v>16</v>
      </c>
      <c r="D299">
        <v>507</v>
      </c>
      <c r="E299">
        <v>1</v>
      </c>
      <c r="F299" s="55">
        <f t="shared" ca="1" si="9"/>
        <v>44281</v>
      </c>
      <c r="H299">
        <v>1</v>
      </c>
      <c r="I299">
        <v>1</v>
      </c>
      <c r="J299">
        <v>1</v>
      </c>
      <c r="K299" t="s">
        <v>97</v>
      </c>
    </row>
    <row r="300" spans="1:11" x14ac:dyDescent="0.25">
      <c r="A300" t="s">
        <v>71</v>
      </c>
      <c r="B300">
        <v>753</v>
      </c>
      <c r="C300">
        <v>16</v>
      </c>
      <c r="D300">
        <v>507</v>
      </c>
      <c r="E300">
        <v>1</v>
      </c>
      <c r="F300" s="55">
        <f t="shared" ca="1" si="9"/>
        <v>44281</v>
      </c>
      <c r="H300">
        <v>1</v>
      </c>
      <c r="I300">
        <v>1</v>
      </c>
      <c r="J300">
        <v>1</v>
      </c>
      <c r="K300" t="s">
        <v>97</v>
      </c>
    </row>
    <row r="301" spans="1:11" x14ac:dyDescent="0.25">
      <c r="A301" t="s">
        <v>71</v>
      </c>
      <c r="B301">
        <v>754</v>
      </c>
      <c r="C301">
        <v>16</v>
      </c>
      <c r="D301">
        <v>507</v>
      </c>
      <c r="E301">
        <v>1</v>
      </c>
      <c r="F301" s="55">
        <f t="shared" ca="1" si="9"/>
        <v>44281</v>
      </c>
      <c r="H301">
        <v>1</v>
      </c>
      <c r="I301">
        <v>1</v>
      </c>
      <c r="J301">
        <v>1</v>
      </c>
      <c r="K301" t="s">
        <v>97</v>
      </c>
    </row>
    <row r="302" spans="1:11" x14ac:dyDescent="0.25">
      <c r="A302" t="s">
        <v>71</v>
      </c>
      <c r="B302">
        <v>755</v>
      </c>
      <c r="C302">
        <v>16</v>
      </c>
      <c r="D302">
        <v>507</v>
      </c>
      <c r="E302">
        <v>1</v>
      </c>
      <c r="F302" s="55">
        <f t="shared" ca="1" si="9"/>
        <v>44281</v>
      </c>
      <c r="H302">
        <v>1</v>
      </c>
      <c r="I302">
        <v>1</v>
      </c>
      <c r="J302">
        <v>1</v>
      </c>
      <c r="K302" t="s">
        <v>97</v>
      </c>
    </row>
    <row r="303" spans="1:11" x14ac:dyDescent="0.25">
      <c r="A303" t="s">
        <v>71</v>
      </c>
      <c r="B303">
        <v>756</v>
      </c>
      <c r="C303">
        <v>16</v>
      </c>
      <c r="D303">
        <v>507</v>
      </c>
      <c r="E303">
        <v>1</v>
      </c>
      <c r="F303" s="55">
        <f t="shared" ca="1" si="9"/>
        <v>44281</v>
      </c>
      <c r="H303">
        <v>1</v>
      </c>
      <c r="I303">
        <v>1</v>
      </c>
      <c r="J303">
        <v>1</v>
      </c>
      <c r="K303" t="s">
        <v>97</v>
      </c>
    </row>
    <row r="304" spans="1:11" x14ac:dyDescent="0.25">
      <c r="A304" t="s">
        <v>71</v>
      </c>
      <c r="B304">
        <v>757</v>
      </c>
      <c r="C304">
        <v>16</v>
      </c>
      <c r="D304">
        <v>507</v>
      </c>
      <c r="E304">
        <v>1</v>
      </c>
      <c r="F304" s="55">
        <f t="shared" ca="1" si="9"/>
        <v>44281</v>
      </c>
      <c r="H304">
        <v>1</v>
      </c>
      <c r="I304">
        <v>1</v>
      </c>
      <c r="J304">
        <v>1</v>
      </c>
      <c r="K304" t="s">
        <v>97</v>
      </c>
    </row>
    <row r="305" spans="1:11" x14ac:dyDescent="0.25">
      <c r="A305" t="s">
        <v>71</v>
      </c>
      <c r="B305">
        <v>758</v>
      </c>
      <c r="C305">
        <v>16</v>
      </c>
      <c r="D305">
        <v>507</v>
      </c>
      <c r="E305">
        <v>1</v>
      </c>
      <c r="F305" s="55">
        <f t="shared" ca="1" si="9"/>
        <v>44281</v>
      </c>
      <c r="H305">
        <v>1</v>
      </c>
      <c r="I305">
        <v>1</v>
      </c>
      <c r="J305">
        <v>1</v>
      </c>
      <c r="K305" t="s">
        <v>97</v>
      </c>
    </row>
    <row r="306" spans="1:11" x14ac:dyDescent="0.25">
      <c r="A306" t="s">
        <v>71</v>
      </c>
      <c r="B306">
        <v>759</v>
      </c>
      <c r="C306">
        <v>16</v>
      </c>
      <c r="D306">
        <v>507</v>
      </c>
      <c r="E306">
        <v>1</v>
      </c>
      <c r="F306" s="55">
        <f t="shared" ca="1" si="9"/>
        <v>44281</v>
      </c>
      <c r="H306">
        <v>1</v>
      </c>
      <c r="I306">
        <v>1</v>
      </c>
      <c r="J306">
        <v>1</v>
      </c>
      <c r="K306" t="s">
        <v>97</v>
      </c>
    </row>
    <row r="307" spans="1:11" x14ac:dyDescent="0.25">
      <c r="A307" t="s">
        <v>71</v>
      </c>
      <c r="B307">
        <v>760</v>
      </c>
      <c r="C307">
        <v>16</v>
      </c>
      <c r="D307">
        <v>507</v>
      </c>
      <c r="E307">
        <v>1</v>
      </c>
      <c r="F307" s="55">
        <f t="shared" ca="1" si="9"/>
        <v>44281</v>
      </c>
      <c r="H307">
        <v>1</v>
      </c>
      <c r="I307">
        <v>1</v>
      </c>
      <c r="J307">
        <v>1</v>
      </c>
      <c r="K307" t="s">
        <v>97</v>
      </c>
    </row>
    <row r="308" spans="1:11" x14ac:dyDescent="0.25">
      <c r="A308" t="s">
        <v>71</v>
      </c>
      <c r="B308">
        <v>761</v>
      </c>
      <c r="C308">
        <v>16</v>
      </c>
      <c r="D308">
        <v>507</v>
      </c>
      <c r="E308">
        <v>1</v>
      </c>
      <c r="F308" s="55">
        <f t="shared" ca="1" si="9"/>
        <v>44281</v>
      </c>
      <c r="H308">
        <v>1</v>
      </c>
      <c r="I308">
        <v>1</v>
      </c>
      <c r="J308">
        <v>1</v>
      </c>
      <c r="K308" t="s">
        <v>97</v>
      </c>
    </row>
    <row r="309" spans="1:11" x14ac:dyDescent="0.25">
      <c r="A309" t="s">
        <v>71</v>
      </c>
      <c r="B309">
        <v>762</v>
      </c>
      <c r="C309">
        <v>16</v>
      </c>
      <c r="D309">
        <v>507</v>
      </c>
      <c r="E309">
        <v>1</v>
      </c>
      <c r="F309" s="55">
        <f t="shared" ca="1" si="9"/>
        <v>44281</v>
      </c>
      <c r="H309">
        <v>1</v>
      </c>
      <c r="I309">
        <v>1</v>
      </c>
      <c r="J309">
        <v>1</v>
      </c>
      <c r="K309" t="s">
        <v>97</v>
      </c>
    </row>
    <row r="310" spans="1:11" x14ac:dyDescent="0.25">
      <c r="A310" t="s">
        <v>71</v>
      </c>
      <c r="B310">
        <v>763</v>
      </c>
      <c r="C310">
        <v>16</v>
      </c>
      <c r="D310">
        <v>507</v>
      </c>
      <c r="E310">
        <v>1</v>
      </c>
      <c r="F310" s="55">
        <f t="shared" ca="1" si="9"/>
        <v>44281</v>
      </c>
      <c r="H310">
        <v>1</v>
      </c>
      <c r="I310">
        <v>1</v>
      </c>
      <c r="J310">
        <v>1</v>
      </c>
      <c r="K310" t="s">
        <v>97</v>
      </c>
    </row>
    <row r="311" spans="1:11" x14ac:dyDescent="0.25">
      <c r="A311" t="s">
        <v>71</v>
      </c>
      <c r="B311">
        <v>764</v>
      </c>
      <c r="C311">
        <v>16</v>
      </c>
      <c r="D311">
        <v>507</v>
      </c>
      <c r="E311">
        <v>1</v>
      </c>
      <c r="F311" s="55">
        <f t="shared" ca="1" si="9"/>
        <v>44281</v>
      </c>
      <c r="H311">
        <v>1</v>
      </c>
      <c r="I311">
        <v>1</v>
      </c>
      <c r="J311">
        <v>1</v>
      </c>
      <c r="K311" t="s">
        <v>97</v>
      </c>
    </row>
    <row r="312" spans="1:11" x14ac:dyDescent="0.25">
      <c r="A312" t="s">
        <v>71</v>
      </c>
      <c r="B312">
        <v>765</v>
      </c>
      <c r="C312">
        <v>16</v>
      </c>
      <c r="D312">
        <v>507</v>
      </c>
      <c r="E312">
        <v>1</v>
      </c>
      <c r="F312" s="55">
        <f t="shared" ca="1" si="9"/>
        <v>44281</v>
      </c>
      <c r="H312">
        <v>1</v>
      </c>
      <c r="I312">
        <v>1</v>
      </c>
      <c r="J312">
        <v>1</v>
      </c>
      <c r="K312" t="s">
        <v>97</v>
      </c>
    </row>
    <row r="313" spans="1:11" x14ac:dyDescent="0.25">
      <c r="A313" t="s">
        <v>71</v>
      </c>
      <c r="B313">
        <v>766</v>
      </c>
      <c r="C313">
        <v>16</v>
      </c>
      <c r="D313">
        <v>507</v>
      </c>
      <c r="E313">
        <v>1</v>
      </c>
      <c r="F313" s="55">
        <f t="shared" ca="1" si="9"/>
        <v>44281</v>
      </c>
      <c r="H313">
        <v>1</v>
      </c>
      <c r="I313">
        <v>1</v>
      </c>
      <c r="J313">
        <v>1</v>
      </c>
      <c r="K313" t="s">
        <v>97</v>
      </c>
    </row>
    <row r="314" spans="1:11" x14ac:dyDescent="0.25">
      <c r="A314" t="s">
        <v>71</v>
      </c>
      <c r="B314">
        <v>767</v>
      </c>
      <c r="C314">
        <v>16</v>
      </c>
      <c r="D314">
        <v>507</v>
      </c>
      <c r="E314">
        <v>1</v>
      </c>
      <c r="F314" s="55">
        <f t="shared" ca="1" si="9"/>
        <v>44281</v>
      </c>
      <c r="H314">
        <v>1</v>
      </c>
      <c r="I314">
        <v>1</v>
      </c>
      <c r="J314">
        <v>1</v>
      </c>
      <c r="K314" t="s">
        <v>97</v>
      </c>
    </row>
    <row r="315" spans="1:11" x14ac:dyDescent="0.25">
      <c r="A315" t="s">
        <v>71</v>
      </c>
      <c r="B315">
        <v>768</v>
      </c>
      <c r="C315">
        <v>16</v>
      </c>
      <c r="D315">
        <v>507</v>
      </c>
      <c r="E315">
        <v>1</v>
      </c>
      <c r="F315" s="55">
        <f t="shared" ca="1" si="9"/>
        <v>44281</v>
      </c>
      <c r="H315">
        <v>1</v>
      </c>
      <c r="I315">
        <v>1</v>
      </c>
      <c r="J315">
        <v>1</v>
      </c>
      <c r="K315" t="s">
        <v>97</v>
      </c>
    </row>
    <row r="316" spans="1:11" x14ac:dyDescent="0.25">
      <c r="A316" t="s">
        <v>71</v>
      </c>
      <c r="B316">
        <v>769</v>
      </c>
      <c r="C316">
        <v>16</v>
      </c>
      <c r="D316">
        <v>507</v>
      </c>
      <c r="E316">
        <v>1</v>
      </c>
      <c r="F316" s="55">
        <f t="shared" ca="1" si="9"/>
        <v>44281</v>
      </c>
      <c r="H316">
        <v>1</v>
      </c>
      <c r="I316">
        <v>1</v>
      </c>
      <c r="J316">
        <v>1</v>
      </c>
      <c r="K316" t="s">
        <v>97</v>
      </c>
    </row>
    <row r="317" spans="1:11" x14ac:dyDescent="0.25">
      <c r="A317" t="s">
        <v>71</v>
      </c>
      <c r="B317">
        <v>770</v>
      </c>
      <c r="C317">
        <v>16</v>
      </c>
      <c r="D317">
        <v>507</v>
      </c>
      <c r="E317">
        <v>1</v>
      </c>
      <c r="F317" s="55">
        <f t="shared" ca="1" si="9"/>
        <v>44281</v>
      </c>
      <c r="H317">
        <v>1</v>
      </c>
      <c r="I317">
        <v>1</v>
      </c>
      <c r="J317">
        <v>1</v>
      </c>
      <c r="K317" t="s">
        <v>97</v>
      </c>
    </row>
    <row r="318" spans="1:11" x14ac:dyDescent="0.25">
      <c r="A318" t="s">
        <v>71</v>
      </c>
      <c r="B318">
        <v>771</v>
      </c>
      <c r="C318">
        <v>16</v>
      </c>
      <c r="D318">
        <v>507</v>
      </c>
      <c r="E318">
        <v>1</v>
      </c>
      <c r="F318" s="55">
        <f t="shared" ca="1" si="9"/>
        <v>44281</v>
      </c>
      <c r="H318">
        <v>1</v>
      </c>
      <c r="I318">
        <v>1</v>
      </c>
      <c r="J318">
        <v>1</v>
      </c>
      <c r="K318" t="s">
        <v>97</v>
      </c>
    </row>
    <row r="319" spans="1:11" x14ac:dyDescent="0.25">
      <c r="A319" t="s">
        <v>71</v>
      </c>
      <c r="B319">
        <v>772</v>
      </c>
      <c r="C319">
        <v>16</v>
      </c>
      <c r="D319">
        <v>507</v>
      </c>
      <c r="E319">
        <v>1</v>
      </c>
      <c r="F319" s="55">
        <f t="shared" ca="1" si="9"/>
        <v>44281</v>
      </c>
      <c r="H319">
        <v>1</v>
      </c>
      <c r="I319">
        <v>1</v>
      </c>
      <c r="J319">
        <v>1</v>
      </c>
      <c r="K319" t="s">
        <v>97</v>
      </c>
    </row>
    <row r="320" spans="1:11" x14ac:dyDescent="0.25">
      <c r="A320" t="s">
        <v>71</v>
      </c>
      <c r="B320">
        <v>773</v>
      </c>
      <c r="C320">
        <v>16</v>
      </c>
      <c r="D320">
        <v>507</v>
      </c>
      <c r="E320">
        <v>1</v>
      </c>
      <c r="F320" s="55">
        <f t="shared" ca="1" si="9"/>
        <v>44281</v>
      </c>
      <c r="H320">
        <v>1</v>
      </c>
      <c r="I320">
        <v>1</v>
      </c>
      <c r="J320">
        <v>1</v>
      </c>
      <c r="K320" t="s">
        <v>97</v>
      </c>
    </row>
    <row r="321" spans="1:11" x14ac:dyDescent="0.25">
      <c r="A321" t="s">
        <v>71</v>
      </c>
      <c r="B321">
        <v>774</v>
      </c>
      <c r="C321">
        <v>16</v>
      </c>
      <c r="D321">
        <v>507</v>
      </c>
      <c r="E321">
        <v>1</v>
      </c>
      <c r="F321" s="55">
        <f t="shared" ca="1" si="9"/>
        <v>44281</v>
      </c>
      <c r="H321">
        <v>1</v>
      </c>
      <c r="I321">
        <v>1</v>
      </c>
      <c r="J321">
        <v>1</v>
      </c>
      <c r="K321" t="s">
        <v>97</v>
      </c>
    </row>
    <row r="322" spans="1:11" x14ac:dyDescent="0.25">
      <c r="A322" t="s">
        <v>71</v>
      </c>
      <c r="B322">
        <v>775</v>
      </c>
      <c r="C322">
        <v>16</v>
      </c>
      <c r="D322">
        <v>507</v>
      </c>
      <c r="E322">
        <v>1</v>
      </c>
      <c r="F322" s="55">
        <f t="shared" ca="1" si="9"/>
        <v>44281</v>
      </c>
      <c r="H322">
        <v>1</v>
      </c>
      <c r="I322">
        <v>1</v>
      </c>
      <c r="J322">
        <v>1</v>
      </c>
      <c r="K322" t="s">
        <v>97</v>
      </c>
    </row>
    <row r="323" spans="1:11" x14ac:dyDescent="0.25">
      <c r="A323" t="s">
        <v>71</v>
      </c>
      <c r="B323">
        <v>776</v>
      </c>
      <c r="C323">
        <v>16</v>
      </c>
      <c r="D323">
        <v>507</v>
      </c>
      <c r="E323">
        <v>1</v>
      </c>
      <c r="F323" s="55">
        <f ca="1">TODAY()</f>
        <v>44281</v>
      </c>
      <c r="H323">
        <v>1</v>
      </c>
      <c r="I323">
        <v>1</v>
      </c>
      <c r="J323">
        <v>1</v>
      </c>
      <c r="K323" t="s">
        <v>97</v>
      </c>
    </row>
    <row r="324" spans="1:11" x14ac:dyDescent="0.25">
      <c r="A324" t="s">
        <v>71</v>
      </c>
      <c r="B324">
        <v>777</v>
      </c>
      <c r="C324">
        <v>16</v>
      </c>
      <c r="D324">
        <v>507</v>
      </c>
      <c r="E324">
        <v>1</v>
      </c>
      <c r="F324" s="55">
        <f t="shared" ref="F324:F357" ca="1" si="10">TODAY()</f>
        <v>44281</v>
      </c>
      <c r="H324">
        <v>1</v>
      </c>
      <c r="I324">
        <v>1</v>
      </c>
      <c r="J324">
        <v>1</v>
      </c>
      <c r="K324" t="s">
        <v>97</v>
      </c>
    </row>
    <row r="325" spans="1:11" x14ac:dyDescent="0.25">
      <c r="A325" t="s">
        <v>71</v>
      </c>
      <c r="B325">
        <v>778</v>
      </c>
      <c r="C325">
        <v>16</v>
      </c>
      <c r="D325">
        <v>507</v>
      </c>
      <c r="E325">
        <v>1</v>
      </c>
      <c r="F325" s="55">
        <f t="shared" ca="1" si="10"/>
        <v>44281</v>
      </c>
      <c r="H325">
        <v>1</v>
      </c>
      <c r="I325">
        <v>1</v>
      </c>
      <c r="J325">
        <v>1</v>
      </c>
      <c r="K325" t="s">
        <v>97</v>
      </c>
    </row>
    <row r="326" spans="1:11" x14ac:dyDescent="0.25">
      <c r="A326" t="s">
        <v>71</v>
      </c>
      <c r="B326">
        <v>779</v>
      </c>
      <c r="C326">
        <v>16</v>
      </c>
      <c r="D326">
        <v>507</v>
      </c>
      <c r="E326">
        <v>1</v>
      </c>
      <c r="F326" s="55">
        <f t="shared" ca="1" si="10"/>
        <v>44281</v>
      </c>
      <c r="H326">
        <v>1</v>
      </c>
      <c r="I326">
        <v>1</v>
      </c>
      <c r="J326">
        <v>1</v>
      </c>
      <c r="K326" t="s">
        <v>97</v>
      </c>
    </row>
    <row r="327" spans="1:11" x14ac:dyDescent="0.25">
      <c r="A327" t="s">
        <v>71</v>
      </c>
      <c r="B327">
        <v>780</v>
      </c>
      <c r="C327">
        <v>16</v>
      </c>
      <c r="D327">
        <v>507</v>
      </c>
      <c r="E327">
        <v>1</v>
      </c>
      <c r="F327" s="55">
        <f t="shared" ca="1" si="10"/>
        <v>44281</v>
      </c>
      <c r="H327">
        <v>1</v>
      </c>
      <c r="I327">
        <v>1</v>
      </c>
      <c r="J327">
        <v>1</v>
      </c>
      <c r="K327" t="s">
        <v>97</v>
      </c>
    </row>
    <row r="328" spans="1:11" x14ac:dyDescent="0.25">
      <c r="A328" t="s">
        <v>71</v>
      </c>
      <c r="B328">
        <v>781</v>
      </c>
      <c r="C328">
        <v>16</v>
      </c>
      <c r="D328">
        <v>507</v>
      </c>
      <c r="E328">
        <v>1</v>
      </c>
      <c r="F328" s="55">
        <f t="shared" ca="1" si="10"/>
        <v>44281</v>
      </c>
      <c r="H328">
        <v>1</v>
      </c>
      <c r="I328">
        <v>1</v>
      </c>
      <c r="J328">
        <v>1</v>
      </c>
      <c r="K328" t="s">
        <v>97</v>
      </c>
    </row>
    <row r="329" spans="1:11" x14ac:dyDescent="0.25">
      <c r="A329" t="s">
        <v>71</v>
      </c>
      <c r="B329">
        <v>782</v>
      </c>
      <c r="C329">
        <v>16</v>
      </c>
      <c r="D329">
        <v>507</v>
      </c>
      <c r="E329">
        <v>1</v>
      </c>
      <c r="F329" s="55">
        <f t="shared" ca="1" si="10"/>
        <v>44281</v>
      </c>
      <c r="H329">
        <v>1</v>
      </c>
      <c r="I329">
        <v>1</v>
      </c>
      <c r="J329">
        <v>1</v>
      </c>
      <c r="K329" t="s">
        <v>97</v>
      </c>
    </row>
    <row r="330" spans="1:11" x14ac:dyDescent="0.25">
      <c r="A330" t="s">
        <v>71</v>
      </c>
      <c r="B330">
        <v>783</v>
      </c>
      <c r="C330">
        <v>16</v>
      </c>
      <c r="D330">
        <v>507</v>
      </c>
      <c r="E330">
        <v>1</v>
      </c>
      <c r="F330" s="55">
        <f t="shared" ca="1" si="10"/>
        <v>44281</v>
      </c>
      <c r="H330">
        <v>1</v>
      </c>
      <c r="I330">
        <v>1</v>
      </c>
      <c r="J330">
        <v>1</v>
      </c>
      <c r="K330" t="s">
        <v>97</v>
      </c>
    </row>
    <row r="331" spans="1:11" x14ac:dyDescent="0.25">
      <c r="A331" t="s">
        <v>71</v>
      </c>
      <c r="B331">
        <v>784</v>
      </c>
      <c r="C331">
        <v>16</v>
      </c>
      <c r="D331">
        <v>507</v>
      </c>
      <c r="E331">
        <v>1</v>
      </c>
      <c r="F331" s="55">
        <f t="shared" ca="1" si="10"/>
        <v>44281</v>
      </c>
      <c r="H331">
        <v>1</v>
      </c>
      <c r="I331">
        <v>1</v>
      </c>
      <c r="J331">
        <v>1</v>
      </c>
      <c r="K331" t="s">
        <v>97</v>
      </c>
    </row>
    <row r="332" spans="1:11" x14ac:dyDescent="0.25">
      <c r="A332" t="s">
        <v>71</v>
      </c>
      <c r="B332">
        <v>785</v>
      </c>
      <c r="C332">
        <v>16</v>
      </c>
      <c r="D332">
        <v>507</v>
      </c>
      <c r="E332">
        <v>1</v>
      </c>
      <c r="F332" s="55">
        <f t="shared" ca="1" si="10"/>
        <v>44281</v>
      </c>
      <c r="H332">
        <v>1</v>
      </c>
      <c r="I332">
        <v>1</v>
      </c>
      <c r="J332">
        <v>1</v>
      </c>
      <c r="K332" t="s">
        <v>97</v>
      </c>
    </row>
    <row r="333" spans="1:11" x14ac:dyDescent="0.25">
      <c r="A333" t="s">
        <v>71</v>
      </c>
      <c r="B333">
        <v>786</v>
      </c>
      <c r="C333">
        <v>16</v>
      </c>
      <c r="D333">
        <v>507</v>
      </c>
      <c r="E333">
        <v>1</v>
      </c>
      <c r="F333" s="55">
        <f t="shared" ca="1" si="10"/>
        <v>44281</v>
      </c>
      <c r="H333">
        <v>1</v>
      </c>
      <c r="I333">
        <v>1</v>
      </c>
      <c r="J333">
        <v>1</v>
      </c>
      <c r="K333" t="s">
        <v>97</v>
      </c>
    </row>
    <row r="334" spans="1:11" x14ac:dyDescent="0.25">
      <c r="A334" t="s">
        <v>71</v>
      </c>
      <c r="B334">
        <v>787</v>
      </c>
      <c r="C334">
        <v>16</v>
      </c>
      <c r="D334">
        <v>507</v>
      </c>
      <c r="E334">
        <v>1</v>
      </c>
      <c r="F334" s="55">
        <f t="shared" ca="1" si="10"/>
        <v>44281</v>
      </c>
      <c r="H334">
        <v>1</v>
      </c>
      <c r="I334">
        <v>1</v>
      </c>
      <c r="J334">
        <v>1</v>
      </c>
      <c r="K334" t="s">
        <v>97</v>
      </c>
    </row>
    <row r="335" spans="1:11" x14ac:dyDescent="0.25">
      <c r="A335" t="s">
        <v>71</v>
      </c>
      <c r="B335">
        <v>788</v>
      </c>
      <c r="C335">
        <v>16</v>
      </c>
      <c r="D335">
        <v>507</v>
      </c>
      <c r="E335">
        <v>1</v>
      </c>
      <c r="F335" s="55">
        <f t="shared" ca="1" si="10"/>
        <v>44281</v>
      </c>
      <c r="H335">
        <v>1</v>
      </c>
      <c r="I335">
        <v>1</v>
      </c>
      <c r="J335">
        <v>1</v>
      </c>
      <c r="K335" t="s">
        <v>97</v>
      </c>
    </row>
    <row r="336" spans="1:11" x14ac:dyDescent="0.25">
      <c r="A336" t="s">
        <v>71</v>
      </c>
      <c r="B336">
        <v>789</v>
      </c>
      <c r="C336">
        <v>16</v>
      </c>
      <c r="D336">
        <v>507</v>
      </c>
      <c r="E336">
        <v>1</v>
      </c>
      <c r="F336" s="55">
        <f t="shared" ca="1" si="10"/>
        <v>44281</v>
      </c>
      <c r="H336">
        <v>1</v>
      </c>
      <c r="I336">
        <v>1</v>
      </c>
      <c r="J336">
        <v>1</v>
      </c>
      <c r="K336" t="s">
        <v>97</v>
      </c>
    </row>
    <row r="337" spans="1:11" x14ac:dyDescent="0.25">
      <c r="A337" t="s">
        <v>71</v>
      </c>
      <c r="B337">
        <v>790</v>
      </c>
      <c r="C337">
        <v>16</v>
      </c>
      <c r="D337">
        <v>507</v>
      </c>
      <c r="E337">
        <v>1</v>
      </c>
      <c r="F337" s="55">
        <f t="shared" ca="1" si="10"/>
        <v>44281</v>
      </c>
      <c r="H337">
        <v>1</v>
      </c>
      <c r="I337">
        <v>1</v>
      </c>
      <c r="J337">
        <v>1</v>
      </c>
      <c r="K337" t="s">
        <v>97</v>
      </c>
    </row>
    <row r="338" spans="1:11" x14ac:dyDescent="0.25">
      <c r="A338" t="s">
        <v>71</v>
      </c>
      <c r="B338">
        <v>791</v>
      </c>
      <c r="C338">
        <v>16</v>
      </c>
      <c r="D338">
        <v>507</v>
      </c>
      <c r="E338">
        <v>1</v>
      </c>
      <c r="F338" s="55">
        <f t="shared" ca="1" si="10"/>
        <v>44281</v>
      </c>
      <c r="H338">
        <v>1</v>
      </c>
      <c r="I338">
        <v>1</v>
      </c>
      <c r="J338">
        <v>1</v>
      </c>
      <c r="K338" t="s">
        <v>97</v>
      </c>
    </row>
    <row r="339" spans="1:11" x14ac:dyDescent="0.25">
      <c r="A339" t="s">
        <v>71</v>
      </c>
      <c r="B339">
        <v>792</v>
      </c>
      <c r="C339">
        <v>16</v>
      </c>
      <c r="D339">
        <v>507</v>
      </c>
      <c r="E339">
        <v>1</v>
      </c>
      <c r="F339" s="55">
        <f t="shared" ca="1" si="10"/>
        <v>44281</v>
      </c>
      <c r="H339">
        <v>1</v>
      </c>
      <c r="I339">
        <v>1</v>
      </c>
      <c r="J339">
        <v>1</v>
      </c>
      <c r="K339" t="s">
        <v>97</v>
      </c>
    </row>
    <row r="340" spans="1:11" x14ac:dyDescent="0.25">
      <c r="A340" t="s">
        <v>71</v>
      </c>
      <c r="B340">
        <v>793</v>
      </c>
      <c r="C340">
        <v>16</v>
      </c>
      <c r="D340">
        <v>507</v>
      </c>
      <c r="E340">
        <v>1</v>
      </c>
      <c r="F340" s="55">
        <f t="shared" ca="1" si="10"/>
        <v>44281</v>
      </c>
      <c r="H340">
        <v>1</v>
      </c>
      <c r="I340">
        <v>1</v>
      </c>
      <c r="J340">
        <v>1</v>
      </c>
      <c r="K340" t="s">
        <v>97</v>
      </c>
    </row>
    <row r="341" spans="1:11" x14ac:dyDescent="0.25">
      <c r="A341" t="s">
        <v>71</v>
      </c>
      <c r="B341">
        <v>794</v>
      </c>
      <c r="C341">
        <v>16</v>
      </c>
      <c r="D341">
        <v>507</v>
      </c>
      <c r="E341">
        <v>1</v>
      </c>
      <c r="F341" s="55">
        <f t="shared" ca="1" si="10"/>
        <v>44281</v>
      </c>
      <c r="H341">
        <v>1</v>
      </c>
      <c r="I341">
        <v>1</v>
      </c>
      <c r="J341">
        <v>1</v>
      </c>
      <c r="K341" t="s">
        <v>97</v>
      </c>
    </row>
    <row r="342" spans="1:11" x14ac:dyDescent="0.25">
      <c r="A342" t="s">
        <v>71</v>
      </c>
      <c r="B342">
        <v>795</v>
      </c>
      <c r="C342">
        <v>16</v>
      </c>
      <c r="D342">
        <v>507</v>
      </c>
      <c r="E342">
        <v>1</v>
      </c>
      <c r="F342" s="55">
        <f t="shared" ca="1" si="10"/>
        <v>44281</v>
      </c>
      <c r="H342">
        <v>1</v>
      </c>
      <c r="I342">
        <v>1</v>
      </c>
      <c r="J342">
        <v>1</v>
      </c>
      <c r="K342" t="s">
        <v>97</v>
      </c>
    </row>
    <row r="343" spans="1:11" x14ac:dyDescent="0.25">
      <c r="A343" t="s">
        <v>71</v>
      </c>
      <c r="B343">
        <v>796</v>
      </c>
      <c r="C343">
        <v>16</v>
      </c>
      <c r="D343">
        <v>507</v>
      </c>
      <c r="E343">
        <v>1</v>
      </c>
      <c r="F343" s="55">
        <f t="shared" ca="1" si="10"/>
        <v>44281</v>
      </c>
      <c r="H343">
        <v>1</v>
      </c>
      <c r="I343">
        <v>1</v>
      </c>
      <c r="J343">
        <v>1</v>
      </c>
      <c r="K343" t="s">
        <v>97</v>
      </c>
    </row>
    <row r="344" spans="1:11" x14ac:dyDescent="0.25">
      <c r="A344" t="s">
        <v>71</v>
      </c>
      <c r="B344">
        <v>797</v>
      </c>
      <c r="C344">
        <v>16</v>
      </c>
      <c r="D344">
        <v>507</v>
      </c>
      <c r="E344">
        <v>1</v>
      </c>
      <c r="F344" s="55">
        <f t="shared" ca="1" si="10"/>
        <v>44281</v>
      </c>
      <c r="H344">
        <v>1</v>
      </c>
      <c r="I344">
        <v>1</v>
      </c>
      <c r="J344">
        <v>1</v>
      </c>
      <c r="K344" t="s">
        <v>97</v>
      </c>
    </row>
    <row r="345" spans="1:11" x14ac:dyDescent="0.25">
      <c r="A345" t="s">
        <v>71</v>
      </c>
      <c r="B345">
        <v>798</v>
      </c>
      <c r="C345">
        <v>16</v>
      </c>
      <c r="D345">
        <v>507</v>
      </c>
      <c r="E345">
        <v>1</v>
      </c>
      <c r="F345" s="55">
        <f t="shared" ca="1" si="10"/>
        <v>44281</v>
      </c>
      <c r="H345">
        <v>1</v>
      </c>
      <c r="I345">
        <v>1</v>
      </c>
      <c r="J345">
        <v>1</v>
      </c>
      <c r="K345" t="s">
        <v>97</v>
      </c>
    </row>
    <row r="346" spans="1:11" x14ac:dyDescent="0.25">
      <c r="A346" t="s">
        <v>71</v>
      </c>
      <c r="B346">
        <v>799</v>
      </c>
      <c r="C346">
        <v>16</v>
      </c>
      <c r="D346">
        <v>507</v>
      </c>
      <c r="E346">
        <v>1</v>
      </c>
      <c r="F346" s="55">
        <f t="shared" ca="1" si="10"/>
        <v>44281</v>
      </c>
      <c r="H346">
        <v>1</v>
      </c>
      <c r="I346">
        <v>1</v>
      </c>
      <c r="J346">
        <v>1</v>
      </c>
      <c r="K346" t="s">
        <v>97</v>
      </c>
    </row>
    <row r="347" spans="1:11" x14ac:dyDescent="0.25">
      <c r="A347" t="s">
        <v>71</v>
      </c>
      <c r="B347">
        <v>800</v>
      </c>
      <c r="C347">
        <v>16</v>
      </c>
      <c r="D347">
        <v>507</v>
      </c>
      <c r="E347">
        <v>1</v>
      </c>
      <c r="F347" s="55">
        <f t="shared" ca="1" si="10"/>
        <v>44281</v>
      </c>
      <c r="H347">
        <v>1</v>
      </c>
      <c r="I347">
        <v>1</v>
      </c>
      <c r="J347">
        <v>1</v>
      </c>
      <c r="K347" t="s">
        <v>97</v>
      </c>
    </row>
    <row r="348" spans="1:11" x14ac:dyDescent="0.25">
      <c r="A348" t="s">
        <v>71</v>
      </c>
      <c r="B348">
        <v>801</v>
      </c>
      <c r="C348">
        <v>16</v>
      </c>
      <c r="D348">
        <v>507</v>
      </c>
      <c r="E348">
        <v>1</v>
      </c>
      <c r="F348" s="55">
        <f t="shared" ca="1" si="10"/>
        <v>44281</v>
      </c>
      <c r="H348">
        <v>1</v>
      </c>
      <c r="I348">
        <v>1</v>
      </c>
      <c r="J348">
        <v>1</v>
      </c>
      <c r="K348" t="s">
        <v>97</v>
      </c>
    </row>
    <row r="349" spans="1:11" x14ac:dyDescent="0.25">
      <c r="A349" t="s">
        <v>71</v>
      </c>
      <c r="B349">
        <v>802</v>
      </c>
      <c r="C349">
        <v>16</v>
      </c>
      <c r="D349">
        <v>507</v>
      </c>
      <c r="E349">
        <v>1</v>
      </c>
      <c r="F349" s="55">
        <f t="shared" ca="1" si="10"/>
        <v>44281</v>
      </c>
      <c r="H349">
        <v>1</v>
      </c>
      <c r="I349">
        <v>1</v>
      </c>
      <c r="J349">
        <v>1</v>
      </c>
      <c r="K349" t="s">
        <v>97</v>
      </c>
    </row>
    <row r="350" spans="1:11" x14ac:dyDescent="0.25">
      <c r="A350" t="s">
        <v>71</v>
      </c>
      <c r="B350">
        <v>803</v>
      </c>
      <c r="C350">
        <v>16</v>
      </c>
      <c r="D350">
        <v>507</v>
      </c>
      <c r="E350">
        <v>1</v>
      </c>
      <c r="F350" s="55">
        <f t="shared" ca="1" si="10"/>
        <v>44281</v>
      </c>
      <c r="H350">
        <v>1</v>
      </c>
      <c r="I350">
        <v>1</v>
      </c>
      <c r="J350">
        <v>1</v>
      </c>
      <c r="K350" t="s">
        <v>97</v>
      </c>
    </row>
    <row r="351" spans="1:11" x14ac:dyDescent="0.25">
      <c r="A351" t="s">
        <v>71</v>
      </c>
      <c r="B351">
        <v>804</v>
      </c>
      <c r="C351">
        <v>16</v>
      </c>
      <c r="D351">
        <v>507</v>
      </c>
      <c r="E351">
        <v>1</v>
      </c>
      <c r="F351" s="55">
        <f t="shared" ca="1" si="10"/>
        <v>44281</v>
      </c>
      <c r="H351">
        <v>1</v>
      </c>
      <c r="I351">
        <v>1</v>
      </c>
      <c r="J351">
        <v>1</v>
      </c>
      <c r="K351" t="s">
        <v>97</v>
      </c>
    </row>
    <row r="352" spans="1:11" x14ac:dyDescent="0.25">
      <c r="A352" t="s">
        <v>71</v>
      </c>
      <c r="B352">
        <v>805</v>
      </c>
      <c r="C352">
        <v>16</v>
      </c>
      <c r="D352">
        <v>507</v>
      </c>
      <c r="E352">
        <v>1</v>
      </c>
      <c r="F352" s="55">
        <f t="shared" ca="1" si="10"/>
        <v>44281</v>
      </c>
      <c r="H352">
        <v>1</v>
      </c>
      <c r="I352">
        <v>1</v>
      </c>
      <c r="J352">
        <v>1</v>
      </c>
      <c r="K352" t="s">
        <v>97</v>
      </c>
    </row>
    <row r="353" spans="1:11" x14ac:dyDescent="0.25">
      <c r="A353" t="s">
        <v>71</v>
      </c>
      <c r="B353">
        <v>806</v>
      </c>
      <c r="C353">
        <v>16</v>
      </c>
      <c r="D353">
        <v>507</v>
      </c>
      <c r="E353">
        <v>1</v>
      </c>
      <c r="F353" s="55">
        <f t="shared" ca="1" si="10"/>
        <v>44281</v>
      </c>
      <c r="H353">
        <v>1</v>
      </c>
      <c r="I353">
        <v>1</v>
      </c>
      <c r="J353">
        <v>1</v>
      </c>
      <c r="K353" t="s">
        <v>97</v>
      </c>
    </row>
    <row r="354" spans="1:11" x14ac:dyDescent="0.25">
      <c r="A354" t="s">
        <v>71</v>
      </c>
      <c r="B354">
        <v>807</v>
      </c>
      <c r="C354">
        <v>16</v>
      </c>
      <c r="D354">
        <v>507</v>
      </c>
      <c r="E354">
        <v>1</v>
      </c>
      <c r="F354" s="55">
        <f t="shared" ca="1" si="10"/>
        <v>44281</v>
      </c>
      <c r="H354">
        <v>1</v>
      </c>
      <c r="I354">
        <v>1</v>
      </c>
      <c r="J354">
        <v>1</v>
      </c>
      <c r="K354" t="s">
        <v>97</v>
      </c>
    </row>
    <row r="355" spans="1:11" x14ac:dyDescent="0.25">
      <c r="A355" t="s">
        <v>71</v>
      </c>
      <c r="B355">
        <v>808</v>
      </c>
      <c r="C355">
        <v>16</v>
      </c>
      <c r="D355">
        <v>507</v>
      </c>
      <c r="E355">
        <v>1</v>
      </c>
      <c r="F355" s="55">
        <f t="shared" ca="1" si="10"/>
        <v>44281</v>
      </c>
      <c r="H355">
        <v>1</v>
      </c>
      <c r="I355">
        <v>1</v>
      </c>
      <c r="J355">
        <v>1</v>
      </c>
      <c r="K355" t="s">
        <v>97</v>
      </c>
    </row>
    <row r="356" spans="1:11" x14ac:dyDescent="0.25">
      <c r="A356" t="s">
        <v>71</v>
      </c>
      <c r="B356">
        <v>809</v>
      </c>
      <c r="C356">
        <v>16</v>
      </c>
      <c r="D356">
        <v>507</v>
      </c>
      <c r="E356">
        <v>1</v>
      </c>
      <c r="F356" s="55">
        <f t="shared" ca="1" si="10"/>
        <v>44281</v>
      </c>
      <c r="H356">
        <v>1</v>
      </c>
      <c r="I356">
        <v>1</v>
      </c>
      <c r="J356">
        <v>1</v>
      </c>
      <c r="K356" t="s">
        <v>97</v>
      </c>
    </row>
    <row r="357" spans="1:11" x14ac:dyDescent="0.25">
      <c r="A357" t="s">
        <v>71</v>
      </c>
      <c r="B357">
        <v>810</v>
      </c>
      <c r="C357">
        <v>16</v>
      </c>
      <c r="D357">
        <v>507</v>
      </c>
      <c r="E357">
        <v>1</v>
      </c>
      <c r="F357" s="55">
        <f t="shared" ca="1" si="10"/>
        <v>44281</v>
      </c>
      <c r="H357">
        <v>1</v>
      </c>
      <c r="I357">
        <v>1</v>
      </c>
      <c r="J357">
        <v>1</v>
      </c>
      <c r="K357" t="s">
        <v>97</v>
      </c>
    </row>
    <row r="358" spans="1:11" x14ac:dyDescent="0.25">
      <c r="A358" t="s">
        <v>71</v>
      </c>
      <c r="B358">
        <v>261</v>
      </c>
      <c r="C358">
        <v>16</v>
      </c>
      <c r="D358">
        <v>507</v>
      </c>
      <c r="E358">
        <v>1</v>
      </c>
      <c r="F358" s="55">
        <f ca="1">TODAY()</f>
        <v>44281</v>
      </c>
      <c r="H358">
        <v>1</v>
      </c>
      <c r="I358">
        <v>1</v>
      </c>
      <c r="J358">
        <v>1</v>
      </c>
      <c r="K358" t="s">
        <v>97</v>
      </c>
    </row>
    <row r="359" spans="1:11" x14ac:dyDescent="0.25">
      <c r="A359" t="s">
        <v>71</v>
      </c>
      <c r="B359">
        <v>262</v>
      </c>
      <c r="C359">
        <v>16</v>
      </c>
      <c r="D359">
        <v>507</v>
      </c>
      <c r="E359">
        <v>1</v>
      </c>
      <c r="F359" s="55">
        <f t="shared" ref="F359:F392" ca="1" si="11">TODAY()</f>
        <v>44281</v>
      </c>
      <c r="H359">
        <v>1</v>
      </c>
      <c r="I359">
        <v>1</v>
      </c>
      <c r="J359">
        <v>1</v>
      </c>
      <c r="K359" t="s">
        <v>97</v>
      </c>
    </row>
    <row r="360" spans="1:11" x14ac:dyDescent="0.25">
      <c r="A360" t="s">
        <v>71</v>
      </c>
      <c r="B360">
        <v>263</v>
      </c>
      <c r="C360">
        <v>16</v>
      </c>
      <c r="D360">
        <v>507</v>
      </c>
      <c r="E360">
        <v>1</v>
      </c>
      <c r="F360" s="55">
        <f t="shared" ca="1" si="11"/>
        <v>44281</v>
      </c>
      <c r="H360">
        <v>1</v>
      </c>
      <c r="I360">
        <v>1</v>
      </c>
      <c r="J360">
        <v>1</v>
      </c>
      <c r="K360" t="s">
        <v>97</v>
      </c>
    </row>
    <row r="361" spans="1:11" x14ac:dyDescent="0.25">
      <c r="A361" t="s">
        <v>71</v>
      </c>
      <c r="B361">
        <v>264</v>
      </c>
      <c r="C361">
        <v>16</v>
      </c>
      <c r="D361">
        <v>507</v>
      </c>
      <c r="E361">
        <v>1</v>
      </c>
      <c r="F361" s="55">
        <f t="shared" ca="1" si="11"/>
        <v>44281</v>
      </c>
      <c r="H361">
        <v>1</v>
      </c>
      <c r="I361">
        <v>1</v>
      </c>
      <c r="J361">
        <v>1</v>
      </c>
      <c r="K361" t="s">
        <v>97</v>
      </c>
    </row>
    <row r="362" spans="1:11" x14ac:dyDescent="0.25">
      <c r="A362" t="s">
        <v>71</v>
      </c>
      <c r="B362">
        <v>265</v>
      </c>
      <c r="C362">
        <v>16</v>
      </c>
      <c r="D362">
        <v>507</v>
      </c>
      <c r="E362">
        <v>1</v>
      </c>
      <c r="F362" s="55">
        <f t="shared" ca="1" si="11"/>
        <v>44281</v>
      </c>
      <c r="H362">
        <v>1</v>
      </c>
      <c r="I362">
        <v>1</v>
      </c>
      <c r="J362">
        <v>1</v>
      </c>
      <c r="K362" t="s">
        <v>97</v>
      </c>
    </row>
    <row r="363" spans="1:11" x14ac:dyDescent="0.25">
      <c r="A363" t="s">
        <v>71</v>
      </c>
      <c r="B363">
        <v>266</v>
      </c>
      <c r="C363">
        <v>16</v>
      </c>
      <c r="D363">
        <v>507</v>
      </c>
      <c r="E363">
        <v>1</v>
      </c>
      <c r="F363" s="55">
        <f t="shared" ca="1" si="11"/>
        <v>44281</v>
      </c>
      <c r="H363">
        <v>1</v>
      </c>
      <c r="I363">
        <v>1</v>
      </c>
      <c r="J363">
        <v>1</v>
      </c>
      <c r="K363" t="s">
        <v>97</v>
      </c>
    </row>
    <row r="364" spans="1:11" x14ac:dyDescent="0.25">
      <c r="A364" t="s">
        <v>71</v>
      </c>
      <c r="B364">
        <v>267</v>
      </c>
      <c r="C364">
        <v>16</v>
      </c>
      <c r="D364">
        <v>507</v>
      </c>
      <c r="E364">
        <v>1</v>
      </c>
      <c r="F364" s="55">
        <f t="shared" ca="1" si="11"/>
        <v>44281</v>
      </c>
      <c r="H364">
        <v>1</v>
      </c>
      <c r="I364">
        <v>1</v>
      </c>
      <c r="J364">
        <v>1</v>
      </c>
      <c r="K364" t="s">
        <v>97</v>
      </c>
    </row>
    <row r="365" spans="1:11" x14ac:dyDescent="0.25">
      <c r="A365" t="s">
        <v>71</v>
      </c>
      <c r="B365">
        <v>268</v>
      </c>
      <c r="C365">
        <v>16</v>
      </c>
      <c r="D365">
        <v>507</v>
      </c>
      <c r="E365">
        <v>1</v>
      </c>
      <c r="F365" s="55">
        <f t="shared" ca="1" si="11"/>
        <v>44281</v>
      </c>
      <c r="H365">
        <v>1</v>
      </c>
      <c r="I365">
        <v>1</v>
      </c>
      <c r="J365">
        <v>1</v>
      </c>
      <c r="K365" t="s">
        <v>97</v>
      </c>
    </row>
    <row r="366" spans="1:11" x14ac:dyDescent="0.25">
      <c r="A366" t="s">
        <v>71</v>
      </c>
      <c r="B366">
        <v>269</v>
      </c>
      <c r="C366">
        <v>16</v>
      </c>
      <c r="D366">
        <v>507</v>
      </c>
      <c r="E366">
        <v>1</v>
      </c>
      <c r="F366" s="55">
        <f t="shared" ca="1" si="11"/>
        <v>44281</v>
      </c>
      <c r="H366">
        <v>1</v>
      </c>
      <c r="I366">
        <v>1</v>
      </c>
      <c r="J366">
        <v>1</v>
      </c>
      <c r="K366" t="s">
        <v>97</v>
      </c>
    </row>
    <row r="367" spans="1:11" x14ac:dyDescent="0.25">
      <c r="A367" t="s">
        <v>71</v>
      </c>
      <c r="B367">
        <v>270</v>
      </c>
      <c r="C367">
        <v>16</v>
      </c>
      <c r="D367">
        <v>507</v>
      </c>
      <c r="E367">
        <v>1</v>
      </c>
      <c r="F367" s="55">
        <f t="shared" ca="1" si="11"/>
        <v>44281</v>
      </c>
      <c r="H367">
        <v>1</v>
      </c>
      <c r="I367">
        <v>1</v>
      </c>
      <c r="J367">
        <v>1</v>
      </c>
      <c r="K367" t="s">
        <v>97</v>
      </c>
    </row>
    <row r="368" spans="1:11" x14ac:dyDescent="0.25">
      <c r="A368" t="s">
        <v>71</v>
      </c>
      <c r="B368">
        <v>271</v>
      </c>
      <c r="C368">
        <v>16</v>
      </c>
      <c r="D368">
        <v>507</v>
      </c>
      <c r="E368">
        <v>1</v>
      </c>
      <c r="F368" s="55">
        <f t="shared" ca="1" si="11"/>
        <v>44281</v>
      </c>
      <c r="H368">
        <v>1</v>
      </c>
      <c r="I368">
        <v>1</v>
      </c>
      <c r="J368">
        <v>1</v>
      </c>
      <c r="K368" t="s">
        <v>97</v>
      </c>
    </row>
    <row r="369" spans="1:11" x14ac:dyDescent="0.25">
      <c r="A369" t="s">
        <v>71</v>
      </c>
      <c r="B369">
        <v>272</v>
      </c>
      <c r="C369">
        <v>16</v>
      </c>
      <c r="D369">
        <v>507</v>
      </c>
      <c r="E369">
        <v>1</v>
      </c>
      <c r="F369" s="55">
        <f t="shared" ca="1" si="11"/>
        <v>44281</v>
      </c>
      <c r="H369">
        <v>1</v>
      </c>
      <c r="I369">
        <v>1</v>
      </c>
      <c r="J369">
        <v>1</v>
      </c>
      <c r="K369" t="s">
        <v>97</v>
      </c>
    </row>
    <row r="370" spans="1:11" x14ac:dyDescent="0.25">
      <c r="A370" t="s">
        <v>71</v>
      </c>
      <c r="B370">
        <v>273</v>
      </c>
      <c r="C370">
        <v>16</v>
      </c>
      <c r="D370">
        <v>507</v>
      </c>
      <c r="E370">
        <v>1</v>
      </c>
      <c r="F370" s="55">
        <f t="shared" ca="1" si="11"/>
        <v>44281</v>
      </c>
      <c r="H370">
        <v>1</v>
      </c>
      <c r="I370">
        <v>1</v>
      </c>
      <c r="J370">
        <v>1</v>
      </c>
      <c r="K370" t="s">
        <v>97</v>
      </c>
    </row>
    <row r="371" spans="1:11" x14ac:dyDescent="0.25">
      <c r="A371" t="s">
        <v>71</v>
      </c>
      <c r="B371">
        <v>274</v>
      </c>
      <c r="C371">
        <v>16</v>
      </c>
      <c r="D371">
        <v>507</v>
      </c>
      <c r="E371">
        <v>1</v>
      </c>
      <c r="F371" s="55">
        <f t="shared" ca="1" si="11"/>
        <v>44281</v>
      </c>
      <c r="H371">
        <v>1</v>
      </c>
      <c r="I371">
        <v>1</v>
      </c>
      <c r="J371">
        <v>1</v>
      </c>
      <c r="K371" t="s">
        <v>97</v>
      </c>
    </row>
    <row r="372" spans="1:11" x14ac:dyDescent="0.25">
      <c r="A372" t="s">
        <v>71</v>
      </c>
      <c r="B372">
        <v>275</v>
      </c>
      <c r="C372">
        <v>16</v>
      </c>
      <c r="D372">
        <v>507</v>
      </c>
      <c r="E372">
        <v>1</v>
      </c>
      <c r="F372" s="55">
        <f t="shared" ca="1" si="11"/>
        <v>44281</v>
      </c>
      <c r="H372">
        <v>1</v>
      </c>
      <c r="I372">
        <v>1</v>
      </c>
      <c r="J372">
        <v>1</v>
      </c>
      <c r="K372" t="s">
        <v>97</v>
      </c>
    </row>
    <row r="373" spans="1:11" x14ac:dyDescent="0.25">
      <c r="A373" t="s">
        <v>71</v>
      </c>
      <c r="B373">
        <v>276</v>
      </c>
      <c r="C373">
        <v>16</v>
      </c>
      <c r="D373">
        <v>507</v>
      </c>
      <c r="E373">
        <v>1</v>
      </c>
      <c r="F373" s="55">
        <f t="shared" ca="1" si="11"/>
        <v>44281</v>
      </c>
      <c r="H373">
        <v>1</v>
      </c>
      <c r="I373">
        <v>1</v>
      </c>
      <c r="J373">
        <v>1</v>
      </c>
      <c r="K373" t="s">
        <v>97</v>
      </c>
    </row>
    <row r="374" spans="1:11" x14ac:dyDescent="0.25">
      <c r="A374" t="s">
        <v>71</v>
      </c>
      <c r="B374">
        <v>277</v>
      </c>
      <c r="C374">
        <v>16</v>
      </c>
      <c r="D374">
        <v>507</v>
      </c>
      <c r="E374">
        <v>1</v>
      </c>
      <c r="F374" s="55">
        <f t="shared" ca="1" si="11"/>
        <v>44281</v>
      </c>
      <c r="H374">
        <v>1</v>
      </c>
      <c r="I374">
        <v>1</v>
      </c>
      <c r="J374">
        <v>1</v>
      </c>
      <c r="K374" t="s">
        <v>97</v>
      </c>
    </row>
    <row r="375" spans="1:11" x14ac:dyDescent="0.25">
      <c r="A375" t="s">
        <v>71</v>
      </c>
      <c r="B375">
        <v>278</v>
      </c>
      <c r="C375">
        <v>16</v>
      </c>
      <c r="D375">
        <v>507</v>
      </c>
      <c r="E375">
        <v>1</v>
      </c>
      <c r="F375" s="55">
        <f t="shared" ca="1" si="11"/>
        <v>44281</v>
      </c>
      <c r="H375">
        <v>1</v>
      </c>
      <c r="I375">
        <v>1</v>
      </c>
      <c r="J375">
        <v>1</v>
      </c>
      <c r="K375" t="s">
        <v>97</v>
      </c>
    </row>
    <row r="376" spans="1:11" x14ac:dyDescent="0.25">
      <c r="A376" t="s">
        <v>71</v>
      </c>
      <c r="B376">
        <v>279</v>
      </c>
      <c r="C376">
        <v>16</v>
      </c>
      <c r="D376">
        <v>507</v>
      </c>
      <c r="E376">
        <v>1</v>
      </c>
      <c r="F376" s="55">
        <f t="shared" ca="1" si="11"/>
        <v>44281</v>
      </c>
      <c r="H376">
        <v>1</v>
      </c>
      <c r="I376">
        <v>1</v>
      </c>
      <c r="J376">
        <v>1</v>
      </c>
      <c r="K376" t="s">
        <v>97</v>
      </c>
    </row>
    <row r="377" spans="1:11" x14ac:dyDescent="0.25">
      <c r="A377" t="s">
        <v>71</v>
      </c>
      <c r="B377">
        <v>280</v>
      </c>
      <c r="C377">
        <v>16</v>
      </c>
      <c r="D377">
        <v>507</v>
      </c>
      <c r="E377">
        <v>1</v>
      </c>
      <c r="F377" s="55">
        <f t="shared" ca="1" si="11"/>
        <v>44281</v>
      </c>
      <c r="H377">
        <v>1</v>
      </c>
      <c r="I377">
        <v>1</v>
      </c>
      <c r="J377">
        <v>1</v>
      </c>
      <c r="K377" t="s">
        <v>97</v>
      </c>
    </row>
    <row r="378" spans="1:11" x14ac:dyDescent="0.25">
      <c r="A378" t="s">
        <v>71</v>
      </c>
      <c r="B378">
        <v>281</v>
      </c>
      <c r="C378">
        <v>16</v>
      </c>
      <c r="D378">
        <v>507</v>
      </c>
      <c r="E378">
        <v>1</v>
      </c>
      <c r="F378" s="55">
        <f t="shared" ca="1" si="11"/>
        <v>44281</v>
      </c>
      <c r="H378">
        <v>1</v>
      </c>
      <c r="I378">
        <v>1</v>
      </c>
      <c r="J378">
        <v>1</v>
      </c>
      <c r="K378" t="s">
        <v>97</v>
      </c>
    </row>
    <row r="379" spans="1:11" x14ac:dyDescent="0.25">
      <c r="A379" t="s">
        <v>71</v>
      </c>
      <c r="B379">
        <v>282</v>
      </c>
      <c r="C379">
        <v>16</v>
      </c>
      <c r="D379">
        <v>507</v>
      </c>
      <c r="E379">
        <v>1</v>
      </c>
      <c r="F379" s="55">
        <f t="shared" ca="1" si="11"/>
        <v>44281</v>
      </c>
      <c r="H379">
        <v>1</v>
      </c>
      <c r="I379">
        <v>1</v>
      </c>
      <c r="J379">
        <v>1</v>
      </c>
      <c r="K379" t="s">
        <v>97</v>
      </c>
    </row>
    <row r="380" spans="1:11" x14ac:dyDescent="0.25">
      <c r="A380" t="s">
        <v>71</v>
      </c>
      <c r="B380">
        <v>283</v>
      </c>
      <c r="C380">
        <v>16</v>
      </c>
      <c r="D380">
        <v>507</v>
      </c>
      <c r="E380">
        <v>1</v>
      </c>
      <c r="F380" s="55">
        <f t="shared" ca="1" si="11"/>
        <v>44281</v>
      </c>
      <c r="H380">
        <v>1</v>
      </c>
      <c r="I380">
        <v>1</v>
      </c>
      <c r="J380">
        <v>1</v>
      </c>
      <c r="K380" t="s">
        <v>97</v>
      </c>
    </row>
    <row r="381" spans="1:11" x14ac:dyDescent="0.25">
      <c r="A381" t="s">
        <v>71</v>
      </c>
      <c r="B381">
        <v>284</v>
      </c>
      <c r="C381">
        <v>16</v>
      </c>
      <c r="D381">
        <v>507</v>
      </c>
      <c r="E381">
        <v>1</v>
      </c>
      <c r="F381" s="55">
        <f t="shared" ca="1" si="11"/>
        <v>44281</v>
      </c>
      <c r="H381">
        <v>1</v>
      </c>
      <c r="I381">
        <v>1</v>
      </c>
      <c r="J381">
        <v>1</v>
      </c>
      <c r="K381" t="s">
        <v>97</v>
      </c>
    </row>
    <row r="382" spans="1:11" x14ac:dyDescent="0.25">
      <c r="A382" t="s">
        <v>71</v>
      </c>
      <c r="B382">
        <v>285</v>
      </c>
      <c r="C382">
        <v>16</v>
      </c>
      <c r="D382">
        <v>507</v>
      </c>
      <c r="E382">
        <v>1</v>
      </c>
      <c r="F382" s="55">
        <f t="shared" ca="1" si="11"/>
        <v>44281</v>
      </c>
      <c r="H382">
        <v>1</v>
      </c>
      <c r="I382">
        <v>1</v>
      </c>
      <c r="J382">
        <v>1</v>
      </c>
      <c r="K382" t="s">
        <v>97</v>
      </c>
    </row>
    <row r="383" spans="1:11" x14ac:dyDescent="0.25">
      <c r="A383" t="s">
        <v>71</v>
      </c>
      <c r="B383">
        <v>286</v>
      </c>
      <c r="C383">
        <v>16</v>
      </c>
      <c r="D383">
        <v>507</v>
      </c>
      <c r="E383">
        <v>1</v>
      </c>
      <c r="F383" s="55">
        <f t="shared" ca="1" si="11"/>
        <v>44281</v>
      </c>
      <c r="H383">
        <v>1</v>
      </c>
      <c r="I383">
        <v>1</v>
      </c>
      <c r="J383">
        <v>1</v>
      </c>
      <c r="K383" t="s">
        <v>97</v>
      </c>
    </row>
    <row r="384" spans="1:11" x14ac:dyDescent="0.25">
      <c r="A384" t="s">
        <v>71</v>
      </c>
      <c r="B384">
        <v>287</v>
      </c>
      <c r="C384">
        <v>16</v>
      </c>
      <c r="D384">
        <v>507</v>
      </c>
      <c r="E384">
        <v>1</v>
      </c>
      <c r="F384" s="55">
        <f t="shared" ca="1" si="11"/>
        <v>44281</v>
      </c>
      <c r="H384">
        <v>1</v>
      </c>
      <c r="I384">
        <v>1</v>
      </c>
      <c r="J384">
        <v>1</v>
      </c>
      <c r="K384" t="s">
        <v>97</v>
      </c>
    </row>
    <row r="385" spans="1:11" x14ac:dyDescent="0.25">
      <c r="A385" t="s">
        <v>71</v>
      </c>
      <c r="B385">
        <v>288</v>
      </c>
      <c r="C385">
        <v>16</v>
      </c>
      <c r="D385">
        <v>507</v>
      </c>
      <c r="E385">
        <v>1</v>
      </c>
      <c r="F385" s="55">
        <f t="shared" ca="1" si="11"/>
        <v>44281</v>
      </c>
      <c r="H385">
        <v>1</v>
      </c>
      <c r="I385">
        <v>1</v>
      </c>
      <c r="J385">
        <v>1</v>
      </c>
      <c r="K385" t="s">
        <v>97</v>
      </c>
    </row>
    <row r="386" spans="1:11" x14ac:dyDescent="0.25">
      <c r="A386" t="s">
        <v>71</v>
      </c>
      <c r="B386">
        <v>289</v>
      </c>
      <c r="C386">
        <v>16</v>
      </c>
      <c r="D386">
        <v>507</v>
      </c>
      <c r="E386">
        <v>1</v>
      </c>
      <c r="F386" s="55">
        <f t="shared" ca="1" si="11"/>
        <v>44281</v>
      </c>
      <c r="H386">
        <v>1</v>
      </c>
      <c r="I386">
        <v>1</v>
      </c>
      <c r="J386">
        <v>1</v>
      </c>
      <c r="K386" t="s">
        <v>97</v>
      </c>
    </row>
    <row r="387" spans="1:11" x14ac:dyDescent="0.25">
      <c r="A387" t="s">
        <v>71</v>
      </c>
      <c r="B387">
        <v>290</v>
      </c>
      <c r="C387">
        <v>16</v>
      </c>
      <c r="D387">
        <v>507</v>
      </c>
      <c r="E387">
        <v>1</v>
      </c>
      <c r="F387" s="55">
        <f t="shared" ca="1" si="11"/>
        <v>44281</v>
      </c>
      <c r="H387">
        <v>1</v>
      </c>
      <c r="I387">
        <v>1</v>
      </c>
      <c r="J387">
        <v>1</v>
      </c>
      <c r="K387" t="s">
        <v>97</v>
      </c>
    </row>
    <row r="388" spans="1:11" x14ac:dyDescent="0.25">
      <c r="A388" t="s">
        <v>71</v>
      </c>
      <c r="B388">
        <v>891</v>
      </c>
      <c r="C388">
        <v>16</v>
      </c>
      <c r="D388">
        <v>507</v>
      </c>
      <c r="E388">
        <v>1</v>
      </c>
      <c r="F388" s="55">
        <f t="shared" ca="1" si="11"/>
        <v>44281</v>
      </c>
      <c r="H388">
        <v>1</v>
      </c>
      <c r="I388">
        <v>1</v>
      </c>
      <c r="J388">
        <v>1</v>
      </c>
      <c r="K388" t="s">
        <v>97</v>
      </c>
    </row>
    <row r="389" spans="1:11" x14ac:dyDescent="0.25">
      <c r="A389" t="s">
        <v>71</v>
      </c>
      <c r="B389">
        <v>892</v>
      </c>
      <c r="C389">
        <v>16</v>
      </c>
      <c r="D389">
        <v>507</v>
      </c>
      <c r="E389">
        <v>1</v>
      </c>
      <c r="F389" s="55">
        <f t="shared" ca="1" si="11"/>
        <v>44281</v>
      </c>
      <c r="H389">
        <v>1</v>
      </c>
      <c r="I389">
        <v>1</v>
      </c>
      <c r="J389">
        <v>1</v>
      </c>
      <c r="K389" t="s">
        <v>97</v>
      </c>
    </row>
    <row r="390" spans="1:11" x14ac:dyDescent="0.25">
      <c r="A390" t="s">
        <v>71</v>
      </c>
      <c r="B390">
        <v>893</v>
      </c>
      <c r="C390">
        <v>16</v>
      </c>
      <c r="D390">
        <v>507</v>
      </c>
      <c r="E390">
        <v>1</v>
      </c>
      <c r="F390" s="55">
        <f t="shared" ca="1" si="11"/>
        <v>44281</v>
      </c>
      <c r="H390">
        <v>1</v>
      </c>
      <c r="I390">
        <v>1</v>
      </c>
      <c r="J390">
        <v>1</v>
      </c>
      <c r="K390" t="s">
        <v>97</v>
      </c>
    </row>
    <row r="391" spans="1:11" x14ac:dyDescent="0.25">
      <c r="A391" t="s">
        <v>71</v>
      </c>
      <c r="B391">
        <v>894</v>
      </c>
      <c r="C391">
        <v>16</v>
      </c>
      <c r="D391">
        <v>507</v>
      </c>
      <c r="E391">
        <v>1</v>
      </c>
      <c r="F391" s="55">
        <f t="shared" ca="1" si="11"/>
        <v>44281</v>
      </c>
      <c r="H391">
        <v>1</v>
      </c>
      <c r="I391">
        <v>1</v>
      </c>
      <c r="J391">
        <v>1</v>
      </c>
      <c r="K391" t="s">
        <v>97</v>
      </c>
    </row>
    <row r="392" spans="1:11" x14ac:dyDescent="0.25">
      <c r="A392" t="s">
        <v>71</v>
      </c>
      <c r="B392">
        <v>895</v>
      </c>
      <c r="C392">
        <v>16</v>
      </c>
      <c r="D392">
        <v>507</v>
      </c>
      <c r="E392">
        <v>1</v>
      </c>
      <c r="F392" s="55">
        <f t="shared" ca="1" si="11"/>
        <v>44281</v>
      </c>
      <c r="H392">
        <v>1</v>
      </c>
      <c r="I392">
        <v>1</v>
      </c>
      <c r="J392">
        <v>1</v>
      </c>
      <c r="K392" t="s">
        <v>97</v>
      </c>
    </row>
    <row r="393" spans="1:11" x14ac:dyDescent="0.25">
      <c r="A393" t="s">
        <v>71</v>
      </c>
      <c r="B393">
        <v>291</v>
      </c>
      <c r="C393">
        <v>16</v>
      </c>
      <c r="D393">
        <v>507</v>
      </c>
      <c r="E393">
        <v>1</v>
      </c>
      <c r="F393" s="55">
        <f ca="1">TODAY()</f>
        <v>44281</v>
      </c>
      <c r="H393">
        <v>1</v>
      </c>
      <c r="I393">
        <v>1</v>
      </c>
      <c r="J393">
        <v>1</v>
      </c>
      <c r="K393" t="s">
        <v>97</v>
      </c>
    </row>
    <row r="394" spans="1:11" x14ac:dyDescent="0.25">
      <c r="A394" t="s">
        <v>71</v>
      </c>
      <c r="B394">
        <v>292</v>
      </c>
      <c r="C394">
        <v>16</v>
      </c>
      <c r="D394">
        <v>507</v>
      </c>
      <c r="E394">
        <v>1</v>
      </c>
      <c r="F394" s="55">
        <f t="shared" ref="F394:F427" ca="1" si="12">TODAY()</f>
        <v>44281</v>
      </c>
      <c r="H394">
        <v>1</v>
      </c>
      <c r="I394">
        <v>1</v>
      </c>
      <c r="J394">
        <v>1</v>
      </c>
      <c r="K394" t="s">
        <v>97</v>
      </c>
    </row>
    <row r="395" spans="1:11" x14ac:dyDescent="0.25">
      <c r="A395" t="s">
        <v>71</v>
      </c>
      <c r="B395">
        <v>293</v>
      </c>
      <c r="C395">
        <v>16</v>
      </c>
      <c r="D395">
        <v>507</v>
      </c>
      <c r="E395">
        <v>1</v>
      </c>
      <c r="F395" s="55">
        <f t="shared" ca="1" si="12"/>
        <v>44281</v>
      </c>
      <c r="H395">
        <v>1</v>
      </c>
      <c r="I395">
        <v>1</v>
      </c>
      <c r="J395">
        <v>1</v>
      </c>
      <c r="K395" t="s">
        <v>97</v>
      </c>
    </row>
    <row r="396" spans="1:11" x14ac:dyDescent="0.25">
      <c r="A396" t="s">
        <v>71</v>
      </c>
      <c r="B396">
        <v>294</v>
      </c>
      <c r="C396">
        <v>16</v>
      </c>
      <c r="D396">
        <v>507</v>
      </c>
      <c r="E396">
        <v>1</v>
      </c>
      <c r="F396" s="55">
        <f t="shared" ca="1" si="12"/>
        <v>44281</v>
      </c>
      <c r="H396">
        <v>1</v>
      </c>
      <c r="I396">
        <v>1</v>
      </c>
      <c r="J396">
        <v>1</v>
      </c>
      <c r="K396" t="s">
        <v>97</v>
      </c>
    </row>
    <row r="397" spans="1:11" x14ac:dyDescent="0.25">
      <c r="A397" t="s">
        <v>71</v>
      </c>
      <c r="B397">
        <v>295</v>
      </c>
      <c r="C397">
        <v>16</v>
      </c>
      <c r="D397">
        <v>507</v>
      </c>
      <c r="E397">
        <v>1</v>
      </c>
      <c r="F397" s="55">
        <f t="shared" ca="1" si="12"/>
        <v>44281</v>
      </c>
      <c r="H397">
        <v>1</v>
      </c>
      <c r="I397">
        <v>1</v>
      </c>
      <c r="J397">
        <v>1</v>
      </c>
      <c r="K397" t="s">
        <v>97</v>
      </c>
    </row>
    <row r="398" spans="1:11" x14ac:dyDescent="0.25">
      <c r="A398" t="s">
        <v>71</v>
      </c>
      <c r="B398">
        <v>296</v>
      </c>
      <c r="C398">
        <v>16</v>
      </c>
      <c r="D398">
        <v>507</v>
      </c>
      <c r="E398">
        <v>1</v>
      </c>
      <c r="F398" s="55">
        <f t="shared" ca="1" si="12"/>
        <v>44281</v>
      </c>
      <c r="H398">
        <v>1</v>
      </c>
      <c r="I398">
        <v>1</v>
      </c>
      <c r="J398">
        <v>1</v>
      </c>
      <c r="K398" t="s">
        <v>97</v>
      </c>
    </row>
    <row r="399" spans="1:11" x14ac:dyDescent="0.25">
      <c r="A399" t="s">
        <v>71</v>
      </c>
      <c r="B399">
        <v>297</v>
      </c>
      <c r="C399">
        <v>16</v>
      </c>
      <c r="D399">
        <v>507</v>
      </c>
      <c r="E399">
        <v>1</v>
      </c>
      <c r="F399" s="55">
        <f t="shared" ca="1" si="12"/>
        <v>44281</v>
      </c>
      <c r="H399">
        <v>1</v>
      </c>
      <c r="I399">
        <v>1</v>
      </c>
      <c r="J399">
        <v>1</v>
      </c>
      <c r="K399" t="s">
        <v>97</v>
      </c>
    </row>
    <row r="400" spans="1:11" x14ac:dyDescent="0.25">
      <c r="A400" t="s">
        <v>71</v>
      </c>
      <c r="B400">
        <v>298</v>
      </c>
      <c r="C400">
        <v>16</v>
      </c>
      <c r="D400">
        <v>507</v>
      </c>
      <c r="E400">
        <v>1</v>
      </c>
      <c r="F400" s="55">
        <f t="shared" ca="1" si="12"/>
        <v>44281</v>
      </c>
      <c r="H400">
        <v>1</v>
      </c>
      <c r="I400">
        <v>1</v>
      </c>
      <c r="J400">
        <v>1</v>
      </c>
      <c r="K400" t="s">
        <v>97</v>
      </c>
    </row>
    <row r="401" spans="1:11" x14ac:dyDescent="0.25">
      <c r="A401" t="s">
        <v>71</v>
      </c>
      <c r="B401">
        <v>299</v>
      </c>
      <c r="C401">
        <v>16</v>
      </c>
      <c r="D401">
        <v>507</v>
      </c>
      <c r="E401">
        <v>1</v>
      </c>
      <c r="F401" s="55">
        <f t="shared" ca="1" si="12"/>
        <v>44281</v>
      </c>
      <c r="H401">
        <v>1</v>
      </c>
      <c r="I401">
        <v>1</v>
      </c>
      <c r="J401">
        <v>1</v>
      </c>
      <c r="K401" t="s">
        <v>97</v>
      </c>
    </row>
    <row r="402" spans="1:11" x14ac:dyDescent="0.25">
      <c r="A402" t="s">
        <v>71</v>
      </c>
      <c r="B402">
        <v>300</v>
      </c>
      <c r="C402">
        <v>16</v>
      </c>
      <c r="D402">
        <v>507</v>
      </c>
      <c r="E402">
        <v>1</v>
      </c>
      <c r="F402" s="55">
        <f t="shared" ca="1" si="12"/>
        <v>44281</v>
      </c>
      <c r="H402">
        <v>1</v>
      </c>
      <c r="I402">
        <v>1</v>
      </c>
      <c r="J402">
        <v>1</v>
      </c>
      <c r="K402" t="s">
        <v>97</v>
      </c>
    </row>
    <row r="403" spans="1:11" x14ac:dyDescent="0.25">
      <c r="A403" t="s">
        <v>71</v>
      </c>
      <c r="B403">
        <v>301</v>
      </c>
      <c r="C403">
        <v>16</v>
      </c>
      <c r="D403">
        <v>507</v>
      </c>
      <c r="E403">
        <v>1</v>
      </c>
      <c r="F403" s="55">
        <f t="shared" ca="1" si="12"/>
        <v>44281</v>
      </c>
      <c r="H403">
        <v>1</v>
      </c>
      <c r="I403">
        <v>1</v>
      </c>
      <c r="J403">
        <v>1</v>
      </c>
      <c r="K403" t="s">
        <v>97</v>
      </c>
    </row>
    <row r="404" spans="1:11" x14ac:dyDescent="0.25">
      <c r="A404" t="s">
        <v>71</v>
      </c>
      <c r="B404">
        <v>302</v>
      </c>
      <c r="C404">
        <v>16</v>
      </c>
      <c r="D404">
        <v>507</v>
      </c>
      <c r="E404">
        <v>1</v>
      </c>
      <c r="F404" s="55">
        <f t="shared" ca="1" si="12"/>
        <v>44281</v>
      </c>
      <c r="H404">
        <v>1</v>
      </c>
      <c r="I404">
        <v>1</v>
      </c>
      <c r="J404">
        <v>1</v>
      </c>
      <c r="K404" t="s">
        <v>97</v>
      </c>
    </row>
    <row r="405" spans="1:11" x14ac:dyDescent="0.25">
      <c r="A405" t="s">
        <v>71</v>
      </c>
      <c r="B405">
        <v>303</v>
      </c>
      <c r="C405">
        <v>16</v>
      </c>
      <c r="D405">
        <v>507</v>
      </c>
      <c r="E405">
        <v>1</v>
      </c>
      <c r="F405" s="55">
        <f t="shared" ca="1" si="12"/>
        <v>44281</v>
      </c>
      <c r="H405">
        <v>1</v>
      </c>
      <c r="I405">
        <v>1</v>
      </c>
      <c r="J405">
        <v>1</v>
      </c>
      <c r="K405" t="s">
        <v>97</v>
      </c>
    </row>
    <row r="406" spans="1:11" x14ac:dyDescent="0.25">
      <c r="A406" t="s">
        <v>71</v>
      </c>
      <c r="B406">
        <v>304</v>
      </c>
      <c r="C406">
        <v>16</v>
      </c>
      <c r="D406">
        <v>507</v>
      </c>
      <c r="E406">
        <v>1</v>
      </c>
      <c r="F406" s="55">
        <f t="shared" ca="1" si="12"/>
        <v>44281</v>
      </c>
      <c r="H406">
        <v>1</v>
      </c>
      <c r="I406">
        <v>1</v>
      </c>
      <c r="J406">
        <v>1</v>
      </c>
      <c r="K406" t="s">
        <v>97</v>
      </c>
    </row>
    <row r="407" spans="1:11" x14ac:dyDescent="0.25">
      <c r="A407" t="s">
        <v>71</v>
      </c>
      <c r="B407">
        <v>305</v>
      </c>
      <c r="C407">
        <v>16</v>
      </c>
      <c r="D407">
        <v>507</v>
      </c>
      <c r="E407">
        <v>1</v>
      </c>
      <c r="F407" s="55">
        <f t="shared" ca="1" si="12"/>
        <v>44281</v>
      </c>
      <c r="H407">
        <v>1</v>
      </c>
      <c r="I407">
        <v>1</v>
      </c>
      <c r="J407">
        <v>1</v>
      </c>
      <c r="K407" t="s">
        <v>97</v>
      </c>
    </row>
    <row r="408" spans="1:11" x14ac:dyDescent="0.25">
      <c r="A408" t="s">
        <v>71</v>
      </c>
      <c r="B408">
        <v>306</v>
      </c>
      <c r="C408">
        <v>16</v>
      </c>
      <c r="D408">
        <v>507</v>
      </c>
      <c r="E408">
        <v>1</v>
      </c>
      <c r="F408" s="55">
        <f t="shared" ca="1" si="12"/>
        <v>44281</v>
      </c>
      <c r="H408">
        <v>1</v>
      </c>
      <c r="I408">
        <v>1</v>
      </c>
      <c r="J408">
        <v>1</v>
      </c>
      <c r="K408" t="s">
        <v>97</v>
      </c>
    </row>
    <row r="409" spans="1:11" x14ac:dyDescent="0.25">
      <c r="A409" t="s">
        <v>71</v>
      </c>
      <c r="B409">
        <v>307</v>
      </c>
      <c r="C409">
        <v>16</v>
      </c>
      <c r="D409">
        <v>507</v>
      </c>
      <c r="E409">
        <v>1</v>
      </c>
      <c r="F409" s="55">
        <f t="shared" ca="1" si="12"/>
        <v>44281</v>
      </c>
      <c r="H409">
        <v>1</v>
      </c>
      <c r="I409">
        <v>1</v>
      </c>
      <c r="J409">
        <v>1</v>
      </c>
      <c r="K409" t="s">
        <v>97</v>
      </c>
    </row>
    <row r="410" spans="1:11" x14ac:dyDescent="0.25">
      <c r="A410" t="s">
        <v>71</v>
      </c>
      <c r="B410">
        <v>308</v>
      </c>
      <c r="C410">
        <v>16</v>
      </c>
      <c r="D410">
        <v>507</v>
      </c>
      <c r="E410">
        <v>1</v>
      </c>
      <c r="F410" s="55">
        <f t="shared" ca="1" si="12"/>
        <v>44281</v>
      </c>
      <c r="H410">
        <v>1</v>
      </c>
      <c r="I410">
        <v>1</v>
      </c>
      <c r="J410">
        <v>1</v>
      </c>
      <c r="K410" t="s">
        <v>97</v>
      </c>
    </row>
    <row r="411" spans="1:11" x14ac:dyDescent="0.25">
      <c r="A411" t="s">
        <v>71</v>
      </c>
      <c r="B411">
        <v>309</v>
      </c>
      <c r="C411">
        <v>16</v>
      </c>
      <c r="D411">
        <v>507</v>
      </c>
      <c r="E411">
        <v>1</v>
      </c>
      <c r="F411" s="55">
        <f t="shared" ca="1" si="12"/>
        <v>44281</v>
      </c>
      <c r="H411">
        <v>1</v>
      </c>
      <c r="I411">
        <v>1</v>
      </c>
      <c r="J411">
        <v>1</v>
      </c>
      <c r="K411" t="s">
        <v>97</v>
      </c>
    </row>
    <row r="412" spans="1:11" x14ac:dyDescent="0.25">
      <c r="A412" t="s">
        <v>71</v>
      </c>
      <c r="B412">
        <v>310</v>
      </c>
      <c r="C412">
        <v>16</v>
      </c>
      <c r="D412">
        <v>507</v>
      </c>
      <c r="E412">
        <v>1</v>
      </c>
      <c r="F412" s="55">
        <f t="shared" ca="1" si="12"/>
        <v>44281</v>
      </c>
      <c r="H412">
        <v>1</v>
      </c>
      <c r="I412">
        <v>1</v>
      </c>
      <c r="J412">
        <v>1</v>
      </c>
      <c r="K412" t="s">
        <v>97</v>
      </c>
    </row>
    <row r="413" spans="1:11" x14ac:dyDescent="0.25">
      <c r="A413" t="s">
        <v>71</v>
      </c>
      <c r="B413">
        <v>311</v>
      </c>
      <c r="C413">
        <v>16</v>
      </c>
      <c r="D413">
        <v>507</v>
      </c>
      <c r="E413">
        <v>1</v>
      </c>
      <c r="F413" s="55">
        <f t="shared" ca="1" si="12"/>
        <v>44281</v>
      </c>
      <c r="H413">
        <v>1</v>
      </c>
      <c r="I413">
        <v>1</v>
      </c>
      <c r="J413">
        <v>1</v>
      </c>
      <c r="K413" t="s">
        <v>97</v>
      </c>
    </row>
    <row r="414" spans="1:11" x14ac:dyDescent="0.25">
      <c r="A414" t="s">
        <v>71</v>
      </c>
      <c r="B414">
        <v>312</v>
      </c>
      <c r="C414">
        <v>16</v>
      </c>
      <c r="D414">
        <v>507</v>
      </c>
      <c r="E414">
        <v>1</v>
      </c>
      <c r="F414" s="55">
        <f t="shared" ca="1" si="12"/>
        <v>44281</v>
      </c>
      <c r="H414">
        <v>1</v>
      </c>
      <c r="I414">
        <v>1</v>
      </c>
      <c r="J414">
        <v>1</v>
      </c>
      <c r="K414" t="s">
        <v>97</v>
      </c>
    </row>
    <row r="415" spans="1:11" x14ac:dyDescent="0.25">
      <c r="A415" t="s">
        <v>71</v>
      </c>
      <c r="B415">
        <v>313</v>
      </c>
      <c r="C415">
        <v>16</v>
      </c>
      <c r="D415">
        <v>507</v>
      </c>
      <c r="E415">
        <v>1</v>
      </c>
      <c r="F415" s="55">
        <f t="shared" ca="1" si="12"/>
        <v>44281</v>
      </c>
      <c r="H415">
        <v>1</v>
      </c>
      <c r="I415">
        <v>1</v>
      </c>
      <c r="J415">
        <v>1</v>
      </c>
      <c r="K415" t="s">
        <v>97</v>
      </c>
    </row>
    <row r="416" spans="1:11" x14ac:dyDescent="0.25">
      <c r="A416" t="s">
        <v>71</v>
      </c>
      <c r="B416">
        <v>314</v>
      </c>
      <c r="C416">
        <v>16</v>
      </c>
      <c r="D416">
        <v>507</v>
      </c>
      <c r="E416">
        <v>1</v>
      </c>
      <c r="F416" s="55">
        <f t="shared" ca="1" si="12"/>
        <v>44281</v>
      </c>
      <c r="H416">
        <v>1</v>
      </c>
      <c r="I416">
        <v>1</v>
      </c>
      <c r="J416">
        <v>1</v>
      </c>
      <c r="K416" t="s">
        <v>97</v>
      </c>
    </row>
    <row r="417" spans="1:11" x14ac:dyDescent="0.25">
      <c r="A417" t="s">
        <v>71</v>
      </c>
      <c r="B417">
        <v>315</v>
      </c>
      <c r="C417">
        <v>16</v>
      </c>
      <c r="D417">
        <v>507</v>
      </c>
      <c r="E417">
        <v>1</v>
      </c>
      <c r="F417" s="55">
        <f t="shared" ca="1" si="12"/>
        <v>44281</v>
      </c>
      <c r="H417">
        <v>1</v>
      </c>
      <c r="I417">
        <v>1</v>
      </c>
      <c r="J417">
        <v>1</v>
      </c>
      <c r="K417" t="s">
        <v>97</v>
      </c>
    </row>
    <row r="418" spans="1:11" x14ac:dyDescent="0.25">
      <c r="A418" t="s">
        <v>71</v>
      </c>
      <c r="B418">
        <v>316</v>
      </c>
      <c r="C418">
        <v>16</v>
      </c>
      <c r="D418">
        <v>507</v>
      </c>
      <c r="E418">
        <v>1</v>
      </c>
      <c r="F418" s="55">
        <f t="shared" ca="1" si="12"/>
        <v>44281</v>
      </c>
      <c r="H418">
        <v>1</v>
      </c>
      <c r="I418">
        <v>1</v>
      </c>
      <c r="J418">
        <v>1</v>
      </c>
      <c r="K418" t="s">
        <v>97</v>
      </c>
    </row>
    <row r="419" spans="1:11" x14ac:dyDescent="0.25">
      <c r="A419" t="s">
        <v>71</v>
      </c>
      <c r="B419">
        <v>317</v>
      </c>
      <c r="C419">
        <v>16</v>
      </c>
      <c r="D419">
        <v>507</v>
      </c>
      <c r="E419">
        <v>1</v>
      </c>
      <c r="F419" s="55">
        <f t="shared" ca="1" si="12"/>
        <v>44281</v>
      </c>
      <c r="H419">
        <v>1</v>
      </c>
      <c r="I419">
        <v>1</v>
      </c>
      <c r="J419">
        <v>1</v>
      </c>
      <c r="K419" t="s">
        <v>97</v>
      </c>
    </row>
    <row r="420" spans="1:11" x14ac:dyDescent="0.25">
      <c r="A420" t="s">
        <v>71</v>
      </c>
      <c r="B420">
        <v>318</v>
      </c>
      <c r="C420">
        <v>16</v>
      </c>
      <c r="D420">
        <v>507</v>
      </c>
      <c r="E420">
        <v>1</v>
      </c>
      <c r="F420" s="55">
        <f t="shared" ca="1" si="12"/>
        <v>44281</v>
      </c>
      <c r="H420">
        <v>1</v>
      </c>
      <c r="I420">
        <v>1</v>
      </c>
      <c r="J420">
        <v>1</v>
      </c>
      <c r="K420" t="s">
        <v>97</v>
      </c>
    </row>
    <row r="421" spans="1:11" x14ac:dyDescent="0.25">
      <c r="A421" t="s">
        <v>71</v>
      </c>
      <c r="B421">
        <v>319</v>
      </c>
      <c r="C421">
        <v>16</v>
      </c>
      <c r="D421">
        <v>507</v>
      </c>
      <c r="E421">
        <v>1</v>
      </c>
      <c r="F421" s="55">
        <f t="shared" ca="1" si="12"/>
        <v>44281</v>
      </c>
      <c r="H421">
        <v>1</v>
      </c>
      <c r="I421">
        <v>1</v>
      </c>
      <c r="J421">
        <v>1</v>
      </c>
      <c r="K421" t="s">
        <v>97</v>
      </c>
    </row>
    <row r="422" spans="1:11" x14ac:dyDescent="0.25">
      <c r="A422" t="s">
        <v>71</v>
      </c>
      <c r="B422">
        <v>320</v>
      </c>
      <c r="C422">
        <v>16</v>
      </c>
      <c r="D422">
        <v>507</v>
      </c>
      <c r="E422">
        <v>1</v>
      </c>
      <c r="F422" s="55">
        <f t="shared" ca="1" si="12"/>
        <v>44281</v>
      </c>
      <c r="H422">
        <v>1</v>
      </c>
      <c r="I422">
        <v>1</v>
      </c>
      <c r="J422">
        <v>1</v>
      </c>
      <c r="K422" t="s">
        <v>97</v>
      </c>
    </row>
    <row r="423" spans="1:11" x14ac:dyDescent="0.25">
      <c r="A423" t="s">
        <v>71</v>
      </c>
      <c r="B423">
        <v>896</v>
      </c>
      <c r="C423">
        <v>16</v>
      </c>
      <c r="D423">
        <v>507</v>
      </c>
      <c r="E423">
        <v>1</v>
      </c>
      <c r="F423" s="55">
        <f t="shared" ca="1" si="12"/>
        <v>44281</v>
      </c>
      <c r="H423">
        <v>1</v>
      </c>
      <c r="I423">
        <v>1</v>
      </c>
      <c r="J423">
        <v>1</v>
      </c>
      <c r="K423" t="s">
        <v>97</v>
      </c>
    </row>
    <row r="424" spans="1:11" x14ac:dyDescent="0.25">
      <c r="A424" t="s">
        <v>71</v>
      </c>
      <c r="B424">
        <v>897</v>
      </c>
      <c r="C424">
        <v>16</v>
      </c>
      <c r="D424">
        <v>507</v>
      </c>
      <c r="E424">
        <v>1</v>
      </c>
      <c r="F424" s="55">
        <f t="shared" ca="1" si="12"/>
        <v>44281</v>
      </c>
      <c r="H424">
        <v>1</v>
      </c>
      <c r="I424">
        <v>1</v>
      </c>
      <c r="J424">
        <v>1</v>
      </c>
      <c r="K424" t="s">
        <v>97</v>
      </c>
    </row>
    <row r="425" spans="1:11" x14ac:dyDescent="0.25">
      <c r="A425" t="s">
        <v>71</v>
      </c>
      <c r="B425">
        <v>898</v>
      </c>
      <c r="C425">
        <v>16</v>
      </c>
      <c r="D425">
        <v>507</v>
      </c>
      <c r="E425">
        <v>1</v>
      </c>
      <c r="F425" s="55">
        <f t="shared" ca="1" si="12"/>
        <v>44281</v>
      </c>
      <c r="H425">
        <v>1</v>
      </c>
      <c r="I425">
        <v>1</v>
      </c>
      <c r="J425">
        <v>1</v>
      </c>
      <c r="K425" t="s">
        <v>97</v>
      </c>
    </row>
    <row r="426" spans="1:11" x14ac:dyDescent="0.25">
      <c r="A426" t="s">
        <v>71</v>
      </c>
      <c r="B426">
        <v>899</v>
      </c>
      <c r="C426">
        <v>16</v>
      </c>
      <c r="D426">
        <v>507</v>
      </c>
      <c r="E426">
        <v>1</v>
      </c>
      <c r="F426" s="55">
        <f t="shared" ca="1" si="12"/>
        <v>44281</v>
      </c>
      <c r="H426">
        <v>1</v>
      </c>
      <c r="I426">
        <v>1</v>
      </c>
      <c r="J426">
        <v>1</v>
      </c>
      <c r="K426" t="s">
        <v>97</v>
      </c>
    </row>
    <row r="427" spans="1:11" x14ac:dyDescent="0.25">
      <c r="A427" t="s">
        <v>71</v>
      </c>
      <c r="B427">
        <v>900</v>
      </c>
      <c r="C427">
        <v>16</v>
      </c>
      <c r="D427">
        <v>507</v>
      </c>
      <c r="E427">
        <v>1</v>
      </c>
      <c r="F427" s="55">
        <f t="shared" ca="1" si="12"/>
        <v>44281</v>
      </c>
      <c r="H427">
        <v>1</v>
      </c>
      <c r="I427">
        <v>1</v>
      </c>
      <c r="J427">
        <v>1</v>
      </c>
      <c r="K427" t="s">
        <v>97</v>
      </c>
    </row>
    <row r="428" spans="1:11" x14ac:dyDescent="0.25">
      <c r="A428" t="s">
        <v>71</v>
      </c>
      <c r="B428">
        <v>391</v>
      </c>
      <c r="C428">
        <v>16</v>
      </c>
      <c r="D428">
        <v>507</v>
      </c>
      <c r="E428">
        <v>1</v>
      </c>
      <c r="F428" s="55">
        <f ca="1">TODAY()</f>
        <v>44281</v>
      </c>
      <c r="H428">
        <v>1</v>
      </c>
      <c r="I428">
        <v>1</v>
      </c>
      <c r="J428">
        <v>1</v>
      </c>
      <c r="K428" t="s">
        <v>97</v>
      </c>
    </row>
    <row r="429" spans="1:11" x14ac:dyDescent="0.25">
      <c r="A429" t="s">
        <v>71</v>
      </c>
      <c r="B429">
        <v>392</v>
      </c>
      <c r="C429">
        <v>16</v>
      </c>
      <c r="D429">
        <v>507</v>
      </c>
      <c r="E429">
        <v>1</v>
      </c>
      <c r="F429" s="55">
        <f t="shared" ref="F429:F462" ca="1" si="13">TODAY()</f>
        <v>44281</v>
      </c>
      <c r="H429">
        <v>1</v>
      </c>
      <c r="I429">
        <v>1</v>
      </c>
      <c r="J429">
        <v>1</v>
      </c>
      <c r="K429" t="s">
        <v>97</v>
      </c>
    </row>
    <row r="430" spans="1:11" x14ac:dyDescent="0.25">
      <c r="A430" t="s">
        <v>71</v>
      </c>
      <c r="B430">
        <v>393</v>
      </c>
      <c r="C430">
        <v>16</v>
      </c>
      <c r="D430">
        <v>507</v>
      </c>
      <c r="E430">
        <v>1</v>
      </c>
      <c r="F430" s="55">
        <f t="shared" ca="1" si="13"/>
        <v>44281</v>
      </c>
      <c r="H430">
        <v>1</v>
      </c>
      <c r="I430">
        <v>1</v>
      </c>
      <c r="J430">
        <v>1</v>
      </c>
      <c r="K430" t="s">
        <v>97</v>
      </c>
    </row>
    <row r="431" spans="1:11" x14ac:dyDescent="0.25">
      <c r="A431" t="s">
        <v>71</v>
      </c>
      <c r="B431">
        <v>394</v>
      </c>
      <c r="C431">
        <v>16</v>
      </c>
      <c r="D431">
        <v>507</v>
      </c>
      <c r="E431">
        <v>1</v>
      </c>
      <c r="F431" s="55">
        <f t="shared" ca="1" si="13"/>
        <v>44281</v>
      </c>
      <c r="H431">
        <v>1</v>
      </c>
      <c r="I431">
        <v>1</v>
      </c>
      <c r="J431">
        <v>1</v>
      </c>
      <c r="K431" t="s">
        <v>97</v>
      </c>
    </row>
    <row r="432" spans="1:11" x14ac:dyDescent="0.25">
      <c r="A432" t="s">
        <v>71</v>
      </c>
      <c r="B432">
        <v>395</v>
      </c>
      <c r="C432">
        <v>16</v>
      </c>
      <c r="D432">
        <v>507</v>
      </c>
      <c r="E432">
        <v>1</v>
      </c>
      <c r="F432" s="55">
        <f t="shared" ca="1" si="13"/>
        <v>44281</v>
      </c>
      <c r="H432">
        <v>1</v>
      </c>
      <c r="I432">
        <v>1</v>
      </c>
      <c r="J432">
        <v>1</v>
      </c>
      <c r="K432" t="s">
        <v>97</v>
      </c>
    </row>
    <row r="433" spans="1:11" x14ac:dyDescent="0.25">
      <c r="A433" t="s">
        <v>71</v>
      </c>
      <c r="B433">
        <v>396</v>
      </c>
      <c r="C433">
        <v>16</v>
      </c>
      <c r="D433">
        <v>507</v>
      </c>
      <c r="E433">
        <v>1</v>
      </c>
      <c r="F433" s="55">
        <f t="shared" ca="1" si="13"/>
        <v>44281</v>
      </c>
      <c r="H433">
        <v>1</v>
      </c>
      <c r="I433">
        <v>1</v>
      </c>
      <c r="J433">
        <v>1</v>
      </c>
      <c r="K433" t="s">
        <v>97</v>
      </c>
    </row>
    <row r="434" spans="1:11" x14ac:dyDescent="0.25">
      <c r="A434" t="s">
        <v>71</v>
      </c>
      <c r="B434">
        <v>397</v>
      </c>
      <c r="C434">
        <v>16</v>
      </c>
      <c r="D434">
        <v>507</v>
      </c>
      <c r="E434">
        <v>1</v>
      </c>
      <c r="F434" s="55">
        <f t="shared" ca="1" si="13"/>
        <v>44281</v>
      </c>
      <c r="H434">
        <v>1</v>
      </c>
      <c r="I434">
        <v>1</v>
      </c>
      <c r="J434">
        <v>1</v>
      </c>
      <c r="K434" t="s">
        <v>97</v>
      </c>
    </row>
    <row r="435" spans="1:11" x14ac:dyDescent="0.25">
      <c r="A435" t="s">
        <v>71</v>
      </c>
      <c r="B435">
        <v>398</v>
      </c>
      <c r="C435">
        <v>16</v>
      </c>
      <c r="D435">
        <v>507</v>
      </c>
      <c r="E435">
        <v>1</v>
      </c>
      <c r="F435" s="55">
        <f t="shared" ca="1" si="13"/>
        <v>44281</v>
      </c>
      <c r="H435">
        <v>1</v>
      </c>
      <c r="I435">
        <v>1</v>
      </c>
      <c r="J435">
        <v>1</v>
      </c>
      <c r="K435" t="s">
        <v>97</v>
      </c>
    </row>
    <row r="436" spans="1:11" x14ac:dyDescent="0.25">
      <c r="A436" t="s">
        <v>71</v>
      </c>
      <c r="B436">
        <v>399</v>
      </c>
      <c r="C436">
        <v>16</v>
      </c>
      <c r="D436">
        <v>507</v>
      </c>
      <c r="E436">
        <v>1</v>
      </c>
      <c r="F436" s="55">
        <f t="shared" ca="1" si="13"/>
        <v>44281</v>
      </c>
      <c r="H436">
        <v>1</v>
      </c>
      <c r="I436">
        <v>1</v>
      </c>
      <c r="J436">
        <v>1</v>
      </c>
      <c r="K436" t="s">
        <v>97</v>
      </c>
    </row>
    <row r="437" spans="1:11" x14ac:dyDescent="0.25">
      <c r="A437" t="s">
        <v>71</v>
      </c>
      <c r="B437">
        <v>400</v>
      </c>
      <c r="C437">
        <v>16</v>
      </c>
      <c r="D437">
        <v>507</v>
      </c>
      <c r="E437">
        <v>1</v>
      </c>
      <c r="F437" s="55">
        <f t="shared" ca="1" si="13"/>
        <v>44281</v>
      </c>
      <c r="H437">
        <v>1</v>
      </c>
      <c r="I437">
        <v>1</v>
      </c>
      <c r="J437">
        <v>1</v>
      </c>
      <c r="K437" t="s">
        <v>97</v>
      </c>
    </row>
    <row r="438" spans="1:11" x14ac:dyDescent="0.25">
      <c r="A438" t="s">
        <v>71</v>
      </c>
      <c r="B438">
        <v>401</v>
      </c>
      <c r="C438">
        <v>16</v>
      </c>
      <c r="D438">
        <v>507</v>
      </c>
      <c r="E438">
        <v>1</v>
      </c>
      <c r="F438" s="55">
        <f t="shared" ca="1" si="13"/>
        <v>44281</v>
      </c>
      <c r="H438">
        <v>1</v>
      </c>
      <c r="I438">
        <v>1</v>
      </c>
      <c r="J438">
        <v>1</v>
      </c>
      <c r="K438" t="s">
        <v>97</v>
      </c>
    </row>
    <row r="439" spans="1:11" x14ac:dyDescent="0.25">
      <c r="A439" t="s">
        <v>71</v>
      </c>
      <c r="B439">
        <v>402</v>
      </c>
      <c r="C439">
        <v>16</v>
      </c>
      <c r="D439">
        <v>507</v>
      </c>
      <c r="E439">
        <v>1</v>
      </c>
      <c r="F439" s="55">
        <f t="shared" ca="1" si="13"/>
        <v>44281</v>
      </c>
      <c r="H439">
        <v>1</v>
      </c>
      <c r="I439">
        <v>1</v>
      </c>
      <c r="J439">
        <v>1</v>
      </c>
      <c r="K439" t="s">
        <v>97</v>
      </c>
    </row>
    <row r="440" spans="1:11" x14ac:dyDescent="0.25">
      <c r="A440" t="s">
        <v>71</v>
      </c>
      <c r="B440">
        <v>403</v>
      </c>
      <c r="C440">
        <v>16</v>
      </c>
      <c r="D440">
        <v>507</v>
      </c>
      <c r="E440">
        <v>1</v>
      </c>
      <c r="F440" s="55">
        <f t="shared" ca="1" si="13"/>
        <v>44281</v>
      </c>
      <c r="H440">
        <v>1</v>
      </c>
      <c r="I440">
        <v>1</v>
      </c>
      <c r="J440">
        <v>1</v>
      </c>
      <c r="K440" t="s">
        <v>97</v>
      </c>
    </row>
    <row r="441" spans="1:11" x14ac:dyDescent="0.25">
      <c r="A441" t="s">
        <v>71</v>
      </c>
      <c r="B441">
        <v>404</v>
      </c>
      <c r="C441">
        <v>16</v>
      </c>
      <c r="D441">
        <v>507</v>
      </c>
      <c r="E441">
        <v>1</v>
      </c>
      <c r="F441" s="55">
        <f t="shared" ca="1" si="13"/>
        <v>44281</v>
      </c>
      <c r="H441">
        <v>1</v>
      </c>
      <c r="I441">
        <v>1</v>
      </c>
      <c r="J441">
        <v>1</v>
      </c>
      <c r="K441" t="s">
        <v>97</v>
      </c>
    </row>
    <row r="442" spans="1:11" x14ac:dyDescent="0.25">
      <c r="A442" t="s">
        <v>71</v>
      </c>
      <c r="B442">
        <v>405</v>
      </c>
      <c r="C442">
        <v>16</v>
      </c>
      <c r="D442">
        <v>507</v>
      </c>
      <c r="E442">
        <v>1</v>
      </c>
      <c r="F442" s="55">
        <f t="shared" ca="1" si="13"/>
        <v>44281</v>
      </c>
      <c r="H442">
        <v>1</v>
      </c>
      <c r="I442">
        <v>1</v>
      </c>
      <c r="J442">
        <v>1</v>
      </c>
      <c r="K442" t="s">
        <v>97</v>
      </c>
    </row>
    <row r="443" spans="1:11" x14ac:dyDescent="0.25">
      <c r="A443" t="s">
        <v>71</v>
      </c>
      <c r="B443">
        <v>406</v>
      </c>
      <c r="C443">
        <v>16</v>
      </c>
      <c r="D443">
        <v>507</v>
      </c>
      <c r="E443">
        <v>1</v>
      </c>
      <c r="F443" s="55">
        <f t="shared" ca="1" si="13"/>
        <v>44281</v>
      </c>
      <c r="H443">
        <v>1</v>
      </c>
      <c r="I443">
        <v>1</v>
      </c>
      <c r="J443">
        <v>1</v>
      </c>
      <c r="K443" t="s">
        <v>97</v>
      </c>
    </row>
    <row r="444" spans="1:11" x14ac:dyDescent="0.25">
      <c r="A444" t="s">
        <v>71</v>
      </c>
      <c r="B444">
        <v>407</v>
      </c>
      <c r="C444">
        <v>16</v>
      </c>
      <c r="D444">
        <v>507</v>
      </c>
      <c r="E444">
        <v>1</v>
      </c>
      <c r="F444" s="55">
        <f t="shared" ca="1" si="13"/>
        <v>44281</v>
      </c>
      <c r="H444">
        <v>1</v>
      </c>
      <c r="I444">
        <v>1</v>
      </c>
      <c r="J444">
        <v>1</v>
      </c>
      <c r="K444" t="s">
        <v>97</v>
      </c>
    </row>
    <row r="445" spans="1:11" x14ac:dyDescent="0.25">
      <c r="A445" t="s">
        <v>71</v>
      </c>
      <c r="B445">
        <v>408</v>
      </c>
      <c r="C445">
        <v>16</v>
      </c>
      <c r="D445">
        <v>507</v>
      </c>
      <c r="E445">
        <v>1</v>
      </c>
      <c r="F445" s="55">
        <f t="shared" ca="1" si="13"/>
        <v>44281</v>
      </c>
      <c r="H445">
        <v>1</v>
      </c>
      <c r="I445">
        <v>1</v>
      </c>
      <c r="J445">
        <v>1</v>
      </c>
      <c r="K445" t="s">
        <v>97</v>
      </c>
    </row>
    <row r="446" spans="1:11" x14ac:dyDescent="0.25">
      <c r="A446" t="s">
        <v>71</v>
      </c>
      <c r="B446">
        <v>409</v>
      </c>
      <c r="C446">
        <v>16</v>
      </c>
      <c r="D446">
        <v>507</v>
      </c>
      <c r="E446">
        <v>1</v>
      </c>
      <c r="F446" s="55">
        <f t="shared" ca="1" si="13"/>
        <v>44281</v>
      </c>
      <c r="H446">
        <v>1</v>
      </c>
      <c r="I446">
        <v>1</v>
      </c>
      <c r="J446">
        <v>1</v>
      </c>
      <c r="K446" t="s">
        <v>97</v>
      </c>
    </row>
    <row r="447" spans="1:11" x14ac:dyDescent="0.25">
      <c r="A447" t="s">
        <v>71</v>
      </c>
      <c r="B447">
        <v>410</v>
      </c>
      <c r="C447">
        <v>16</v>
      </c>
      <c r="D447">
        <v>507</v>
      </c>
      <c r="E447">
        <v>1</v>
      </c>
      <c r="F447" s="55">
        <f t="shared" ca="1" si="13"/>
        <v>44281</v>
      </c>
      <c r="H447">
        <v>1</v>
      </c>
      <c r="I447">
        <v>1</v>
      </c>
      <c r="J447">
        <v>1</v>
      </c>
      <c r="K447" t="s">
        <v>97</v>
      </c>
    </row>
    <row r="448" spans="1:11" x14ac:dyDescent="0.25">
      <c r="A448" t="s">
        <v>71</v>
      </c>
      <c r="B448">
        <v>411</v>
      </c>
      <c r="C448">
        <v>16</v>
      </c>
      <c r="D448">
        <v>507</v>
      </c>
      <c r="E448">
        <v>1</v>
      </c>
      <c r="F448" s="55">
        <f t="shared" ca="1" si="13"/>
        <v>44281</v>
      </c>
      <c r="H448">
        <v>1</v>
      </c>
      <c r="I448">
        <v>1</v>
      </c>
      <c r="J448">
        <v>1</v>
      </c>
      <c r="K448" t="s">
        <v>97</v>
      </c>
    </row>
    <row r="449" spans="1:11" x14ac:dyDescent="0.25">
      <c r="A449" t="s">
        <v>71</v>
      </c>
      <c r="B449">
        <v>412</v>
      </c>
      <c r="C449">
        <v>16</v>
      </c>
      <c r="D449">
        <v>507</v>
      </c>
      <c r="E449">
        <v>1</v>
      </c>
      <c r="F449" s="55">
        <f t="shared" ca="1" si="13"/>
        <v>44281</v>
      </c>
      <c r="H449">
        <v>1</v>
      </c>
      <c r="I449">
        <v>1</v>
      </c>
      <c r="J449">
        <v>1</v>
      </c>
      <c r="K449" t="s">
        <v>97</v>
      </c>
    </row>
    <row r="450" spans="1:11" x14ac:dyDescent="0.25">
      <c r="A450" t="s">
        <v>71</v>
      </c>
      <c r="B450">
        <v>413</v>
      </c>
      <c r="C450">
        <v>16</v>
      </c>
      <c r="D450">
        <v>507</v>
      </c>
      <c r="E450">
        <v>1</v>
      </c>
      <c r="F450" s="55">
        <f t="shared" ca="1" si="13"/>
        <v>44281</v>
      </c>
      <c r="H450">
        <v>1</v>
      </c>
      <c r="I450">
        <v>1</v>
      </c>
      <c r="J450">
        <v>1</v>
      </c>
      <c r="K450" t="s">
        <v>97</v>
      </c>
    </row>
    <row r="451" spans="1:11" x14ac:dyDescent="0.25">
      <c r="A451" t="s">
        <v>71</v>
      </c>
      <c r="B451">
        <v>414</v>
      </c>
      <c r="C451">
        <v>16</v>
      </c>
      <c r="D451">
        <v>507</v>
      </c>
      <c r="E451">
        <v>1</v>
      </c>
      <c r="F451" s="55">
        <f t="shared" ca="1" si="13"/>
        <v>44281</v>
      </c>
      <c r="H451">
        <v>1</v>
      </c>
      <c r="I451">
        <v>1</v>
      </c>
      <c r="J451">
        <v>1</v>
      </c>
      <c r="K451" t="s">
        <v>97</v>
      </c>
    </row>
    <row r="452" spans="1:11" x14ac:dyDescent="0.25">
      <c r="A452" t="s">
        <v>71</v>
      </c>
      <c r="B452">
        <v>415</v>
      </c>
      <c r="C452">
        <v>16</v>
      </c>
      <c r="D452">
        <v>507</v>
      </c>
      <c r="E452">
        <v>1</v>
      </c>
      <c r="F452" s="55">
        <f t="shared" ca="1" si="13"/>
        <v>44281</v>
      </c>
      <c r="H452">
        <v>1</v>
      </c>
      <c r="I452">
        <v>1</v>
      </c>
      <c r="J452">
        <v>1</v>
      </c>
      <c r="K452" t="s">
        <v>97</v>
      </c>
    </row>
    <row r="453" spans="1:11" x14ac:dyDescent="0.25">
      <c r="A453" t="s">
        <v>71</v>
      </c>
      <c r="B453">
        <v>416</v>
      </c>
      <c r="C453">
        <v>16</v>
      </c>
      <c r="D453">
        <v>507</v>
      </c>
      <c r="E453">
        <v>1</v>
      </c>
      <c r="F453" s="55">
        <f t="shared" ca="1" si="13"/>
        <v>44281</v>
      </c>
      <c r="H453">
        <v>1</v>
      </c>
      <c r="I453">
        <v>1</v>
      </c>
      <c r="J453">
        <v>1</v>
      </c>
      <c r="K453" t="s">
        <v>97</v>
      </c>
    </row>
    <row r="454" spans="1:11" x14ac:dyDescent="0.25">
      <c r="A454" t="s">
        <v>71</v>
      </c>
      <c r="B454">
        <v>417</v>
      </c>
      <c r="C454">
        <v>16</v>
      </c>
      <c r="D454">
        <v>507</v>
      </c>
      <c r="E454">
        <v>1</v>
      </c>
      <c r="F454" s="55">
        <f t="shared" ca="1" si="13"/>
        <v>44281</v>
      </c>
      <c r="H454">
        <v>1</v>
      </c>
      <c r="I454">
        <v>1</v>
      </c>
      <c r="J454">
        <v>1</v>
      </c>
      <c r="K454" t="s">
        <v>97</v>
      </c>
    </row>
    <row r="455" spans="1:11" x14ac:dyDescent="0.25">
      <c r="A455" t="s">
        <v>71</v>
      </c>
      <c r="B455">
        <v>418</v>
      </c>
      <c r="C455">
        <v>16</v>
      </c>
      <c r="D455">
        <v>507</v>
      </c>
      <c r="E455">
        <v>1</v>
      </c>
      <c r="F455" s="55">
        <f t="shared" ca="1" si="13"/>
        <v>44281</v>
      </c>
      <c r="H455">
        <v>1</v>
      </c>
      <c r="I455">
        <v>1</v>
      </c>
      <c r="J455">
        <v>1</v>
      </c>
      <c r="K455" t="s">
        <v>97</v>
      </c>
    </row>
    <row r="456" spans="1:11" x14ac:dyDescent="0.25">
      <c r="A456" t="s">
        <v>71</v>
      </c>
      <c r="B456">
        <v>419</v>
      </c>
      <c r="C456">
        <v>16</v>
      </c>
      <c r="D456">
        <v>507</v>
      </c>
      <c r="E456">
        <v>1</v>
      </c>
      <c r="F456" s="55">
        <f t="shared" ca="1" si="13"/>
        <v>44281</v>
      </c>
      <c r="H456">
        <v>1</v>
      </c>
      <c r="I456">
        <v>1</v>
      </c>
      <c r="J456">
        <v>1</v>
      </c>
      <c r="K456" t="s">
        <v>97</v>
      </c>
    </row>
    <row r="457" spans="1:11" x14ac:dyDescent="0.25">
      <c r="A457" t="s">
        <v>71</v>
      </c>
      <c r="B457">
        <v>420</v>
      </c>
      <c r="C457">
        <v>16</v>
      </c>
      <c r="D457">
        <v>507</v>
      </c>
      <c r="E457">
        <v>1</v>
      </c>
      <c r="F457" s="55">
        <f t="shared" ca="1" si="13"/>
        <v>44281</v>
      </c>
      <c r="H457">
        <v>1</v>
      </c>
      <c r="I457">
        <v>1</v>
      </c>
      <c r="J457">
        <v>1</v>
      </c>
      <c r="K457" t="s">
        <v>97</v>
      </c>
    </row>
    <row r="458" spans="1:11" x14ac:dyDescent="0.25">
      <c r="A458" t="s">
        <v>71</v>
      </c>
      <c r="B458">
        <v>421</v>
      </c>
      <c r="C458">
        <v>16</v>
      </c>
      <c r="D458">
        <v>507</v>
      </c>
      <c r="E458">
        <v>1</v>
      </c>
      <c r="F458" s="55">
        <f t="shared" ca="1" si="13"/>
        <v>44281</v>
      </c>
      <c r="H458">
        <v>1</v>
      </c>
      <c r="I458">
        <v>1</v>
      </c>
      <c r="J458">
        <v>1</v>
      </c>
      <c r="K458" t="s">
        <v>97</v>
      </c>
    </row>
    <row r="459" spans="1:11" x14ac:dyDescent="0.25">
      <c r="A459" t="s">
        <v>71</v>
      </c>
      <c r="B459">
        <v>422</v>
      </c>
      <c r="C459">
        <v>16</v>
      </c>
      <c r="D459">
        <v>507</v>
      </c>
      <c r="E459">
        <v>1</v>
      </c>
      <c r="F459" s="55">
        <f t="shared" ca="1" si="13"/>
        <v>44281</v>
      </c>
      <c r="H459">
        <v>1</v>
      </c>
      <c r="I459">
        <v>1</v>
      </c>
      <c r="J459">
        <v>1</v>
      </c>
      <c r="K459" t="s">
        <v>97</v>
      </c>
    </row>
    <row r="460" spans="1:11" x14ac:dyDescent="0.25">
      <c r="A460" t="s">
        <v>71</v>
      </c>
      <c r="B460">
        <v>423</v>
      </c>
      <c r="C460">
        <v>16</v>
      </c>
      <c r="D460">
        <v>507</v>
      </c>
      <c r="E460">
        <v>1</v>
      </c>
      <c r="F460" s="55">
        <f t="shared" ca="1" si="13"/>
        <v>44281</v>
      </c>
      <c r="H460">
        <v>1</v>
      </c>
      <c r="I460">
        <v>1</v>
      </c>
      <c r="J460">
        <v>1</v>
      </c>
      <c r="K460" t="s">
        <v>97</v>
      </c>
    </row>
    <row r="461" spans="1:11" x14ac:dyDescent="0.25">
      <c r="A461" t="s">
        <v>71</v>
      </c>
      <c r="B461">
        <v>424</v>
      </c>
      <c r="C461">
        <v>16</v>
      </c>
      <c r="D461">
        <v>507</v>
      </c>
      <c r="E461">
        <v>1</v>
      </c>
      <c r="F461" s="55">
        <f t="shared" ca="1" si="13"/>
        <v>44281</v>
      </c>
      <c r="H461">
        <v>1</v>
      </c>
      <c r="I461">
        <v>1</v>
      </c>
      <c r="J461">
        <v>1</v>
      </c>
      <c r="K461" t="s">
        <v>97</v>
      </c>
    </row>
    <row r="462" spans="1:11" x14ac:dyDescent="0.25">
      <c r="A462" t="s">
        <v>71</v>
      </c>
      <c r="B462">
        <v>425</v>
      </c>
      <c r="C462">
        <v>16</v>
      </c>
      <c r="D462">
        <v>507</v>
      </c>
      <c r="E462">
        <v>1</v>
      </c>
      <c r="F462" s="55">
        <f t="shared" ca="1" si="13"/>
        <v>44281</v>
      </c>
      <c r="H462">
        <v>1</v>
      </c>
      <c r="I462">
        <v>1</v>
      </c>
      <c r="J462">
        <v>1</v>
      </c>
      <c r="K462" t="s">
        <v>97</v>
      </c>
    </row>
    <row r="463" spans="1:11" x14ac:dyDescent="0.25">
      <c r="A463" t="s">
        <v>71</v>
      </c>
      <c r="B463">
        <v>426</v>
      </c>
      <c r="C463">
        <v>16</v>
      </c>
      <c r="D463">
        <v>507</v>
      </c>
      <c r="E463">
        <v>1</v>
      </c>
      <c r="F463" s="55">
        <f ca="1">TODAY()</f>
        <v>44281</v>
      </c>
      <c r="H463">
        <v>1</v>
      </c>
      <c r="I463">
        <v>1</v>
      </c>
      <c r="J463">
        <v>1</v>
      </c>
      <c r="K463" t="s">
        <v>97</v>
      </c>
    </row>
    <row r="464" spans="1:11" x14ac:dyDescent="0.25">
      <c r="A464" t="s">
        <v>71</v>
      </c>
      <c r="B464">
        <v>427</v>
      </c>
      <c r="C464">
        <v>16</v>
      </c>
      <c r="D464">
        <v>507</v>
      </c>
      <c r="E464">
        <v>1</v>
      </c>
      <c r="F464" s="55">
        <f t="shared" ref="F464:F497" ca="1" si="14">TODAY()</f>
        <v>44281</v>
      </c>
      <c r="H464">
        <v>1</v>
      </c>
      <c r="I464">
        <v>1</v>
      </c>
      <c r="J464">
        <v>1</v>
      </c>
      <c r="K464" t="s">
        <v>97</v>
      </c>
    </row>
    <row r="465" spans="1:11" x14ac:dyDescent="0.25">
      <c r="A465" t="s">
        <v>71</v>
      </c>
      <c r="B465">
        <v>428</v>
      </c>
      <c r="C465">
        <v>16</v>
      </c>
      <c r="D465">
        <v>507</v>
      </c>
      <c r="E465">
        <v>1</v>
      </c>
      <c r="F465" s="55">
        <f t="shared" ca="1" si="14"/>
        <v>44281</v>
      </c>
      <c r="H465">
        <v>1</v>
      </c>
      <c r="I465">
        <v>1</v>
      </c>
      <c r="J465">
        <v>1</v>
      </c>
      <c r="K465" t="s">
        <v>97</v>
      </c>
    </row>
    <row r="466" spans="1:11" x14ac:dyDescent="0.25">
      <c r="A466" t="s">
        <v>71</v>
      </c>
      <c r="B466">
        <v>429</v>
      </c>
      <c r="C466">
        <v>16</v>
      </c>
      <c r="D466">
        <v>507</v>
      </c>
      <c r="E466">
        <v>1</v>
      </c>
      <c r="F466" s="55">
        <f t="shared" ca="1" si="14"/>
        <v>44281</v>
      </c>
      <c r="H466">
        <v>1</v>
      </c>
      <c r="I466">
        <v>1</v>
      </c>
      <c r="J466">
        <v>1</v>
      </c>
      <c r="K466" t="s">
        <v>97</v>
      </c>
    </row>
    <row r="467" spans="1:11" x14ac:dyDescent="0.25">
      <c r="A467" t="s">
        <v>71</v>
      </c>
      <c r="B467">
        <v>430</v>
      </c>
      <c r="C467">
        <v>16</v>
      </c>
      <c r="D467">
        <v>507</v>
      </c>
      <c r="E467">
        <v>1</v>
      </c>
      <c r="F467" s="55">
        <f t="shared" ca="1" si="14"/>
        <v>44281</v>
      </c>
      <c r="H467">
        <v>1</v>
      </c>
      <c r="I467">
        <v>1</v>
      </c>
      <c r="J467">
        <v>1</v>
      </c>
      <c r="K467" t="s">
        <v>97</v>
      </c>
    </row>
    <row r="468" spans="1:11" x14ac:dyDescent="0.25">
      <c r="A468" t="s">
        <v>71</v>
      </c>
      <c r="B468">
        <v>431</v>
      </c>
      <c r="C468">
        <v>16</v>
      </c>
      <c r="D468">
        <v>507</v>
      </c>
      <c r="E468">
        <v>1</v>
      </c>
      <c r="F468" s="55">
        <f t="shared" ca="1" si="14"/>
        <v>44281</v>
      </c>
      <c r="H468">
        <v>1</v>
      </c>
      <c r="I468">
        <v>1</v>
      </c>
      <c r="J468">
        <v>1</v>
      </c>
      <c r="K468" t="s">
        <v>97</v>
      </c>
    </row>
    <row r="469" spans="1:11" x14ac:dyDescent="0.25">
      <c r="A469" t="s">
        <v>71</v>
      </c>
      <c r="B469">
        <v>432</v>
      </c>
      <c r="C469">
        <v>16</v>
      </c>
      <c r="D469">
        <v>507</v>
      </c>
      <c r="E469">
        <v>1</v>
      </c>
      <c r="F469" s="55">
        <f t="shared" ca="1" si="14"/>
        <v>44281</v>
      </c>
      <c r="H469">
        <v>1</v>
      </c>
      <c r="I469">
        <v>1</v>
      </c>
      <c r="J469">
        <v>1</v>
      </c>
      <c r="K469" t="s">
        <v>97</v>
      </c>
    </row>
    <row r="470" spans="1:11" x14ac:dyDescent="0.25">
      <c r="A470" t="s">
        <v>71</v>
      </c>
      <c r="B470">
        <v>433</v>
      </c>
      <c r="C470">
        <v>16</v>
      </c>
      <c r="D470">
        <v>507</v>
      </c>
      <c r="E470">
        <v>1</v>
      </c>
      <c r="F470" s="55">
        <f t="shared" ca="1" si="14"/>
        <v>44281</v>
      </c>
      <c r="H470">
        <v>1</v>
      </c>
      <c r="I470">
        <v>1</v>
      </c>
      <c r="J470">
        <v>1</v>
      </c>
      <c r="K470" t="s">
        <v>97</v>
      </c>
    </row>
    <row r="471" spans="1:11" x14ac:dyDescent="0.25">
      <c r="A471" t="s">
        <v>71</v>
      </c>
      <c r="B471">
        <v>434</v>
      </c>
      <c r="C471">
        <v>16</v>
      </c>
      <c r="D471">
        <v>507</v>
      </c>
      <c r="E471">
        <v>1</v>
      </c>
      <c r="F471" s="55">
        <f t="shared" ca="1" si="14"/>
        <v>44281</v>
      </c>
      <c r="H471">
        <v>1</v>
      </c>
      <c r="I471">
        <v>1</v>
      </c>
      <c r="J471">
        <v>1</v>
      </c>
      <c r="K471" t="s">
        <v>97</v>
      </c>
    </row>
    <row r="472" spans="1:11" x14ac:dyDescent="0.25">
      <c r="A472" t="s">
        <v>71</v>
      </c>
      <c r="B472">
        <v>435</v>
      </c>
      <c r="C472">
        <v>16</v>
      </c>
      <c r="D472">
        <v>507</v>
      </c>
      <c r="E472">
        <v>1</v>
      </c>
      <c r="F472" s="55">
        <f t="shared" ca="1" si="14"/>
        <v>44281</v>
      </c>
      <c r="H472">
        <v>1</v>
      </c>
      <c r="I472">
        <v>1</v>
      </c>
      <c r="J472">
        <v>1</v>
      </c>
      <c r="K472" t="s">
        <v>97</v>
      </c>
    </row>
    <row r="473" spans="1:11" x14ac:dyDescent="0.25">
      <c r="A473" t="s">
        <v>71</v>
      </c>
      <c r="B473">
        <v>436</v>
      </c>
      <c r="C473">
        <v>16</v>
      </c>
      <c r="D473">
        <v>507</v>
      </c>
      <c r="E473">
        <v>1</v>
      </c>
      <c r="F473" s="55">
        <f t="shared" ca="1" si="14"/>
        <v>44281</v>
      </c>
      <c r="H473">
        <v>1</v>
      </c>
      <c r="I473">
        <v>1</v>
      </c>
      <c r="J473">
        <v>1</v>
      </c>
      <c r="K473" t="s">
        <v>97</v>
      </c>
    </row>
    <row r="474" spans="1:11" x14ac:dyDescent="0.25">
      <c r="A474" t="s">
        <v>71</v>
      </c>
      <c r="B474">
        <v>437</v>
      </c>
      <c r="C474">
        <v>16</v>
      </c>
      <c r="D474">
        <v>507</v>
      </c>
      <c r="E474">
        <v>1</v>
      </c>
      <c r="F474" s="55">
        <f t="shared" ca="1" si="14"/>
        <v>44281</v>
      </c>
      <c r="H474">
        <v>1</v>
      </c>
      <c r="I474">
        <v>1</v>
      </c>
      <c r="J474">
        <v>1</v>
      </c>
      <c r="K474" t="s">
        <v>97</v>
      </c>
    </row>
    <row r="475" spans="1:11" x14ac:dyDescent="0.25">
      <c r="A475" t="s">
        <v>71</v>
      </c>
      <c r="B475">
        <v>438</v>
      </c>
      <c r="C475">
        <v>16</v>
      </c>
      <c r="D475">
        <v>507</v>
      </c>
      <c r="E475">
        <v>1</v>
      </c>
      <c r="F475" s="55">
        <f t="shared" ca="1" si="14"/>
        <v>44281</v>
      </c>
      <c r="H475">
        <v>1</v>
      </c>
      <c r="I475">
        <v>1</v>
      </c>
      <c r="J475">
        <v>1</v>
      </c>
      <c r="K475" t="s">
        <v>97</v>
      </c>
    </row>
    <row r="476" spans="1:11" x14ac:dyDescent="0.25">
      <c r="A476" t="s">
        <v>71</v>
      </c>
      <c r="B476">
        <v>439</v>
      </c>
      <c r="C476">
        <v>16</v>
      </c>
      <c r="D476">
        <v>507</v>
      </c>
      <c r="E476">
        <v>1</v>
      </c>
      <c r="F476" s="55">
        <f t="shared" ca="1" si="14"/>
        <v>44281</v>
      </c>
      <c r="H476">
        <v>1</v>
      </c>
      <c r="I476">
        <v>1</v>
      </c>
      <c r="J476">
        <v>1</v>
      </c>
      <c r="K476" t="s">
        <v>97</v>
      </c>
    </row>
    <row r="477" spans="1:11" x14ac:dyDescent="0.25">
      <c r="A477" t="s">
        <v>71</v>
      </c>
      <c r="B477">
        <v>440</v>
      </c>
      <c r="C477">
        <v>16</v>
      </c>
      <c r="D477">
        <v>507</v>
      </c>
      <c r="E477">
        <v>1</v>
      </c>
      <c r="F477" s="55">
        <f t="shared" ca="1" si="14"/>
        <v>44281</v>
      </c>
      <c r="H477">
        <v>1</v>
      </c>
      <c r="I477">
        <v>1</v>
      </c>
      <c r="J477">
        <v>1</v>
      </c>
      <c r="K477" t="s">
        <v>97</v>
      </c>
    </row>
    <row r="478" spans="1:11" x14ac:dyDescent="0.25">
      <c r="A478" t="s">
        <v>71</v>
      </c>
      <c r="B478">
        <v>441</v>
      </c>
      <c r="C478">
        <v>16</v>
      </c>
      <c r="D478">
        <v>507</v>
      </c>
      <c r="E478">
        <v>1</v>
      </c>
      <c r="F478" s="55">
        <f t="shared" ca="1" si="14"/>
        <v>44281</v>
      </c>
      <c r="H478">
        <v>1</v>
      </c>
      <c r="I478">
        <v>1</v>
      </c>
      <c r="J478">
        <v>1</v>
      </c>
      <c r="K478" t="s">
        <v>97</v>
      </c>
    </row>
    <row r="479" spans="1:11" x14ac:dyDescent="0.25">
      <c r="A479" t="s">
        <v>71</v>
      </c>
      <c r="B479">
        <v>442</v>
      </c>
      <c r="C479">
        <v>16</v>
      </c>
      <c r="D479">
        <v>507</v>
      </c>
      <c r="E479">
        <v>1</v>
      </c>
      <c r="F479" s="55">
        <f t="shared" ca="1" si="14"/>
        <v>44281</v>
      </c>
      <c r="H479">
        <v>1</v>
      </c>
      <c r="I479">
        <v>1</v>
      </c>
      <c r="J479">
        <v>1</v>
      </c>
      <c r="K479" t="s">
        <v>97</v>
      </c>
    </row>
    <row r="480" spans="1:11" x14ac:dyDescent="0.25">
      <c r="A480" t="s">
        <v>71</v>
      </c>
      <c r="B480">
        <v>443</v>
      </c>
      <c r="C480">
        <v>16</v>
      </c>
      <c r="D480">
        <v>507</v>
      </c>
      <c r="E480">
        <v>1</v>
      </c>
      <c r="F480" s="55">
        <f t="shared" ca="1" si="14"/>
        <v>44281</v>
      </c>
      <c r="H480">
        <v>1</v>
      </c>
      <c r="I480">
        <v>1</v>
      </c>
      <c r="J480">
        <v>1</v>
      </c>
      <c r="K480" t="s">
        <v>97</v>
      </c>
    </row>
    <row r="481" spans="1:11" x14ac:dyDescent="0.25">
      <c r="A481" t="s">
        <v>71</v>
      </c>
      <c r="B481">
        <v>444</v>
      </c>
      <c r="C481">
        <v>16</v>
      </c>
      <c r="D481">
        <v>507</v>
      </c>
      <c r="E481">
        <v>1</v>
      </c>
      <c r="F481" s="55">
        <f t="shared" ca="1" si="14"/>
        <v>44281</v>
      </c>
      <c r="H481">
        <v>1</v>
      </c>
      <c r="I481">
        <v>1</v>
      </c>
      <c r="J481">
        <v>1</v>
      </c>
      <c r="K481" t="s">
        <v>97</v>
      </c>
    </row>
    <row r="482" spans="1:11" x14ac:dyDescent="0.25">
      <c r="A482" t="s">
        <v>71</v>
      </c>
      <c r="B482">
        <v>445</v>
      </c>
      <c r="C482">
        <v>16</v>
      </c>
      <c r="D482">
        <v>507</v>
      </c>
      <c r="E482">
        <v>1</v>
      </c>
      <c r="F482" s="55">
        <f t="shared" ca="1" si="14"/>
        <v>44281</v>
      </c>
      <c r="H482">
        <v>1</v>
      </c>
      <c r="I482">
        <v>1</v>
      </c>
      <c r="J482">
        <v>1</v>
      </c>
      <c r="K482" t="s">
        <v>97</v>
      </c>
    </row>
    <row r="483" spans="1:11" x14ac:dyDescent="0.25">
      <c r="A483" t="s">
        <v>71</v>
      </c>
      <c r="B483">
        <v>446</v>
      </c>
      <c r="C483">
        <v>16</v>
      </c>
      <c r="D483">
        <v>507</v>
      </c>
      <c r="E483">
        <v>1</v>
      </c>
      <c r="F483" s="55">
        <f t="shared" ca="1" si="14"/>
        <v>44281</v>
      </c>
      <c r="H483">
        <v>1</v>
      </c>
      <c r="I483">
        <v>1</v>
      </c>
      <c r="J483">
        <v>1</v>
      </c>
      <c r="K483" t="s">
        <v>97</v>
      </c>
    </row>
    <row r="484" spans="1:11" x14ac:dyDescent="0.25">
      <c r="A484" t="s">
        <v>71</v>
      </c>
      <c r="B484">
        <v>447</v>
      </c>
      <c r="C484">
        <v>16</v>
      </c>
      <c r="D484">
        <v>507</v>
      </c>
      <c r="E484">
        <v>1</v>
      </c>
      <c r="F484" s="55">
        <f t="shared" ca="1" si="14"/>
        <v>44281</v>
      </c>
      <c r="H484">
        <v>1</v>
      </c>
      <c r="I484">
        <v>1</v>
      </c>
      <c r="J484">
        <v>1</v>
      </c>
      <c r="K484" t="s">
        <v>97</v>
      </c>
    </row>
    <row r="485" spans="1:11" x14ac:dyDescent="0.25">
      <c r="A485" t="s">
        <v>71</v>
      </c>
      <c r="B485">
        <v>448</v>
      </c>
      <c r="C485">
        <v>16</v>
      </c>
      <c r="D485">
        <v>507</v>
      </c>
      <c r="E485">
        <v>1</v>
      </c>
      <c r="F485" s="55">
        <f t="shared" ca="1" si="14"/>
        <v>44281</v>
      </c>
      <c r="H485">
        <v>1</v>
      </c>
      <c r="I485">
        <v>1</v>
      </c>
      <c r="J485">
        <v>1</v>
      </c>
      <c r="K485" t="s">
        <v>97</v>
      </c>
    </row>
    <row r="486" spans="1:11" x14ac:dyDescent="0.25">
      <c r="A486" t="s">
        <v>71</v>
      </c>
      <c r="B486">
        <v>449</v>
      </c>
      <c r="C486">
        <v>16</v>
      </c>
      <c r="D486">
        <v>507</v>
      </c>
      <c r="E486">
        <v>1</v>
      </c>
      <c r="F486" s="55">
        <f t="shared" ca="1" si="14"/>
        <v>44281</v>
      </c>
      <c r="H486">
        <v>1</v>
      </c>
      <c r="I486">
        <v>1</v>
      </c>
      <c r="J486">
        <v>1</v>
      </c>
      <c r="K486" t="s">
        <v>97</v>
      </c>
    </row>
    <row r="487" spans="1:11" x14ac:dyDescent="0.25">
      <c r="A487" t="s">
        <v>71</v>
      </c>
      <c r="B487">
        <v>450</v>
      </c>
      <c r="C487">
        <v>16</v>
      </c>
      <c r="D487">
        <v>507</v>
      </c>
      <c r="E487">
        <v>1</v>
      </c>
      <c r="F487" s="55">
        <f t="shared" ca="1" si="14"/>
        <v>44281</v>
      </c>
      <c r="H487">
        <v>1</v>
      </c>
      <c r="I487">
        <v>1</v>
      </c>
      <c r="J487">
        <v>1</v>
      </c>
      <c r="K487" t="s">
        <v>97</v>
      </c>
    </row>
    <row r="488" spans="1:11" x14ac:dyDescent="0.25">
      <c r="A488" t="s">
        <v>71</v>
      </c>
      <c r="B488">
        <v>451</v>
      </c>
      <c r="C488">
        <v>16</v>
      </c>
      <c r="D488">
        <v>507</v>
      </c>
      <c r="E488">
        <v>1</v>
      </c>
      <c r="F488" s="55">
        <f t="shared" ca="1" si="14"/>
        <v>44281</v>
      </c>
      <c r="H488">
        <v>1</v>
      </c>
      <c r="I488">
        <v>1</v>
      </c>
      <c r="J488">
        <v>1</v>
      </c>
      <c r="K488" t="s">
        <v>97</v>
      </c>
    </row>
    <row r="489" spans="1:11" x14ac:dyDescent="0.25">
      <c r="A489" t="s">
        <v>71</v>
      </c>
      <c r="B489">
        <v>452</v>
      </c>
      <c r="C489">
        <v>16</v>
      </c>
      <c r="D489">
        <v>507</v>
      </c>
      <c r="E489">
        <v>1</v>
      </c>
      <c r="F489" s="55">
        <f t="shared" ca="1" si="14"/>
        <v>44281</v>
      </c>
      <c r="H489">
        <v>1</v>
      </c>
      <c r="I489">
        <v>1</v>
      </c>
      <c r="J489">
        <v>1</v>
      </c>
      <c r="K489" t="s">
        <v>97</v>
      </c>
    </row>
    <row r="490" spans="1:11" x14ac:dyDescent="0.25">
      <c r="A490" t="s">
        <v>71</v>
      </c>
      <c r="B490">
        <v>453</v>
      </c>
      <c r="C490">
        <v>16</v>
      </c>
      <c r="D490">
        <v>507</v>
      </c>
      <c r="E490">
        <v>1</v>
      </c>
      <c r="F490" s="55">
        <f t="shared" ca="1" si="14"/>
        <v>44281</v>
      </c>
      <c r="H490">
        <v>1</v>
      </c>
      <c r="I490">
        <v>1</v>
      </c>
      <c r="J490">
        <v>1</v>
      </c>
      <c r="K490" t="s">
        <v>97</v>
      </c>
    </row>
    <row r="491" spans="1:11" x14ac:dyDescent="0.25">
      <c r="A491" t="s">
        <v>71</v>
      </c>
      <c r="B491">
        <v>454</v>
      </c>
      <c r="C491">
        <v>16</v>
      </c>
      <c r="D491">
        <v>507</v>
      </c>
      <c r="E491">
        <v>1</v>
      </c>
      <c r="F491" s="55">
        <f t="shared" ca="1" si="14"/>
        <v>44281</v>
      </c>
      <c r="H491">
        <v>1</v>
      </c>
      <c r="I491">
        <v>1</v>
      </c>
      <c r="J491">
        <v>1</v>
      </c>
      <c r="K491" t="s">
        <v>97</v>
      </c>
    </row>
    <row r="492" spans="1:11" x14ac:dyDescent="0.25">
      <c r="A492" t="s">
        <v>71</v>
      </c>
      <c r="B492">
        <v>455</v>
      </c>
      <c r="C492">
        <v>16</v>
      </c>
      <c r="D492">
        <v>507</v>
      </c>
      <c r="E492">
        <v>1</v>
      </c>
      <c r="F492" s="55">
        <f t="shared" ca="1" si="14"/>
        <v>44281</v>
      </c>
      <c r="H492">
        <v>1</v>
      </c>
      <c r="I492">
        <v>1</v>
      </c>
      <c r="J492">
        <v>1</v>
      </c>
      <c r="K492" t="s">
        <v>97</v>
      </c>
    </row>
    <row r="493" spans="1:11" x14ac:dyDescent="0.25">
      <c r="A493" t="s">
        <v>71</v>
      </c>
      <c r="B493">
        <v>456</v>
      </c>
      <c r="C493">
        <v>16</v>
      </c>
      <c r="D493">
        <v>507</v>
      </c>
      <c r="E493">
        <v>1</v>
      </c>
      <c r="F493" s="55">
        <f t="shared" ca="1" si="14"/>
        <v>44281</v>
      </c>
      <c r="H493">
        <v>1</v>
      </c>
      <c r="I493">
        <v>1</v>
      </c>
      <c r="J493">
        <v>1</v>
      </c>
      <c r="K493" t="s">
        <v>97</v>
      </c>
    </row>
    <row r="494" spans="1:11" x14ac:dyDescent="0.25">
      <c r="A494" t="s">
        <v>71</v>
      </c>
      <c r="B494">
        <v>457</v>
      </c>
      <c r="C494">
        <v>16</v>
      </c>
      <c r="D494">
        <v>507</v>
      </c>
      <c r="E494">
        <v>1</v>
      </c>
      <c r="F494" s="55">
        <f t="shared" ca="1" si="14"/>
        <v>44281</v>
      </c>
      <c r="H494">
        <v>1</v>
      </c>
      <c r="I494">
        <v>1</v>
      </c>
      <c r="J494">
        <v>1</v>
      </c>
      <c r="K494" t="s">
        <v>97</v>
      </c>
    </row>
    <row r="495" spans="1:11" x14ac:dyDescent="0.25">
      <c r="A495" t="s">
        <v>71</v>
      </c>
      <c r="B495">
        <v>458</v>
      </c>
      <c r="C495">
        <v>16</v>
      </c>
      <c r="D495">
        <v>507</v>
      </c>
      <c r="E495">
        <v>1</v>
      </c>
      <c r="F495" s="55">
        <f t="shared" ca="1" si="14"/>
        <v>44281</v>
      </c>
      <c r="H495">
        <v>1</v>
      </c>
      <c r="I495">
        <v>1</v>
      </c>
      <c r="J495">
        <v>1</v>
      </c>
      <c r="K495" t="s">
        <v>97</v>
      </c>
    </row>
    <row r="496" spans="1:11" x14ac:dyDescent="0.25">
      <c r="A496" t="s">
        <v>71</v>
      </c>
      <c r="B496">
        <v>459</v>
      </c>
      <c r="C496">
        <v>16</v>
      </c>
      <c r="D496">
        <v>507</v>
      </c>
      <c r="E496">
        <v>1</v>
      </c>
      <c r="F496" s="55">
        <f t="shared" ca="1" si="14"/>
        <v>44281</v>
      </c>
      <c r="H496">
        <v>1</v>
      </c>
      <c r="I496">
        <v>1</v>
      </c>
      <c r="J496">
        <v>1</v>
      </c>
      <c r="K496" t="s">
        <v>97</v>
      </c>
    </row>
    <row r="497" spans="1:11" x14ac:dyDescent="0.25">
      <c r="A497" t="s">
        <v>71</v>
      </c>
      <c r="B497">
        <v>460</v>
      </c>
      <c r="C497">
        <v>16</v>
      </c>
      <c r="D497">
        <v>507</v>
      </c>
      <c r="E497">
        <v>1</v>
      </c>
      <c r="F497" s="55">
        <f t="shared" ca="1" si="14"/>
        <v>44281</v>
      </c>
      <c r="H497">
        <v>1</v>
      </c>
      <c r="I497">
        <v>1</v>
      </c>
      <c r="J497">
        <v>1</v>
      </c>
      <c r="K497" t="s">
        <v>97</v>
      </c>
    </row>
    <row r="498" spans="1:11" x14ac:dyDescent="0.25">
      <c r="A498" t="s">
        <v>71</v>
      </c>
      <c r="B498">
        <v>531</v>
      </c>
      <c r="C498">
        <v>16</v>
      </c>
      <c r="D498">
        <v>507</v>
      </c>
      <c r="E498">
        <v>1</v>
      </c>
      <c r="F498" s="55">
        <f ca="1">TODAY()</f>
        <v>44281</v>
      </c>
      <c r="H498">
        <v>1</v>
      </c>
      <c r="I498">
        <v>1</v>
      </c>
      <c r="J498">
        <v>1</v>
      </c>
      <c r="K498" t="s">
        <v>97</v>
      </c>
    </row>
    <row r="499" spans="1:11" x14ac:dyDescent="0.25">
      <c r="A499" t="s">
        <v>71</v>
      </c>
      <c r="B499">
        <v>532</v>
      </c>
      <c r="C499">
        <v>16</v>
      </c>
      <c r="D499">
        <v>507</v>
      </c>
      <c r="E499">
        <v>1</v>
      </c>
      <c r="F499" s="55">
        <f t="shared" ref="F499:F532" ca="1" si="15">TODAY()</f>
        <v>44281</v>
      </c>
      <c r="H499">
        <v>1</v>
      </c>
      <c r="I499">
        <v>1</v>
      </c>
      <c r="J499">
        <v>1</v>
      </c>
      <c r="K499" t="s">
        <v>97</v>
      </c>
    </row>
    <row r="500" spans="1:11" x14ac:dyDescent="0.25">
      <c r="A500" t="s">
        <v>71</v>
      </c>
      <c r="B500">
        <v>533</v>
      </c>
      <c r="C500">
        <v>16</v>
      </c>
      <c r="D500">
        <v>507</v>
      </c>
      <c r="E500">
        <v>1</v>
      </c>
      <c r="F500" s="55">
        <f t="shared" ca="1" si="15"/>
        <v>44281</v>
      </c>
      <c r="H500">
        <v>1</v>
      </c>
      <c r="I500">
        <v>1</v>
      </c>
      <c r="J500">
        <v>1</v>
      </c>
      <c r="K500" t="s">
        <v>97</v>
      </c>
    </row>
    <row r="501" spans="1:11" x14ac:dyDescent="0.25">
      <c r="A501" t="s">
        <v>71</v>
      </c>
      <c r="B501">
        <v>534</v>
      </c>
      <c r="C501">
        <v>16</v>
      </c>
      <c r="D501">
        <v>507</v>
      </c>
      <c r="E501">
        <v>1</v>
      </c>
      <c r="F501" s="55">
        <f t="shared" ca="1" si="15"/>
        <v>44281</v>
      </c>
      <c r="H501">
        <v>1</v>
      </c>
      <c r="I501">
        <v>1</v>
      </c>
      <c r="J501">
        <v>1</v>
      </c>
      <c r="K501" t="s">
        <v>97</v>
      </c>
    </row>
    <row r="502" spans="1:11" x14ac:dyDescent="0.25">
      <c r="A502" t="s">
        <v>71</v>
      </c>
      <c r="B502">
        <v>535</v>
      </c>
      <c r="C502">
        <v>16</v>
      </c>
      <c r="D502">
        <v>507</v>
      </c>
      <c r="E502">
        <v>1</v>
      </c>
      <c r="F502" s="55">
        <f t="shared" ca="1" si="15"/>
        <v>44281</v>
      </c>
      <c r="H502">
        <v>1</v>
      </c>
      <c r="I502">
        <v>1</v>
      </c>
      <c r="J502">
        <v>1</v>
      </c>
      <c r="K502" t="s">
        <v>97</v>
      </c>
    </row>
    <row r="503" spans="1:11" x14ac:dyDescent="0.25">
      <c r="A503" t="s">
        <v>71</v>
      </c>
      <c r="B503">
        <v>536</v>
      </c>
      <c r="C503">
        <v>16</v>
      </c>
      <c r="D503">
        <v>507</v>
      </c>
      <c r="E503">
        <v>1</v>
      </c>
      <c r="F503" s="55">
        <f t="shared" ca="1" si="15"/>
        <v>44281</v>
      </c>
      <c r="H503">
        <v>1</v>
      </c>
      <c r="I503">
        <v>1</v>
      </c>
      <c r="J503">
        <v>1</v>
      </c>
      <c r="K503" t="s">
        <v>97</v>
      </c>
    </row>
    <row r="504" spans="1:11" x14ac:dyDescent="0.25">
      <c r="A504" t="s">
        <v>71</v>
      </c>
      <c r="B504">
        <v>537</v>
      </c>
      <c r="C504">
        <v>16</v>
      </c>
      <c r="D504">
        <v>507</v>
      </c>
      <c r="E504">
        <v>1</v>
      </c>
      <c r="F504" s="55">
        <f t="shared" ca="1" si="15"/>
        <v>44281</v>
      </c>
      <c r="H504">
        <v>1</v>
      </c>
      <c r="I504">
        <v>1</v>
      </c>
      <c r="J504">
        <v>1</v>
      </c>
      <c r="K504" t="s">
        <v>97</v>
      </c>
    </row>
    <row r="505" spans="1:11" x14ac:dyDescent="0.25">
      <c r="A505" t="s">
        <v>71</v>
      </c>
      <c r="B505">
        <v>538</v>
      </c>
      <c r="C505">
        <v>16</v>
      </c>
      <c r="D505">
        <v>507</v>
      </c>
      <c r="E505">
        <v>1</v>
      </c>
      <c r="F505" s="55">
        <f t="shared" ca="1" si="15"/>
        <v>44281</v>
      </c>
      <c r="H505">
        <v>1</v>
      </c>
      <c r="I505">
        <v>1</v>
      </c>
      <c r="J505">
        <v>1</v>
      </c>
      <c r="K505" t="s">
        <v>97</v>
      </c>
    </row>
    <row r="506" spans="1:11" x14ac:dyDescent="0.25">
      <c r="A506" t="s">
        <v>71</v>
      </c>
      <c r="B506">
        <v>539</v>
      </c>
      <c r="C506">
        <v>16</v>
      </c>
      <c r="D506">
        <v>507</v>
      </c>
      <c r="E506">
        <v>1</v>
      </c>
      <c r="F506" s="55">
        <f t="shared" ca="1" si="15"/>
        <v>44281</v>
      </c>
      <c r="H506">
        <v>1</v>
      </c>
      <c r="I506">
        <v>1</v>
      </c>
      <c r="J506">
        <v>1</v>
      </c>
      <c r="K506" t="s">
        <v>97</v>
      </c>
    </row>
    <row r="507" spans="1:11" x14ac:dyDescent="0.25">
      <c r="A507" t="s">
        <v>71</v>
      </c>
      <c r="B507">
        <v>540</v>
      </c>
      <c r="C507">
        <v>16</v>
      </c>
      <c r="D507">
        <v>507</v>
      </c>
      <c r="E507">
        <v>1</v>
      </c>
      <c r="F507" s="55">
        <f t="shared" ca="1" si="15"/>
        <v>44281</v>
      </c>
      <c r="H507">
        <v>1</v>
      </c>
      <c r="I507">
        <v>1</v>
      </c>
      <c r="J507">
        <v>1</v>
      </c>
      <c r="K507" t="s">
        <v>97</v>
      </c>
    </row>
    <row r="508" spans="1:11" x14ac:dyDescent="0.25">
      <c r="A508" t="s">
        <v>71</v>
      </c>
      <c r="B508">
        <v>541</v>
      </c>
      <c r="C508">
        <v>16</v>
      </c>
      <c r="D508">
        <v>507</v>
      </c>
      <c r="E508">
        <v>1</v>
      </c>
      <c r="F508" s="55">
        <f t="shared" ca="1" si="15"/>
        <v>44281</v>
      </c>
      <c r="H508">
        <v>1</v>
      </c>
      <c r="I508">
        <v>1</v>
      </c>
      <c r="J508">
        <v>1</v>
      </c>
      <c r="K508" t="s">
        <v>97</v>
      </c>
    </row>
    <row r="509" spans="1:11" x14ac:dyDescent="0.25">
      <c r="A509" t="s">
        <v>71</v>
      </c>
      <c r="B509">
        <v>542</v>
      </c>
      <c r="C509">
        <v>16</v>
      </c>
      <c r="D509">
        <v>507</v>
      </c>
      <c r="E509">
        <v>1</v>
      </c>
      <c r="F509" s="55">
        <f t="shared" ca="1" si="15"/>
        <v>44281</v>
      </c>
      <c r="H509">
        <v>1</v>
      </c>
      <c r="I509">
        <v>1</v>
      </c>
      <c r="J509">
        <v>1</v>
      </c>
      <c r="K509" t="s">
        <v>97</v>
      </c>
    </row>
    <row r="510" spans="1:11" x14ac:dyDescent="0.25">
      <c r="A510" t="s">
        <v>71</v>
      </c>
      <c r="B510">
        <v>543</v>
      </c>
      <c r="C510">
        <v>16</v>
      </c>
      <c r="D510">
        <v>507</v>
      </c>
      <c r="E510">
        <v>1</v>
      </c>
      <c r="F510" s="55">
        <f t="shared" ca="1" si="15"/>
        <v>44281</v>
      </c>
      <c r="H510">
        <v>1</v>
      </c>
      <c r="I510">
        <v>1</v>
      </c>
      <c r="J510">
        <v>1</v>
      </c>
      <c r="K510" t="s">
        <v>97</v>
      </c>
    </row>
    <row r="511" spans="1:11" x14ac:dyDescent="0.25">
      <c r="A511" t="s">
        <v>71</v>
      </c>
      <c r="B511">
        <v>544</v>
      </c>
      <c r="C511">
        <v>16</v>
      </c>
      <c r="D511">
        <v>507</v>
      </c>
      <c r="E511">
        <v>1</v>
      </c>
      <c r="F511" s="55">
        <f t="shared" ca="1" si="15"/>
        <v>44281</v>
      </c>
      <c r="H511">
        <v>1</v>
      </c>
      <c r="I511">
        <v>1</v>
      </c>
      <c r="J511">
        <v>1</v>
      </c>
      <c r="K511" t="s">
        <v>97</v>
      </c>
    </row>
    <row r="512" spans="1:11" x14ac:dyDescent="0.25">
      <c r="A512" t="s">
        <v>71</v>
      </c>
      <c r="B512">
        <v>545</v>
      </c>
      <c r="C512">
        <v>16</v>
      </c>
      <c r="D512">
        <v>507</v>
      </c>
      <c r="E512">
        <v>1</v>
      </c>
      <c r="F512" s="55">
        <f t="shared" ca="1" si="15"/>
        <v>44281</v>
      </c>
      <c r="H512">
        <v>1</v>
      </c>
      <c r="I512">
        <v>1</v>
      </c>
      <c r="J512">
        <v>1</v>
      </c>
      <c r="K512" t="s">
        <v>97</v>
      </c>
    </row>
    <row r="513" spans="1:11" x14ac:dyDescent="0.25">
      <c r="A513" t="s">
        <v>71</v>
      </c>
      <c r="B513">
        <v>546</v>
      </c>
      <c r="C513">
        <v>16</v>
      </c>
      <c r="D513">
        <v>507</v>
      </c>
      <c r="E513">
        <v>1</v>
      </c>
      <c r="F513" s="55">
        <f t="shared" ca="1" si="15"/>
        <v>44281</v>
      </c>
      <c r="H513">
        <v>1</v>
      </c>
      <c r="I513">
        <v>1</v>
      </c>
      <c r="J513">
        <v>1</v>
      </c>
      <c r="K513" t="s">
        <v>97</v>
      </c>
    </row>
    <row r="514" spans="1:11" x14ac:dyDescent="0.25">
      <c r="A514" t="s">
        <v>71</v>
      </c>
      <c r="B514">
        <v>547</v>
      </c>
      <c r="C514">
        <v>16</v>
      </c>
      <c r="D514">
        <v>507</v>
      </c>
      <c r="E514">
        <v>1</v>
      </c>
      <c r="F514" s="55">
        <f t="shared" ca="1" si="15"/>
        <v>44281</v>
      </c>
      <c r="H514">
        <v>1</v>
      </c>
      <c r="I514">
        <v>1</v>
      </c>
      <c r="J514">
        <v>1</v>
      </c>
      <c r="K514" t="s">
        <v>97</v>
      </c>
    </row>
    <row r="515" spans="1:11" x14ac:dyDescent="0.25">
      <c r="A515" t="s">
        <v>71</v>
      </c>
      <c r="B515">
        <v>548</v>
      </c>
      <c r="C515">
        <v>16</v>
      </c>
      <c r="D515">
        <v>507</v>
      </c>
      <c r="E515">
        <v>1</v>
      </c>
      <c r="F515" s="55">
        <f t="shared" ca="1" si="15"/>
        <v>44281</v>
      </c>
      <c r="H515">
        <v>1</v>
      </c>
      <c r="I515">
        <v>1</v>
      </c>
      <c r="J515">
        <v>1</v>
      </c>
      <c r="K515" t="s">
        <v>97</v>
      </c>
    </row>
    <row r="516" spans="1:11" x14ac:dyDescent="0.25">
      <c r="A516" t="s">
        <v>71</v>
      </c>
      <c r="B516">
        <v>549</v>
      </c>
      <c r="C516">
        <v>16</v>
      </c>
      <c r="D516">
        <v>507</v>
      </c>
      <c r="E516">
        <v>1</v>
      </c>
      <c r="F516" s="55">
        <f t="shared" ca="1" si="15"/>
        <v>44281</v>
      </c>
      <c r="H516">
        <v>1</v>
      </c>
      <c r="I516">
        <v>1</v>
      </c>
      <c r="J516">
        <v>1</v>
      </c>
      <c r="K516" t="s">
        <v>97</v>
      </c>
    </row>
    <row r="517" spans="1:11" x14ac:dyDescent="0.25">
      <c r="A517" t="s">
        <v>71</v>
      </c>
      <c r="B517">
        <v>550</v>
      </c>
      <c r="C517">
        <v>16</v>
      </c>
      <c r="D517">
        <v>507</v>
      </c>
      <c r="E517">
        <v>1</v>
      </c>
      <c r="F517" s="55">
        <f t="shared" ca="1" si="15"/>
        <v>44281</v>
      </c>
      <c r="H517">
        <v>1</v>
      </c>
      <c r="I517">
        <v>1</v>
      </c>
      <c r="J517">
        <v>1</v>
      </c>
      <c r="K517" t="s">
        <v>97</v>
      </c>
    </row>
    <row r="518" spans="1:11" x14ac:dyDescent="0.25">
      <c r="A518" t="s">
        <v>71</v>
      </c>
      <c r="B518">
        <v>551</v>
      </c>
      <c r="C518">
        <v>16</v>
      </c>
      <c r="D518">
        <v>507</v>
      </c>
      <c r="E518">
        <v>1</v>
      </c>
      <c r="F518" s="55">
        <f t="shared" ca="1" si="15"/>
        <v>44281</v>
      </c>
      <c r="H518">
        <v>1</v>
      </c>
      <c r="I518">
        <v>1</v>
      </c>
      <c r="J518">
        <v>1</v>
      </c>
      <c r="K518" t="s">
        <v>97</v>
      </c>
    </row>
    <row r="519" spans="1:11" x14ac:dyDescent="0.25">
      <c r="A519" t="s">
        <v>71</v>
      </c>
      <c r="B519">
        <v>552</v>
      </c>
      <c r="C519">
        <v>16</v>
      </c>
      <c r="D519">
        <v>507</v>
      </c>
      <c r="E519">
        <v>1</v>
      </c>
      <c r="F519" s="55">
        <f t="shared" ca="1" si="15"/>
        <v>44281</v>
      </c>
      <c r="H519">
        <v>1</v>
      </c>
      <c r="I519">
        <v>1</v>
      </c>
      <c r="J519">
        <v>1</v>
      </c>
      <c r="K519" t="s">
        <v>97</v>
      </c>
    </row>
    <row r="520" spans="1:11" x14ac:dyDescent="0.25">
      <c r="A520" t="s">
        <v>71</v>
      </c>
      <c r="B520">
        <v>553</v>
      </c>
      <c r="C520">
        <v>16</v>
      </c>
      <c r="D520">
        <v>507</v>
      </c>
      <c r="E520">
        <v>1</v>
      </c>
      <c r="F520" s="55">
        <f t="shared" ca="1" si="15"/>
        <v>44281</v>
      </c>
      <c r="H520">
        <v>1</v>
      </c>
      <c r="I520">
        <v>1</v>
      </c>
      <c r="J520">
        <v>1</v>
      </c>
      <c r="K520" t="s">
        <v>97</v>
      </c>
    </row>
    <row r="521" spans="1:11" x14ac:dyDescent="0.25">
      <c r="A521" t="s">
        <v>71</v>
      </c>
      <c r="B521">
        <v>554</v>
      </c>
      <c r="C521">
        <v>16</v>
      </c>
      <c r="D521">
        <v>507</v>
      </c>
      <c r="E521">
        <v>1</v>
      </c>
      <c r="F521" s="55">
        <f t="shared" ca="1" si="15"/>
        <v>44281</v>
      </c>
      <c r="H521">
        <v>1</v>
      </c>
      <c r="I521">
        <v>1</v>
      </c>
      <c r="J521">
        <v>1</v>
      </c>
      <c r="K521" t="s">
        <v>97</v>
      </c>
    </row>
    <row r="522" spans="1:11" x14ac:dyDescent="0.25">
      <c r="A522" t="s">
        <v>71</v>
      </c>
      <c r="B522">
        <v>555</v>
      </c>
      <c r="C522">
        <v>16</v>
      </c>
      <c r="D522">
        <v>507</v>
      </c>
      <c r="E522">
        <v>1</v>
      </c>
      <c r="F522" s="55">
        <f t="shared" ca="1" si="15"/>
        <v>44281</v>
      </c>
      <c r="H522">
        <v>1</v>
      </c>
      <c r="I522">
        <v>1</v>
      </c>
      <c r="J522">
        <v>1</v>
      </c>
      <c r="K522" t="s">
        <v>97</v>
      </c>
    </row>
    <row r="523" spans="1:11" x14ac:dyDescent="0.25">
      <c r="A523" t="s">
        <v>71</v>
      </c>
      <c r="B523">
        <v>556</v>
      </c>
      <c r="C523">
        <v>16</v>
      </c>
      <c r="D523">
        <v>507</v>
      </c>
      <c r="E523">
        <v>1</v>
      </c>
      <c r="F523" s="55">
        <f t="shared" ca="1" si="15"/>
        <v>44281</v>
      </c>
      <c r="H523">
        <v>1</v>
      </c>
      <c r="I523">
        <v>1</v>
      </c>
      <c r="J523">
        <v>1</v>
      </c>
      <c r="K523" t="s">
        <v>97</v>
      </c>
    </row>
    <row r="524" spans="1:11" x14ac:dyDescent="0.25">
      <c r="A524" t="s">
        <v>71</v>
      </c>
      <c r="B524">
        <v>557</v>
      </c>
      <c r="C524">
        <v>16</v>
      </c>
      <c r="D524">
        <v>507</v>
      </c>
      <c r="E524">
        <v>1</v>
      </c>
      <c r="F524" s="55">
        <f t="shared" ca="1" si="15"/>
        <v>44281</v>
      </c>
      <c r="H524">
        <v>1</v>
      </c>
      <c r="I524">
        <v>1</v>
      </c>
      <c r="J524">
        <v>1</v>
      </c>
      <c r="K524" t="s">
        <v>97</v>
      </c>
    </row>
    <row r="525" spans="1:11" x14ac:dyDescent="0.25">
      <c r="A525" t="s">
        <v>71</v>
      </c>
      <c r="B525">
        <v>558</v>
      </c>
      <c r="C525">
        <v>16</v>
      </c>
      <c r="D525">
        <v>507</v>
      </c>
      <c r="E525">
        <v>1</v>
      </c>
      <c r="F525" s="55">
        <f t="shared" ca="1" si="15"/>
        <v>44281</v>
      </c>
      <c r="H525">
        <v>1</v>
      </c>
      <c r="I525">
        <v>1</v>
      </c>
      <c r="J525">
        <v>1</v>
      </c>
      <c r="K525" t="s">
        <v>97</v>
      </c>
    </row>
    <row r="526" spans="1:11" x14ac:dyDescent="0.25">
      <c r="A526" t="s">
        <v>71</v>
      </c>
      <c r="B526">
        <v>559</v>
      </c>
      <c r="C526">
        <v>16</v>
      </c>
      <c r="D526">
        <v>507</v>
      </c>
      <c r="E526">
        <v>1</v>
      </c>
      <c r="F526" s="55">
        <f t="shared" ca="1" si="15"/>
        <v>44281</v>
      </c>
      <c r="H526">
        <v>1</v>
      </c>
      <c r="I526">
        <v>1</v>
      </c>
      <c r="J526">
        <v>1</v>
      </c>
      <c r="K526" t="s">
        <v>97</v>
      </c>
    </row>
    <row r="527" spans="1:11" x14ac:dyDescent="0.25">
      <c r="A527" t="s">
        <v>71</v>
      </c>
      <c r="B527">
        <v>560</v>
      </c>
      <c r="C527">
        <v>16</v>
      </c>
      <c r="D527">
        <v>507</v>
      </c>
      <c r="E527">
        <v>1</v>
      </c>
      <c r="F527" s="55">
        <f t="shared" ca="1" si="15"/>
        <v>44281</v>
      </c>
      <c r="H527">
        <v>1</v>
      </c>
      <c r="I527">
        <v>1</v>
      </c>
      <c r="J527">
        <v>1</v>
      </c>
      <c r="K527" t="s">
        <v>97</v>
      </c>
    </row>
    <row r="528" spans="1:11" x14ac:dyDescent="0.25">
      <c r="A528" t="s">
        <v>71</v>
      </c>
      <c r="B528">
        <v>561</v>
      </c>
      <c r="C528">
        <v>16</v>
      </c>
      <c r="D528">
        <v>507</v>
      </c>
      <c r="E528">
        <v>1</v>
      </c>
      <c r="F528" s="55">
        <f t="shared" ca="1" si="15"/>
        <v>44281</v>
      </c>
      <c r="H528">
        <v>1</v>
      </c>
      <c r="I528">
        <v>1</v>
      </c>
      <c r="J528">
        <v>1</v>
      </c>
      <c r="K528" t="s">
        <v>97</v>
      </c>
    </row>
    <row r="529" spans="1:11" x14ac:dyDescent="0.25">
      <c r="A529" t="s">
        <v>71</v>
      </c>
      <c r="B529">
        <v>562</v>
      </c>
      <c r="C529">
        <v>16</v>
      </c>
      <c r="D529">
        <v>507</v>
      </c>
      <c r="E529">
        <v>1</v>
      </c>
      <c r="F529" s="55">
        <f t="shared" ca="1" si="15"/>
        <v>44281</v>
      </c>
      <c r="H529">
        <v>1</v>
      </c>
      <c r="I529">
        <v>1</v>
      </c>
      <c r="J529">
        <v>1</v>
      </c>
      <c r="K529" t="s">
        <v>97</v>
      </c>
    </row>
    <row r="530" spans="1:11" x14ac:dyDescent="0.25">
      <c r="A530" t="s">
        <v>71</v>
      </c>
      <c r="B530">
        <v>563</v>
      </c>
      <c r="C530">
        <v>16</v>
      </c>
      <c r="D530">
        <v>507</v>
      </c>
      <c r="E530">
        <v>1</v>
      </c>
      <c r="F530" s="55">
        <f t="shared" ca="1" si="15"/>
        <v>44281</v>
      </c>
      <c r="H530">
        <v>1</v>
      </c>
      <c r="I530">
        <v>1</v>
      </c>
      <c r="J530">
        <v>1</v>
      </c>
      <c r="K530" t="s">
        <v>97</v>
      </c>
    </row>
    <row r="531" spans="1:11" x14ac:dyDescent="0.25">
      <c r="A531" t="s">
        <v>71</v>
      </c>
      <c r="B531">
        <v>564</v>
      </c>
      <c r="C531">
        <v>16</v>
      </c>
      <c r="D531">
        <v>507</v>
      </c>
      <c r="E531">
        <v>1</v>
      </c>
      <c r="F531" s="55">
        <f t="shared" ca="1" si="15"/>
        <v>44281</v>
      </c>
      <c r="H531">
        <v>1</v>
      </c>
      <c r="I531">
        <v>1</v>
      </c>
      <c r="J531">
        <v>1</v>
      </c>
      <c r="K531" t="s">
        <v>97</v>
      </c>
    </row>
    <row r="532" spans="1:11" x14ac:dyDescent="0.25">
      <c r="A532" t="s">
        <v>71</v>
      </c>
      <c r="B532">
        <v>565</v>
      </c>
      <c r="C532">
        <v>16</v>
      </c>
      <c r="D532">
        <v>507</v>
      </c>
      <c r="E532">
        <v>1</v>
      </c>
      <c r="F532" s="55">
        <f t="shared" ca="1" si="15"/>
        <v>44281</v>
      </c>
      <c r="H532">
        <v>1</v>
      </c>
      <c r="I532">
        <v>1</v>
      </c>
      <c r="J532">
        <v>1</v>
      </c>
      <c r="K532" t="s">
        <v>97</v>
      </c>
    </row>
    <row r="533" spans="1:11" x14ac:dyDescent="0.25">
      <c r="A533" t="s">
        <v>71</v>
      </c>
      <c r="B533">
        <v>566</v>
      </c>
      <c r="C533">
        <v>16</v>
      </c>
      <c r="D533">
        <v>507</v>
      </c>
      <c r="E533">
        <v>1</v>
      </c>
      <c r="F533" s="55">
        <f ca="1">TODAY()</f>
        <v>44281</v>
      </c>
      <c r="H533">
        <v>1</v>
      </c>
      <c r="I533">
        <v>1</v>
      </c>
      <c r="J533">
        <v>1</v>
      </c>
      <c r="K533" t="s">
        <v>97</v>
      </c>
    </row>
    <row r="534" spans="1:11" x14ac:dyDescent="0.25">
      <c r="A534" t="s">
        <v>71</v>
      </c>
      <c r="B534">
        <v>567</v>
      </c>
      <c r="C534">
        <v>16</v>
      </c>
      <c r="D534">
        <v>507</v>
      </c>
      <c r="E534">
        <v>1</v>
      </c>
      <c r="F534" s="55">
        <f t="shared" ref="F534:F567" ca="1" si="16">TODAY()</f>
        <v>44281</v>
      </c>
      <c r="H534">
        <v>1</v>
      </c>
      <c r="I534">
        <v>1</v>
      </c>
      <c r="J534">
        <v>1</v>
      </c>
      <c r="K534" t="s">
        <v>97</v>
      </c>
    </row>
    <row r="535" spans="1:11" x14ac:dyDescent="0.25">
      <c r="A535" t="s">
        <v>71</v>
      </c>
      <c r="B535">
        <v>568</v>
      </c>
      <c r="C535">
        <v>16</v>
      </c>
      <c r="D535">
        <v>507</v>
      </c>
      <c r="E535">
        <v>1</v>
      </c>
      <c r="F535" s="55">
        <f t="shared" ca="1" si="16"/>
        <v>44281</v>
      </c>
      <c r="H535">
        <v>1</v>
      </c>
      <c r="I535">
        <v>1</v>
      </c>
      <c r="J535">
        <v>1</v>
      </c>
      <c r="K535" t="s">
        <v>97</v>
      </c>
    </row>
    <row r="536" spans="1:11" x14ac:dyDescent="0.25">
      <c r="A536" t="s">
        <v>71</v>
      </c>
      <c r="B536">
        <v>569</v>
      </c>
      <c r="C536">
        <v>16</v>
      </c>
      <c r="D536">
        <v>507</v>
      </c>
      <c r="E536">
        <v>1</v>
      </c>
      <c r="F536" s="55">
        <f t="shared" ca="1" si="16"/>
        <v>44281</v>
      </c>
      <c r="H536">
        <v>1</v>
      </c>
      <c r="I536">
        <v>1</v>
      </c>
      <c r="J536">
        <v>1</v>
      </c>
      <c r="K536" t="s">
        <v>97</v>
      </c>
    </row>
    <row r="537" spans="1:11" x14ac:dyDescent="0.25">
      <c r="A537" t="s">
        <v>71</v>
      </c>
      <c r="B537">
        <v>570</v>
      </c>
      <c r="C537">
        <v>16</v>
      </c>
      <c r="D537">
        <v>507</v>
      </c>
      <c r="E537">
        <v>1</v>
      </c>
      <c r="F537" s="55">
        <f t="shared" ca="1" si="16"/>
        <v>44281</v>
      </c>
      <c r="H537">
        <v>1</v>
      </c>
      <c r="I537">
        <v>1</v>
      </c>
      <c r="J537">
        <v>1</v>
      </c>
      <c r="K537" t="s">
        <v>97</v>
      </c>
    </row>
    <row r="538" spans="1:11" x14ac:dyDescent="0.25">
      <c r="A538" t="s">
        <v>71</v>
      </c>
      <c r="B538">
        <v>571</v>
      </c>
      <c r="C538">
        <v>16</v>
      </c>
      <c r="D538">
        <v>507</v>
      </c>
      <c r="E538">
        <v>1</v>
      </c>
      <c r="F538" s="55">
        <f t="shared" ca="1" si="16"/>
        <v>44281</v>
      </c>
      <c r="H538">
        <v>1</v>
      </c>
      <c r="I538">
        <v>1</v>
      </c>
      <c r="J538">
        <v>1</v>
      </c>
      <c r="K538" t="s">
        <v>97</v>
      </c>
    </row>
    <row r="539" spans="1:11" x14ac:dyDescent="0.25">
      <c r="A539" t="s">
        <v>71</v>
      </c>
      <c r="B539">
        <v>572</v>
      </c>
      <c r="C539">
        <v>16</v>
      </c>
      <c r="D539">
        <v>507</v>
      </c>
      <c r="E539">
        <v>1</v>
      </c>
      <c r="F539" s="55">
        <f t="shared" ca="1" si="16"/>
        <v>44281</v>
      </c>
      <c r="H539">
        <v>1</v>
      </c>
      <c r="I539">
        <v>1</v>
      </c>
      <c r="J539">
        <v>1</v>
      </c>
      <c r="K539" t="s">
        <v>97</v>
      </c>
    </row>
    <row r="540" spans="1:11" x14ac:dyDescent="0.25">
      <c r="A540" t="s">
        <v>71</v>
      </c>
      <c r="B540">
        <v>573</v>
      </c>
      <c r="C540">
        <v>16</v>
      </c>
      <c r="D540">
        <v>507</v>
      </c>
      <c r="E540">
        <v>1</v>
      </c>
      <c r="F540" s="55">
        <f t="shared" ca="1" si="16"/>
        <v>44281</v>
      </c>
      <c r="H540">
        <v>1</v>
      </c>
      <c r="I540">
        <v>1</v>
      </c>
      <c r="J540">
        <v>1</v>
      </c>
      <c r="K540" t="s">
        <v>97</v>
      </c>
    </row>
    <row r="541" spans="1:11" x14ac:dyDescent="0.25">
      <c r="A541" t="s">
        <v>71</v>
      </c>
      <c r="B541">
        <v>574</v>
      </c>
      <c r="C541">
        <v>16</v>
      </c>
      <c r="D541">
        <v>507</v>
      </c>
      <c r="E541">
        <v>1</v>
      </c>
      <c r="F541" s="55">
        <f t="shared" ca="1" si="16"/>
        <v>44281</v>
      </c>
      <c r="H541">
        <v>1</v>
      </c>
      <c r="I541">
        <v>1</v>
      </c>
      <c r="J541">
        <v>1</v>
      </c>
      <c r="K541" t="s">
        <v>97</v>
      </c>
    </row>
    <row r="542" spans="1:11" x14ac:dyDescent="0.25">
      <c r="A542" t="s">
        <v>71</v>
      </c>
      <c r="B542">
        <v>575</v>
      </c>
      <c r="C542">
        <v>16</v>
      </c>
      <c r="D542">
        <v>507</v>
      </c>
      <c r="E542">
        <v>1</v>
      </c>
      <c r="F542" s="55">
        <f t="shared" ca="1" si="16"/>
        <v>44281</v>
      </c>
      <c r="H542">
        <v>1</v>
      </c>
      <c r="I542">
        <v>1</v>
      </c>
      <c r="J542">
        <v>1</v>
      </c>
      <c r="K542" t="s">
        <v>97</v>
      </c>
    </row>
    <row r="543" spans="1:11" x14ac:dyDescent="0.25">
      <c r="A543" t="s">
        <v>71</v>
      </c>
      <c r="B543">
        <v>576</v>
      </c>
      <c r="C543">
        <v>16</v>
      </c>
      <c r="D543">
        <v>507</v>
      </c>
      <c r="E543">
        <v>1</v>
      </c>
      <c r="F543" s="55">
        <f t="shared" ca="1" si="16"/>
        <v>44281</v>
      </c>
      <c r="H543">
        <v>1</v>
      </c>
      <c r="I543">
        <v>1</v>
      </c>
      <c r="J543">
        <v>1</v>
      </c>
      <c r="K543" t="s">
        <v>97</v>
      </c>
    </row>
    <row r="544" spans="1:11" x14ac:dyDescent="0.25">
      <c r="A544" t="s">
        <v>71</v>
      </c>
      <c r="B544">
        <v>577</v>
      </c>
      <c r="C544">
        <v>16</v>
      </c>
      <c r="D544">
        <v>507</v>
      </c>
      <c r="E544">
        <v>1</v>
      </c>
      <c r="F544" s="55">
        <f t="shared" ca="1" si="16"/>
        <v>44281</v>
      </c>
      <c r="H544">
        <v>1</v>
      </c>
      <c r="I544">
        <v>1</v>
      </c>
      <c r="J544">
        <v>1</v>
      </c>
      <c r="K544" t="s">
        <v>97</v>
      </c>
    </row>
    <row r="545" spans="1:11" x14ac:dyDescent="0.25">
      <c r="A545" t="s">
        <v>71</v>
      </c>
      <c r="B545">
        <v>578</v>
      </c>
      <c r="C545">
        <v>16</v>
      </c>
      <c r="D545">
        <v>507</v>
      </c>
      <c r="E545">
        <v>1</v>
      </c>
      <c r="F545" s="55">
        <f t="shared" ca="1" si="16"/>
        <v>44281</v>
      </c>
      <c r="H545">
        <v>1</v>
      </c>
      <c r="I545">
        <v>1</v>
      </c>
      <c r="J545">
        <v>1</v>
      </c>
      <c r="K545" t="s">
        <v>97</v>
      </c>
    </row>
    <row r="546" spans="1:11" x14ac:dyDescent="0.25">
      <c r="A546" t="s">
        <v>71</v>
      </c>
      <c r="B546">
        <v>579</v>
      </c>
      <c r="C546">
        <v>16</v>
      </c>
      <c r="D546">
        <v>507</v>
      </c>
      <c r="E546">
        <v>1</v>
      </c>
      <c r="F546" s="55">
        <f t="shared" ca="1" si="16"/>
        <v>44281</v>
      </c>
      <c r="H546">
        <v>1</v>
      </c>
      <c r="I546">
        <v>1</v>
      </c>
      <c r="J546">
        <v>1</v>
      </c>
      <c r="K546" t="s">
        <v>97</v>
      </c>
    </row>
    <row r="547" spans="1:11" x14ac:dyDescent="0.25">
      <c r="A547" t="s">
        <v>71</v>
      </c>
      <c r="B547">
        <v>580</v>
      </c>
      <c r="C547">
        <v>16</v>
      </c>
      <c r="D547">
        <v>507</v>
      </c>
      <c r="E547">
        <v>1</v>
      </c>
      <c r="F547" s="55">
        <f t="shared" ca="1" si="16"/>
        <v>44281</v>
      </c>
      <c r="H547">
        <v>1</v>
      </c>
      <c r="I547">
        <v>1</v>
      </c>
      <c r="J547">
        <v>1</v>
      </c>
      <c r="K547" t="s">
        <v>97</v>
      </c>
    </row>
    <row r="548" spans="1:11" x14ac:dyDescent="0.25">
      <c r="A548" t="s">
        <v>71</v>
      </c>
      <c r="B548">
        <v>581</v>
      </c>
      <c r="C548">
        <v>16</v>
      </c>
      <c r="D548">
        <v>507</v>
      </c>
      <c r="E548">
        <v>1</v>
      </c>
      <c r="F548" s="55">
        <f t="shared" ca="1" si="16"/>
        <v>44281</v>
      </c>
      <c r="H548">
        <v>1</v>
      </c>
      <c r="I548">
        <v>1</v>
      </c>
      <c r="J548">
        <v>1</v>
      </c>
      <c r="K548" t="s">
        <v>97</v>
      </c>
    </row>
    <row r="549" spans="1:11" x14ac:dyDescent="0.25">
      <c r="A549" t="s">
        <v>71</v>
      </c>
      <c r="B549">
        <v>582</v>
      </c>
      <c r="C549">
        <v>16</v>
      </c>
      <c r="D549">
        <v>507</v>
      </c>
      <c r="E549">
        <v>1</v>
      </c>
      <c r="F549" s="55">
        <f t="shared" ca="1" si="16"/>
        <v>44281</v>
      </c>
      <c r="H549">
        <v>1</v>
      </c>
      <c r="I549">
        <v>1</v>
      </c>
      <c r="J549">
        <v>1</v>
      </c>
      <c r="K549" t="s">
        <v>97</v>
      </c>
    </row>
    <row r="550" spans="1:11" x14ac:dyDescent="0.25">
      <c r="A550" t="s">
        <v>71</v>
      </c>
      <c r="B550">
        <v>583</v>
      </c>
      <c r="C550">
        <v>16</v>
      </c>
      <c r="D550">
        <v>507</v>
      </c>
      <c r="E550">
        <v>1</v>
      </c>
      <c r="F550" s="55">
        <f t="shared" ca="1" si="16"/>
        <v>44281</v>
      </c>
      <c r="H550">
        <v>1</v>
      </c>
      <c r="I550">
        <v>1</v>
      </c>
      <c r="J550">
        <v>1</v>
      </c>
      <c r="K550" t="s">
        <v>97</v>
      </c>
    </row>
    <row r="551" spans="1:11" x14ac:dyDescent="0.25">
      <c r="A551" t="s">
        <v>71</v>
      </c>
      <c r="B551">
        <v>584</v>
      </c>
      <c r="C551">
        <v>16</v>
      </c>
      <c r="D551">
        <v>507</v>
      </c>
      <c r="E551">
        <v>1</v>
      </c>
      <c r="F551" s="55">
        <f t="shared" ca="1" si="16"/>
        <v>44281</v>
      </c>
      <c r="H551">
        <v>1</v>
      </c>
      <c r="I551">
        <v>1</v>
      </c>
      <c r="J551">
        <v>1</v>
      </c>
      <c r="K551" t="s">
        <v>97</v>
      </c>
    </row>
    <row r="552" spans="1:11" x14ac:dyDescent="0.25">
      <c r="A552" t="s">
        <v>71</v>
      </c>
      <c r="B552">
        <v>585</v>
      </c>
      <c r="C552">
        <v>16</v>
      </c>
      <c r="D552">
        <v>507</v>
      </c>
      <c r="E552">
        <v>1</v>
      </c>
      <c r="F552" s="55">
        <f t="shared" ca="1" si="16"/>
        <v>44281</v>
      </c>
      <c r="H552">
        <v>1</v>
      </c>
      <c r="I552">
        <v>1</v>
      </c>
      <c r="J552">
        <v>1</v>
      </c>
      <c r="K552" t="s">
        <v>97</v>
      </c>
    </row>
    <row r="553" spans="1:11" x14ac:dyDescent="0.25">
      <c r="A553" t="s">
        <v>71</v>
      </c>
      <c r="B553">
        <v>586</v>
      </c>
      <c r="C553">
        <v>16</v>
      </c>
      <c r="D553">
        <v>507</v>
      </c>
      <c r="E553">
        <v>1</v>
      </c>
      <c r="F553" s="55">
        <f t="shared" ca="1" si="16"/>
        <v>44281</v>
      </c>
      <c r="H553">
        <v>1</v>
      </c>
      <c r="I553">
        <v>1</v>
      </c>
      <c r="J553">
        <v>1</v>
      </c>
      <c r="K553" t="s">
        <v>97</v>
      </c>
    </row>
    <row r="554" spans="1:11" x14ac:dyDescent="0.25">
      <c r="A554" t="s">
        <v>71</v>
      </c>
      <c r="B554">
        <v>587</v>
      </c>
      <c r="C554">
        <v>16</v>
      </c>
      <c r="D554">
        <v>507</v>
      </c>
      <c r="E554">
        <v>1</v>
      </c>
      <c r="F554" s="55">
        <f t="shared" ca="1" si="16"/>
        <v>44281</v>
      </c>
      <c r="H554">
        <v>1</v>
      </c>
      <c r="I554">
        <v>1</v>
      </c>
      <c r="J554">
        <v>1</v>
      </c>
      <c r="K554" t="s">
        <v>97</v>
      </c>
    </row>
    <row r="555" spans="1:11" x14ac:dyDescent="0.25">
      <c r="A555" t="s">
        <v>71</v>
      </c>
      <c r="B555">
        <v>588</v>
      </c>
      <c r="C555">
        <v>16</v>
      </c>
      <c r="D555">
        <v>507</v>
      </c>
      <c r="E555">
        <v>1</v>
      </c>
      <c r="F555" s="55">
        <f t="shared" ca="1" si="16"/>
        <v>44281</v>
      </c>
      <c r="H555">
        <v>1</v>
      </c>
      <c r="I555">
        <v>1</v>
      </c>
      <c r="J555">
        <v>1</v>
      </c>
      <c r="K555" t="s">
        <v>97</v>
      </c>
    </row>
    <row r="556" spans="1:11" x14ac:dyDescent="0.25">
      <c r="A556" t="s">
        <v>71</v>
      </c>
      <c r="B556">
        <v>589</v>
      </c>
      <c r="C556">
        <v>16</v>
      </c>
      <c r="D556">
        <v>507</v>
      </c>
      <c r="E556">
        <v>1</v>
      </c>
      <c r="F556" s="55">
        <f t="shared" ca="1" si="16"/>
        <v>44281</v>
      </c>
      <c r="H556">
        <v>1</v>
      </c>
      <c r="I556">
        <v>1</v>
      </c>
      <c r="J556">
        <v>1</v>
      </c>
      <c r="K556" t="s">
        <v>97</v>
      </c>
    </row>
    <row r="557" spans="1:11" x14ac:dyDescent="0.25">
      <c r="A557" t="s">
        <v>71</v>
      </c>
      <c r="B557">
        <v>590</v>
      </c>
      <c r="C557">
        <v>16</v>
      </c>
      <c r="D557">
        <v>507</v>
      </c>
      <c r="E557">
        <v>1</v>
      </c>
      <c r="F557" s="55">
        <f t="shared" ca="1" si="16"/>
        <v>44281</v>
      </c>
      <c r="H557">
        <v>1</v>
      </c>
      <c r="I557">
        <v>1</v>
      </c>
      <c r="J557">
        <v>1</v>
      </c>
      <c r="K557" t="s">
        <v>97</v>
      </c>
    </row>
    <row r="558" spans="1:11" x14ac:dyDescent="0.25">
      <c r="A558" t="s">
        <v>71</v>
      </c>
      <c r="B558">
        <v>591</v>
      </c>
      <c r="C558">
        <v>16</v>
      </c>
      <c r="D558">
        <v>507</v>
      </c>
      <c r="E558">
        <v>1</v>
      </c>
      <c r="F558" s="55">
        <f t="shared" ca="1" si="16"/>
        <v>44281</v>
      </c>
      <c r="H558">
        <v>1</v>
      </c>
      <c r="I558">
        <v>1</v>
      </c>
      <c r="J558">
        <v>1</v>
      </c>
      <c r="K558" t="s">
        <v>97</v>
      </c>
    </row>
    <row r="559" spans="1:11" x14ac:dyDescent="0.25">
      <c r="A559" t="s">
        <v>71</v>
      </c>
      <c r="B559">
        <v>592</v>
      </c>
      <c r="C559">
        <v>16</v>
      </c>
      <c r="D559">
        <v>507</v>
      </c>
      <c r="E559">
        <v>1</v>
      </c>
      <c r="F559" s="55">
        <f t="shared" ca="1" si="16"/>
        <v>44281</v>
      </c>
      <c r="H559">
        <v>1</v>
      </c>
      <c r="I559">
        <v>1</v>
      </c>
      <c r="J559">
        <v>1</v>
      </c>
      <c r="K559" t="s">
        <v>97</v>
      </c>
    </row>
    <row r="560" spans="1:11" x14ac:dyDescent="0.25">
      <c r="A560" t="s">
        <v>71</v>
      </c>
      <c r="B560">
        <v>593</v>
      </c>
      <c r="C560">
        <v>16</v>
      </c>
      <c r="D560">
        <v>507</v>
      </c>
      <c r="E560">
        <v>1</v>
      </c>
      <c r="F560" s="55">
        <f t="shared" ca="1" si="16"/>
        <v>44281</v>
      </c>
      <c r="H560">
        <v>1</v>
      </c>
      <c r="I560">
        <v>1</v>
      </c>
      <c r="J560">
        <v>1</v>
      </c>
      <c r="K560" t="s">
        <v>97</v>
      </c>
    </row>
    <row r="561" spans="1:11" x14ac:dyDescent="0.25">
      <c r="A561" t="s">
        <v>71</v>
      </c>
      <c r="B561">
        <v>594</v>
      </c>
      <c r="C561">
        <v>16</v>
      </c>
      <c r="D561">
        <v>507</v>
      </c>
      <c r="E561">
        <v>1</v>
      </c>
      <c r="F561" s="55">
        <f t="shared" ca="1" si="16"/>
        <v>44281</v>
      </c>
      <c r="H561">
        <v>1</v>
      </c>
      <c r="I561">
        <v>1</v>
      </c>
      <c r="J561">
        <v>1</v>
      </c>
      <c r="K561" t="s">
        <v>97</v>
      </c>
    </row>
    <row r="562" spans="1:11" x14ac:dyDescent="0.25">
      <c r="A562" t="s">
        <v>71</v>
      </c>
      <c r="B562">
        <v>595</v>
      </c>
      <c r="C562">
        <v>16</v>
      </c>
      <c r="D562">
        <v>507</v>
      </c>
      <c r="E562">
        <v>1</v>
      </c>
      <c r="F562" s="55">
        <f t="shared" ca="1" si="16"/>
        <v>44281</v>
      </c>
      <c r="H562">
        <v>1</v>
      </c>
      <c r="I562">
        <v>1</v>
      </c>
      <c r="J562">
        <v>1</v>
      </c>
      <c r="K562" t="s">
        <v>97</v>
      </c>
    </row>
    <row r="563" spans="1:11" x14ac:dyDescent="0.25">
      <c r="A563" t="s">
        <v>71</v>
      </c>
      <c r="B563">
        <v>596</v>
      </c>
      <c r="C563">
        <v>16</v>
      </c>
      <c r="D563">
        <v>507</v>
      </c>
      <c r="E563">
        <v>1</v>
      </c>
      <c r="F563" s="55">
        <f t="shared" ca="1" si="16"/>
        <v>44281</v>
      </c>
      <c r="H563">
        <v>1</v>
      </c>
      <c r="I563">
        <v>1</v>
      </c>
      <c r="J563">
        <v>1</v>
      </c>
      <c r="K563" t="s">
        <v>97</v>
      </c>
    </row>
    <row r="564" spans="1:11" x14ac:dyDescent="0.25">
      <c r="A564" t="s">
        <v>71</v>
      </c>
      <c r="B564">
        <v>597</v>
      </c>
      <c r="C564">
        <v>16</v>
      </c>
      <c r="D564">
        <v>507</v>
      </c>
      <c r="E564">
        <v>1</v>
      </c>
      <c r="F564" s="55">
        <f t="shared" ca="1" si="16"/>
        <v>44281</v>
      </c>
      <c r="H564">
        <v>1</v>
      </c>
      <c r="I564">
        <v>1</v>
      </c>
      <c r="J564">
        <v>1</v>
      </c>
      <c r="K564" t="s">
        <v>97</v>
      </c>
    </row>
    <row r="565" spans="1:11" x14ac:dyDescent="0.25">
      <c r="A565" t="s">
        <v>71</v>
      </c>
      <c r="B565">
        <v>598</v>
      </c>
      <c r="C565">
        <v>16</v>
      </c>
      <c r="D565">
        <v>507</v>
      </c>
      <c r="E565">
        <v>1</v>
      </c>
      <c r="F565" s="55">
        <f t="shared" ca="1" si="16"/>
        <v>44281</v>
      </c>
      <c r="H565">
        <v>1</v>
      </c>
      <c r="I565">
        <v>1</v>
      </c>
      <c r="J565">
        <v>1</v>
      </c>
      <c r="K565" t="s">
        <v>97</v>
      </c>
    </row>
    <row r="566" spans="1:11" x14ac:dyDescent="0.25">
      <c r="A566" t="s">
        <v>71</v>
      </c>
      <c r="B566">
        <v>599</v>
      </c>
      <c r="C566">
        <v>16</v>
      </c>
      <c r="D566">
        <v>507</v>
      </c>
      <c r="E566">
        <v>1</v>
      </c>
      <c r="F566" s="55">
        <f t="shared" ca="1" si="16"/>
        <v>44281</v>
      </c>
      <c r="H566">
        <v>1</v>
      </c>
      <c r="I566">
        <v>1</v>
      </c>
      <c r="J566">
        <v>1</v>
      </c>
      <c r="K566" t="s">
        <v>97</v>
      </c>
    </row>
    <row r="567" spans="1:11" x14ac:dyDescent="0.25">
      <c r="A567" t="s">
        <v>71</v>
      </c>
      <c r="B567">
        <v>600</v>
      </c>
      <c r="C567">
        <v>16</v>
      </c>
      <c r="D567">
        <v>507</v>
      </c>
      <c r="E567">
        <v>1</v>
      </c>
      <c r="F567" s="55">
        <f t="shared" ca="1" si="16"/>
        <v>44281</v>
      </c>
      <c r="H567">
        <v>1</v>
      </c>
      <c r="I567">
        <v>1</v>
      </c>
      <c r="J567">
        <v>1</v>
      </c>
      <c r="K567" t="s">
        <v>97</v>
      </c>
    </row>
    <row r="568" spans="1:11" x14ac:dyDescent="0.25">
      <c r="A568" t="s">
        <v>71</v>
      </c>
      <c r="B568">
        <v>1126</v>
      </c>
      <c r="C568">
        <v>16</v>
      </c>
      <c r="D568">
        <v>507</v>
      </c>
      <c r="E568">
        <v>1</v>
      </c>
      <c r="F568" s="55">
        <f ca="1">TODAY()</f>
        <v>44281</v>
      </c>
      <c r="H568">
        <v>3</v>
      </c>
      <c r="I568">
        <v>1</v>
      </c>
      <c r="J568">
        <v>1</v>
      </c>
      <c r="K568" t="s">
        <v>97</v>
      </c>
    </row>
    <row r="569" spans="1:11" x14ac:dyDescent="0.25">
      <c r="A569" t="s">
        <v>71</v>
      </c>
      <c r="B569">
        <v>1133</v>
      </c>
      <c r="C569">
        <v>16</v>
      </c>
      <c r="D569">
        <v>507</v>
      </c>
      <c r="E569">
        <v>1</v>
      </c>
      <c r="F569" s="55">
        <f ca="1">TODAY()</f>
        <v>44281</v>
      </c>
      <c r="H569">
        <v>3</v>
      </c>
      <c r="I569">
        <v>1</v>
      </c>
      <c r="J569">
        <v>1</v>
      </c>
      <c r="K569" t="s">
        <v>97</v>
      </c>
    </row>
    <row r="570" spans="1:11" x14ac:dyDescent="0.25">
      <c r="A570" t="s">
        <v>71</v>
      </c>
      <c r="B570">
        <v>671</v>
      </c>
      <c r="C570">
        <v>16</v>
      </c>
      <c r="D570">
        <v>507</v>
      </c>
      <c r="E570">
        <v>1</v>
      </c>
      <c r="F570" s="55">
        <f ca="1">TODAY()</f>
        <v>44281</v>
      </c>
      <c r="H570">
        <v>1</v>
      </c>
      <c r="I570">
        <v>1</v>
      </c>
      <c r="J570">
        <v>1</v>
      </c>
      <c r="K570" t="s">
        <v>97</v>
      </c>
    </row>
    <row r="571" spans="1:11" x14ac:dyDescent="0.25">
      <c r="A571" t="s">
        <v>71</v>
      </c>
      <c r="B571">
        <v>672</v>
      </c>
      <c r="C571">
        <v>16</v>
      </c>
      <c r="D571">
        <v>507</v>
      </c>
      <c r="E571">
        <v>1</v>
      </c>
      <c r="F571" s="55">
        <f t="shared" ref="F571:F604" ca="1" si="17">TODAY()</f>
        <v>44281</v>
      </c>
      <c r="H571">
        <v>1</v>
      </c>
      <c r="I571">
        <v>1</v>
      </c>
      <c r="J571">
        <v>1</v>
      </c>
      <c r="K571" t="s">
        <v>97</v>
      </c>
    </row>
    <row r="572" spans="1:11" x14ac:dyDescent="0.25">
      <c r="A572" t="s">
        <v>71</v>
      </c>
      <c r="B572">
        <v>673</v>
      </c>
      <c r="C572">
        <v>16</v>
      </c>
      <c r="D572">
        <v>507</v>
      </c>
      <c r="E572">
        <v>1</v>
      </c>
      <c r="F572" s="55">
        <f t="shared" ca="1" si="17"/>
        <v>44281</v>
      </c>
      <c r="H572">
        <v>1</v>
      </c>
      <c r="I572">
        <v>1</v>
      </c>
      <c r="J572">
        <v>1</v>
      </c>
      <c r="K572" t="s">
        <v>97</v>
      </c>
    </row>
    <row r="573" spans="1:11" x14ac:dyDescent="0.25">
      <c r="A573" t="s">
        <v>71</v>
      </c>
      <c r="B573">
        <v>674</v>
      </c>
      <c r="C573">
        <v>16</v>
      </c>
      <c r="D573">
        <v>507</v>
      </c>
      <c r="E573">
        <v>1</v>
      </c>
      <c r="F573" s="55">
        <f t="shared" ca="1" si="17"/>
        <v>44281</v>
      </c>
      <c r="H573">
        <v>1</v>
      </c>
      <c r="I573">
        <v>1</v>
      </c>
      <c r="J573">
        <v>1</v>
      </c>
      <c r="K573" t="s">
        <v>97</v>
      </c>
    </row>
    <row r="574" spans="1:11" x14ac:dyDescent="0.25">
      <c r="A574" t="s">
        <v>71</v>
      </c>
      <c r="B574">
        <v>675</v>
      </c>
      <c r="C574">
        <v>16</v>
      </c>
      <c r="D574">
        <v>507</v>
      </c>
      <c r="E574">
        <v>1</v>
      </c>
      <c r="F574" s="55">
        <f t="shared" ca="1" si="17"/>
        <v>44281</v>
      </c>
      <c r="H574">
        <v>1</v>
      </c>
      <c r="I574">
        <v>1</v>
      </c>
      <c r="J574">
        <v>1</v>
      </c>
      <c r="K574" t="s">
        <v>97</v>
      </c>
    </row>
    <row r="575" spans="1:11" x14ac:dyDescent="0.25">
      <c r="A575" t="s">
        <v>71</v>
      </c>
      <c r="B575">
        <v>676</v>
      </c>
      <c r="C575">
        <v>16</v>
      </c>
      <c r="D575">
        <v>507</v>
      </c>
      <c r="E575">
        <v>1</v>
      </c>
      <c r="F575" s="55">
        <f t="shared" ca="1" si="17"/>
        <v>44281</v>
      </c>
      <c r="H575">
        <v>1</v>
      </c>
      <c r="I575">
        <v>1</v>
      </c>
      <c r="J575">
        <v>1</v>
      </c>
      <c r="K575" t="s">
        <v>97</v>
      </c>
    </row>
    <row r="576" spans="1:11" x14ac:dyDescent="0.25">
      <c r="A576" t="s">
        <v>71</v>
      </c>
      <c r="B576">
        <v>677</v>
      </c>
      <c r="C576">
        <v>16</v>
      </c>
      <c r="D576">
        <v>507</v>
      </c>
      <c r="E576">
        <v>1</v>
      </c>
      <c r="F576" s="55">
        <f t="shared" ca="1" si="17"/>
        <v>44281</v>
      </c>
      <c r="H576">
        <v>1</v>
      </c>
      <c r="I576">
        <v>1</v>
      </c>
      <c r="J576">
        <v>1</v>
      </c>
      <c r="K576" t="s">
        <v>97</v>
      </c>
    </row>
    <row r="577" spans="1:11" x14ac:dyDescent="0.25">
      <c r="A577" t="s">
        <v>71</v>
      </c>
      <c r="B577">
        <v>678</v>
      </c>
      <c r="C577">
        <v>16</v>
      </c>
      <c r="D577">
        <v>507</v>
      </c>
      <c r="E577">
        <v>1</v>
      </c>
      <c r="F577" s="55">
        <f t="shared" ca="1" si="17"/>
        <v>44281</v>
      </c>
      <c r="H577">
        <v>1</v>
      </c>
      <c r="I577">
        <v>1</v>
      </c>
      <c r="J577">
        <v>1</v>
      </c>
      <c r="K577" t="s">
        <v>97</v>
      </c>
    </row>
    <row r="578" spans="1:11" x14ac:dyDescent="0.25">
      <c r="A578" t="s">
        <v>71</v>
      </c>
      <c r="B578">
        <v>679</v>
      </c>
      <c r="C578">
        <v>16</v>
      </c>
      <c r="D578">
        <v>507</v>
      </c>
      <c r="E578">
        <v>1</v>
      </c>
      <c r="F578" s="55">
        <f t="shared" ca="1" si="17"/>
        <v>44281</v>
      </c>
      <c r="H578">
        <v>1</v>
      </c>
      <c r="I578">
        <v>1</v>
      </c>
      <c r="J578">
        <v>1</v>
      </c>
      <c r="K578" t="s">
        <v>97</v>
      </c>
    </row>
    <row r="579" spans="1:11" x14ac:dyDescent="0.25">
      <c r="A579" t="s">
        <v>71</v>
      </c>
      <c r="B579">
        <v>680</v>
      </c>
      <c r="C579">
        <v>16</v>
      </c>
      <c r="D579">
        <v>507</v>
      </c>
      <c r="E579">
        <v>1</v>
      </c>
      <c r="F579" s="55">
        <f t="shared" ca="1" si="17"/>
        <v>44281</v>
      </c>
      <c r="H579">
        <v>1</v>
      </c>
      <c r="I579">
        <v>1</v>
      </c>
      <c r="J579">
        <v>1</v>
      </c>
      <c r="K579" t="s">
        <v>97</v>
      </c>
    </row>
    <row r="580" spans="1:11" x14ac:dyDescent="0.25">
      <c r="A580" t="s">
        <v>71</v>
      </c>
      <c r="B580">
        <v>681</v>
      </c>
      <c r="C580">
        <v>16</v>
      </c>
      <c r="D580">
        <v>507</v>
      </c>
      <c r="E580">
        <v>1</v>
      </c>
      <c r="F580" s="55">
        <f t="shared" ca="1" si="17"/>
        <v>44281</v>
      </c>
      <c r="H580">
        <v>1</v>
      </c>
      <c r="I580">
        <v>1</v>
      </c>
      <c r="J580">
        <v>1</v>
      </c>
      <c r="K580" t="s">
        <v>97</v>
      </c>
    </row>
    <row r="581" spans="1:11" x14ac:dyDescent="0.25">
      <c r="A581" t="s">
        <v>71</v>
      </c>
      <c r="B581">
        <v>682</v>
      </c>
      <c r="C581">
        <v>16</v>
      </c>
      <c r="D581">
        <v>507</v>
      </c>
      <c r="E581">
        <v>1</v>
      </c>
      <c r="F581" s="55">
        <f t="shared" ca="1" si="17"/>
        <v>44281</v>
      </c>
      <c r="H581">
        <v>1</v>
      </c>
      <c r="I581">
        <v>1</v>
      </c>
      <c r="J581">
        <v>1</v>
      </c>
      <c r="K581" t="s">
        <v>97</v>
      </c>
    </row>
    <row r="582" spans="1:11" x14ac:dyDescent="0.25">
      <c r="A582" t="s">
        <v>71</v>
      </c>
      <c r="B582">
        <v>683</v>
      </c>
      <c r="C582">
        <v>16</v>
      </c>
      <c r="D582">
        <v>507</v>
      </c>
      <c r="E582">
        <v>1</v>
      </c>
      <c r="F582" s="55">
        <f t="shared" ca="1" si="17"/>
        <v>44281</v>
      </c>
      <c r="H582">
        <v>1</v>
      </c>
      <c r="I582">
        <v>1</v>
      </c>
      <c r="J582">
        <v>1</v>
      </c>
      <c r="K582" t="s">
        <v>97</v>
      </c>
    </row>
    <row r="583" spans="1:11" x14ac:dyDescent="0.25">
      <c r="A583" t="s">
        <v>71</v>
      </c>
      <c r="B583">
        <v>684</v>
      </c>
      <c r="C583">
        <v>16</v>
      </c>
      <c r="D583">
        <v>507</v>
      </c>
      <c r="E583">
        <v>1</v>
      </c>
      <c r="F583" s="55">
        <f t="shared" ca="1" si="17"/>
        <v>44281</v>
      </c>
      <c r="H583">
        <v>1</v>
      </c>
      <c r="I583">
        <v>1</v>
      </c>
      <c r="J583">
        <v>1</v>
      </c>
      <c r="K583" t="s">
        <v>97</v>
      </c>
    </row>
    <row r="584" spans="1:11" x14ac:dyDescent="0.25">
      <c r="A584" t="s">
        <v>71</v>
      </c>
      <c r="B584">
        <v>685</v>
      </c>
      <c r="C584">
        <v>16</v>
      </c>
      <c r="D584">
        <v>507</v>
      </c>
      <c r="E584">
        <v>1</v>
      </c>
      <c r="F584" s="55">
        <f t="shared" ca="1" si="17"/>
        <v>44281</v>
      </c>
      <c r="H584">
        <v>1</v>
      </c>
      <c r="I584">
        <v>1</v>
      </c>
      <c r="J584">
        <v>1</v>
      </c>
      <c r="K584" t="s">
        <v>97</v>
      </c>
    </row>
    <row r="585" spans="1:11" x14ac:dyDescent="0.25">
      <c r="A585" t="s">
        <v>71</v>
      </c>
      <c r="B585">
        <v>686</v>
      </c>
      <c r="C585">
        <v>16</v>
      </c>
      <c r="D585">
        <v>507</v>
      </c>
      <c r="E585">
        <v>1</v>
      </c>
      <c r="F585" s="55">
        <f t="shared" ca="1" si="17"/>
        <v>44281</v>
      </c>
      <c r="H585">
        <v>1</v>
      </c>
      <c r="I585">
        <v>1</v>
      </c>
      <c r="J585">
        <v>1</v>
      </c>
      <c r="K585" t="s">
        <v>97</v>
      </c>
    </row>
    <row r="586" spans="1:11" x14ac:dyDescent="0.25">
      <c r="A586" t="s">
        <v>71</v>
      </c>
      <c r="B586">
        <v>687</v>
      </c>
      <c r="C586">
        <v>16</v>
      </c>
      <c r="D586">
        <v>507</v>
      </c>
      <c r="E586">
        <v>1</v>
      </c>
      <c r="F586" s="55">
        <f t="shared" ca="1" si="17"/>
        <v>44281</v>
      </c>
      <c r="H586">
        <v>1</v>
      </c>
      <c r="I586">
        <v>1</v>
      </c>
      <c r="J586">
        <v>1</v>
      </c>
      <c r="K586" t="s">
        <v>97</v>
      </c>
    </row>
    <row r="587" spans="1:11" x14ac:dyDescent="0.25">
      <c r="A587" t="s">
        <v>71</v>
      </c>
      <c r="B587">
        <v>688</v>
      </c>
      <c r="C587">
        <v>16</v>
      </c>
      <c r="D587">
        <v>507</v>
      </c>
      <c r="E587">
        <v>1</v>
      </c>
      <c r="F587" s="55">
        <f t="shared" ca="1" si="17"/>
        <v>44281</v>
      </c>
      <c r="H587">
        <v>1</v>
      </c>
      <c r="I587">
        <v>1</v>
      </c>
      <c r="J587">
        <v>1</v>
      </c>
      <c r="K587" t="s">
        <v>97</v>
      </c>
    </row>
    <row r="588" spans="1:11" x14ac:dyDescent="0.25">
      <c r="A588" t="s">
        <v>71</v>
      </c>
      <c r="B588">
        <v>689</v>
      </c>
      <c r="C588">
        <v>16</v>
      </c>
      <c r="D588">
        <v>507</v>
      </c>
      <c r="E588">
        <v>1</v>
      </c>
      <c r="F588" s="55">
        <f t="shared" ca="1" si="17"/>
        <v>44281</v>
      </c>
      <c r="H588">
        <v>1</v>
      </c>
      <c r="I588">
        <v>1</v>
      </c>
      <c r="J588">
        <v>1</v>
      </c>
      <c r="K588" t="s">
        <v>97</v>
      </c>
    </row>
    <row r="589" spans="1:11" x14ac:dyDescent="0.25">
      <c r="A589" t="s">
        <v>71</v>
      </c>
      <c r="B589">
        <v>690</v>
      </c>
      <c r="C589">
        <v>16</v>
      </c>
      <c r="D589">
        <v>507</v>
      </c>
      <c r="E589">
        <v>1</v>
      </c>
      <c r="F589" s="55">
        <f t="shared" ca="1" si="17"/>
        <v>44281</v>
      </c>
      <c r="H589">
        <v>1</v>
      </c>
      <c r="I589">
        <v>1</v>
      </c>
      <c r="J589">
        <v>1</v>
      </c>
      <c r="K589" t="s">
        <v>97</v>
      </c>
    </row>
    <row r="590" spans="1:11" x14ac:dyDescent="0.25">
      <c r="A590" t="s">
        <v>71</v>
      </c>
      <c r="B590">
        <v>691</v>
      </c>
      <c r="C590">
        <v>16</v>
      </c>
      <c r="D590">
        <v>507</v>
      </c>
      <c r="E590">
        <v>1</v>
      </c>
      <c r="F590" s="55">
        <f t="shared" ca="1" si="17"/>
        <v>44281</v>
      </c>
      <c r="H590">
        <v>1</v>
      </c>
      <c r="I590">
        <v>1</v>
      </c>
      <c r="J590">
        <v>1</v>
      </c>
      <c r="K590" t="s">
        <v>97</v>
      </c>
    </row>
    <row r="591" spans="1:11" x14ac:dyDescent="0.25">
      <c r="A591" t="s">
        <v>71</v>
      </c>
      <c r="B591">
        <v>692</v>
      </c>
      <c r="C591">
        <v>16</v>
      </c>
      <c r="D591">
        <v>507</v>
      </c>
      <c r="E591">
        <v>1</v>
      </c>
      <c r="F591" s="55">
        <f t="shared" ca="1" si="17"/>
        <v>44281</v>
      </c>
      <c r="H591">
        <v>1</v>
      </c>
      <c r="I591">
        <v>1</v>
      </c>
      <c r="J591">
        <v>1</v>
      </c>
      <c r="K591" t="s">
        <v>97</v>
      </c>
    </row>
    <row r="592" spans="1:11" x14ac:dyDescent="0.25">
      <c r="A592" t="s">
        <v>71</v>
      </c>
      <c r="B592">
        <v>693</v>
      </c>
      <c r="C592">
        <v>16</v>
      </c>
      <c r="D592">
        <v>507</v>
      </c>
      <c r="E592">
        <v>1</v>
      </c>
      <c r="F592" s="55">
        <f t="shared" ca="1" si="17"/>
        <v>44281</v>
      </c>
      <c r="H592">
        <v>1</v>
      </c>
      <c r="I592">
        <v>1</v>
      </c>
      <c r="J592">
        <v>1</v>
      </c>
      <c r="K592" t="s">
        <v>97</v>
      </c>
    </row>
    <row r="593" spans="1:11" x14ac:dyDescent="0.25">
      <c r="A593" t="s">
        <v>71</v>
      </c>
      <c r="B593">
        <v>694</v>
      </c>
      <c r="C593">
        <v>16</v>
      </c>
      <c r="D593">
        <v>507</v>
      </c>
      <c r="E593">
        <v>1</v>
      </c>
      <c r="F593" s="55">
        <f t="shared" ca="1" si="17"/>
        <v>44281</v>
      </c>
      <c r="H593">
        <v>1</v>
      </c>
      <c r="I593">
        <v>1</v>
      </c>
      <c r="J593">
        <v>1</v>
      </c>
      <c r="K593" t="s">
        <v>97</v>
      </c>
    </row>
    <row r="594" spans="1:11" x14ac:dyDescent="0.25">
      <c r="A594" t="s">
        <v>71</v>
      </c>
      <c r="B594">
        <v>695</v>
      </c>
      <c r="C594">
        <v>16</v>
      </c>
      <c r="D594">
        <v>507</v>
      </c>
      <c r="E594">
        <v>1</v>
      </c>
      <c r="F594" s="55">
        <f t="shared" ca="1" si="17"/>
        <v>44281</v>
      </c>
      <c r="H594">
        <v>1</v>
      </c>
      <c r="I594">
        <v>1</v>
      </c>
      <c r="J594">
        <v>1</v>
      </c>
      <c r="K594" t="s">
        <v>97</v>
      </c>
    </row>
    <row r="595" spans="1:11" x14ac:dyDescent="0.25">
      <c r="A595" t="s">
        <v>71</v>
      </c>
      <c r="B595">
        <v>696</v>
      </c>
      <c r="C595">
        <v>16</v>
      </c>
      <c r="D595">
        <v>507</v>
      </c>
      <c r="E595">
        <v>1</v>
      </c>
      <c r="F595" s="55">
        <f t="shared" ca="1" si="17"/>
        <v>44281</v>
      </c>
      <c r="H595">
        <v>1</v>
      </c>
      <c r="I595">
        <v>1</v>
      </c>
      <c r="J595">
        <v>1</v>
      </c>
      <c r="K595" t="s">
        <v>97</v>
      </c>
    </row>
    <row r="596" spans="1:11" x14ac:dyDescent="0.25">
      <c r="A596" t="s">
        <v>71</v>
      </c>
      <c r="B596">
        <v>697</v>
      </c>
      <c r="C596">
        <v>16</v>
      </c>
      <c r="D596">
        <v>507</v>
      </c>
      <c r="E596">
        <v>1</v>
      </c>
      <c r="F596" s="55">
        <f t="shared" ca="1" si="17"/>
        <v>44281</v>
      </c>
      <c r="H596">
        <v>1</v>
      </c>
      <c r="I596">
        <v>1</v>
      </c>
      <c r="J596">
        <v>1</v>
      </c>
      <c r="K596" t="s">
        <v>97</v>
      </c>
    </row>
    <row r="597" spans="1:11" x14ac:dyDescent="0.25">
      <c r="A597" t="s">
        <v>71</v>
      </c>
      <c r="B597">
        <v>698</v>
      </c>
      <c r="C597">
        <v>16</v>
      </c>
      <c r="D597">
        <v>507</v>
      </c>
      <c r="E597">
        <v>1</v>
      </c>
      <c r="F597" s="55">
        <f t="shared" ca="1" si="17"/>
        <v>44281</v>
      </c>
      <c r="H597">
        <v>1</v>
      </c>
      <c r="I597">
        <v>1</v>
      </c>
      <c r="J597">
        <v>1</v>
      </c>
      <c r="K597" t="s">
        <v>97</v>
      </c>
    </row>
    <row r="598" spans="1:11" x14ac:dyDescent="0.25">
      <c r="A598" t="s">
        <v>71</v>
      </c>
      <c r="B598">
        <v>699</v>
      </c>
      <c r="C598">
        <v>16</v>
      </c>
      <c r="D598">
        <v>507</v>
      </c>
      <c r="E598">
        <v>1</v>
      </c>
      <c r="F598" s="55">
        <f t="shared" ca="1" si="17"/>
        <v>44281</v>
      </c>
      <c r="H598">
        <v>1</v>
      </c>
      <c r="I598">
        <v>1</v>
      </c>
      <c r="J598">
        <v>1</v>
      </c>
      <c r="K598" t="s">
        <v>97</v>
      </c>
    </row>
    <row r="599" spans="1:11" x14ac:dyDescent="0.25">
      <c r="A599" t="s">
        <v>71</v>
      </c>
      <c r="B599">
        <v>700</v>
      </c>
      <c r="C599">
        <v>16</v>
      </c>
      <c r="D599">
        <v>507</v>
      </c>
      <c r="E599">
        <v>1</v>
      </c>
      <c r="F599" s="55">
        <f t="shared" ca="1" si="17"/>
        <v>44281</v>
      </c>
      <c r="H599">
        <v>1</v>
      </c>
      <c r="I599">
        <v>1</v>
      </c>
      <c r="J599">
        <v>1</v>
      </c>
      <c r="K599" t="s">
        <v>97</v>
      </c>
    </row>
    <row r="600" spans="1:11" x14ac:dyDescent="0.25">
      <c r="A600" t="s">
        <v>71</v>
      </c>
      <c r="B600">
        <v>701</v>
      </c>
      <c r="C600">
        <v>16</v>
      </c>
      <c r="D600">
        <v>507</v>
      </c>
      <c r="E600">
        <v>1</v>
      </c>
      <c r="F600" s="55">
        <f t="shared" ca="1" si="17"/>
        <v>44281</v>
      </c>
      <c r="H600">
        <v>1</v>
      </c>
      <c r="I600">
        <v>1</v>
      </c>
      <c r="J600">
        <v>1</v>
      </c>
      <c r="K600" t="s">
        <v>97</v>
      </c>
    </row>
    <row r="601" spans="1:11" x14ac:dyDescent="0.25">
      <c r="A601" t="s">
        <v>71</v>
      </c>
      <c r="B601">
        <v>702</v>
      </c>
      <c r="C601">
        <v>16</v>
      </c>
      <c r="D601">
        <v>507</v>
      </c>
      <c r="E601">
        <v>1</v>
      </c>
      <c r="F601" s="55">
        <f t="shared" ca="1" si="17"/>
        <v>44281</v>
      </c>
      <c r="H601">
        <v>1</v>
      </c>
      <c r="I601">
        <v>1</v>
      </c>
      <c r="J601">
        <v>1</v>
      </c>
      <c r="K601" t="s">
        <v>97</v>
      </c>
    </row>
    <row r="602" spans="1:11" x14ac:dyDescent="0.25">
      <c r="A602" t="s">
        <v>71</v>
      </c>
      <c r="B602">
        <v>703</v>
      </c>
      <c r="C602">
        <v>16</v>
      </c>
      <c r="D602">
        <v>507</v>
      </c>
      <c r="E602">
        <v>1</v>
      </c>
      <c r="F602" s="55">
        <f t="shared" ca="1" si="17"/>
        <v>44281</v>
      </c>
      <c r="H602">
        <v>1</v>
      </c>
      <c r="I602">
        <v>1</v>
      </c>
      <c r="J602">
        <v>1</v>
      </c>
      <c r="K602" t="s">
        <v>97</v>
      </c>
    </row>
    <row r="603" spans="1:11" x14ac:dyDescent="0.25">
      <c r="A603" t="s">
        <v>71</v>
      </c>
      <c r="B603">
        <v>704</v>
      </c>
      <c r="C603">
        <v>16</v>
      </c>
      <c r="D603">
        <v>507</v>
      </c>
      <c r="E603">
        <v>1</v>
      </c>
      <c r="F603" s="55">
        <f t="shared" ca="1" si="17"/>
        <v>44281</v>
      </c>
      <c r="H603">
        <v>1</v>
      </c>
      <c r="I603">
        <v>1</v>
      </c>
      <c r="J603">
        <v>1</v>
      </c>
      <c r="K603" t="s">
        <v>97</v>
      </c>
    </row>
    <row r="604" spans="1:11" x14ac:dyDescent="0.25">
      <c r="A604" t="s">
        <v>71</v>
      </c>
      <c r="B604">
        <v>705</v>
      </c>
      <c r="C604">
        <v>16</v>
      </c>
      <c r="D604">
        <v>507</v>
      </c>
      <c r="E604">
        <v>1</v>
      </c>
      <c r="F604" s="55">
        <f t="shared" ca="1" si="17"/>
        <v>44281</v>
      </c>
      <c r="H604">
        <v>1</v>
      </c>
      <c r="I604">
        <v>1</v>
      </c>
      <c r="J604">
        <v>1</v>
      </c>
      <c r="K604" t="s">
        <v>97</v>
      </c>
    </row>
    <row r="605" spans="1:11" x14ac:dyDescent="0.25">
      <c r="A605" t="s">
        <v>71</v>
      </c>
      <c r="B605">
        <v>706</v>
      </c>
      <c r="C605">
        <v>16</v>
      </c>
      <c r="D605">
        <v>507</v>
      </c>
      <c r="E605">
        <v>1</v>
      </c>
      <c r="F605" s="55">
        <f ca="1">TODAY()</f>
        <v>44281</v>
      </c>
      <c r="H605">
        <v>1</v>
      </c>
      <c r="I605">
        <v>1</v>
      </c>
      <c r="J605">
        <v>1</v>
      </c>
      <c r="K605" t="s">
        <v>97</v>
      </c>
    </row>
    <row r="606" spans="1:11" x14ac:dyDescent="0.25">
      <c r="A606" t="s">
        <v>71</v>
      </c>
      <c r="B606">
        <v>707</v>
      </c>
      <c r="C606">
        <v>16</v>
      </c>
      <c r="D606">
        <v>507</v>
      </c>
      <c r="E606">
        <v>1</v>
      </c>
      <c r="F606" s="55">
        <f t="shared" ref="F606:F639" ca="1" si="18">TODAY()</f>
        <v>44281</v>
      </c>
      <c r="H606">
        <v>1</v>
      </c>
      <c r="I606">
        <v>1</v>
      </c>
      <c r="J606">
        <v>1</v>
      </c>
      <c r="K606" t="s">
        <v>97</v>
      </c>
    </row>
    <row r="607" spans="1:11" x14ac:dyDescent="0.25">
      <c r="A607" t="s">
        <v>71</v>
      </c>
      <c r="B607">
        <v>708</v>
      </c>
      <c r="C607">
        <v>16</v>
      </c>
      <c r="D607">
        <v>507</v>
      </c>
      <c r="E607">
        <v>1</v>
      </c>
      <c r="F607" s="55">
        <f t="shared" ca="1" si="18"/>
        <v>44281</v>
      </c>
      <c r="H607">
        <v>1</v>
      </c>
      <c r="I607">
        <v>1</v>
      </c>
      <c r="J607">
        <v>1</v>
      </c>
      <c r="K607" t="s">
        <v>97</v>
      </c>
    </row>
    <row r="608" spans="1:11" x14ac:dyDescent="0.25">
      <c r="A608" t="s">
        <v>71</v>
      </c>
      <c r="B608">
        <v>709</v>
      </c>
      <c r="C608">
        <v>16</v>
      </c>
      <c r="D608">
        <v>507</v>
      </c>
      <c r="E608">
        <v>1</v>
      </c>
      <c r="F608" s="55">
        <f t="shared" ca="1" si="18"/>
        <v>44281</v>
      </c>
      <c r="H608">
        <v>1</v>
      </c>
      <c r="I608">
        <v>1</v>
      </c>
      <c r="J608">
        <v>1</v>
      </c>
      <c r="K608" t="s">
        <v>97</v>
      </c>
    </row>
    <row r="609" spans="1:11" x14ac:dyDescent="0.25">
      <c r="A609" t="s">
        <v>71</v>
      </c>
      <c r="B609">
        <v>710</v>
      </c>
      <c r="C609">
        <v>16</v>
      </c>
      <c r="D609">
        <v>507</v>
      </c>
      <c r="E609">
        <v>1</v>
      </c>
      <c r="F609" s="55">
        <f t="shared" ca="1" si="18"/>
        <v>44281</v>
      </c>
      <c r="H609">
        <v>1</v>
      </c>
      <c r="I609">
        <v>1</v>
      </c>
      <c r="J609">
        <v>1</v>
      </c>
      <c r="K609" t="s">
        <v>97</v>
      </c>
    </row>
    <row r="610" spans="1:11" x14ac:dyDescent="0.25">
      <c r="A610" t="s">
        <v>71</v>
      </c>
      <c r="B610">
        <v>711</v>
      </c>
      <c r="C610">
        <v>16</v>
      </c>
      <c r="D610">
        <v>507</v>
      </c>
      <c r="E610">
        <v>1</v>
      </c>
      <c r="F610" s="55">
        <f t="shared" ca="1" si="18"/>
        <v>44281</v>
      </c>
      <c r="H610">
        <v>1</v>
      </c>
      <c r="I610">
        <v>1</v>
      </c>
      <c r="J610">
        <v>1</v>
      </c>
      <c r="K610" t="s">
        <v>97</v>
      </c>
    </row>
    <row r="611" spans="1:11" x14ac:dyDescent="0.25">
      <c r="A611" t="s">
        <v>71</v>
      </c>
      <c r="B611">
        <v>712</v>
      </c>
      <c r="C611">
        <v>16</v>
      </c>
      <c r="D611">
        <v>507</v>
      </c>
      <c r="E611">
        <v>1</v>
      </c>
      <c r="F611" s="55">
        <f t="shared" ca="1" si="18"/>
        <v>44281</v>
      </c>
      <c r="H611">
        <v>1</v>
      </c>
      <c r="I611">
        <v>1</v>
      </c>
      <c r="J611">
        <v>1</v>
      </c>
      <c r="K611" t="s">
        <v>97</v>
      </c>
    </row>
    <row r="612" spans="1:11" x14ac:dyDescent="0.25">
      <c r="A612" t="s">
        <v>71</v>
      </c>
      <c r="B612">
        <v>713</v>
      </c>
      <c r="C612">
        <v>16</v>
      </c>
      <c r="D612">
        <v>507</v>
      </c>
      <c r="E612">
        <v>1</v>
      </c>
      <c r="F612" s="55">
        <f t="shared" ca="1" si="18"/>
        <v>44281</v>
      </c>
      <c r="H612">
        <v>1</v>
      </c>
      <c r="I612">
        <v>1</v>
      </c>
      <c r="J612">
        <v>1</v>
      </c>
      <c r="K612" t="s">
        <v>97</v>
      </c>
    </row>
    <row r="613" spans="1:11" x14ac:dyDescent="0.25">
      <c r="A613" t="s">
        <v>71</v>
      </c>
      <c r="B613">
        <v>714</v>
      </c>
      <c r="C613">
        <v>16</v>
      </c>
      <c r="D613">
        <v>507</v>
      </c>
      <c r="E613">
        <v>1</v>
      </c>
      <c r="F613" s="55">
        <f t="shared" ca="1" si="18"/>
        <v>44281</v>
      </c>
      <c r="H613">
        <v>1</v>
      </c>
      <c r="I613">
        <v>1</v>
      </c>
      <c r="J613">
        <v>1</v>
      </c>
      <c r="K613" t="s">
        <v>97</v>
      </c>
    </row>
    <row r="614" spans="1:11" x14ac:dyDescent="0.25">
      <c r="A614" t="s">
        <v>71</v>
      </c>
      <c r="B614">
        <v>715</v>
      </c>
      <c r="C614">
        <v>16</v>
      </c>
      <c r="D614">
        <v>507</v>
      </c>
      <c r="E614">
        <v>1</v>
      </c>
      <c r="F614" s="55">
        <f t="shared" ca="1" si="18"/>
        <v>44281</v>
      </c>
      <c r="H614">
        <v>1</v>
      </c>
      <c r="I614">
        <v>1</v>
      </c>
      <c r="J614">
        <v>1</v>
      </c>
      <c r="K614" t="s">
        <v>97</v>
      </c>
    </row>
    <row r="615" spans="1:11" x14ac:dyDescent="0.25">
      <c r="A615" t="s">
        <v>71</v>
      </c>
      <c r="B615">
        <v>716</v>
      </c>
      <c r="C615">
        <v>16</v>
      </c>
      <c r="D615">
        <v>507</v>
      </c>
      <c r="E615">
        <v>1</v>
      </c>
      <c r="F615" s="55">
        <f t="shared" ca="1" si="18"/>
        <v>44281</v>
      </c>
      <c r="H615">
        <v>1</v>
      </c>
      <c r="I615">
        <v>1</v>
      </c>
      <c r="J615">
        <v>1</v>
      </c>
      <c r="K615" t="s">
        <v>97</v>
      </c>
    </row>
    <row r="616" spans="1:11" x14ac:dyDescent="0.25">
      <c r="A616" t="s">
        <v>71</v>
      </c>
      <c r="B616">
        <v>717</v>
      </c>
      <c r="C616">
        <v>16</v>
      </c>
      <c r="D616">
        <v>507</v>
      </c>
      <c r="E616">
        <v>1</v>
      </c>
      <c r="F616" s="55">
        <f t="shared" ca="1" si="18"/>
        <v>44281</v>
      </c>
      <c r="H616">
        <v>1</v>
      </c>
      <c r="I616">
        <v>1</v>
      </c>
      <c r="J616">
        <v>1</v>
      </c>
      <c r="K616" t="s">
        <v>97</v>
      </c>
    </row>
    <row r="617" spans="1:11" x14ac:dyDescent="0.25">
      <c r="A617" t="s">
        <v>71</v>
      </c>
      <c r="B617">
        <v>718</v>
      </c>
      <c r="C617">
        <v>16</v>
      </c>
      <c r="D617">
        <v>507</v>
      </c>
      <c r="E617">
        <v>1</v>
      </c>
      <c r="F617" s="55">
        <f t="shared" ca="1" si="18"/>
        <v>44281</v>
      </c>
      <c r="H617">
        <v>1</v>
      </c>
      <c r="I617">
        <v>1</v>
      </c>
      <c r="J617">
        <v>1</v>
      </c>
      <c r="K617" t="s">
        <v>97</v>
      </c>
    </row>
    <row r="618" spans="1:11" x14ac:dyDescent="0.25">
      <c r="A618" t="s">
        <v>71</v>
      </c>
      <c r="B618">
        <v>719</v>
      </c>
      <c r="C618">
        <v>16</v>
      </c>
      <c r="D618">
        <v>507</v>
      </c>
      <c r="E618">
        <v>1</v>
      </c>
      <c r="F618" s="55">
        <f t="shared" ca="1" si="18"/>
        <v>44281</v>
      </c>
      <c r="H618">
        <v>1</v>
      </c>
      <c r="I618">
        <v>1</v>
      </c>
      <c r="J618">
        <v>1</v>
      </c>
      <c r="K618" t="s">
        <v>97</v>
      </c>
    </row>
    <row r="619" spans="1:11" x14ac:dyDescent="0.25">
      <c r="A619" t="s">
        <v>71</v>
      </c>
      <c r="B619">
        <v>720</v>
      </c>
      <c r="C619">
        <v>16</v>
      </c>
      <c r="D619">
        <v>507</v>
      </c>
      <c r="E619">
        <v>1</v>
      </c>
      <c r="F619" s="55">
        <f t="shared" ca="1" si="18"/>
        <v>44281</v>
      </c>
      <c r="H619">
        <v>1</v>
      </c>
      <c r="I619">
        <v>1</v>
      </c>
      <c r="J619">
        <v>1</v>
      </c>
      <c r="K619" t="s">
        <v>97</v>
      </c>
    </row>
    <row r="620" spans="1:11" x14ac:dyDescent="0.25">
      <c r="A620" t="s">
        <v>71</v>
      </c>
      <c r="B620">
        <v>721</v>
      </c>
      <c r="C620">
        <v>16</v>
      </c>
      <c r="D620">
        <v>507</v>
      </c>
      <c r="E620">
        <v>1</v>
      </c>
      <c r="F620" s="55">
        <f t="shared" ca="1" si="18"/>
        <v>44281</v>
      </c>
      <c r="H620">
        <v>1</v>
      </c>
      <c r="I620">
        <v>1</v>
      </c>
      <c r="J620">
        <v>1</v>
      </c>
      <c r="K620" t="s">
        <v>97</v>
      </c>
    </row>
    <row r="621" spans="1:11" x14ac:dyDescent="0.25">
      <c r="A621" t="s">
        <v>71</v>
      </c>
      <c r="B621">
        <v>722</v>
      </c>
      <c r="C621">
        <v>16</v>
      </c>
      <c r="D621">
        <v>507</v>
      </c>
      <c r="E621">
        <v>1</v>
      </c>
      <c r="F621" s="55">
        <f t="shared" ca="1" si="18"/>
        <v>44281</v>
      </c>
      <c r="H621">
        <v>1</v>
      </c>
      <c r="I621">
        <v>1</v>
      </c>
      <c r="J621">
        <v>1</v>
      </c>
      <c r="K621" t="s">
        <v>97</v>
      </c>
    </row>
    <row r="622" spans="1:11" x14ac:dyDescent="0.25">
      <c r="A622" t="s">
        <v>71</v>
      </c>
      <c r="B622">
        <v>723</v>
      </c>
      <c r="C622">
        <v>16</v>
      </c>
      <c r="D622">
        <v>507</v>
      </c>
      <c r="E622">
        <v>1</v>
      </c>
      <c r="F622" s="55">
        <f t="shared" ca="1" si="18"/>
        <v>44281</v>
      </c>
      <c r="H622">
        <v>1</v>
      </c>
      <c r="I622">
        <v>1</v>
      </c>
      <c r="J622">
        <v>1</v>
      </c>
      <c r="K622" t="s">
        <v>97</v>
      </c>
    </row>
    <row r="623" spans="1:11" x14ac:dyDescent="0.25">
      <c r="A623" t="s">
        <v>71</v>
      </c>
      <c r="B623">
        <v>724</v>
      </c>
      <c r="C623">
        <v>16</v>
      </c>
      <c r="D623">
        <v>507</v>
      </c>
      <c r="E623">
        <v>1</v>
      </c>
      <c r="F623" s="55">
        <f t="shared" ca="1" si="18"/>
        <v>44281</v>
      </c>
      <c r="H623">
        <v>1</v>
      </c>
      <c r="I623">
        <v>1</v>
      </c>
      <c r="J623">
        <v>1</v>
      </c>
      <c r="K623" t="s">
        <v>97</v>
      </c>
    </row>
    <row r="624" spans="1:11" x14ac:dyDescent="0.25">
      <c r="A624" t="s">
        <v>71</v>
      </c>
      <c r="B624">
        <v>725</v>
      </c>
      <c r="C624">
        <v>16</v>
      </c>
      <c r="D624">
        <v>507</v>
      </c>
      <c r="E624">
        <v>1</v>
      </c>
      <c r="F624" s="55">
        <f t="shared" ca="1" si="18"/>
        <v>44281</v>
      </c>
      <c r="H624">
        <v>1</v>
      </c>
      <c r="I624">
        <v>1</v>
      </c>
      <c r="J624">
        <v>1</v>
      </c>
      <c r="K624" t="s">
        <v>97</v>
      </c>
    </row>
    <row r="625" spans="1:11" x14ac:dyDescent="0.25">
      <c r="A625" t="s">
        <v>71</v>
      </c>
      <c r="B625">
        <v>726</v>
      </c>
      <c r="C625">
        <v>16</v>
      </c>
      <c r="D625">
        <v>507</v>
      </c>
      <c r="E625">
        <v>1</v>
      </c>
      <c r="F625" s="55">
        <f t="shared" ca="1" si="18"/>
        <v>44281</v>
      </c>
      <c r="H625">
        <v>1</v>
      </c>
      <c r="I625">
        <v>1</v>
      </c>
      <c r="J625">
        <v>1</v>
      </c>
      <c r="K625" t="s">
        <v>97</v>
      </c>
    </row>
    <row r="626" spans="1:11" x14ac:dyDescent="0.25">
      <c r="A626" t="s">
        <v>71</v>
      </c>
      <c r="B626">
        <v>727</v>
      </c>
      <c r="C626">
        <v>16</v>
      </c>
      <c r="D626">
        <v>507</v>
      </c>
      <c r="E626">
        <v>1</v>
      </c>
      <c r="F626" s="55">
        <f t="shared" ca="1" si="18"/>
        <v>44281</v>
      </c>
      <c r="H626">
        <v>1</v>
      </c>
      <c r="I626">
        <v>1</v>
      </c>
      <c r="J626">
        <v>1</v>
      </c>
      <c r="K626" t="s">
        <v>97</v>
      </c>
    </row>
    <row r="627" spans="1:11" x14ac:dyDescent="0.25">
      <c r="A627" t="s">
        <v>71</v>
      </c>
      <c r="B627">
        <v>728</v>
      </c>
      <c r="C627">
        <v>16</v>
      </c>
      <c r="D627">
        <v>507</v>
      </c>
      <c r="E627">
        <v>1</v>
      </c>
      <c r="F627" s="55">
        <f t="shared" ca="1" si="18"/>
        <v>44281</v>
      </c>
      <c r="H627">
        <v>1</v>
      </c>
      <c r="I627">
        <v>1</v>
      </c>
      <c r="J627">
        <v>1</v>
      </c>
      <c r="K627" t="s">
        <v>97</v>
      </c>
    </row>
    <row r="628" spans="1:11" x14ac:dyDescent="0.25">
      <c r="A628" t="s">
        <v>71</v>
      </c>
      <c r="B628">
        <v>729</v>
      </c>
      <c r="C628">
        <v>16</v>
      </c>
      <c r="D628">
        <v>507</v>
      </c>
      <c r="E628">
        <v>1</v>
      </c>
      <c r="F628" s="55">
        <f t="shared" ca="1" si="18"/>
        <v>44281</v>
      </c>
      <c r="H628">
        <v>1</v>
      </c>
      <c r="I628">
        <v>1</v>
      </c>
      <c r="J628">
        <v>1</v>
      </c>
      <c r="K628" t="s">
        <v>97</v>
      </c>
    </row>
    <row r="629" spans="1:11" x14ac:dyDescent="0.25">
      <c r="A629" t="s">
        <v>71</v>
      </c>
      <c r="B629">
        <v>730</v>
      </c>
      <c r="C629">
        <v>16</v>
      </c>
      <c r="D629">
        <v>507</v>
      </c>
      <c r="E629">
        <v>1</v>
      </c>
      <c r="F629" s="55">
        <f t="shared" ca="1" si="18"/>
        <v>44281</v>
      </c>
      <c r="H629">
        <v>1</v>
      </c>
      <c r="I629">
        <v>1</v>
      </c>
      <c r="J629">
        <v>1</v>
      </c>
      <c r="K629" t="s">
        <v>97</v>
      </c>
    </row>
    <row r="630" spans="1:11" x14ac:dyDescent="0.25">
      <c r="A630" t="s">
        <v>71</v>
      </c>
      <c r="B630">
        <v>731</v>
      </c>
      <c r="C630">
        <v>16</v>
      </c>
      <c r="D630">
        <v>507</v>
      </c>
      <c r="E630">
        <v>1</v>
      </c>
      <c r="F630" s="55">
        <f t="shared" ca="1" si="18"/>
        <v>44281</v>
      </c>
      <c r="H630">
        <v>1</v>
      </c>
      <c r="I630">
        <v>1</v>
      </c>
      <c r="J630">
        <v>1</v>
      </c>
      <c r="K630" t="s">
        <v>97</v>
      </c>
    </row>
    <row r="631" spans="1:11" x14ac:dyDescent="0.25">
      <c r="A631" t="s">
        <v>71</v>
      </c>
      <c r="B631">
        <v>732</v>
      </c>
      <c r="C631">
        <v>16</v>
      </c>
      <c r="D631">
        <v>507</v>
      </c>
      <c r="E631">
        <v>1</v>
      </c>
      <c r="F631" s="55">
        <f t="shared" ca="1" si="18"/>
        <v>44281</v>
      </c>
      <c r="H631">
        <v>1</v>
      </c>
      <c r="I631">
        <v>1</v>
      </c>
      <c r="J631">
        <v>1</v>
      </c>
      <c r="K631" t="s">
        <v>97</v>
      </c>
    </row>
    <row r="632" spans="1:11" x14ac:dyDescent="0.25">
      <c r="A632" t="s">
        <v>71</v>
      </c>
      <c r="B632">
        <v>733</v>
      </c>
      <c r="C632">
        <v>16</v>
      </c>
      <c r="D632">
        <v>507</v>
      </c>
      <c r="E632">
        <v>1</v>
      </c>
      <c r="F632" s="55">
        <f t="shared" ca="1" si="18"/>
        <v>44281</v>
      </c>
      <c r="H632">
        <v>1</v>
      </c>
      <c r="I632">
        <v>1</v>
      </c>
      <c r="J632">
        <v>1</v>
      </c>
      <c r="K632" t="s">
        <v>97</v>
      </c>
    </row>
    <row r="633" spans="1:11" x14ac:dyDescent="0.25">
      <c r="A633" t="s">
        <v>71</v>
      </c>
      <c r="B633">
        <v>734</v>
      </c>
      <c r="C633">
        <v>16</v>
      </c>
      <c r="D633">
        <v>507</v>
      </c>
      <c r="E633">
        <v>1</v>
      </c>
      <c r="F633" s="55">
        <f t="shared" ca="1" si="18"/>
        <v>44281</v>
      </c>
      <c r="H633">
        <v>1</v>
      </c>
      <c r="I633">
        <v>1</v>
      </c>
      <c r="J633">
        <v>1</v>
      </c>
      <c r="K633" t="s">
        <v>97</v>
      </c>
    </row>
    <row r="634" spans="1:11" x14ac:dyDescent="0.25">
      <c r="A634" t="s">
        <v>71</v>
      </c>
      <c r="B634">
        <v>735</v>
      </c>
      <c r="C634">
        <v>16</v>
      </c>
      <c r="D634">
        <v>507</v>
      </c>
      <c r="E634">
        <v>1</v>
      </c>
      <c r="F634" s="55">
        <f t="shared" ca="1" si="18"/>
        <v>44281</v>
      </c>
      <c r="H634">
        <v>1</v>
      </c>
      <c r="I634">
        <v>1</v>
      </c>
      <c r="J634">
        <v>1</v>
      </c>
      <c r="K634" t="s">
        <v>97</v>
      </c>
    </row>
    <row r="635" spans="1:11" x14ac:dyDescent="0.25">
      <c r="A635" t="s">
        <v>71</v>
      </c>
      <c r="B635">
        <v>736</v>
      </c>
      <c r="C635">
        <v>16</v>
      </c>
      <c r="D635">
        <v>507</v>
      </c>
      <c r="E635">
        <v>1</v>
      </c>
      <c r="F635" s="55">
        <f t="shared" ca="1" si="18"/>
        <v>44281</v>
      </c>
      <c r="H635">
        <v>1</v>
      </c>
      <c r="I635">
        <v>1</v>
      </c>
      <c r="J635">
        <v>1</v>
      </c>
      <c r="K635" t="s">
        <v>97</v>
      </c>
    </row>
    <row r="636" spans="1:11" x14ac:dyDescent="0.25">
      <c r="A636" t="s">
        <v>71</v>
      </c>
      <c r="B636">
        <v>737</v>
      </c>
      <c r="C636">
        <v>16</v>
      </c>
      <c r="D636">
        <v>507</v>
      </c>
      <c r="E636">
        <v>1</v>
      </c>
      <c r="F636" s="55">
        <f t="shared" ca="1" si="18"/>
        <v>44281</v>
      </c>
      <c r="H636">
        <v>1</v>
      </c>
      <c r="I636">
        <v>1</v>
      </c>
      <c r="J636">
        <v>1</v>
      </c>
      <c r="K636" t="s">
        <v>97</v>
      </c>
    </row>
    <row r="637" spans="1:11" x14ac:dyDescent="0.25">
      <c r="A637" t="s">
        <v>71</v>
      </c>
      <c r="B637">
        <v>738</v>
      </c>
      <c r="C637">
        <v>16</v>
      </c>
      <c r="D637">
        <v>507</v>
      </c>
      <c r="E637">
        <v>1</v>
      </c>
      <c r="F637" s="55">
        <f t="shared" ca="1" si="18"/>
        <v>44281</v>
      </c>
      <c r="H637">
        <v>1</v>
      </c>
      <c r="I637">
        <v>1</v>
      </c>
      <c r="J637">
        <v>1</v>
      </c>
      <c r="K637" t="s">
        <v>97</v>
      </c>
    </row>
    <row r="638" spans="1:11" x14ac:dyDescent="0.25">
      <c r="A638" t="s">
        <v>71</v>
      </c>
      <c r="B638">
        <v>739</v>
      </c>
      <c r="C638">
        <v>16</v>
      </c>
      <c r="D638">
        <v>507</v>
      </c>
      <c r="E638">
        <v>1</v>
      </c>
      <c r="F638" s="55">
        <f t="shared" ca="1" si="18"/>
        <v>44281</v>
      </c>
      <c r="H638">
        <v>1</v>
      </c>
      <c r="I638">
        <v>1</v>
      </c>
      <c r="J638">
        <v>1</v>
      </c>
      <c r="K638" t="s">
        <v>97</v>
      </c>
    </row>
    <row r="639" spans="1:11" x14ac:dyDescent="0.25">
      <c r="A639" t="s">
        <v>71</v>
      </c>
      <c r="B639">
        <v>740</v>
      </c>
      <c r="C639">
        <v>16</v>
      </c>
      <c r="D639">
        <v>507</v>
      </c>
      <c r="E639">
        <v>1</v>
      </c>
      <c r="F639" s="55">
        <f t="shared" ca="1" si="18"/>
        <v>44281</v>
      </c>
      <c r="H639">
        <v>1</v>
      </c>
      <c r="I639">
        <v>1</v>
      </c>
      <c r="J639">
        <v>1</v>
      </c>
      <c r="K639" t="s">
        <v>97</v>
      </c>
    </row>
    <row r="640" spans="1:11" x14ac:dyDescent="0.25">
      <c r="A640" t="s">
        <v>71</v>
      </c>
      <c r="B640">
        <v>811</v>
      </c>
      <c r="C640">
        <v>16</v>
      </c>
      <c r="D640">
        <v>507</v>
      </c>
      <c r="E640">
        <v>1</v>
      </c>
      <c r="F640" s="55">
        <f ca="1">TODAY()</f>
        <v>44281</v>
      </c>
      <c r="H640">
        <v>1</v>
      </c>
      <c r="I640">
        <v>1</v>
      </c>
      <c r="J640">
        <v>1</v>
      </c>
      <c r="K640" t="s">
        <v>97</v>
      </c>
    </row>
    <row r="641" spans="1:11" x14ac:dyDescent="0.25">
      <c r="A641" t="s">
        <v>71</v>
      </c>
      <c r="B641">
        <v>812</v>
      </c>
      <c r="C641">
        <v>16</v>
      </c>
      <c r="D641">
        <v>507</v>
      </c>
      <c r="E641">
        <v>1</v>
      </c>
      <c r="F641" s="55">
        <f t="shared" ref="F641:F674" ca="1" si="19">TODAY()</f>
        <v>44281</v>
      </c>
      <c r="H641">
        <v>1</v>
      </c>
      <c r="I641">
        <v>1</v>
      </c>
      <c r="J641">
        <v>1</v>
      </c>
      <c r="K641" t="s">
        <v>97</v>
      </c>
    </row>
    <row r="642" spans="1:11" x14ac:dyDescent="0.25">
      <c r="A642" t="s">
        <v>71</v>
      </c>
      <c r="B642">
        <v>813</v>
      </c>
      <c r="C642">
        <v>16</v>
      </c>
      <c r="D642">
        <v>507</v>
      </c>
      <c r="E642">
        <v>1</v>
      </c>
      <c r="F642" s="55">
        <f t="shared" ca="1" si="19"/>
        <v>44281</v>
      </c>
      <c r="H642">
        <v>1</v>
      </c>
      <c r="I642">
        <v>1</v>
      </c>
      <c r="J642">
        <v>1</v>
      </c>
      <c r="K642" t="s">
        <v>97</v>
      </c>
    </row>
    <row r="643" spans="1:11" x14ac:dyDescent="0.25">
      <c r="A643" t="s">
        <v>71</v>
      </c>
      <c r="B643">
        <v>814</v>
      </c>
      <c r="C643">
        <v>16</v>
      </c>
      <c r="D643">
        <v>507</v>
      </c>
      <c r="E643">
        <v>1</v>
      </c>
      <c r="F643" s="55">
        <f t="shared" ca="1" si="19"/>
        <v>44281</v>
      </c>
      <c r="H643">
        <v>1</v>
      </c>
      <c r="I643">
        <v>1</v>
      </c>
      <c r="J643">
        <v>1</v>
      </c>
      <c r="K643" t="s">
        <v>97</v>
      </c>
    </row>
    <row r="644" spans="1:11" x14ac:dyDescent="0.25">
      <c r="A644" t="s">
        <v>71</v>
      </c>
      <c r="B644">
        <v>815</v>
      </c>
      <c r="C644">
        <v>16</v>
      </c>
      <c r="D644">
        <v>507</v>
      </c>
      <c r="E644">
        <v>1</v>
      </c>
      <c r="F644" s="55">
        <f t="shared" ca="1" si="19"/>
        <v>44281</v>
      </c>
      <c r="H644">
        <v>1</v>
      </c>
      <c r="I644">
        <v>1</v>
      </c>
      <c r="J644">
        <v>1</v>
      </c>
      <c r="K644" t="s">
        <v>97</v>
      </c>
    </row>
    <row r="645" spans="1:11" x14ac:dyDescent="0.25">
      <c r="A645" t="s">
        <v>71</v>
      </c>
      <c r="B645">
        <v>816</v>
      </c>
      <c r="C645">
        <v>16</v>
      </c>
      <c r="D645">
        <v>507</v>
      </c>
      <c r="E645">
        <v>1</v>
      </c>
      <c r="F645" s="55">
        <f t="shared" ca="1" si="19"/>
        <v>44281</v>
      </c>
      <c r="H645">
        <v>1</v>
      </c>
      <c r="I645">
        <v>1</v>
      </c>
      <c r="J645">
        <v>1</v>
      </c>
      <c r="K645" t="s">
        <v>97</v>
      </c>
    </row>
    <row r="646" spans="1:11" x14ac:dyDescent="0.25">
      <c r="A646" t="s">
        <v>71</v>
      </c>
      <c r="B646">
        <v>817</v>
      </c>
      <c r="C646">
        <v>16</v>
      </c>
      <c r="D646">
        <v>507</v>
      </c>
      <c r="E646">
        <v>1</v>
      </c>
      <c r="F646" s="55">
        <f t="shared" ca="1" si="19"/>
        <v>44281</v>
      </c>
      <c r="H646">
        <v>1</v>
      </c>
      <c r="I646">
        <v>1</v>
      </c>
      <c r="J646">
        <v>1</v>
      </c>
      <c r="K646" t="s">
        <v>97</v>
      </c>
    </row>
    <row r="647" spans="1:11" x14ac:dyDescent="0.25">
      <c r="A647" t="s">
        <v>71</v>
      </c>
      <c r="B647">
        <v>818</v>
      </c>
      <c r="C647">
        <v>16</v>
      </c>
      <c r="D647">
        <v>507</v>
      </c>
      <c r="E647">
        <v>1</v>
      </c>
      <c r="F647" s="55">
        <f t="shared" ca="1" si="19"/>
        <v>44281</v>
      </c>
      <c r="H647">
        <v>1</v>
      </c>
      <c r="I647">
        <v>1</v>
      </c>
      <c r="J647">
        <v>1</v>
      </c>
      <c r="K647" t="s">
        <v>97</v>
      </c>
    </row>
    <row r="648" spans="1:11" x14ac:dyDescent="0.25">
      <c r="A648" t="s">
        <v>71</v>
      </c>
      <c r="B648">
        <v>819</v>
      </c>
      <c r="C648">
        <v>16</v>
      </c>
      <c r="D648">
        <v>507</v>
      </c>
      <c r="E648">
        <v>1</v>
      </c>
      <c r="F648" s="55">
        <f t="shared" ca="1" si="19"/>
        <v>44281</v>
      </c>
      <c r="H648">
        <v>1</v>
      </c>
      <c r="I648">
        <v>1</v>
      </c>
      <c r="J648">
        <v>1</v>
      </c>
      <c r="K648" t="s">
        <v>97</v>
      </c>
    </row>
    <row r="649" spans="1:11" x14ac:dyDescent="0.25">
      <c r="A649" t="s">
        <v>71</v>
      </c>
      <c r="B649">
        <v>820</v>
      </c>
      <c r="C649">
        <v>16</v>
      </c>
      <c r="D649">
        <v>507</v>
      </c>
      <c r="E649">
        <v>1</v>
      </c>
      <c r="F649" s="55">
        <f t="shared" ca="1" si="19"/>
        <v>44281</v>
      </c>
      <c r="H649">
        <v>1</v>
      </c>
      <c r="I649">
        <v>1</v>
      </c>
      <c r="J649">
        <v>1</v>
      </c>
      <c r="K649" t="s">
        <v>97</v>
      </c>
    </row>
    <row r="650" spans="1:11" x14ac:dyDescent="0.25">
      <c r="A650" t="s">
        <v>71</v>
      </c>
      <c r="B650">
        <v>821</v>
      </c>
      <c r="C650">
        <v>16</v>
      </c>
      <c r="D650">
        <v>507</v>
      </c>
      <c r="E650">
        <v>1</v>
      </c>
      <c r="F650" s="55">
        <f t="shared" ca="1" si="19"/>
        <v>44281</v>
      </c>
      <c r="H650">
        <v>1</v>
      </c>
      <c r="I650">
        <v>1</v>
      </c>
      <c r="J650">
        <v>1</v>
      </c>
      <c r="K650" t="s">
        <v>97</v>
      </c>
    </row>
    <row r="651" spans="1:11" x14ac:dyDescent="0.25">
      <c r="A651" t="s">
        <v>71</v>
      </c>
      <c r="B651">
        <v>822</v>
      </c>
      <c r="C651">
        <v>16</v>
      </c>
      <c r="D651">
        <v>507</v>
      </c>
      <c r="E651">
        <v>1</v>
      </c>
      <c r="F651" s="55">
        <f t="shared" ca="1" si="19"/>
        <v>44281</v>
      </c>
      <c r="H651">
        <v>1</v>
      </c>
      <c r="I651">
        <v>1</v>
      </c>
      <c r="J651">
        <v>1</v>
      </c>
      <c r="K651" t="s">
        <v>97</v>
      </c>
    </row>
    <row r="652" spans="1:11" x14ac:dyDescent="0.25">
      <c r="A652" t="s">
        <v>71</v>
      </c>
      <c r="B652">
        <v>823</v>
      </c>
      <c r="C652">
        <v>16</v>
      </c>
      <c r="D652">
        <v>507</v>
      </c>
      <c r="E652">
        <v>1</v>
      </c>
      <c r="F652" s="55">
        <f t="shared" ca="1" si="19"/>
        <v>44281</v>
      </c>
      <c r="H652">
        <v>1</v>
      </c>
      <c r="I652">
        <v>1</v>
      </c>
      <c r="J652">
        <v>1</v>
      </c>
      <c r="K652" t="s">
        <v>97</v>
      </c>
    </row>
    <row r="653" spans="1:11" x14ac:dyDescent="0.25">
      <c r="A653" t="s">
        <v>71</v>
      </c>
      <c r="B653">
        <v>824</v>
      </c>
      <c r="C653">
        <v>16</v>
      </c>
      <c r="D653">
        <v>507</v>
      </c>
      <c r="E653">
        <v>1</v>
      </c>
      <c r="F653" s="55">
        <f t="shared" ca="1" si="19"/>
        <v>44281</v>
      </c>
      <c r="H653">
        <v>1</v>
      </c>
      <c r="I653">
        <v>1</v>
      </c>
      <c r="J653">
        <v>1</v>
      </c>
      <c r="K653" t="s">
        <v>97</v>
      </c>
    </row>
    <row r="654" spans="1:11" x14ac:dyDescent="0.25">
      <c r="A654" t="s">
        <v>71</v>
      </c>
      <c r="B654">
        <v>825</v>
      </c>
      <c r="C654">
        <v>16</v>
      </c>
      <c r="D654">
        <v>507</v>
      </c>
      <c r="E654">
        <v>1</v>
      </c>
      <c r="F654" s="55">
        <f t="shared" ca="1" si="19"/>
        <v>44281</v>
      </c>
      <c r="H654">
        <v>1</v>
      </c>
      <c r="I654">
        <v>1</v>
      </c>
      <c r="J654">
        <v>1</v>
      </c>
      <c r="K654" t="s">
        <v>97</v>
      </c>
    </row>
    <row r="655" spans="1:11" x14ac:dyDescent="0.25">
      <c r="A655" t="s">
        <v>71</v>
      </c>
      <c r="B655">
        <v>826</v>
      </c>
      <c r="C655">
        <v>16</v>
      </c>
      <c r="D655">
        <v>507</v>
      </c>
      <c r="E655">
        <v>1</v>
      </c>
      <c r="F655" s="55">
        <f t="shared" ca="1" si="19"/>
        <v>44281</v>
      </c>
      <c r="H655">
        <v>1</v>
      </c>
      <c r="I655">
        <v>1</v>
      </c>
      <c r="J655">
        <v>1</v>
      </c>
      <c r="K655" t="s">
        <v>97</v>
      </c>
    </row>
    <row r="656" spans="1:11" x14ac:dyDescent="0.25">
      <c r="A656" t="s">
        <v>71</v>
      </c>
      <c r="B656">
        <v>827</v>
      </c>
      <c r="C656">
        <v>16</v>
      </c>
      <c r="D656">
        <v>507</v>
      </c>
      <c r="E656">
        <v>1</v>
      </c>
      <c r="F656" s="55">
        <f t="shared" ca="1" si="19"/>
        <v>44281</v>
      </c>
      <c r="H656">
        <v>1</v>
      </c>
      <c r="I656">
        <v>1</v>
      </c>
      <c r="J656">
        <v>1</v>
      </c>
      <c r="K656" t="s">
        <v>97</v>
      </c>
    </row>
    <row r="657" spans="1:11" x14ac:dyDescent="0.25">
      <c r="A657" t="s">
        <v>71</v>
      </c>
      <c r="B657">
        <v>828</v>
      </c>
      <c r="C657">
        <v>16</v>
      </c>
      <c r="D657">
        <v>507</v>
      </c>
      <c r="E657">
        <v>1</v>
      </c>
      <c r="F657" s="55">
        <f t="shared" ca="1" si="19"/>
        <v>44281</v>
      </c>
      <c r="H657">
        <v>1</v>
      </c>
      <c r="I657">
        <v>1</v>
      </c>
      <c r="J657">
        <v>1</v>
      </c>
      <c r="K657" t="s">
        <v>97</v>
      </c>
    </row>
    <row r="658" spans="1:11" x14ac:dyDescent="0.25">
      <c r="A658" t="s">
        <v>71</v>
      </c>
      <c r="B658">
        <v>829</v>
      </c>
      <c r="C658">
        <v>16</v>
      </c>
      <c r="D658">
        <v>507</v>
      </c>
      <c r="E658">
        <v>1</v>
      </c>
      <c r="F658" s="55">
        <f t="shared" ca="1" si="19"/>
        <v>44281</v>
      </c>
      <c r="H658">
        <v>1</v>
      </c>
      <c r="I658">
        <v>1</v>
      </c>
      <c r="J658">
        <v>1</v>
      </c>
      <c r="K658" t="s">
        <v>97</v>
      </c>
    </row>
    <row r="659" spans="1:11" x14ac:dyDescent="0.25">
      <c r="A659" t="s">
        <v>71</v>
      </c>
      <c r="B659">
        <v>830</v>
      </c>
      <c r="C659">
        <v>16</v>
      </c>
      <c r="D659">
        <v>507</v>
      </c>
      <c r="E659">
        <v>1</v>
      </c>
      <c r="F659" s="55">
        <f t="shared" ca="1" si="19"/>
        <v>44281</v>
      </c>
      <c r="H659">
        <v>1</v>
      </c>
      <c r="I659">
        <v>1</v>
      </c>
      <c r="J659">
        <v>1</v>
      </c>
      <c r="K659" t="s">
        <v>97</v>
      </c>
    </row>
    <row r="660" spans="1:11" x14ac:dyDescent="0.25">
      <c r="A660" t="s">
        <v>71</v>
      </c>
      <c r="B660">
        <v>831</v>
      </c>
      <c r="C660">
        <v>16</v>
      </c>
      <c r="D660">
        <v>507</v>
      </c>
      <c r="E660">
        <v>1</v>
      </c>
      <c r="F660" s="55">
        <f t="shared" ca="1" si="19"/>
        <v>44281</v>
      </c>
      <c r="H660">
        <v>1</v>
      </c>
      <c r="I660">
        <v>1</v>
      </c>
      <c r="J660">
        <v>1</v>
      </c>
      <c r="K660" t="s">
        <v>97</v>
      </c>
    </row>
    <row r="661" spans="1:11" x14ac:dyDescent="0.25">
      <c r="A661" t="s">
        <v>71</v>
      </c>
      <c r="B661">
        <v>832</v>
      </c>
      <c r="C661">
        <v>16</v>
      </c>
      <c r="D661">
        <v>507</v>
      </c>
      <c r="E661">
        <v>1</v>
      </c>
      <c r="F661" s="55">
        <f t="shared" ca="1" si="19"/>
        <v>44281</v>
      </c>
      <c r="H661">
        <v>1</v>
      </c>
      <c r="I661">
        <v>1</v>
      </c>
      <c r="J661">
        <v>1</v>
      </c>
      <c r="K661" t="s">
        <v>97</v>
      </c>
    </row>
    <row r="662" spans="1:11" x14ac:dyDescent="0.25">
      <c r="A662" t="s">
        <v>71</v>
      </c>
      <c r="B662">
        <v>833</v>
      </c>
      <c r="C662">
        <v>16</v>
      </c>
      <c r="D662">
        <v>507</v>
      </c>
      <c r="E662">
        <v>1</v>
      </c>
      <c r="F662" s="55">
        <f t="shared" ca="1" si="19"/>
        <v>44281</v>
      </c>
      <c r="H662">
        <v>1</v>
      </c>
      <c r="I662">
        <v>1</v>
      </c>
      <c r="J662">
        <v>1</v>
      </c>
      <c r="K662" t="s">
        <v>97</v>
      </c>
    </row>
    <row r="663" spans="1:11" x14ac:dyDescent="0.25">
      <c r="A663" t="s">
        <v>71</v>
      </c>
      <c r="B663">
        <v>834</v>
      </c>
      <c r="C663">
        <v>16</v>
      </c>
      <c r="D663">
        <v>507</v>
      </c>
      <c r="E663">
        <v>1</v>
      </c>
      <c r="F663" s="55">
        <f t="shared" ca="1" si="19"/>
        <v>44281</v>
      </c>
      <c r="H663">
        <v>1</v>
      </c>
      <c r="I663">
        <v>1</v>
      </c>
      <c r="J663">
        <v>1</v>
      </c>
      <c r="K663" t="s">
        <v>97</v>
      </c>
    </row>
    <row r="664" spans="1:11" x14ac:dyDescent="0.25">
      <c r="A664" t="s">
        <v>71</v>
      </c>
      <c r="B664">
        <v>835</v>
      </c>
      <c r="C664">
        <v>16</v>
      </c>
      <c r="D664">
        <v>507</v>
      </c>
      <c r="E664">
        <v>1</v>
      </c>
      <c r="F664" s="55">
        <f t="shared" ca="1" si="19"/>
        <v>44281</v>
      </c>
      <c r="H664">
        <v>1</v>
      </c>
      <c r="I664">
        <v>1</v>
      </c>
      <c r="J664">
        <v>1</v>
      </c>
      <c r="K664" t="s">
        <v>97</v>
      </c>
    </row>
    <row r="665" spans="1:11" x14ac:dyDescent="0.25">
      <c r="A665" t="s">
        <v>71</v>
      </c>
      <c r="B665">
        <v>836</v>
      </c>
      <c r="C665">
        <v>16</v>
      </c>
      <c r="D665">
        <v>507</v>
      </c>
      <c r="E665">
        <v>1</v>
      </c>
      <c r="F665" s="55">
        <f t="shared" ca="1" si="19"/>
        <v>44281</v>
      </c>
      <c r="H665">
        <v>1</v>
      </c>
      <c r="I665">
        <v>1</v>
      </c>
      <c r="J665">
        <v>1</v>
      </c>
      <c r="K665" t="s">
        <v>97</v>
      </c>
    </row>
    <row r="666" spans="1:11" x14ac:dyDescent="0.25">
      <c r="A666" t="s">
        <v>71</v>
      </c>
      <c r="B666">
        <v>837</v>
      </c>
      <c r="C666">
        <v>16</v>
      </c>
      <c r="D666">
        <v>507</v>
      </c>
      <c r="E666">
        <v>1</v>
      </c>
      <c r="F666" s="55">
        <f t="shared" ca="1" si="19"/>
        <v>44281</v>
      </c>
      <c r="H666">
        <v>1</v>
      </c>
      <c r="I666">
        <v>1</v>
      </c>
      <c r="J666">
        <v>1</v>
      </c>
      <c r="K666" t="s">
        <v>97</v>
      </c>
    </row>
    <row r="667" spans="1:11" x14ac:dyDescent="0.25">
      <c r="A667" t="s">
        <v>71</v>
      </c>
      <c r="B667">
        <v>838</v>
      </c>
      <c r="C667">
        <v>16</v>
      </c>
      <c r="D667">
        <v>507</v>
      </c>
      <c r="E667">
        <v>1</v>
      </c>
      <c r="F667" s="55">
        <f t="shared" ca="1" si="19"/>
        <v>44281</v>
      </c>
      <c r="H667">
        <v>1</v>
      </c>
      <c r="I667">
        <v>1</v>
      </c>
      <c r="J667">
        <v>1</v>
      </c>
      <c r="K667" t="s">
        <v>97</v>
      </c>
    </row>
    <row r="668" spans="1:11" x14ac:dyDescent="0.25">
      <c r="A668" t="s">
        <v>71</v>
      </c>
      <c r="B668">
        <v>839</v>
      </c>
      <c r="C668">
        <v>16</v>
      </c>
      <c r="D668">
        <v>507</v>
      </c>
      <c r="E668">
        <v>1</v>
      </c>
      <c r="F668" s="55">
        <f t="shared" ca="1" si="19"/>
        <v>44281</v>
      </c>
      <c r="H668">
        <v>1</v>
      </c>
      <c r="I668">
        <v>1</v>
      </c>
      <c r="J668">
        <v>1</v>
      </c>
      <c r="K668" t="s">
        <v>97</v>
      </c>
    </row>
    <row r="669" spans="1:11" x14ac:dyDescent="0.25">
      <c r="A669" t="s">
        <v>71</v>
      </c>
      <c r="B669">
        <v>840</v>
      </c>
      <c r="C669">
        <v>16</v>
      </c>
      <c r="D669">
        <v>507</v>
      </c>
      <c r="E669">
        <v>1</v>
      </c>
      <c r="F669" s="55">
        <f t="shared" ca="1" si="19"/>
        <v>44281</v>
      </c>
      <c r="H669">
        <v>1</v>
      </c>
      <c r="I669">
        <v>1</v>
      </c>
      <c r="J669">
        <v>1</v>
      </c>
      <c r="K669" t="s">
        <v>97</v>
      </c>
    </row>
    <row r="670" spans="1:11" x14ac:dyDescent="0.25">
      <c r="A670" t="s">
        <v>71</v>
      </c>
      <c r="B670">
        <v>841</v>
      </c>
      <c r="C670">
        <v>16</v>
      </c>
      <c r="D670">
        <v>507</v>
      </c>
      <c r="E670">
        <v>1</v>
      </c>
      <c r="F670" s="55">
        <f t="shared" ca="1" si="19"/>
        <v>44281</v>
      </c>
      <c r="H670">
        <v>1</v>
      </c>
      <c r="I670">
        <v>1</v>
      </c>
      <c r="J670">
        <v>1</v>
      </c>
      <c r="K670" t="s">
        <v>97</v>
      </c>
    </row>
    <row r="671" spans="1:11" x14ac:dyDescent="0.25">
      <c r="A671" t="s">
        <v>71</v>
      </c>
      <c r="B671">
        <v>842</v>
      </c>
      <c r="C671">
        <v>16</v>
      </c>
      <c r="D671">
        <v>507</v>
      </c>
      <c r="E671">
        <v>1</v>
      </c>
      <c r="F671" s="55">
        <f t="shared" ca="1" si="19"/>
        <v>44281</v>
      </c>
      <c r="H671">
        <v>1</v>
      </c>
      <c r="I671">
        <v>1</v>
      </c>
      <c r="J671">
        <v>1</v>
      </c>
      <c r="K671" t="s">
        <v>97</v>
      </c>
    </row>
    <row r="672" spans="1:11" x14ac:dyDescent="0.25">
      <c r="A672" t="s">
        <v>71</v>
      </c>
      <c r="B672">
        <v>843</v>
      </c>
      <c r="C672">
        <v>16</v>
      </c>
      <c r="D672">
        <v>507</v>
      </c>
      <c r="E672">
        <v>1</v>
      </c>
      <c r="F672" s="55">
        <f t="shared" ca="1" si="19"/>
        <v>44281</v>
      </c>
      <c r="H672">
        <v>1</v>
      </c>
      <c r="I672">
        <v>1</v>
      </c>
      <c r="J672">
        <v>1</v>
      </c>
      <c r="K672" t="s">
        <v>97</v>
      </c>
    </row>
    <row r="673" spans="1:11" x14ac:dyDescent="0.25">
      <c r="A673" t="s">
        <v>71</v>
      </c>
      <c r="B673">
        <v>844</v>
      </c>
      <c r="C673">
        <v>16</v>
      </c>
      <c r="D673">
        <v>507</v>
      </c>
      <c r="E673">
        <v>1</v>
      </c>
      <c r="F673" s="55">
        <f t="shared" ca="1" si="19"/>
        <v>44281</v>
      </c>
      <c r="H673">
        <v>1</v>
      </c>
      <c r="I673">
        <v>1</v>
      </c>
      <c r="J673">
        <v>1</v>
      </c>
      <c r="K673" t="s">
        <v>97</v>
      </c>
    </row>
    <row r="674" spans="1:11" x14ac:dyDescent="0.25">
      <c r="A674" t="s">
        <v>71</v>
      </c>
      <c r="B674">
        <v>845</v>
      </c>
      <c r="C674">
        <v>16</v>
      </c>
      <c r="D674">
        <v>507</v>
      </c>
      <c r="E674">
        <v>1</v>
      </c>
      <c r="F674" s="55">
        <f t="shared" ca="1" si="19"/>
        <v>44281</v>
      </c>
      <c r="H674">
        <v>1</v>
      </c>
      <c r="I674">
        <v>1</v>
      </c>
      <c r="J674">
        <v>1</v>
      </c>
      <c r="K674" t="s">
        <v>97</v>
      </c>
    </row>
    <row r="675" spans="1:11" x14ac:dyDescent="0.25">
      <c r="A675" t="s">
        <v>71</v>
      </c>
      <c r="B675">
        <v>846</v>
      </c>
      <c r="C675">
        <v>16</v>
      </c>
      <c r="D675">
        <v>507</v>
      </c>
      <c r="E675">
        <v>1</v>
      </c>
      <c r="F675" s="55">
        <f ca="1">TODAY()</f>
        <v>44281</v>
      </c>
      <c r="H675">
        <v>1</v>
      </c>
      <c r="I675">
        <v>1</v>
      </c>
      <c r="J675">
        <v>1</v>
      </c>
      <c r="K675" t="s">
        <v>97</v>
      </c>
    </row>
    <row r="676" spans="1:11" x14ac:dyDescent="0.25">
      <c r="A676" t="s">
        <v>71</v>
      </c>
      <c r="B676">
        <v>847</v>
      </c>
      <c r="C676">
        <v>16</v>
      </c>
      <c r="D676">
        <v>507</v>
      </c>
      <c r="E676">
        <v>1</v>
      </c>
      <c r="F676" s="55">
        <f t="shared" ref="F676:F710" ca="1" si="20">TODAY()</f>
        <v>44281</v>
      </c>
      <c r="H676">
        <v>1</v>
      </c>
      <c r="I676">
        <v>1</v>
      </c>
      <c r="J676">
        <v>1</v>
      </c>
      <c r="K676" t="s">
        <v>97</v>
      </c>
    </row>
    <row r="677" spans="1:11" x14ac:dyDescent="0.25">
      <c r="A677" t="s">
        <v>71</v>
      </c>
      <c r="B677">
        <v>848</v>
      </c>
      <c r="C677">
        <v>16</v>
      </c>
      <c r="D677">
        <v>507</v>
      </c>
      <c r="E677">
        <v>1</v>
      </c>
      <c r="F677" s="55">
        <f t="shared" ca="1" si="20"/>
        <v>44281</v>
      </c>
      <c r="H677">
        <v>1</v>
      </c>
      <c r="I677">
        <v>1</v>
      </c>
      <c r="J677">
        <v>1</v>
      </c>
      <c r="K677" t="s">
        <v>97</v>
      </c>
    </row>
    <row r="678" spans="1:11" x14ac:dyDescent="0.25">
      <c r="A678" t="s">
        <v>71</v>
      </c>
      <c r="B678">
        <v>849</v>
      </c>
      <c r="C678">
        <v>16</v>
      </c>
      <c r="D678">
        <v>507</v>
      </c>
      <c r="E678">
        <v>1</v>
      </c>
      <c r="F678" s="55">
        <f t="shared" ca="1" si="20"/>
        <v>44281</v>
      </c>
      <c r="H678">
        <v>1</v>
      </c>
      <c r="I678">
        <v>1</v>
      </c>
      <c r="J678">
        <v>1</v>
      </c>
      <c r="K678" t="s">
        <v>97</v>
      </c>
    </row>
    <row r="679" spans="1:11" x14ac:dyDescent="0.25">
      <c r="A679" t="s">
        <v>71</v>
      </c>
      <c r="B679">
        <v>850</v>
      </c>
      <c r="C679">
        <v>16</v>
      </c>
      <c r="D679">
        <v>507</v>
      </c>
      <c r="E679">
        <v>1</v>
      </c>
      <c r="F679" s="55">
        <f t="shared" ca="1" si="20"/>
        <v>44281</v>
      </c>
      <c r="H679">
        <v>1</v>
      </c>
      <c r="I679">
        <v>1</v>
      </c>
      <c r="J679">
        <v>1</v>
      </c>
      <c r="K679" t="s">
        <v>97</v>
      </c>
    </row>
    <row r="680" spans="1:11" x14ac:dyDescent="0.25">
      <c r="A680" t="s">
        <v>71</v>
      </c>
      <c r="B680">
        <v>851</v>
      </c>
      <c r="C680">
        <v>16</v>
      </c>
      <c r="D680">
        <v>507</v>
      </c>
      <c r="E680">
        <v>1</v>
      </c>
      <c r="F680" s="55">
        <f t="shared" ca="1" si="20"/>
        <v>44281</v>
      </c>
      <c r="H680">
        <v>1</v>
      </c>
      <c r="I680">
        <v>1</v>
      </c>
      <c r="J680">
        <v>1</v>
      </c>
      <c r="K680" t="s">
        <v>97</v>
      </c>
    </row>
    <row r="681" spans="1:11" x14ac:dyDescent="0.25">
      <c r="A681" t="s">
        <v>71</v>
      </c>
      <c r="B681">
        <v>852</v>
      </c>
      <c r="C681">
        <v>16</v>
      </c>
      <c r="D681">
        <v>507</v>
      </c>
      <c r="E681">
        <v>1</v>
      </c>
      <c r="F681" s="55">
        <f t="shared" ca="1" si="20"/>
        <v>44281</v>
      </c>
      <c r="H681">
        <v>1</v>
      </c>
      <c r="I681">
        <v>1</v>
      </c>
      <c r="J681">
        <v>1</v>
      </c>
      <c r="K681" t="s">
        <v>97</v>
      </c>
    </row>
    <row r="682" spans="1:11" x14ac:dyDescent="0.25">
      <c r="A682" t="s">
        <v>71</v>
      </c>
      <c r="B682">
        <v>853</v>
      </c>
      <c r="C682">
        <v>16</v>
      </c>
      <c r="D682">
        <v>507</v>
      </c>
      <c r="E682">
        <v>1</v>
      </c>
      <c r="F682" s="55">
        <f t="shared" ca="1" si="20"/>
        <v>44281</v>
      </c>
      <c r="H682">
        <v>1</v>
      </c>
      <c r="I682">
        <v>1</v>
      </c>
      <c r="J682">
        <v>1</v>
      </c>
      <c r="K682" t="s">
        <v>97</v>
      </c>
    </row>
    <row r="683" spans="1:11" x14ac:dyDescent="0.25">
      <c r="A683" t="s">
        <v>71</v>
      </c>
      <c r="B683">
        <v>854</v>
      </c>
      <c r="C683">
        <v>16</v>
      </c>
      <c r="D683">
        <v>507</v>
      </c>
      <c r="E683">
        <v>1</v>
      </c>
      <c r="F683" s="55">
        <f t="shared" ca="1" si="20"/>
        <v>44281</v>
      </c>
      <c r="H683">
        <v>1</v>
      </c>
      <c r="I683">
        <v>1</v>
      </c>
      <c r="J683">
        <v>1</v>
      </c>
      <c r="K683" t="s">
        <v>97</v>
      </c>
    </row>
    <row r="684" spans="1:11" x14ac:dyDescent="0.25">
      <c r="A684" t="s">
        <v>71</v>
      </c>
      <c r="B684">
        <v>855</v>
      </c>
      <c r="C684">
        <v>16</v>
      </c>
      <c r="D684">
        <v>507</v>
      </c>
      <c r="E684">
        <v>1</v>
      </c>
      <c r="F684" s="55">
        <f t="shared" ca="1" si="20"/>
        <v>44281</v>
      </c>
      <c r="H684">
        <v>1</v>
      </c>
      <c r="I684">
        <v>1</v>
      </c>
      <c r="J684">
        <v>1</v>
      </c>
      <c r="K684" t="s">
        <v>97</v>
      </c>
    </row>
    <row r="685" spans="1:11" x14ac:dyDescent="0.25">
      <c r="A685" t="s">
        <v>71</v>
      </c>
      <c r="B685">
        <v>856</v>
      </c>
      <c r="C685">
        <v>16</v>
      </c>
      <c r="D685">
        <v>507</v>
      </c>
      <c r="E685">
        <v>1</v>
      </c>
      <c r="F685" s="55">
        <f t="shared" ca="1" si="20"/>
        <v>44281</v>
      </c>
      <c r="H685">
        <v>1</v>
      </c>
      <c r="I685">
        <v>1</v>
      </c>
      <c r="J685">
        <v>1</v>
      </c>
      <c r="K685" t="s">
        <v>97</v>
      </c>
    </row>
    <row r="686" spans="1:11" x14ac:dyDescent="0.25">
      <c r="A686" t="s">
        <v>71</v>
      </c>
      <c r="B686">
        <v>857</v>
      </c>
      <c r="C686">
        <v>16</v>
      </c>
      <c r="D686">
        <v>507</v>
      </c>
      <c r="E686">
        <v>1</v>
      </c>
      <c r="F686" s="55">
        <f t="shared" ca="1" si="20"/>
        <v>44281</v>
      </c>
      <c r="H686">
        <v>1</v>
      </c>
      <c r="I686">
        <v>1</v>
      </c>
      <c r="J686">
        <v>1</v>
      </c>
      <c r="K686" t="s">
        <v>97</v>
      </c>
    </row>
    <row r="687" spans="1:11" x14ac:dyDescent="0.25">
      <c r="A687" t="s">
        <v>71</v>
      </c>
      <c r="B687">
        <v>858</v>
      </c>
      <c r="C687">
        <v>16</v>
      </c>
      <c r="D687">
        <v>507</v>
      </c>
      <c r="E687">
        <v>1</v>
      </c>
      <c r="F687" s="55">
        <f t="shared" ca="1" si="20"/>
        <v>44281</v>
      </c>
      <c r="H687">
        <v>1</v>
      </c>
      <c r="I687">
        <v>1</v>
      </c>
      <c r="J687">
        <v>1</v>
      </c>
      <c r="K687" t="s">
        <v>97</v>
      </c>
    </row>
    <row r="688" spans="1:11" x14ac:dyDescent="0.25">
      <c r="A688" t="s">
        <v>71</v>
      </c>
      <c r="B688">
        <v>859</v>
      </c>
      <c r="C688">
        <v>16</v>
      </c>
      <c r="D688">
        <v>507</v>
      </c>
      <c r="E688">
        <v>1</v>
      </c>
      <c r="F688" s="55">
        <f t="shared" ca="1" si="20"/>
        <v>44281</v>
      </c>
      <c r="H688">
        <v>1</v>
      </c>
      <c r="I688">
        <v>1</v>
      </c>
      <c r="J688">
        <v>1</v>
      </c>
      <c r="K688" t="s">
        <v>97</v>
      </c>
    </row>
    <row r="689" spans="1:11" x14ac:dyDescent="0.25">
      <c r="A689" t="s">
        <v>71</v>
      </c>
      <c r="B689">
        <v>860</v>
      </c>
      <c r="C689">
        <v>16</v>
      </c>
      <c r="D689">
        <v>507</v>
      </c>
      <c r="E689">
        <v>1</v>
      </c>
      <c r="F689" s="55">
        <f t="shared" ca="1" si="20"/>
        <v>44281</v>
      </c>
      <c r="H689">
        <v>1</v>
      </c>
      <c r="I689">
        <v>1</v>
      </c>
      <c r="J689">
        <v>1</v>
      </c>
      <c r="K689" t="s">
        <v>97</v>
      </c>
    </row>
    <row r="690" spans="1:11" x14ac:dyDescent="0.25">
      <c r="A690" t="s">
        <v>71</v>
      </c>
      <c r="B690">
        <v>861</v>
      </c>
      <c r="C690">
        <v>16</v>
      </c>
      <c r="D690">
        <v>507</v>
      </c>
      <c r="E690">
        <v>1</v>
      </c>
      <c r="F690" s="55">
        <f t="shared" ca="1" si="20"/>
        <v>44281</v>
      </c>
      <c r="H690">
        <v>1</v>
      </c>
      <c r="I690">
        <v>1</v>
      </c>
      <c r="J690">
        <v>1</v>
      </c>
      <c r="K690" t="s">
        <v>97</v>
      </c>
    </row>
    <row r="691" spans="1:11" x14ac:dyDescent="0.25">
      <c r="A691" t="s">
        <v>71</v>
      </c>
      <c r="B691">
        <v>862</v>
      </c>
      <c r="C691">
        <v>16</v>
      </c>
      <c r="D691">
        <v>507</v>
      </c>
      <c r="E691">
        <v>1</v>
      </c>
      <c r="F691" s="55">
        <f t="shared" ca="1" si="20"/>
        <v>44281</v>
      </c>
      <c r="H691">
        <v>1</v>
      </c>
      <c r="I691">
        <v>1</v>
      </c>
      <c r="J691">
        <v>1</v>
      </c>
      <c r="K691" t="s">
        <v>97</v>
      </c>
    </row>
    <row r="692" spans="1:11" x14ac:dyDescent="0.25">
      <c r="A692" t="s">
        <v>71</v>
      </c>
      <c r="B692">
        <v>863</v>
      </c>
      <c r="C692">
        <v>16</v>
      </c>
      <c r="D692">
        <v>507</v>
      </c>
      <c r="E692">
        <v>1</v>
      </c>
      <c r="F692" s="55">
        <f t="shared" ca="1" si="20"/>
        <v>44281</v>
      </c>
      <c r="H692">
        <v>1</v>
      </c>
      <c r="I692">
        <v>1</v>
      </c>
      <c r="J692">
        <v>1</v>
      </c>
      <c r="K692" t="s">
        <v>97</v>
      </c>
    </row>
    <row r="693" spans="1:11" x14ac:dyDescent="0.25">
      <c r="A693" t="s">
        <v>71</v>
      </c>
      <c r="B693">
        <v>864</v>
      </c>
      <c r="C693">
        <v>16</v>
      </c>
      <c r="D693">
        <v>507</v>
      </c>
      <c r="E693">
        <v>1</v>
      </c>
      <c r="F693" s="55">
        <f t="shared" ca="1" si="20"/>
        <v>44281</v>
      </c>
      <c r="H693">
        <v>1</v>
      </c>
      <c r="I693">
        <v>1</v>
      </c>
      <c r="J693">
        <v>1</v>
      </c>
      <c r="K693" t="s">
        <v>97</v>
      </c>
    </row>
    <row r="694" spans="1:11" x14ac:dyDescent="0.25">
      <c r="A694" t="s">
        <v>71</v>
      </c>
      <c r="B694">
        <v>865</v>
      </c>
      <c r="C694">
        <v>16</v>
      </c>
      <c r="D694">
        <v>507</v>
      </c>
      <c r="E694">
        <v>1</v>
      </c>
      <c r="F694" s="55">
        <f t="shared" ca="1" si="20"/>
        <v>44281</v>
      </c>
      <c r="H694">
        <v>1</v>
      </c>
      <c r="I694">
        <v>1</v>
      </c>
      <c r="J694">
        <v>1</v>
      </c>
      <c r="K694" t="s">
        <v>97</v>
      </c>
    </row>
    <row r="695" spans="1:11" x14ac:dyDescent="0.25">
      <c r="A695" t="s">
        <v>71</v>
      </c>
      <c r="B695">
        <v>866</v>
      </c>
      <c r="C695">
        <v>16</v>
      </c>
      <c r="D695">
        <v>507</v>
      </c>
      <c r="E695">
        <v>1</v>
      </c>
      <c r="F695" s="55">
        <f t="shared" ca="1" si="20"/>
        <v>44281</v>
      </c>
      <c r="H695">
        <v>1</v>
      </c>
      <c r="I695">
        <v>1</v>
      </c>
      <c r="J695">
        <v>1</v>
      </c>
      <c r="K695" t="s">
        <v>97</v>
      </c>
    </row>
    <row r="696" spans="1:11" x14ac:dyDescent="0.25">
      <c r="A696" t="s">
        <v>71</v>
      </c>
      <c r="B696">
        <v>867</v>
      </c>
      <c r="C696">
        <v>16</v>
      </c>
      <c r="D696">
        <v>507</v>
      </c>
      <c r="E696">
        <v>1</v>
      </c>
      <c r="F696" s="55">
        <f t="shared" ca="1" si="20"/>
        <v>44281</v>
      </c>
      <c r="H696">
        <v>1</v>
      </c>
      <c r="I696">
        <v>1</v>
      </c>
      <c r="J696">
        <v>1</v>
      </c>
      <c r="K696" t="s">
        <v>97</v>
      </c>
    </row>
    <row r="697" spans="1:11" x14ac:dyDescent="0.25">
      <c r="A697" t="s">
        <v>71</v>
      </c>
      <c r="B697">
        <v>868</v>
      </c>
      <c r="C697">
        <v>16</v>
      </c>
      <c r="D697">
        <v>507</v>
      </c>
      <c r="E697">
        <v>1</v>
      </c>
      <c r="F697" s="55">
        <f t="shared" ca="1" si="20"/>
        <v>44281</v>
      </c>
      <c r="H697">
        <v>1</v>
      </c>
      <c r="I697">
        <v>1</v>
      </c>
      <c r="J697">
        <v>1</v>
      </c>
      <c r="K697" t="s">
        <v>97</v>
      </c>
    </row>
    <row r="698" spans="1:11" x14ac:dyDescent="0.25">
      <c r="A698" t="s">
        <v>71</v>
      </c>
      <c r="B698">
        <v>869</v>
      </c>
      <c r="C698">
        <v>16</v>
      </c>
      <c r="D698">
        <v>507</v>
      </c>
      <c r="E698">
        <v>1</v>
      </c>
      <c r="F698" s="55">
        <f t="shared" ca="1" si="20"/>
        <v>44281</v>
      </c>
      <c r="H698">
        <v>1</v>
      </c>
      <c r="I698">
        <v>1</v>
      </c>
      <c r="J698">
        <v>1</v>
      </c>
      <c r="K698" t="s">
        <v>97</v>
      </c>
    </row>
    <row r="699" spans="1:11" x14ac:dyDescent="0.25">
      <c r="A699" t="s">
        <v>71</v>
      </c>
      <c r="B699">
        <v>870</v>
      </c>
      <c r="C699">
        <v>16</v>
      </c>
      <c r="D699">
        <v>507</v>
      </c>
      <c r="E699">
        <v>1</v>
      </c>
      <c r="F699" s="55">
        <f t="shared" ca="1" si="20"/>
        <v>44281</v>
      </c>
      <c r="H699">
        <v>1</v>
      </c>
      <c r="I699">
        <v>1</v>
      </c>
      <c r="J699">
        <v>1</v>
      </c>
      <c r="K699" t="s">
        <v>97</v>
      </c>
    </row>
    <row r="700" spans="1:11" x14ac:dyDescent="0.25">
      <c r="A700" t="s">
        <v>71</v>
      </c>
      <c r="B700">
        <v>871</v>
      </c>
      <c r="C700">
        <v>16</v>
      </c>
      <c r="D700">
        <v>507</v>
      </c>
      <c r="E700">
        <v>1</v>
      </c>
      <c r="F700" s="55">
        <f t="shared" ca="1" si="20"/>
        <v>44281</v>
      </c>
      <c r="H700">
        <v>1</v>
      </c>
      <c r="I700">
        <v>1</v>
      </c>
      <c r="J700">
        <v>1</v>
      </c>
      <c r="K700" t="s">
        <v>97</v>
      </c>
    </row>
    <row r="701" spans="1:11" x14ac:dyDescent="0.25">
      <c r="A701" t="s">
        <v>71</v>
      </c>
      <c r="B701">
        <v>872</v>
      </c>
      <c r="C701">
        <v>16</v>
      </c>
      <c r="D701">
        <v>507</v>
      </c>
      <c r="E701">
        <v>1</v>
      </c>
      <c r="F701" s="55">
        <f t="shared" ca="1" si="20"/>
        <v>44281</v>
      </c>
      <c r="H701">
        <v>1</v>
      </c>
      <c r="I701">
        <v>1</v>
      </c>
      <c r="J701">
        <v>1</v>
      </c>
      <c r="K701" t="s">
        <v>97</v>
      </c>
    </row>
    <row r="702" spans="1:11" x14ac:dyDescent="0.25">
      <c r="A702" t="s">
        <v>71</v>
      </c>
      <c r="B702">
        <v>873</v>
      </c>
      <c r="C702">
        <v>16</v>
      </c>
      <c r="D702">
        <v>507</v>
      </c>
      <c r="E702">
        <v>1</v>
      </c>
      <c r="F702" s="55">
        <f t="shared" ca="1" si="20"/>
        <v>44281</v>
      </c>
      <c r="H702">
        <v>1</v>
      </c>
      <c r="I702">
        <v>1</v>
      </c>
      <c r="J702">
        <v>1</v>
      </c>
      <c r="K702" t="s">
        <v>97</v>
      </c>
    </row>
    <row r="703" spans="1:11" x14ac:dyDescent="0.25">
      <c r="A703" t="s">
        <v>71</v>
      </c>
      <c r="B703">
        <v>874</v>
      </c>
      <c r="C703">
        <v>16</v>
      </c>
      <c r="D703">
        <v>507</v>
      </c>
      <c r="E703">
        <v>1</v>
      </c>
      <c r="F703" s="55">
        <f t="shared" ca="1" si="20"/>
        <v>44281</v>
      </c>
      <c r="H703">
        <v>1</v>
      </c>
      <c r="I703">
        <v>1</v>
      </c>
      <c r="J703">
        <v>1</v>
      </c>
      <c r="K703" t="s">
        <v>97</v>
      </c>
    </row>
    <row r="704" spans="1:11" x14ac:dyDescent="0.25">
      <c r="A704" t="s">
        <v>71</v>
      </c>
      <c r="B704">
        <v>875</v>
      </c>
      <c r="C704">
        <v>16</v>
      </c>
      <c r="D704">
        <v>507</v>
      </c>
      <c r="E704">
        <v>1</v>
      </c>
      <c r="F704" s="55">
        <f t="shared" ca="1" si="20"/>
        <v>44281</v>
      </c>
      <c r="H704">
        <v>1</v>
      </c>
      <c r="I704">
        <v>1</v>
      </c>
      <c r="J704">
        <v>1</v>
      </c>
      <c r="K704" t="s">
        <v>97</v>
      </c>
    </row>
    <row r="705" spans="1:11" x14ac:dyDescent="0.25">
      <c r="A705" t="s">
        <v>71</v>
      </c>
      <c r="B705">
        <v>876</v>
      </c>
      <c r="C705">
        <v>16</v>
      </c>
      <c r="D705">
        <v>507</v>
      </c>
      <c r="E705">
        <v>1</v>
      </c>
      <c r="F705" s="55">
        <f t="shared" ca="1" si="20"/>
        <v>44281</v>
      </c>
      <c r="H705">
        <v>1</v>
      </c>
      <c r="I705">
        <v>1</v>
      </c>
      <c r="J705">
        <v>1</v>
      </c>
      <c r="K705" t="s">
        <v>97</v>
      </c>
    </row>
    <row r="706" spans="1:11" x14ac:dyDescent="0.25">
      <c r="A706" t="s">
        <v>71</v>
      </c>
      <c r="B706">
        <v>877</v>
      </c>
      <c r="C706">
        <v>16</v>
      </c>
      <c r="D706">
        <v>507</v>
      </c>
      <c r="E706">
        <v>1</v>
      </c>
      <c r="F706" s="55">
        <f t="shared" ca="1" si="20"/>
        <v>44281</v>
      </c>
      <c r="H706">
        <v>1</v>
      </c>
      <c r="I706">
        <v>1</v>
      </c>
      <c r="J706">
        <v>1</v>
      </c>
      <c r="K706" t="s">
        <v>97</v>
      </c>
    </row>
    <row r="707" spans="1:11" x14ac:dyDescent="0.25">
      <c r="A707" t="s">
        <v>71</v>
      </c>
      <c r="B707">
        <v>878</v>
      </c>
      <c r="C707">
        <v>16</v>
      </c>
      <c r="D707">
        <v>507</v>
      </c>
      <c r="E707">
        <v>1</v>
      </c>
      <c r="F707" s="55">
        <f t="shared" ca="1" si="20"/>
        <v>44281</v>
      </c>
      <c r="H707">
        <v>1</v>
      </c>
      <c r="I707">
        <v>1</v>
      </c>
      <c r="J707">
        <v>1</v>
      </c>
      <c r="K707" t="s">
        <v>97</v>
      </c>
    </row>
    <row r="708" spans="1:11" x14ac:dyDescent="0.25">
      <c r="A708" t="s">
        <v>71</v>
      </c>
      <c r="B708">
        <v>879</v>
      </c>
      <c r="C708">
        <v>16</v>
      </c>
      <c r="D708">
        <v>507</v>
      </c>
      <c r="E708">
        <v>1</v>
      </c>
      <c r="F708" s="55">
        <f t="shared" ca="1" si="20"/>
        <v>44281</v>
      </c>
      <c r="H708">
        <v>1</v>
      </c>
      <c r="I708">
        <v>1</v>
      </c>
      <c r="J708">
        <v>1</v>
      </c>
      <c r="K708" t="s">
        <v>97</v>
      </c>
    </row>
    <row r="709" spans="1:11" x14ac:dyDescent="0.25">
      <c r="A709" t="s">
        <v>71</v>
      </c>
      <c r="B709">
        <v>880</v>
      </c>
      <c r="C709">
        <v>16</v>
      </c>
      <c r="D709">
        <v>507</v>
      </c>
      <c r="E709">
        <v>1</v>
      </c>
      <c r="F709" s="55">
        <f t="shared" ca="1" si="20"/>
        <v>44281</v>
      </c>
      <c r="H709">
        <v>1</v>
      </c>
      <c r="I709">
        <v>1</v>
      </c>
      <c r="J709">
        <v>1</v>
      </c>
      <c r="K709" t="s">
        <v>97</v>
      </c>
    </row>
    <row r="710" spans="1:11" x14ac:dyDescent="0.25">
      <c r="A710" t="s">
        <v>71</v>
      </c>
      <c r="B710">
        <v>2078</v>
      </c>
      <c r="C710">
        <v>16</v>
      </c>
      <c r="D710">
        <v>507</v>
      </c>
      <c r="E710">
        <v>1</v>
      </c>
      <c r="F710" s="55">
        <f t="shared" ca="1" si="20"/>
        <v>44281</v>
      </c>
      <c r="H710">
        <v>1</v>
      </c>
      <c r="I710">
        <v>1</v>
      </c>
      <c r="J710">
        <v>1</v>
      </c>
      <c r="K710" t="s">
        <v>97</v>
      </c>
    </row>
    <row r="711" spans="1:11" x14ac:dyDescent="0.25">
      <c r="A711" t="s">
        <v>71</v>
      </c>
      <c r="B711">
        <v>201</v>
      </c>
      <c r="C711">
        <v>16</v>
      </c>
      <c r="D711">
        <v>515</v>
      </c>
      <c r="E711">
        <v>1</v>
      </c>
      <c r="F711" s="55">
        <f ca="1">TODAY()</f>
        <v>44281</v>
      </c>
      <c r="H711">
        <v>3</v>
      </c>
      <c r="I711">
        <v>1</v>
      </c>
      <c r="J711">
        <v>1</v>
      </c>
      <c r="K711" t="s">
        <v>97</v>
      </c>
    </row>
    <row r="712" spans="1:11" x14ac:dyDescent="0.25">
      <c r="A712" t="s">
        <v>71</v>
      </c>
      <c r="B712">
        <v>202</v>
      </c>
      <c r="C712">
        <v>16</v>
      </c>
      <c r="D712">
        <v>515</v>
      </c>
      <c r="E712">
        <v>1</v>
      </c>
      <c r="F712" s="55">
        <f t="shared" ref="F712:F745" ca="1" si="21">TODAY()</f>
        <v>44281</v>
      </c>
      <c r="H712">
        <v>3</v>
      </c>
      <c r="I712">
        <v>1</v>
      </c>
      <c r="J712">
        <v>1</v>
      </c>
      <c r="K712" t="s">
        <v>97</v>
      </c>
    </row>
    <row r="713" spans="1:11" x14ac:dyDescent="0.25">
      <c r="A713" t="s">
        <v>71</v>
      </c>
      <c r="B713">
        <v>203</v>
      </c>
      <c r="C713">
        <v>16</v>
      </c>
      <c r="D713">
        <v>515</v>
      </c>
      <c r="E713">
        <v>1</v>
      </c>
      <c r="F713" s="55">
        <f t="shared" ca="1" si="21"/>
        <v>44281</v>
      </c>
      <c r="H713">
        <v>3</v>
      </c>
      <c r="I713">
        <v>1</v>
      </c>
      <c r="J713">
        <v>1</v>
      </c>
      <c r="K713" t="s">
        <v>97</v>
      </c>
    </row>
    <row r="714" spans="1:11" x14ac:dyDescent="0.25">
      <c r="A714" t="s">
        <v>71</v>
      </c>
      <c r="B714">
        <v>204</v>
      </c>
      <c r="C714">
        <v>16</v>
      </c>
      <c r="D714">
        <v>515</v>
      </c>
      <c r="E714">
        <v>1</v>
      </c>
      <c r="F714" s="55">
        <f t="shared" ca="1" si="21"/>
        <v>44281</v>
      </c>
      <c r="H714">
        <v>3</v>
      </c>
      <c r="I714">
        <v>1</v>
      </c>
      <c r="J714">
        <v>1</v>
      </c>
      <c r="K714" t="s">
        <v>97</v>
      </c>
    </row>
    <row r="715" spans="1:11" x14ac:dyDescent="0.25">
      <c r="A715" t="s">
        <v>71</v>
      </c>
      <c r="B715">
        <v>205</v>
      </c>
      <c r="C715">
        <v>16</v>
      </c>
      <c r="D715">
        <v>515</v>
      </c>
      <c r="E715">
        <v>1</v>
      </c>
      <c r="F715" s="55">
        <f t="shared" ca="1" si="21"/>
        <v>44281</v>
      </c>
      <c r="H715">
        <v>3</v>
      </c>
      <c r="I715">
        <v>1</v>
      </c>
      <c r="J715">
        <v>1</v>
      </c>
      <c r="K715" t="s">
        <v>97</v>
      </c>
    </row>
    <row r="716" spans="1:11" x14ac:dyDescent="0.25">
      <c r="A716" t="s">
        <v>71</v>
      </c>
      <c r="B716">
        <v>206</v>
      </c>
      <c r="C716">
        <v>16</v>
      </c>
      <c r="D716">
        <v>515</v>
      </c>
      <c r="E716">
        <v>1</v>
      </c>
      <c r="F716" s="55">
        <f t="shared" ca="1" si="21"/>
        <v>44281</v>
      </c>
      <c r="H716">
        <v>3</v>
      </c>
      <c r="I716">
        <v>1</v>
      </c>
      <c r="J716">
        <v>1</v>
      </c>
      <c r="K716" t="s">
        <v>97</v>
      </c>
    </row>
    <row r="717" spans="1:11" x14ac:dyDescent="0.25">
      <c r="A717" t="s">
        <v>71</v>
      </c>
      <c r="B717">
        <v>207</v>
      </c>
      <c r="C717">
        <v>16</v>
      </c>
      <c r="D717">
        <v>515</v>
      </c>
      <c r="E717">
        <v>1</v>
      </c>
      <c r="F717" s="55">
        <f t="shared" ca="1" si="21"/>
        <v>44281</v>
      </c>
      <c r="H717">
        <v>3</v>
      </c>
      <c r="I717">
        <v>1</v>
      </c>
      <c r="J717">
        <v>1</v>
      </c>
      <c r="K717" t="s">
        <v>97</v>
      </c>
    </row>
    <row r="718" spans="1:11" x14ac:dyDescent="0.25">
      <c r="A718" t="s">
        <v>71</v>
      </c>
      <c r="B718">
        <v>208</v>
      </c>
      <c r="C718">
        <v>16</v>
      </c>
      <c r="D718">
        <v>515</v>
      </c>
      <c r="E718">
        <v>1</v>
      </c>
      <c r="F718" s="55">
        <f t="shared" ca="1" si="21"/>
        <v>44281</v>
      </c>
      <c r="H718">
        <v>3</v>
      </c>
      <c r="I718">
        <v>1</v>
      </c>
      <c r="J718">
        <v>1</v>
      </c>
      <c r="K718" t="s">
        <v>97</v>
      </c>
    </row>
    <row r="719" spans="1:11" x14ac:dyDescent="0.25">
      <c r="A719" t="s">
        <v>71</v>
      </c>
      <c r="B719">
        <v>209</v>
      </c>
      <c r="C719">
        <v>16</v>
      </c>
      <c r="D719">
        <v>515</v>
      </c>
      <c r="E719">
        <v>1</v>
      </c>
      <c r="F719" s="55">
        <f t="shared" ca="1" si="21"/>
        <v>44281</v>
      </c>
      <c r="H719">
        <v>3</v>
      </c>
      <c r="I719">
        <v>1</v>
      </c>
      <c r="J719">
        <v>1</v>
      </c>
      <c r="K719" t="s">
        <v>97</v>
      </c>
    </row>
    <row r="720" spans="1:11" x14ac:dyDescent="0.25">
      <c r="A720" t="s">
        <v>71</v>
      </c>
      <c r="B720">
        <v>210</v>
      </c>
      <c r="C720">
        <v>16</v>
      </c>
      <c r="D720">
        <v>515</v>
      </c>
      <c r="E720">
        <v>1</v>
      </c>
      <c r="F720" s="55">
        <f t="shared" ca="1" si="21"/>
        <v>44281</v>
      </c>
      <c r="H720">
        <v>3</v>
      </c>
      <c r="I720">
        <v>1</v>
      </c>
      <c r="J720">
        <v>1</v>
      </c>
      <c r="K720" t="s">
        <v>97</v>
      </c>
    </row>
    <row r="721" spans="1:11" x14ac:dyDescent="0.25">
      <c r="A721" t="s">
        <v>71</v>
      </c>
      <c r="B721">
        <v>211</v>
      </c>
      <c r="C721">
        <v>16</v>
      </c>
      <c r="D721">
        <v>515</v>
      </c>
      <c r="E721">
        <v>1</v>
      </c>
      <c r="F721" s="55">
        <f t="shared" ca="1" si="21"/>
        <v>44281</v>
      </c>
      <c r="H721">
        <v>3</v>
      </c>
      <c r="I721">
        <v>1</v>
      </c>
      <c r="J721">
        <v>1</v>
      </c>
      <c r="K721" t="s">
        <v>97</v>
      </c>
    </row>
    <row r="722" spans="1:11" x14ac:dyDescent="0.25">
      <c r="A722" t="s">
        <v>71</v>
      </c>
      <c r="B722">
        <v>212</v>
      </c>
      <c r="C722">
        <v>16</v>
      </c>
      <c r="D722">
        <v>515</v>
      </c>
      <c r="E722">
        <v>1</v>
      </c>
      <c r="F722" s="55">
        <f t="shared" ca="1" si="21"/>
        <v>44281</v>
      </c>
      <c r="H722">
        <v>3</v>
      </c>
      <c r="I722">
        <v>1</v>
      </c>
      <c r="J722">
        <v>1</v>
      </c>
      <c r="K722" t="s">
        <v>97</v>
      </c>
    </row>
    <row r="723" spans="1:11" x14ac:dyDescent="0.25">
      <c r="A723" t="s">
        <v>71</v>
      </c>
      <c r="B723">
        <v>213</v>
      </c>
      <c r="C723">
        <v>16</v>
      </c>
      <c r="D723">
        <v>515</v>
      </c>
      <c r="E723">
        <v>1</v>
      </c>
      <c r="F723" s="55">
        <f t="shared" ca="1" si="21"/>
        <v>44281</v>
      </c>
      <c r="H723">
        <v>3</v>
      </c>
      <c r="I723">
        <v>1</v>
      </c>
      <c r="J723">
        <v>1</v>
      </c>
      <c r="K723" t="s">
        <v>97</v>
      </c>
    </row>
    <row r="724" spans="1:11" x14ac:dyDescent="0.25">
      <c r="A724" t="s">
        <v>71</v>
      </c>
      <c r="B724">
        <v>214</v>
      </c>
      <c r="C724">
        <v>16</v>
      </c>
      <c r="D724">
        <v>515</v>
      </c>
      <c r="E724">
        <v>1</v>
      </c>
      <c r="F724" s="55">
        <f t="shared" ca="1" si="21"/>
        <v>44281</v>
      </c>
      <c r="H724">
        <v>3</v>
      </c>
      <c r="I724">
        <v>1</v>
      </c>
      <c r="J724">
        <v>1</v>
      </c>
      <c r="K724" t="s">
        <v>97</v>
      </c>
    </row>
    <row r="725" spans="1:11" x14ac:dyDescent="0.25">
      <c r="A725" t="s">
        <v>71</v>
      </c>
      <c r="B725">
        <v>215</v>
      </c>
      <c r="C725">
        <v>16</v>
      </c>
      <c r="D725">
        <v>515</v>
      </c>
      <c r="E725">
        <v>1</v>
      </c>
      <c r="F725" s="55">
        <f t="shared" ca="1" si="21"/>
        <v>44281</v>
      </c>
      <c r="H725">
        <v>3</v>
      </c>
      <c r="I725">
        <v>1</v>
      </c>
      <c r="J725">
        <v>1</v>
      </c>
      <c r="K725" t="s">
        <v>97</v>
      </c>
    </row>
    <row r="726" spans="1:11" x14ac:dyDescent="0.25">
      <c r="A726" t="s">
        <v>71</v>
      </c>
      <c r="B726">
        <v>216</v>
      </c>
      <c r="C726">
        <v>16</v>
      </c>
      <c r="D726">
        <v>515</v>
      </c>
      <c r="E726">
        <v>1</v>
      </c>
      <c r="F726" s="55">
        <f t="shared" ca="1" si="21"/>
        <v>44281</v>
      </c>
      <c r="H726">
        <v>3</v>
      </c>
      <c r="I726">
        <v>1</v>
      </c>
      <c r="J726">
        <v>1</v>
      </c>
      <c r="K726" t="s">
        <v>97</v>
      </c>
    </row>
    <row r="727" spans="1:11" x14ac:dyDescent="0.25">
      <c r="A727" t="s">
        <v>71</v>
      </c>
      <c r="B727">
        <v>217</v>
      </c>
      <c r="C727">
        <v>16</v>
      </c>
      <c r="D727">
        <v>515</v>
      </c>
      <c r="E727">
        <v>1</v>
      </c>
      <c r="F727" s="55">
        <f t="shared" ca="1" si="21"/>
        <v>44281</v>
      </c>
      <c r="H727">
        <v>3</v>
      </c>
      <c r="I727">
        <v>1</v>
      </c>
      <c r="J727">
        <v>1</v>
      </c>
      <c r="K727" t="s">
        <v>97</v>
      </c>
    </row>
    <row r="728" spans="1:11" x14ac:dyDescent="0.25">
      <c r="A728" t="s">
        <v>71</v>
      </c>
      <c r="B728">
        <v>218</v>
      </c>
      <c r="C728">
        <v>16</v>
      </c>
      <c r="D728">
        <v>515</v>
      </c>
      <c r="E728">
        <v>1</v>
      </c>
      <c r="F728" s="55">
        <f t="shared" ca="1" si="21"/>
        <v>44281</v>
      </c>
      <c r="H728">
        <v>3</v>
      </c>
      <c r="I728">
        <v>1</v>
      </c>
      <c r="J728">
        <v>1</v>
      </c>
      <c r="K728" t="s">
        <v>97</v>
      </c>
    </row>
    <row r="729" spans="1:11" x14ac:dyDescent="0.25">
      <c r="A729" t="s">
        <v>71</v>
      </c>
      <c r="B729">
        <v>219</v>
      </c>
      <c r="C729">
        <v>16</v>
      </c>
      <c r="D729">
        <v>515</v>
      </c>
      <c r="E729">
        <v>1</v>
      </c>
      <c r="F729" s="55">
        <f t="shared" ca="1" si="21"/>
        <v>44281</v>
      </c>
      <c r="H729">
        <v>3</v>
      </c>
      <c r="I729">
        <v>1</v>
      </c>
      <c r="J729">
        <v>1</v>
      </c>
      <c r="K729" t="s">
        <v>97</v>
      </c>
    </row>
    <row r="730" spans="1:11" x14ac:dyDescent="0.25">
      <c r="A730" t="s">
        <v>71</v>
      </c>
      <c r="B730">
        <v>220</v>
      </c>
      <c r="C730">
        <v>16</v>
      </c>
      <c r="D730">
        <v>515</v>
      </c>
      <c r="E730">
        <v>1</v>
      </c>
      <c r="F730" s="55">
        <f t="shared" ca="1" si="21"/>
        <v>44281</v>
      </c>
      <c r="H730">
        <v>3</v>
      </c>
      <c r="I730">
        <v>1</v>
      </c>
      <c r="J730">
        <v>1</v>
      </c>
      <c r="K730" t="s">
        <v>97</v>
      </c>
    </row>
    <row r="731" spans="1:11" x14ac:dyDescent="0.25">
      <c r="A731" t="s">
        <v>71</v>
      </c>
      <c r="B731">
        <v>221</v>
      </c>
      <c r="C731">
        <v>16</v>
      </c>
      <c r="D731">
        <v>515</v>
      </c>
      <c r="E731">
        <v>1</v>
      </c>
      <c r="F731" s="55">
        <f t="shared" ca="1" si="21"/>
        <v>44281</v>
      </c>
      <c r="H731">
        <v>3</v>
      </c>
      <c r="I731">
        <v>1</v>
      </c>
      <c r="J731">
        <v>1</v>
      </c>
      <c r="K731" t="s">
        <v>97</v>
      </c>
    </row>
    <row r="732" spans="1:11" x14ac:dyDescent="0.25">
      <c r="A732" t="s">
        <v>71</v>
      </c>
      <c r="B732">
        <v>222</v>
      </c>
      <c r="C732">
        <v>16</v>
      </c>
      <c r="D732">
        <v>515</v>
      </c>
      <c r="E732">
        <v>1</v>
      </c>
      <c r="F732" s="55">
        <f t="shared" ca="1" si="21"/>
        <v>44281</v>
      </c>
      <c r="H732">
        <v>3</v>
      </c>
      <c r="I732">
        <v>1</v>
      </c>
      <c r="J732">
        <v>1</v>
      </c>
      <c r="K732" t="s">
        <v>97</v>
      </c>
    </row>
    <row r="733" spans="1:11" x14ac:dyDescent="0.25">
      <c r="A733" t="s">
        <v>71</v>
      </c>
      <c r="B733">
        <v>223</v>
      </c>
      <c r="C733">
        <v>16</v>
      </c>
      <c r="D733">
        <v>515</v>
      </c>
      <c r="E733">
        <v>1</v>
      </c>
      <c r="F733" s="55">
        <f t="shared" ca="1" si="21"/>
        <v>44281</v>
      </c>
      <c r="H733">
        <v>3</v>
      </c>
      <c r="I733">
        <v>1</v>
      </c>
      <c r="J733">
        <v>1</v>
      </c>
      <c r="K733" t="s">
        <v>97</v>
      </c>
    </row>
    <row r="734" spans="1:11" x14ac:dyDescent="0.25">
      <c r="A734" t="s">
        <v>71</v>
      </c>
      <c r="B734">
        <v>224</v>
      </c>
      <c r="C734">
        <v>16</v>
      </c>
      <c r="D734">
        <v>515</v>
      </c>
      <c r="E734">
        <v>1</v>
      </c>
      <c r="F734" s="55">
        <f t="shared" ca="1" si="21"/>
        <v>44281</v>
      </c>
      <c r="H734">
        <v>3</v>
      </c>
      <c r="I734">
        <v>1</v>
      </c>
      <c r="J734">
        <v>1</v>
      </c>
      <c r="K734" t="s">
        <v>97</v>
      </c>
    </row>
    <row r="735" spans="1:11" x14ac:dyDescent="0.25">
      <c r="A735" t="s">
        <v>71</v>
      </c>
      <c r="B735">
        <v>225</v>
      </c>
      <c r="C735">
        <v>16</v>
      </c>
      <c r="D735">
        <v>515</v>
      </c>
      <c r="E735">
        <v>1</v>
      </c>
      <c r="F735" s="55">
        <f t="shared" ca="1" si="21"/>
        <v>44281</v>
      </c>
      <c r="H735">
        <v>3</v>
      </c>
      <c r="I735">
        <v>1</v>
      </c>
      <c r="J735">
        <v>1</v>
      </c>
      <c r="K735" t="s">
        <v>97</v>
      </c>
    </row>
    <row r="736" spans="1:11" x14ac:dyDescent="0.25">
      <c r="A736" t="s">
        <v>71</v>
      </c>
      <c r="B736">
        <v>226</v>
      </c>
      <c r="C736">
        <v>16</v>
      </c>
      <c r="D736">
        <v>515</v>
      </c>
      <c r="E736">
        <v>1</v>
      </c>
      <c r="F736" s="55">
        <f t="shared" ca="1" si="21"/>
        <v>44281</v>
      </c>
      <c r="H736">
        <v>3</v>
      </c>
      <c r="I736">
        <v>1</v>
      </c>
      <c r="J736">
        <v>1</v>
      </c>
      <c r="K736" t="s">
        <v>97</v>
      </c>
    </row>
    <row r="737" spans="1:11" x14ac:dyDescent="0.25">
      <c r="A737" t="s">
        <v>71</v>
      </c>
      <c r="B737">
        <v>227</v>
      </c>
      <c r="C737">
        <v>16</v>
      </c>
      <c r="D737">
        <v>515</v>
      </c>
      <c r="E737">
        <v>1</v>
      </c>
      <c r="F737" s="55">
        <f t="shared" ca="1" si="21"/>
        <v>44281</v>
      </c>
      <c r="H737">
        <v>3</v>
      </c>
      <c r="I737">
        <v>1</v>
      </c>
      <c r="J737">
        <v>1</v>
      </c>
      <c r="K737" t="s">
        <v>97</v>
      </c>
    </row>
    <row r="738" spans="1:11" x14ac:dyDescent="0.25">
      <c r="A738" t="s">
        <v>71</v>
      </c>
      <c r="B738">
        <v>228</v>
      </c>
      <c r="C738">
        <v>16</v>
      </c>
      <c r="D738">
        <v>515</v>
      </c>
      <c r="E738">
        <v>1</v>
      </c>
      <c r="F738" s="55">
        <f t="shared" ca="1" si="21"/>
        <v>44281</v>
      </c>
      <c r="H738">
        <v>3</v>
      </c>
      <c r="I738">
        <v>1</v>
      </c>
      <c r="J738">
        <v>1</v>
      </c>
      <c r="K738" t="s">
        <v>97</v>
      </c>
    </row>
    <row r="739" spans="1:11" x14ac:dyDescent="0.25">
      <c r="A739" t="s">
        <v>71</v>
      </c>
      <c r="B739">
        <v>229</v>
      </c>
      <c r="C739">
        <v>16</v>
      </c>
      <c r="D739">
        <v>515</v>
      </c>
      <c r="E739">
        <v>1</v>
      </c>
      <c r="F739" s="55">
        <f t="shared" ca="1" si="21"/>
        <v>44281</v>
      </c>
      <c r="H739">
        <v>3</v>
      </c>
      <c r="I739">
        <v>1</v>
      </c>
      <c r="J739">
        <v>1</v>
      </c>
      <c r="K739" t="s">
        <v>97</v>
      </c>
    </row>
    <row r="740" spans="1:11" x14ac:dyDescent="0.25">
      <c r="A740" t="s">
        <v>71</v>
      </c>
      <c r="B740">
        <v>230</v>
      </c>
      <c r="C740">
        <v>16</v>
      </c>
      <c r="D740">
        <v>515</v>
      </c>
      <c r="E740">
        <v>1</v>
      </c>
      <c r="F740" s="55">
        <f t="shared" ca="1" si="21"/>
        <v>44281</v>
      </c>
      <c r="H740">
        <v>3</v>
      </c>
      <c r="I740">
        <v>1</v>
      </c>
      <c r="J740">
        <v>1</v>
      </c>
      <c r="K740" t="s">
        <v>97</v>
      </c>
    </row>
    <row r="741" spans="1:11" x14ac:dyDescent="0.25">
      <c r="A741" t="s">
        <v>71</v>
      </c>
      <c r="B741">
        <v>881</v>
      </c>
      <c r="C741">
        <v>16</v>
      </c>
      <c r="D741">
        <v>515</v>
      </c>
      <c r="E741">
        <v>1</v>
      </c>
      <c r="F741" s="55">
        <f t="shared" ca="1" si="21"/>
        <v>44281</v>
      </c>
      <c r="H741">
        <v>3</v>
      </c>
      <c r="I741">
        <v>1</v>
      </c>
      <c r="J741">
        <v>1</v>
      </c>
      <c r="K741" t="s">
        <v>97</v>
      </c>
    </row>
    <row r="742" spans="1:11" x14ac:dyDescent="0.25">
      <c r="A742" t="s">
        <v>71</v>
      </c>
      <c r="B742">
        <v>882</v>
      </c>
      <c r="C742">
        <v>16</v>
      </c>
      <c r="D742">
        <v>515</v>
      </c>
      <c r="E742">
        <v>1</v>
      </c>
      <c r="F742" s="55">
        <f t="shared" ca="1" si="21"/>
        <v>44281</v>
      </c>
      <c r="H742">
        <v>3</v>
      </c>
      <c r="I742">
        <v>1</v>
      </c>
      <c r="J742">
        <v>1</v>
      </c>
      <c r="K742" t="s">
        <v>97</v>
      </c>
    </row>
    <row r="743" spans="1:11" x14ac:dyDescent="0.25">
      <c r="A743" t="s">
        <v>71</v>
      </c>
      <c r="B743">
        <v>883</v>
      </c>
      <c r="C743">
        <v>16</v>
      </c>
      <c r="D743">
        <v>515</v>
      </c>
      <c r="E743">
        <v>1</v>
      </c>
      <c r="F743" s="55">
        <f t="shared" ca="1" si="21"/>
        <v>44281</v>
      </c>
      <c r="H743">
        <v>3</v>
      </c>
      <c r="I743">
        <v>1</v>
      </c>
      <c r="J743">
        <v>1</v>
      </c>
      <c r="K743" t="s">
        <v>97</v>
      </c>
    </row>
    <row r="744" spans="1:11" x14ac:dyDescent="0.25">
      <c r="A744" t="s">
        <v>71</v>
      </c>
      <c r="B744">
        <v>884</v>
      </c>
      <c r="C744">
        <v>16</v>
      </c>
      <c r="D744">
        <v>515</v>
      </c>
      <c r="E744">
        <v>1</v>
      </c>
      <c r="F744" s="55">
        <f t="shared" ca="1" si="21"/>
        <v>44281</v>
      </c>
      <c r="H744">
        <v>3</v>
      </c>
      <c r="I744">
        <v>1</v>
      </c>
      <c r="J744">
        <v>1</v>
      </c>
      <c r="K744" t="s">
        <v>97</v>
      </c>
    </row>
    <row r="745" spans="1:11" x14ac:dyDescent="0.25">
      <c r="A745" t="s">
        <v>71</v>
      </c>
      <c r="B745">
        <v>885</v>
      </c>
      <c r="C745">
        <v>16</v>
      </c>
      <c r="D745">
        <v>515</v>
      </c>
      <c r="E745">
        <v>1</v>
      </c>
      <c r="F745" s="55">
        <f t="shared" ca="1" si="21"/>
        <v>44281</v>
      </c>
      <c r="H745">
        <v>3</v>
      </c>
      <c r="I745">
        <v>1</v>
      </c>
      <c r="J745">
        <v>1</v>
      </c>
      <c r="K745" t="s">
        <v>97</v>
      </c>
    </row>
    <row r="746" spans="1:11" x14ac:dyDescent="0.25">
      <c r="A746" t="s">
        <v>71</v>
      </c>
      <c r="B746">
        <v>2202</v>
      </c>
      <c r="C746">
        <v>16</v>
      </c>
      <c r="D746">
        <v>515</v>
      </c>
      <c r="E746">
        <v>1</v>
      </c>
      <c r="F746" s="55">
        <f ca="1">TODAY()</f>
        <v>44281</v>
      </c>
      <c r="H746">
        <v>3</v>
      </c>
      <c r="I746">
        <v>1</v>
      </c>
      <c r="J746">
        <v>1</v>
      </c>
      <c r="K746" t="s">
        <v>97</v>
      </c>
    </row>
    <row r="747" spans="1:11" x14ac:dyDescent="0.25">
      <c r="A747" t="s">
        <v>71</v>
      </c>
      <c r="B747">
        <v>2205</v>
      </c>
      <c r="C747">
        <v>16</v>
      </c>
      <c r="D747">
        <v>515</v>
      </c>
      <c r="E747">
        <v>1</v>
      </c>
      <c r="F747" s="55">
        <f t="shared" ref="F747:F750" ca="1" si="22">TODAY()</f>
        <v>44281</v>
      </c>
      <c r="H747">
        <v>3</v>
      </c>
      <c r="I747">
        <v>1</v>
      </c>
      <c r="J747">
        <v>1</v>
      </c>
      <c r="K747" t="s">
        <v>97</v>
      </c>
    </row>
    <row r="748" spans="1:11" x14ac:dyDescent="0.25">
      <c r="A748" t="s">
        <v>71</v>
      </c>
      <c r="B748">
        <v>2204</v>
      </c>
      <c r="C748">
        <v>16</v>
      </c>
      <c r="D748">
        <v>515</v>
      </c>
      <c r="E748">
        <v>1</v>
      </c>
      <c r="F748" s="55">
        <f t="shared" ca="1" si="22"/>
        <v>44281</v>
      </c>
      <c r="H748">
        <v>3</v>
      </c>
      <c r="I748">
        <v>1</v>
      </c>
      <c r="J748">
        <v>1</v>
      </c>
      <c r="K748" t="s">
        <v>97</v>
      </c>
    </row>
    <row r="749" spans="1:11" x14ac:dyDescent="0.25">
      <c r="A749" t="s">
        <v>71</v>
      </c>
      <c r="B749">
        <v>2203</v>
      </c>
      <c r="C749">
        <v>16</v>
      </c>
      <c r="D749">
        <v>515</v>
      </c>
      <c r="E749">
        <v>1</v>
      </c>
      <c r="F749" s="55">
        <f t="shared" ca="1" si="22"/>
        <v>44281</v>
      </c>
      <c r="H749">
        <v>3</v>
      </c>
      <c r="I749">
        <v>1</v>
      </c>
      <c r="J749">
        <v>1</v>
      </c>
      <c r="K749" t="s">
        <v>97</v>
      </c>
    </row>
    <row r="750" spans="1:11" x14ac:dyDescent="0.25">
      <c r="A750" t="s">
        <v>71</v>
      </c>
      <c r="B750">
        <v>2201</v>
      </c>
      <c r="C750">
        <v>16</v>
      </c>
      <c r="D750">
        <v>515</v>
      </c>
      <c r="E750">
        <v>1</v>
      </c>
      <c r="F750" s="55">
        <f t="shared" ca="1" si="22"/>
        <v>44281</v>
      </c>
      <c r="H750">
        <v>3</v>
      </c>
      <c r="I750">
        <v>1</v>
      </c>
      <c r="J750">
        <v>1</v>
      </c>
      <c r="K750" t="s">
        <v>97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CAMPO MINADO ALTERAÇÃO</vt:lpstr>
      <vt:lpstr>CAMPO MINADO CHECK</vt:lpstr>
      <vt:lpstr>SORTEMP</vt:lpstr>
      <vt:lpstr>DIN SORTEMP</vt:lpstr>
      <vt:lpstr>SORTIM</vt:lpstr>
      <vt:lpstr>DIN SORTIM</vt:lpstr>
      <vt:lpstr>carga_exclusao</vt:lpstr>
      <vt:lpstr>carga_inclusao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DE FATIMA GOMES MARIA MOURA</dc:creator>
  <cp:lastModifiedBy>André Zigaib</cp:lastModifiedBy>
  <dcterms:created xsi:type="dcterms:W3CDTF">2019-02-28T21:56:42Z</dcterms:created>
  <dcterms:modified xsi:type="dcterms:W3CDTF">2021-03-26T16:26:36Z</dcterms:modified>
</cp:coreProperties>
</file>