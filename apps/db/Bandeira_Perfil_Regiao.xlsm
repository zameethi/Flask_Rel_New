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ython Projetos\Novo_Relatório\temp\excel\"/>
    </mc:Choice>
  </mc:AlternateContent>
  <xr:revisionPtr revIDLastSave="0" documentId="13_ncr:1_{094E1737-8CD7-4E7C-B9D6-F196E0676660}" xr6:coauthVersionLast="46" xr6:coauthVersionMax="46" xr10:uidLastSave="{00000000-0000-0000-0000-000000000000}"/>
  <bookViews>
    <workbookView xWindow="-5115" yWindow="-16320" windowWidth="38640" windowHeight="15990" xr2:uid="{00000000-000D-0000-FFFF-FFFF00000000}"/>
  </bookViews>
  <sheets>
    <sheet name="CAMPO MINADO ALTERAÇÃO" sheetId="1" r:id="rId1"/>
    <sheet name="CAMPO MINADO CHECK" sheetId="10" r:id="rId2"/>
    <sheet name="SORTEMP" sheetId="3" r:id="rId3"/>
    <sheet name="DIN SORTEMP" sheetId="4" r:id="rId4"/>
    <sheet name="SORTIM" sheetId="5" r:id="rId5"/>
    <sheet name="DIN SORTIM" sheetId="6" r:id="rId6"/>
    <sheet name="DEPARA" sheetId="7" state="hidden" r:id="rId7"/>
    <sheet name="carga_exclusao" sheetId="8" state="hidden" r:id="rId8"/>
    <sheet name="carga_inclusao" sheetId="9" state="hidden" r:id="rId9"/>
  </sheets>
  <definedNames>
    <definedName name="_xlnm._FilterDatabase" localSheetId="0" hidden="1">'CAMPO MINADO ALTERAÇÃO'!$A$16:$EZ$220</definedName>
    <definedName name="_xlnm._FilterDatabase" localSheetId="1" hidden="1">'CAMPO MINADO CHECK'!$A$16:$EZ$220</definedName>
    <definedName name="BD_Sortim_Sortem.accdb" localSheetId="2">SORTEMP!$A$1:$AA$16693</definedName>
    <definedName name="BD_Sortim_Sortem.accdb" localSheetId="4">SORTIM!$A$1:$T$2303</definedName>
  </definedNames>
  <calcPr calcId="181029"/>
  <pivotCaches>
    <pivotCache cacheId="12" r:id="rId10"/>
    <pivotCache cacheId="15" r:id="rId11"/>
  </pivotCaches>
</workbook>
</file>

<file path=xl/calcChain.xml><?xml version="1.0" encoding="utf-8"?>
<calcChain xmlns="http://schemas.openxmlformats.org/spreadsheetml/2006/main">
  <c r="B15" i="10" l="1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C10" i="10"/>
  <c r="EW7" i="10"/>
  <c r="EO7" i="10"/>
  <c r="EG7" i="10"/>
  <c r="DY7" i="10"/>
  <c r="DQ7" i="10"/>
  <c r="DI7" i="10"/>
  <c r="DA7" i="10"/>
  <c r="CS7" i="10"/>
  <c r="CK7" i="10"/>
  <c r="CC7" i="10"/>
  <c r="BU7" i="10"/>
  <c r="BM7" i="10"/>
  <c r="BE7" i="10"/>
  <c r="AW7" i="10"/>
  <c r="AO7" i="10"/>
  <c r="AG7" i="10"/>
  <c r="Y7" i="10"/>
  <c r="Q7" i="10"/>
  <c r="EZ6" i="10"/>
  <c r="EY6" i="10"/>
  <c r="EX6" i="10"/>
  <c r="EX7" i="10" s="1"/>
  <c r="EW6" i="10"/>
  <c r="EV6" i="10"/>
  <c r="EU6" i="10"/>
  <c r="ET6" i="10"/>
  <c r="ES6" i="10"/>
  <c r="ER6" i="10"/>
  <c r="EQ6" i="10"/>
  <c r="EP6" i="10"/>
  <c r="EP7" i="10" s="1"/>
  <c r="EO6" i="10"/>
  <c r="EN6" i="10"/>
  <c r="EM6" i="10"/>
  <c r="EL6" i="10"/>
  <c r="EK6" i="10"/>
  <c r="EJ6" i="10"/>
  <c r="EI6" i="10"/>
  <c r="EH6" i="10"/>
  <c r="EH7" i="10" s="1"/>
  <c r="EG6" i="10"/>
  <c r="EF6" i="10"/>
  <c r="EE6" i="10"/>
  <c r="ED6" i="10"/>
  <c r="EC6" i="10"/>
  <c r="EB6" i="10"/>
  <c r="EA6" i="10"/>
  <c r="DZ6" i="10"/>
  <c r="DZ7" i="10" s="1"/>
  <c r="DY6" i="10"/>
  <c r="DX6" i="10"/>
  <c r="DW6" i="10"/>
  <c r="DV6" i="10"/>
  <c r="DU6" i="10"/>
  <c r="DT6" i="10"/>
  <c r="DS6" i="10"/>
  <c r="DR6" i="10"/>
  <c r="DR7" i="10" s="1"/>
  <c r="DQ6" i="10"/>
  <c r="DP6" i="10"/>
  <c r="DO6" i="10"/>
  <c r="DN6" i="10"/>
  <c r="DM6" i="10"/>
  <c r="DL6" i="10"/>
  <c r="DK6" i="10"/>
  <c r="DJ6" i="10"/>
  <c r="DJ7" i="10" s="1"/>
  <c r="DI6" i="10"/>
  <c r="DH6" i="10"/>
  <c r="DG6" i="10"/>
  <c r="DF6" i="10"/>
  <c r="DE6" i="10"/>
  <c r="DD6" i="10"/>
  <c r="DC6" i="10"/>
  <c r="DB6" i="10"/>
  <c r="DB7" i="10" s="1"/>
  <c r="DA6" i="10"/>
  <c r="CZ6" i="10"/>
  <c r="CY6" i="10"/>
  <c r="CX6" i="10"/>
  <c r="CW6" i="10"/>
  <c r="CV6" i="10"/>
  <c r="CU6" i="10"/>
  <c r="CT6" i="10"/>
  <c r="CT7" i="10" s="1"/>
  <c r="CS6" i="10"/>
  <c r="CR6" i="10"/>
  <c r="CQ6" i="10"/>
  <c r="CP6" i="10"/>
  <c r="CO6" i="10"/>
  <c r="CN6" i="10"/>
  <c r="CM6" i="10"/>
  <c r="CL6" i="10"/>
  <c r="CL7" i="10" s="1"/>
  <c r="CK6" i="10"/>
  <c r="CJ6" i="10"/>
  <c r="CI6" i="10"/>
  <c r="CH6" i="10"/>
  <c r="CG6" i="10"/>
  <c r="CF6" i="10"/>
  <c r="CE6" i="10"/>
  <c r="CD6" i="10"/>
  <c r="CD7" i="10" s="1"/>
  <c r="CC6" i="10"/>
  <c r="CB6" i="10"/>
  <c r="CA6" i="10"/>
  <c r="BZ6" i="10"/>
  <c r="BY6" i="10"/>
  <c r="BX6" i="10"/>
  <c r="BW6" i="10"/>
  <c r="BV6" i="10"/>
  <c r="BV7" i="10" s="1"/>
  <c r="BU6" i="10"/>
  <c r="BT6" i="10"/>
  <c r="BS6" i="10"/>
  <c r="BR6" i="10"/>
  <c r="BQ6" i="10"/>
  <c r="BP6" i="10"/>
  <c r="BO6" i="10"/>
  <c r="BN6" i="10"/>
  <c r="BN7" i="10" s="1"/>
  <c r="BM6" i="10"/>
  <c r="BL6" i="10"/>
  <c r="BK6" i="10"/>
  <c r="BJ6" i="10"/>
  <c r="BI6" i="10"/>
  <c r="BH6" i="10"/>
  <c r="BG6" i="10"/>
  <c r="BF6" i="10"/>
  <c r="BF7" i="10" s="1"/>
  <c r="BE6" i="10"/>
  <c r="BD6" i="10"/>
  <c r="BC6" i="10"/>
  <c r="BB6" i="10"/>
  <c r="BA6" i="10"/>
  <c r="AZ6" i="10"/>
  <c r="AY6" i="10"/>
  <c r="AX6" i="10"/>
  <c r="AX7" i="10" s="1"/>
  <c r="AW6" i="10"/>
  <c r="AV6" i="10"/>
  <c r="AU6" i="10"/>
  <c r="AT6" i="10"/>
  <c r="AS6" i="10"/>
  <c r="AR6" i="10"/>
  <c r="AQ6" i="10"/>
  <c r="AP6" i="10"/>
  <c r="AP7" i="10" s="1"/>
  <c r="AO6" i="10"/>
  <c r="AN6" i="10"/>
  <c r="AM6" i="10"/>
  <c r="AL6" i="10"/>
  <c r="AK6" i="10"/>
  <c r="AJ6" i="10"/>
  <c r="AI6" i="10"/>
  <c r="AH6" i="10"/>
  <c r="AH7" i="10" s="1"/>
  <c r="AG6" i="10"/>
  <c r="AF6" i="10"/>
  <c r="AE6" i="10"/>
  <c r="AD6" i="10"/>
  <c r="AC6" i="10"/>
  <c r="AB6" i="10"/>
  <c r="AA6" i="10"/>
  <c r="Z6" i="10"/>
  <c r="Z7" i="10" s="1"/>
  <c r="Y6" i="10"/>
  <c r="X6" i="10"/>
  <c r="W6" i="10"/>
  <c r="V6" i="10"/>
  <c r="U6" i="10"/>
  <c r="T6" i="10"/>
  <c r="S6" i="10"/>
  <c r="R6" i="10"/>
  <c r="R7" i="10" s="1"/>
  <c r="Q6" i="10"/>
  <c r="P6" i="10"/>
  <c r="O6" i="10"/>
  <c r="N6" i="10"/>
  <c r="M6" i="10"/>
  <c r="L6" i="10"/>
  <c r="EZ5" i="10"/>
  <c r="EZ7" i="10" s="1"/>
  <c r="EY5" i="10"/>
  <c r="EY7" i="10" s="1"/>
  <c r="EX5" i="10"/>
  <c r="EW5" i="10"/>
  <c r="EV5" i="10"/>
  <c r="EV7" i="10" s="1"/>
  <c r="EU5" i="10"/>
  <c r="EU7" i="10" s="1"/>
  <c r="ET5" i="10"/>
  <c r="ET7" i="10" s="1"/>
  <c r="ES5" i="10"/>
  <c r="ES7" i="10" s="1"/>
  <c r="ER5" i="10"/>
  <c r="ER7" i="10" s="1"/>
  <c r="EQ5" i="10"/>
  <c r="EQ7" i="10" s="1"/>
  <c r="EP5" i="10"/>
  <c r="EO5" i="10"/>
  <c r="EN5" i="10"/>
  <c r="EN7" i="10" s="1"/>
  <c r="EM5" i="10"/>
  <c r="EM7" i="10" s="1"/>
  <c r="EL5" i="10"/>
  <c r="EL7" i="10" s="1"/>
  <c r="EK5" i="10"/>
  <c r="EK7" i="10" s="1"/>
  <c r="EJ5" i="10"/>
  <c r="EJ7" i="10" s="1"/>
  <c r="EI5" i="10"/>
  <c r="EI7" i="10" s="1"/>
  <c r="EH5" i="10"/>
  <c r="EG5" i="10"/>
  <c r="EF5" i="10"/>
  <c r="EF7" i="10" s="1"/>
  <c r="EE5" i="10"/>
  <c r="EE7" i="10" s="1"/>
  <c r="ED5" i="10"/>
  <c r="ED7" i="10" s="1"/>
  <c r="EC5" i="10"/>
  <c r="EC7" i="10" s="1"/>
  <c r="EB5" i="10"/>
  <c r="EB7" i="10" s="1"/>
  <c r="EA5" i="10"/>
  <c r="EA7" i="10" s="1"/>
  <c r="DZ5" i="10"/>
  <c r="DY5" i="10"/>
  <c r="DX5" i="10"/>
  <c r="DX7" i="10" s="1"/>
  <c r="DW5" i="10"/>
  <c r="DW7" i="10" s="1"/>
  <c r="DV5" i="10"/>
  <c r="DV7" i="10" s="1"/>
  <c r="DU5" i="10"/>
  <c r="DU7" i="10" s="1"/>
  <c r="DT5" i="10"/>
  <c r="DT7" i="10" s="1"/>
  <c r="DS5" i="10"/>
  <c r="DS7" i="10" s="1"/>
  <c r="DR5" i="10"/>
  <c r="DQ5" i="10"/>
  <c r="DP5" i="10"/>
  <c r="DP7" i="10" s="1"/>
  <c r="DO5" i="10"/>
  <c r="DO7" i="10" s="1"/>
  <c r="DN5" i="10"/>
  <c r="DN7" i="10" s="1"/>
  <c r="DM5" i="10"/>
  <c r="DM7" i="10" s="1"/>
  <c r="DL5" i="10"/>
  <c r="DL7" i="10" s="1"/>
  <c r="DK5" i="10"/>
  <c r="DK7" i="10" s="1"/>
  <c r="DJ5" i="10"/>
  <c r="DI5" i="10"/>
  <c r="DH5" i="10"/>
  <c r="DH7" i="10" s="1"/>
  <c r="DG5" i="10"/>
  <c r="DG7" i="10" s="1"/>
  <c r="DF5" i="10"/>
  <c r="DF7" i="10" s="1"/>
  <c r="DE5" i="10"/>
  <c r="DE7" i="10" s="1"/>
  <c r="DD5" i="10"/>
  <c r="DD7" i="10" s="1"/>
  <c r="DC5" i="10"/>
  <c r="DC7" i="10" s="1"/>
  <c r="DB5" i="10"/>
  <c r="DA5" i="10"/>
  <c r="CZ5" i="10"/>
  <c r="CZ7" i="10" s="1"/>
  <c r="CY5" i="10"/>
  <c r="CY7" i="10" s="1"/>
  <c r="CX5" i="10"/>
  <c r="CX7" i="10" s="1"/>
  <c r="CW5" i="10"/>
  <c r="CW7" i="10" s="1"/>
  <c r="CV5" i="10"/>
  <c r="CV7" i="10" s="1"/>
  <c r="CU5" i="10"/>
  <c r="CU7" i="10" s="1"/>
  <c r="CT5" i="10"/>
  <c r="CS5" i="10"/>
  <c r="CR5" i="10"/>
  <c r="CR7" i="10" s="1"/>
  <c r="CQ5" i="10"/>
  <c r="CQ7" i="10" s="1"/>
  <c r="CP5" i="10"/>
  <c r="CP7" i="10" s="1"/>
  <c r="CO5" i="10"/>
  <c r="CO7" i="10" s="1"/>
  <c r="CN5" i="10"/>
  <c r="CN7" i="10" s="1"/>
  <c r="CM5" i="10"/>
  <c r="CM7" i="10" s="1"/>
  <c r="CL5" i="10"/>
  <c r="CK5" i="10"/>
  <c r="CJ5" i="10"/>
  <c r="CJ7" i="10" s="1"/>
  <c r="CI5" i="10"/>
  <c r="CI7" i="10" s="1"/>
  <c r="CH5" i="10"/>
  <c r="CH7" i="10" s="1"/>
  <c r="CG5" i="10"/>
  <c r="CG7" i="10" s="1"/>
  <c r="CF5" i="10"/>
  <c r="CF7" i="10" s="1"/>
  <c r="CE5" i="10"/>
  <c r="CE7" i="10" s="1"/>
  <c r="CD5" i="10"/>
  <c r="CC5" i="10"/>
  <c r="CB5" i="10"/>
  <c r="CB7" i="10" s="1"/>
  <c r="CA5" i="10"/>
  <c r="CA7" i="10" s="1"/>
  <c r="BZ5" i="10"/>
  <c r="BZ7" i="10" s="1"/>
  <c r="BY5" i="10"/>
  <c r="BY7" i="10" s="1"/>
  <c r="BX5" i="10"/>
  <c r="BX7" i="10" s="1"/>
  <c r="BW5" i="10"/>
  <c r="BW7" i="10" s="1"/>
  <c r="BV5" i="10"/>
  <c r="BU5" i="10"/>
  <c r="BT5" i="10"/>
  <c r="BT7" i="10" s="1"/>
  <c r="BS5" i="10"/>
  <c r="BS7" i="10" s="1"/>
  <c r="BR5" i="10"/>
  <c r="BR7" i="10" s="1"/>
  <c r="BQ5" i="10"/>
  <c r="BQ7" i="10" s="1"/>
  <c r="BP5" i="10"/>
  <c r="BP7" i="10" s="1"/>
  <c r="BO5" i="10"/>
  <c r="BO7" i="10" s="1"/>
  <c r="BN5" i="10"/>
  <c r="BM5" i="10"/>
  <c r="BL5" i="10"/>
  <c r="BL7" i="10" s="1"/>
  <c r="BK5" i="10"/>
  <c r="BK7" i="10" s="1"/>
  <c r="BJ5" i="10"/>
  <c r="BJ7" i="10" s="1"/>
  <c r="BI5" i="10"/>
  <c r="BI7" i="10" s="1"/>
  <c r="BH5" i="10"/>
  <c r="BH7" i="10" s="1"/>
  <c r="BG5" i="10"/>
  <c r="BG7" i="10" s="1"/>
  <c r="BF5" i="10"/>
  <c r="BE5" i="10"/>
  <c r="BD5" i="10"/>
  <c r="BD7" i="10" s="1"/>
  <c r="BC5" i="10"/>
  <c r="BC7" i="10" s="1"/>
  <c r="BB5" i="10"/>
  <c r="BB7" i="10" s="1"/>
  <c r="BA5" i="10"/>
  <c r="BA7" i="10" s="1"/>
  <c r="AZ5" i="10"/>
  <c r="AZ7" i="10" s="1"/>
  <c r="AY5" i="10"/>
  <c r="AY7" i="10" s="1"/>
  <c r="AX5" i="10"/>
  <c r="AW5" i="10"/>
  <c r="AV5" i="10"/>
  <c r="AV7" i="10" s="1"/>
  <c r="AU5" i="10"/>
  <c r="AU7" i="10" s="1"/>
  <c r="AT5" i="10"/>
  <c r="AT7" i="10" s="1"/>
  <c r="AS5" i="10"/>
  <c r="AS7" i="10" s="1"/>
  <c r="AR5" i="10"/>
  <c r="AR7" i="10" s="1"/>
  <c r="AQ5" i="10"/>
  <c r="AQ7" i="10" s="1"/>
  <c r="AP5" i="10"/>
  <c r="AO5" i="10"/>
  <c r="AN5" i="10"/>
  <c r="AN7" i="10" s="1"/>
  <c r="AM5" i="10"/>
  <c r="AM7" i="10" s="1"/>
  <c r="AL5" i="10"/>
  <c r="AL7" i="10" s="1"/>
  <c r="AK5" i="10"/>
  <c r="AK7" i="10" s="1"/>
  <c r="AJ5" i="10"/>
  <c r="AJ7" i="10" s="1"/>
  <c r="AI5" i="10"/>
  <c r="AI7" i="10" s="1"/>
  <c r="AH5" i="10"/>
  <c r="AG5" i="10"/>
  <c r="AF5" i="10"/>
  <c r="AF7" i="10" s="1"/>
  <c r="AE5" i="10"/>
  <c r="AE7" i="10" s="1"/>
  <c r="AD5" i="10"/>
  <c r="AD7" i="10" s="1"/>
  <c r="AC5" i="10"/>
  <c r="AC7" i="10" s="1"/>
  <c r="AB5" i="10"/>
  <c r="AB7" i="10" s="1"/>
  <c r="AA5" i="10"/>
  <c r="AA7" i="10" s="1"/>
  <c r="Z5" i="10"/>
  <c r="Y5" i="10"/>
  <c r="X5" i="10"/>
  <c r="X7" i="10" s="1"/>
  <c r="W5" i="10"/>
  <c r="W7" i="10" s="1"/>
  <c r="V5" i="10"/>
  <c r="V7" i="10" s="1"/>
  <c r="U5" i="10"/>
  <c r="U7" i="10" s="1"/>
  <c r="T5" i="10"/>
  <c r="T7" i="10" s="1"/>
  <c r="S5" i="10"/>
  <c r="S7" i="10" s="1"/>
  <c r="R5" i="10"/>
  <c r="Q5" i="10"/>
  <c r="P5" i="10"/>
  <c r="P7" i="10" s="1"/>
  <c r="O5" i="10"/>
  <c r="O7" i="10" s="1"/>
  <c r="N5" i="10"/>
  <c r="N7" i="10" s="1"/>
  <c r="M5" i="10"/>
  <c r="M7" i="10" s="1"/>
  <c r="L5" i="10"/>
  <c r="L7" i="10" s="1"/>
  <c r="J14" i="10" l="1"/>
  <c r="C5" i="10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Y7" i="1" s="1"/>
  <c r="EZ5" i="1"/>
  <c r="EZ7" i="1" s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L6" i="1"/>
  <c r="L5" i="1"/>
  <c r="B15" i="1" l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EE14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C10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C5" i="1"/>
  <c r="J14" i="1" l="1"/>
  <c r="L7" i="1"/>
</calcChain>
</file>

<file path=xl/sharedStrings.xml><?xml version="1.0" encoding="utf-8"?>
<sst xmlns="http://schemas.openxmlformats.org/spreadsheetml/2006/main" count="8338" uniqueCount="1039">
  <si>
    <t>CB</t>
  </si>
  <si>
    <t>PF</t>
  </si>
  <si>
    <t>PERFIL 1</t>
  </si>
  <si>
    <t>PERFIL 2</t>
  </si>
  <si>
    <t>PERFIL 3</t>
  </si>
  <si>
    <t>PERFIL 4</t>
  </si>
  <si>
    <t>PERFIL 5</t>
  </si>
  <si>
    <t>SPI</t>
  </si>
  <si>
    <t>MG</t>
  </si>
  <si>
    <t>SUL</t>
  </si>
  <si>
    <t>GDE SP</t>
  </si>
  <si>
    <t>NE</t>
  </si>
  <si>
    <t>CO/N</t>
  </si>
  <si>
    <t>RJ/ES</t>
  </si>
  <si>
    <t>Qte SKU por Cluster:</t>
  </si>
  <si>
    <t>RUA</t>
  </si>
  <si>
    <t>DIGITAL</t>
  </si>
  <si>
    <t>SHOPPING</t>
  </si>
  <si>
    <t>COMPACTA</t>
  </si>
  <si>
    <t>QUIOSQUE</t>
  </si>
  <si>
    <t>Obrigatório</t>
  </si>
  <si>
    <t>Sugestão</t>
  </si>
  <si>
    <t>Total</t>
  </si>
  <si>
    <t>Número ideal de obrigatórios</t>
  </si>
  <si>
    <t>Seção</t>
  </si>
  <si>
    <t>QTE LOJAS</t>
  </si>
  <si>
    <t>PERFIL 1-CB-RUA-SPI</t>
  </si>
  <si>
    <t>PERFIL 1-CB-RUA-MG</t>
  </si>
  <si>
    <t>PERFIL 1-CB-RUA-SUL</t>
  </si>
  <si>
    <t>PERFIL 1-CB-RUA-GDE SP</t>
  </si>
  <si>
    <t>PERFIL 1-CB-RUA-NE</t>
  </si>
  <si>
    <t>PERFIL 1-CB-RUA-CO/N</t>
  </si>
  <si>
    <t>PERFIL 1-CB-RUA-RJ/ES</t>
  </si>
  <si>
    <t>PERFIL 1-CB-DIGITAL-GDE SP</t>
  </si>
  <si>
    <t>PERFIL 1-CB-SHOPPING-SPI</t>
  </si>
  <si>
    <t>PERFIL 1-CB-SHOPPING-MG</t>
  </si>
  <si>
    <t>PERFIL 1-CB-SHOPPING-SUL</t>
  </si>
  <si>
    <t>PERFIL 1-CB-SHOPPING-GDE SP</t>
  </si>
  <si>
    <t>PERFIL 1-CB-SHOPPING-NE</t>
  </si>
  <si>
    <t>PERFIL 1-CB-SHOPPING-CO/N</t>
  </si>
  <si>
    <t>PERFIL 1-CB-SHOPPING-RJ/ES</t>
  </si>
  <si>
    <t>PERFIL 2-CB-RUA-SPI</t>
  </si>
  <si>
    <t>PERFIL 2-CB-RUA-MG</t>
  </si>
  <si>
    <t>PERFIL 2-CB-RUA-SUL</t>
  </si>
  <si>
    <t>PERFIL 2-CB-RUA-GDE SP</t>
  </si>
  <si>
    <t>PERFIL 2-CB-RUA-NE</t>
  </si>
  <si>
    <t>PERFIL 2-CB-RUA-CO/N</t>
  </si>
  <si>
    <t>PERFIL 2-CB-RUA-RJ/ES</t>
  </si>
  <si>
    <t>PERFIL 2-CB-SHOPPING-SPI</t>
  </si>
  <si>
    <t>PERFIL 2-CB-SHOPPING-MG</t>
  </si>
  <si>
    <t>PERFIL 2-CB-SHOPPING-SUL</t>
  </si>
  <si>
    <t>PERFIL 2-CB-SHOPPING-GDE SP</t>
  </si>
  <si>
    <t>PERFIL 2-CB-SHOPPING-NE</t>
  </si>
  <si>
    <t>PERFIL 2-CB-SHOPPING-CO/N</t>
  </si>
  <si>
    <t>PERFIL 2-CB-SHOPPING-RJ/ES</t>
  </si>
  <si>
    <t>PERFIL 3-CB-RUA-SPI</t>
  </si>
  <si>
    <t>PERFIL 3-CB-RUA-MG</t>
  </si>
  <si>
    <t>PERFIL 3-CB-RUA-SUL</t>
  </si>
  <si>
    <t>PERFIL 3-CB-RUA-GDE SP</t>
  </si>
  <si>
    <t>PERFIL 3-CB-RUA-NE</t>
  </si>
  <si>
    <t>PERFIL 3-CB-RUA-CO/N</t>
  </si>
  <si>
    <t>PERFIL 3-CB-RUA-RJ/ES</t>
  </si>
  <si>
    <t>PERFIL 3-CB-SHOPPING-SPI</t>
  </si>
  <si>
    <t>PERFIL 3-CB-SHOPPING-MG</t>
  </si>
  <si>
    <t>PERFIL 3-CB-SHOPPING-SUL</t>
  </si>
  <si>
    <t>PERFIL 3-CB-SHOPPING-GDE SP</t>
  </si>
  <si>
    <t>PERFIL 3-CB-SHOPPING-NE</t>
  </si>
  <si>
    <t>PERFIL 3-CB-SHOPPING-CO/N</t>
  </si>
  <si>
    <t>PERFIL 3-CB-SHOPPING-RJ/ES</t>
  </si>
  <si>
    <t>PERFIL 4-CB-RUA-SPI</t>
  </si>
  <si>
    <t>PERFIL 4-CB-RUA-MG</t>
  </si>
  <si>
    <t>PERFIL 4-CB-RUA-SUL</t>
  </si>
  <si>
    <t>PERFIL 4-CB-RUA-GDE SP</t>
  </si>
  <si>
    <t>PERFIL 4-CB-RUA-NE</t>
  </si>
  <si>
    <t>PERFIL 4-CB-RUA-CO/N</t>
  </si>
  <si>
    <t>PERFIL 4-CB-RUA-RJ/ES</t>
  </si>
  <si>
    <t>PERFIL 4-CB-COMPACTA-SPI</t>
  </si>
  <si>
    <t>PERFIL 4-CB-SHOPPING-SPI</t>
  </si>
  <si>
    <t>PERFIL 4-CB-SHOPPING-MG</t>
  </si>
  <si>
    <t>PERFIL 4-CB-SHOPPING-SUL</t>
  </si>
  <si>
    <t>PERFIL 4-CB-SHOPPING-GDE SP</t>
  </si>
  <si>
    <t>PERFIL 4-CB-SHOPPING-NE</t>
  </si>
  <si>
    <t>PERFIL 4-CB-SHOPPING-CO/N</t>
  </si>
  <si>
    <t>PERFIL 4-CB-SHOPPING-RJ/ES</t>
  </si>
  <si>
    <t>PERFIL 5-CB-RUA-SPI</t>
  </si>
  <si>
    <t>PERFIL 5-CB-RUA-MG</t>
  </si>
  <si>
    <t>PERFIL 5-CB-RUA-SUL</t>
  </si>
  <si>
    <t>PERFIL 5-CB-RUA-GDE SP</t>
  </si>
  <si>
    <t>PERFIL 5-CB-RUA-NE</t>
  </si>
  <si>
    <t>PERFIL 5-CB-RUA-CO/N</t>
  </si>
  <si>
    <t>PERFIL 5-CB-RUA-RJ/ES</t>
  </si>
  <si>
    <t>PERFIL 5-CB-SHOPPING-SPI</t>
  </si>
  <si>
    <t>PERFIL 5-CB-SHOPPING-MG</t>
  </si>
  <si>
    <t>PERFIL 5-CB-SHOPPING-SUL</t>
  </si>
  <si>
    <t>PERFIL 5-CB-SHOPPING-GDE SP</t>
  </si>
  <si>
    <t>PERFIL 5-CB-SHOPPING-NE</t>
  </si>
  <si>
    <t>PERFIL 5-CB-SHOPPING-CO/N</t>
  </si>
  <si>
    <t>PERFIL 5-CB-SHOPPING-RJ/ES</t>
  </si>
  <si>
    <t>PERFIL 1-PF-RUA-SPI</t>
  </si>
  <si>
    <t>PERFIL 1-PF-RUA-MG</t>
  </si>
  <si>
    <t>PERFIL 1-PF-RUA-SUL</t>
  </si>
  <si>
    <t>PERFIL 1-PF-RUA-GDE SP</t>
  </si>
  <si>
    <t>PERFIL 1-PF-RUA-NE</t>
  </si>
  <si>
    <t>PERFIL 1-PF-RUA-CO/N</t>
  </si>
  <si>
    <t>PERFIL 1-PF-RUA-RJ/ES</t>
  </si>
  <si>
    <t>PERFIL 1-PF-SHOPPING-SPI</t>
  </si>
  <si>
    <t>PERFIL 1-PF-SHOPPING-MG</t>
  </si>
  <si>
    <t>PERFIL 1-PF-SHOPPING-SUL</t>
  </si>
  <si>
    <t>PERFIL 1-PF-SHOPPING-GDE SP</t>
  </si>
  <si>
    <t>PERFIL 1-PF-SHOPPING-NE</t>
  </si>
  <si>
    <t>PERFIL 1-PF-SHOPPING-CO/N</t>
  </si>
  <si>
    <t>PERFIL 1-PF-SHOPPING-RJ/ES</t>
  </si>
  <si>
    <t>PERFIL 1-PF-QUIOSQUE-GDE SP</t>
  </si>
  <si>
    <t>PERFIL 2-PF-RUA-SPI</t>
  </si>
  <si>
    <t>PERFIL 2-PF-RUA-MG</t>
  </si>
  <si>
    <t>PERFIL 2-PF-RUA-SUL</t>
  </si>
  <si>
    <t>PERFIL 2-PF-RUA-GDE SP</t>
  </si>
  <si>
    <t>PERFIL 2-PF-RUA-NE</t>
  </si>
  <si>
    <t>PERFIL 2-PF-RUA-CO/N</t>
  </si>
  <si>
    <t>PERFIL 2-PF-RUA-RJ/ES</t>
  </si>
  <si>
    <t>PERFIL 2-PF-SHOPPING-SPI</t>
  </si>
  <si>
    <t>PERFIL 2-PF-SHOPPING-MG</t>
  </si>
  <si>
    <t>PERFIL 2-PF-SHOPPING-SUL</t>
  </si>
  <si>
    <t>PERFIL 2-PF-SHOPPING-GDE SP</t>
  </si>
  <si>
    <t>PERFIL 2-PF-SHOPPING-NE</t>
  </si>
  <si>
    <t>PERFIL 2-PF-SHOPPING-CO/N</t>
  </si>
  <si>
    <t>PERFIL 2-PF-SHOPPING-RJ/ES</t>
  </si>
  <si>
    <t>PERFIL 2-PF-QUIOSQUE-GDE SP</t>
  </si>
  <si>
    <t>PERFIL 3-PF-RUA-SPI</t>
  </si>
  <si>
    <t>PERFIL 3-PF-RUA-MG</t>
  </si>
  <si>
    <t>PERFIL 3-PF-RUA-SUL</t>
  </si>
  <si>
    <t>PERFIL 3-PF-RUA-GDE SP</t>
  </si>
  <si>
    <t>PERFIL 3-PF-RUA-NE</t>
  </si>
  <si>
    <t>PERFIL 3-PF-RUA-CO/N</t>
  </si>
  <si>
    <t>PERFIL 3-PF-RUA-RJ/ES</t>
  </si>
  <si>
    <t>PERFIL 3-PF-SHOPPING-SPI</t>
  </si>
  <si>
    <t>PERFIL 3-PF-SHOPPING-MG</t>
  </si>
  <si>
    <t>PERFIL 3-PF-SHOPPING-SUL</t>
  </si>
  <si>
    <t>PERFIL 3-PF-SHOPPING-GDE SP</t>
  </si>
  <si>
    <t>PERFIL 3-PF-SHOPPING-NE</t>
  </si>
  <si>
    <t>PERFIL 3-PF-SHOPPING-CO/N</t>
  </si>
  <si>
    <t>PERFIL 3-PF-SHOPPING-RJ/ES</t>
  </si>
  <si>
    <t>PERFIL 3-PF-QUIOSQUE-GDE SP</t>
  </si>
  <si>
    <t>PERFIL 4-PF-RUA-SPI</t>
  </si>
  <si>
    <t>PERFIL 4-PF-RUA-MG</t>
  </si>
  <si>
    <t>PERFIL 4-PF-RUA-SUL</t>
  </si>
  <si>
    <t>PERFIL 4-PF-RUA-GDE SP</t>
  </si>
  <si>
    <t>PERFIL 4-PF-RUA-NE</t>
  </si>
  <si>
    <t>PERFIL 4-PF-RUA-CO/N</t>
  </si>
  <si>
    <t>PERFIL 4-PF-RUA-RJ/ES</t>
  </si>
  <si>
    <t>PERFIL 4-PF-SHOPPING-SPI</t>
  </si>
  <si>
    <t>PERFIL 4-PF-SHOPPING-MG</t>
  </si>
  <si>
    <t>PERFIL 4-PF-SHOPPING-SUL</t>
  </si>
  <si>
    <t>PERFIL 4-PF-SHOPPING-GDE SP</t>
  </si>
  <si>
    <t>PERFIL 4-PF-SHOPPING-NE</t>
  </si>
  <si>
    <t>PERFIL 4-PF-SHOPPING-CO/N</t>
  </si>
  <si>
    <t>PERFIL 4-PF-SHOPPING-RJ/ES</t>
  </si>
  <si>
    <t>PERFIL 5-PF-RUA-SPI</t>
  </si>
  <si>
    <t>PERFIL 5-PF-RUA-MG</t>
  </si>
  <si>
    <t>PERFIL 5-PF-RUA-SUL</t>
  </si>
  <si>
    <t>PERFIL 5-PF-RUA-GDE SP</t>
  </si>
  <si>
    <t>PERFIL 5-PF-RUA-NE</t>
  </si>
  <si>
    <t>PERFIL 5-PF-RUA-CO/N</t>
  </si>
  <si>
    <t>PERFIL 5-PF-RUA-RJ/ES</t>
  </si>
  <si>
    <t>PERFIL 5-PF-SHOPPING-SPI</t>
  </si>
  <si>
    <t>PERFIL 5-PF-SHOPPING-MG</t>
  </si>
  <si>
    <t>PERFIL 5-PF-SHOPPING-SUL</t>
  </si>
  <si>
    <t>PERFIL 5-PF-SHOPPING-GDE SP</t>
  </si>
  <si>
    <t>PERFIL 5-PF-SHOPPING-NE</t>
  </si>
  <si>
    <t>PERFIL 5-PF-SHOPPING-CO/N</t>
  </si>
  <si>
    <t>PERFIL 5-PF-SHOPPING-RJ/ES</t>
  </si>
  <si>
    <t>Alterou?</t>
  </si>
  <si>
    <t>SKU</t>
  </si>
  <si>
    <t>Descrição</t>
  </si>
  <si>
    <t>Fornecedor</t>
  </si>
  <si>
    <t>Situação</t>
  </si>
  <si>
    <t>Espécie</t>
  </si>
  <si>
    <t>Voltagem</t>
  </si>
  <si>
    <t>Check</t>
  </si>
  <si>
    <t>Obg</t>
  </si>
  <si>
    <t>Sug</t>
  </si>
  <si>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</si>
  <si>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</si>
  <si>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</si>
  <si>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</si>
  <si>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</si>
  <si>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</si>
  <si>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</si>
  <si>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</si>
  <si>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</si>
  <si>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</si>
  <si>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</si>
  <si>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</si>
  <si>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</si>
  <si>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</si>
  <si>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</si>
  <si>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</si>
  <si>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</si>
  <si>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</si>
  <si>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LOCAL_NOVO</t>
  </si>
  <si>
    <t>TAMANHO</t>
  </si>
  <si>
    <t>REGIÃO</t>
  </si>
  <si>
    <t>STATUS</t>
  </si>
  <si>
    <t>MARCA_MERCADORIA</t>
  </si>
  <si>
    <t>ESPECIE_MERCADORIA</t>
  </si>
  <si>
    <t>CONCATENADO</t>
  </si>
  <si>
    <t>CONCATENADO3</t>
  </si>
  <si>
    <t>CONCATENADO2</t>
  </si>
  <si>
    <t>Média de PRIORIDADE</t>
  </si>
  <si>
    <t>EMPRESA</t>
  </si>
  <si>
    <t>FILIAL</t>
  </si>
  <si>
    <t>TIPO PUBLICO</t>
  </si>
  <si>
    <t>SOLIC#VOLT DIF</t>
  </si>
  <si>
    <t>Contagem de FILIAL</t>
  </si>
  <si>
    <t>CLUSTERIZAÇÃO</t>
  </si>
  <si>
    <t>CODIGO</t>
  </si>
  <si>
    <t>Código do tamanho</t>
  </si>
  <si>
    <t>Descrição do Tamanho</t>
  </si>
  <si>
    <t>GC</t>
  </si>
  <si>
    <t>Perfil</t>
  </si>
  <si>
    <t>Bandeira</t>
  </si>
  <si>
    <t>Localização</t>
  </si>
  <si>
    <t>Tamanho</t>
  </si>
  <si>
    <t>Região</t>
  </si>
  <si>
    <t>FORMATO</t>
  </si>
  <si>
    <t>LOCAL/PERFIL/REGIÃO</t>
  </si>
  <si>
    <t>COMPACTA-PERFIL 4-SPI</t>
  </si>
  <si>
    <t>GC-PERFIL 4-CB-COMPACTA-P-SPI</t>
  </si>
  <si>
    <t>P</t>
  </si>
  <si>
    <t>GC-PERFIL 4-CB-COMPACTA-G-SPI</t>
  </si>
  <si>
    <t>G</t>
  </si>
  <si>
    <t>GC-PERFIL 4-CB-COMPACTA-GG-SPI</t>
  </si>
  <si>
    <t>GG</t>
  </si>
  <si>
    <t>GC-PERFIL 4-CB-COMPACTA-M-SPI</t>
  </si>
  <si>
    <t>M</t>
  </si>
  <si>
    <t>GC-PERFIL 4-CB-COMPACTA-PP-SPI</t>
  </si>
  <si>
    <t>PP</t>
  </si>
  <si>
    <t>RUA-PERFIL 1-SPI</t>
  </si>
  <si>
    <t>GC-PERFIL 1-CB-RUA-G-SPI</t>
  </si>
  <si>
    <t>CONVENCIONAL</t>
  </si>
  <si>
    <t>RUA-PERFIL 1-RJ/ES</t>
  </si>
  <si>
    <t>GC-PERFIL 1-CB-RUA-G-RJ/ES</t>
  </si>
  <si>
    <t>RUA-PERFIL 1-MG</t>
  </si>
  <si>
    <t>GC-PERFIL 1-CB-RUA-G-MG</t>
  </si>
  <si>
    <t>RUA-PERFIL 1-SUL</t>
  </si>
  <si>
    <t>GC-PERFIL 1-CB-RUA-G-SUL</t>
  </si>
  <si>
    <t>RUA-PERFIL 1-CO/N</t>
  </si>
  <si>
    <t>GC-PERFIL 1-CB-RUA-G-CO/N</t>
  </si>
  <si>
    <t>RUA-PERFIL 1-NE</t>
  </si>
  <si>
    <t>GC-PERFIL 1-CB-RUA-G-NE</t>
  </si>
  <si>
    <t>SHOPPING-PERFIL 1-SPI</t>
  </si>
  <si>
    <t>GC-PERFIL 1-CB-SHOPPING-G-SPI</t>
  </si>
  <si>
    <t>SHOPPING-PERFIL 1-RJ/ES</t>
  </si>
  <si>
    <t>GC-PERFIL 1-CB-SHOPPING-G-RJ/ES</t>
  </si>
  <si>
    <t>SHOPPING-PERFIL 1-MG</t>
  </si>
  <si>
    <t>GC-PERFIL 1-CB-SHOPPING-G-MG</t>
  </si>
  <si>
    <t>SHOPPING-PERFIL 1-SUL</t>
  </si>
  <si>
    <t>GC-PERFIL 1-CB-SHOPPING-G-SUL</t>
  </si>
  <si>
    <t>SHOPPING-PERFIL 1-CO/N</t>
  </si>
  <si>
    <t>GC-PERFIL 1-CB-SHOPPING-G-CO/N</t>
  </si>
  <si>
    <t>SHOPPING-PERFIL 1-NE</t>
  </si>
  <si>
    <t>GC-PERFIL 1-CB-SHOPPING-G-NE</t>
  </si>
  <si>
    <t>GC-PERFIL 1-PF-RUA-G-SPI</t>
  </si>
  <si>
    <t>GC-PERFIL 1-PF-RUA-G-RJ/ES</t>
  </si>
  <si>
    <t>GC-PERFIL 1-PF-RUA-G-MG</t>
  </si>
  <si>
    <t>GC-PERFIL 1-PF-RUA-G-SUL</t>
  </si>
  <si>
    <t>GC-PERFIL 1-PF-RUA-G-CO/N</t>
  </si>
  <si>
    <t>GC-PERFIL 1-PF-RUA-G-NE</t>
  </si>
  <si>
    <t>GC-PERFIL 1-PF-SHOPPING-G-SPI</t>
  </si>
  <si>
    <t>GC-PERFIL 1-PF-SHOPPING-G-RJ/ES</t>
  </si>
  <si>
    <t>GC-PERFIL 1-PF-SHOPPING-G-MG</t>
  </si>
  <si>
    <t>GC-PERFIL 1-PF-SHOPPING-G-SUL</t>
  </si>
  <si>
    <t>GC-PERFIL 1-PF-SHOPPING-G-CO/N</t>
  </si>
  <si>
    <t>GC-PERFIL 1-PF-SHOPPING-G-NE</t>
  </si>
  <si>
    <t>RUA-PERFIL 1-GDE SP</t>
  </si>
  <si>
    <t>GC-PERFIL 1-CB-RUA-G-GDE SP</t>
  </si>
  <si>
    <t>SHOPPING-PERFIL 1-GDE SP</t>
  </si>
  <si>
    <t>GC-PERFIL 1-CB-SHOPPING-G-GDE SP</t>
  </si>
  <si>
    <t>GC-PERFIL 1-PF-RUA-G-GDE SP</t>
  </si>
  <si>
    <t>GC-PERFIL 1-PF-SHOPPING-G-GDE SP</t>
  </si>
  <si>
    <t>GC-PERFIL 1-CB-RUA-GG-SPI</t>
  </si>
  <si>
    <t>GC-PERFIL 1-CB-RUA-GG-RJ/ES</t>
  </si>
  <si>
    <t>GC-PERFIL 1-CB-RUA-GG-MG</t>
  </si>
  <si>
    <t>GC-PERFIL 1-CB-RUA-GG-SUL</t>
  </si>
  <si>
    <t>GC-PERFIL 1-CB-RUA-GG-CO/N</t>
  </si>
  <si>
    <t>GC-PERFIL 1-CB-RUA-GG-NE</t>
  </si>
  <si>
    <t>GC-PERFIL 1-CB-SHOPPING-GG-SPI</t>
  </si>
  <si>
    <t>GC-PERFIL 1-CB-SHOPPING-GG-RJ/ES</t>
  </si>
  <si>
    <t>GC-PERFIL 1-CB-SHOPPING-GG-MG</t>
  </si>
  <si>
    <t>GC-PERFIL 1-CB-SHOPPING-GG-SUL</t>
  </si>
  <si>
    <t>GC-PERFIL 1-CB-SHOPPING-GG-CO/N</t>
  </si>
  <si>
    <t>GC-PERFIL 1-CB-SHOPPING-GG-NE</t>
  </si>
  <si>
    <t>GC-PERFIL 1-PF-RUA-GG-SPI</t>
  </si>
  <si>
    <t>GC-PERFIL 1-PF-RUA-GG-RJ/ES</t>
  </si>
  <si>
    <t>GC-PERFIL 1-PF-RUA-GG-MG</t>
  </si>
  <si>
    <t>GC-PERFIL 1-PF-RUA-GG-SUL</t>
  </si>
  <si>
    <t>GC-PERFIL 1-PF-RUA-GG-CO/N</t>
  </si>
  <si>
    <t>GC-PERFIL 1-PF-RUA-GG-NE</t>
  </si>
  <si>
    <t>GC-PERFIL 1-PF-SHOPPING-GG-SPI</t>
  </si>
  <si>
    <t>GC-PERFIL 1-PF-SHOPPING-GG-RJ/ES</t>
  </si>
  <si>
    <t>GC-PERFIL 1-PF-SHOPPING-GG-MG</t>
  </si>
  <si>
    <t>GC-PERFIL 1-PF-SHOPPING-GG-SUL</t>
  </si>
  <si>
    <t>GC-PERFIL 1-PF-SHOPPING-GG-CO/N</t>
  </si>
  <si>
    <t>GC-PERFIL 1-PF-SHOPPING-GG-NE</t>
  </si>
  <si>
    <t>GC-PERFIL 1-CB-RUA-GG-GDE SP</t>
  </si>
  <si>
    <t>GC-PERFIL 1-CB-SHOPPING-GG-GDE SP</t>
  </si>
  <si>
    <t>GC-PERFIL 1-PF-RUA-GG-GDE SP</t>
  </si>
  <si>
    <t>GC-PERFIL 1-PF-SHOPPING-GG-GDE SP</t>
  </si>
  <si>
    <t>GC-PERFIL 1-CB-RUA-M-SPI</t>
  </si>
  <si>
    <t>GC-PERFIL 1-CB-RUA-M-RJ/ES</t>
  </si>
  <si>
    <t>GC-PERFIL 1-CB-RUA-M-MG</t>
  </si>
  <si>
    <t>GC-PERFIL 1-CB-RUA-M-SUL</t>
  </si>
  <si>
    <t>GC-PERFIL 1-CB-RUA-M-CO/N</t>
  </si>
  <si>
    <t>GC-PERFIL 1-CB-RUA-M-NE</t>
  </si>
  <si>
    <t>GC-PERFIL 1-CB-SHOPPING-M-SPI</t>
  </si>
  <si>
    <t>GC-PERFIL 1-CB-SHOPPING-M-RJ/ES</t>
  </si>
  <si>
    <t>GC-PERFIL 1-CB-SHOPPING-M-MG</t>
  </si>
  <si>
    <t>GC-PERFIL 1-CB-SHOPPING-M-SUL</t>
  </si>
  <si>
    <t>GC-PERFIL 1-CB-SHOPPING-M-CO/N</t>
  </si>
  <si>
    <t>GC-PERFIL 1-CB-SHOPPING-M-NE</t>
  </si>
  <si>
    <t>GC-PERFIL 1-PF-RUA-M-SPI</t>
  </si>
  <si>
    <t>GC-PERFIL 1-PF-RUA-M-RJ/ES</t>
  </si>
  <si>
    <t>GC-PERFIL 1-PF-RUA-M-MG</t>
  </si>
  <si>
    <t>GC-PERFIL 1-PF-RUA-M-SUL</t>
  </si>
  <si>
    <t>GC-PERFIL 1-PF-RUA-M-CO/N</t>
  </si>
  <si>
    <t>GC-PERFIL 1-PF-RUA-M-NE</t>
  </si>
  <si>
    <t>GC-PERFIL 1-PF-SHOPPING-M-SPI</t>
  </si>
  <si>
    <t>GC-PERFIL 1-PF-SHOPPING-M-RJ/ES</t>
  </si>
  <si>
    <t>GC-PERFIL 1-PF-SHOPPING-M-MG</t>
  </si>
  <si>
    <t>GC-PERFIL 1-PF-SHOPPING-M-SUL</t>
  </si>
  <si>
    <t>GC-PERFIL 1-PF-SHOPPING-M-CO/N</t>
  </si>
  <si>
    <t>GC-PERFIL 1-PF-SHOPPING-M-NE</t>
  </si>
  <si>
    <t>GC-PERFIL 1-CB-RUA-M-GDE SP</t>
  </si>
  <si>
    <t>GC-PERFIL 1-CB-SHOPPING-M-GDE SP</t>
  </si>
  <si>
    <t>GC-PERFIL 1-PF-RUA-M-GDE SP</t>
  </si>
  <si>
    <t>GC-PERFIL 1-PF-SHOPPING-M-GDE SP</t>
  </si>
  <si>
    <t>GC-PERFIL 1-CB-RUA-P-SPI</t>
  </si>
  <si>
    <t>GC-PERFIL 1-CB-RUA-P-RJ/ES</t>
  </si>
  <si>
    <t>GC-PERFIL 1-CB-RUA-P-MG</t>
  </si>
  <si>
    <t>GC-PERFIL 1-CB-RUA-P-SUL</t>
  </si>
  <si>
    <t>GC-PERFIL 1-CB-RUA-P-CO/N</t>
  </si>
  <si>
    <t>GC-PERFIL 1-CB-RUA-P-NE</t>
  </si>
  <si>
    <t>GC-PERFIL 1-CB-SHOPPING-P-SPI</t>
  </si>
  <si>
    <t>GC-PERFIL 1-CB-SHOPPING-P-RJ/ES</t>
  </si>
  <si>
    <t>GC-PERFIL 1-CB-SHOPPING-P-MG</t>
  </si>
  <si>
    <t>GC-PERFIL 1-CB-SHOPPING-P-SUL</t>
  </si>
  <si>
    <t>GC-PERFIL 1-CB-SHOPPING-P-CO/N</t>
  </si>
  <si>
    <t>GC-PERFIL 1-CB-SHOPPING-P-NE</t>
  </si>
  <si>
    <t>GC-PERFIL 1-PF-RUA-P-SPI</t>
  </si>
  <si>
    <t>GC-PERFIL 1-PF-RUA-P-RJ/ES</t>
  </si>
  <si>
    <t>GC-PERFIL 1-PF-RUA-P-MG</t>
  </si>
  <si>
    <t>GC-PERFIL 1-PF-RUA-P-SUL</t>
  </si>
  <si>
    <t>GC-PERFIL 1-PF-RUA-P-CO/N</t>
  </si>
  <si>
    <t>GC-PERFIL 1-PF-RUA-P-NE</t>
  </si>
  <si>
    <t>GC-PERFIL 1-PF-SHOPPING-P-SPI</t>
  </si>
  <si>
    <t>GC-PERFIL 1-PF-SHOPPING-P-RJ/ES</t>
  </si>
  <si>
    <t>GC-PERFIL 1-PF-SHOPPING-P-MG</t>
  </si>
  <si>
    <t>GC-PERFIL 1-PF-SHOPPING-P-SUL</t>
  </si>
  <si>
    <t>GC-PERFIL 1-PF-SHOPPING-P-CO/N</t>
  </si>
  <si>
    <t>GC-PERFIL 1-PF-SHOPPING-P-NE</t>
  </si>
  <si>
    <t>GC-PERFIL 1-CB-RUA-P-GDE SP</t>
  </si>
  <si>
    <t>GC-PERFIL 1-CB-SHOPPING-P-GDE SP</t>
  </si>
  <si>
    <t>GC-PERFIL 1-PF-RUA-P-GDE SP</t>
  </si>
  <si>
    <t>GC-PERFIL 1-PF-SHOPPING-P-GDE SP</t>
  </si>
  <si>
    <t>GC-PERFIL 1-CB-RUA-PP-SPI</t>
  </si>
  <si>
    <t>GC-PERFIL 1-CB-RUA-PP-RJ/ES</t>
  </si>
  <si>
    <t>GC-PERFIL 1-CB-RUA-PP-MG</t>
  </si>
  <si>
    <t>GC-PERFIL 1-CB-RUA-PP-SUL</t>
  </si>
  <si>
    <t>GC-PERFIL 1-CB-RUA-PP-CO/N</t>
  </si>
  <si>
    <t>GC-PERFIL 1-CB-RUA-PP-NE</t>
  </si>
  <si>
    <t>GC-PERFIL 1-CB-SHOPPING-PP-SPI</t>
  </si>
  <si>
    <t>GC-PERFIL 1-CB-SHOPPING-PP-RJ/ES</t>
  </si>
  <si>
    <t>GC-PERFIL 1-CB-SHOPPING-PP-MG</t>
  </si>
  <si>
    <t>GC-PERFIL 1-CB-SHOPPING-PP-SUL</t>
  </si>
  <si>
    <t>GC-PERFIL 1-CB-SHOPPING-PP-CO/N</t>
  </si>
  <si>
    <t>GC-PERFIL 1-CB-SHOPPING-PP-NE</t>
  </si>
  <si>
    <t>GC-PERFIL 1-PF-RUA-PP-SPI</t>
  </si>
  <si>
    <t>GC-PERFIL 1-PF-RUA-PP-RJ/ES</t>
  </si>
  <si>
    <t>GC-PERFIL 1-PF-RUA-PP-MG</t>
  </si>
  <si>
    <t>GC-PERFIL 1-PF-RUA-PP-SUL</t>
  </si>
  <si>
    <t>GC-PERFIL 1-PF-RUA-PP-CO/N</t>
  </si>
  <si>
    <t>GC-PERFIL 1-PF-RUA-PP-NE</t>
  </si>
  <si>
    <t>GC-PERFIL 1-PF-SHOPPING-PP-SPI</t>
  </si>
  <si>
    <t>GC-PERFIL 1-PF-SHOPPING-PP-RJ/ES</t>
  </si>
  <si>
    <t>GC-PERFIL 1-PF-SHOPPING-PP-MG</t>
  </si>
  <si>
    <t>GC-PERFIL 1-PF-SHOPPING-PP-SUL</t>
  </si>
  <si>
    <t>GC-PERFIL 1-PF-SHOPPING-PP-CO/N</t>
  </si>
  <si>
    <t>GC-PERFIL 1-PF-SHOPPING-PP-NE</t>
  </si>
  <si>
    <t>GC-PERFIL 1-CB-RUA-PP-GDE SP</t>
  </si>
  <si>
    <t>GC-PERFIL 1-CB-SHOPPING-PP-GDE SP</t>
  </si>
  <si>
    <t>GC-PERFIL 1-PF-RUA-PP-GDE SP</t>
  </si>
  <si>
    <t>GC-PERFIL 1-PF-SHOPPING-PP-GDE SP</t>
  </si>
  <si>
    <t>RUA-PERFIL 2-GDE SP</t>
  </si>
  <si>
    <t>GC-PERFIL 2-CB-RUA-G-GDE SP</t>
  </si>
  <si>
    <t>RUA-PERFIL 2-SPI</t>
  </si>
  <si>
    <t>GC-PERFIL 2-CB-RUA-G-SPI</t>
  </si>
  <si>
    <t>RUA-PERFIL 2-RJ/ES</t>
  </si>
  <si>
    <t>GC-PERFIL 2-CB-RUA-G-RJ/ES</t>
  </si>
  <si>
    <t>RUA-PERFIL 2-MG</t>
  </si>
  <si>
    <t>GC-PERFIL 2-CB-RUA-G-MG</t>
  </si>
  <si>
    <t>RUA-PERFIL 2-SUL</t>
  </si>
  <si>
    <t>GC-PERFIL 2-CB-RUA-G-SUL</t>
  </si>
  <si>
    <t>RUA-PERFIL 2-CO/N</t>
  </si>
  <si>
    <t>GC-PERFIL 2-CB-RUA-G-CO/N</t>
  </si>
  <si>
    <t>RUA-PERFIL 2-NE</t>
  </si>
  <si>
    <t>GC-PERFIL 2-CB-RUA-G-NE</t>
  </si>
  <si>
    <t>SHOPPING-PERFIL 2-GDE SP</t>
  </si>
  <si>
    <t>GC-PERFIL 2-CB-SHOPPING-G-GDE SP</t>
  </si>
  <si>
    <t>SHOPPING-PERFIL 2-SPI</t>
  </si>
  <si>
    <t>GC-PERFIL 2-CB-SHOPPING-G-SPI</t>
  </si>
  <si>
    <t>SHOPPING-PERFIL 2-RJ/ES</t>
  </si>
  <si>
    <t>GC-PERFIL 2-CB-SHOPPING-G-RJ/ES</t>
  </si>
  <si>
    <t>SHOPPING-PERFIL 2-MG</t>
  </si>
  <si>
    <t>GC-PERFIL 2-CB-SHOPPING-G-MG</t>
  </si>
  <si>
    <t>SHOPPING-PERFIL 2-SUL</t>
  </si>
  <si>
    <t>GC-PERFIL 2-CB-SHOPPING-G-SUL</t>
  </si>
  <si>
    <t>SHOPPING-PERFIL 2-CO/N</t>
  </si>
  <si>
    <t>GC-PERFIL 2-CB-SHOPPING-G-CO/N</t>
  </si>
  <si>
    <t>SHOPPING-PERFIL 2-NE</t>
  </si>
  <si>
    <t>GC-PERFIL 2-CB-SHOPPING-G-NE</t>
  </si>
  <si>
    <t>GC-PERFIL 2-PF-RUA-G-GDE SP</t>
  </si>
  <si>
    <t>GC-PERFIL 2-PF-RUA-G-SPI</t>
  </si>
  <si>
    <t>GC-PERFIL 2-PF-RUA-G-RJ/ES</t>
  </si>
  <si>
    <t>GC-PERFIL 2-PF-RUA-G-MG</t>
  </si>
  <si>
    <t>GC-PERFIL 2-PF-RUA-G-SUL</t>
  </si>
  <si>
    <t>GC-PERFIL 2-PF-RUA-G-CO/N</t>
  </si>
  <si>
    <t>GC-PERFIL 2-PF-RUA-G-NE</t>
  </si>
  <si>
    <t>GC-PERFIL 2-PF-SHOPPING-G-GDE SP</t>
  </si>
  <si>
    <t>GC-PERFIL 2-PF-SHOPPING-G-SPI</t>
  </si>
  <si>
    <t>GC-PERFIL 2-PF-SHOPPING-G-RJ/ES</t>
  </si>
  <si>
    <t>GC-PERFIL 2-PF-SHOPPING-G-MG</t>
  </si>
  <si>
    <t>GC-PERFIL 2-PF-SHOPPING-G-SUL</t>
  </si>
  <si>
    <t>GC-PERFIL 2-PF-SHOPPING-G-CO/N</t>
  </si>
  <si>
    <t>GC-PERFIL 2-PF-SHOPPING-G-NE</t>
  </si>
  <si>
    <t>GC-PERFIL 2-CB-RUA-GG-GDE SP</t>
  </si>
  <si>
    <t>GC-PERFIL 2-CB-RUA-GG-SPI</t>
  </si>
  <si>
    <t>GC-PERFIL 2-CB-RUA-GG-RJ/ES</t>
  </si>
  <si>
    <t>GC-PERFIL 2-CB-RUA-GG-MG</t>
  </si>
  <si>
    <t>GC-PERFIL 2-CB-RUA-GG-SUL</t>
  </si>
  <si>
    <t>GC-PERFIL 2-CB-RUA-GG-CO/N</t>
  </si>
  <si>
    <t>GC-PERFIL 2-CB-RUA-GG-NE</t>
  </si>
  <si>
    <t>GC-PERFIL 2-CB-SHOPPING-GG-GDE SP</t>
  </si>
  <si>
    <t>GC-PERFIL 2-CB-SHOPPING-GG-SPI</t>
  </si>
  <si>
    <t>GC-PERFIL 2-CB-SHOPPING-GG-RJ/ES</t>
  </si>
  <si>
    <t>GC-PERFIL 2-CB-SHOPPING-GG-MG</t>
  </si>
  <si>
    <t>GC-PERFIL 2-CB-SHOPPING-GG-SUL</t>
  </si>
  <si>
    <t>GC-PERFIL 2-CB-SHOPPING-GG-CO/N</t>
  </si>
  <si>
    <t>GC-PERFIL 2-CB-SHOPPING-GG-NE</t>
  </si>
  <si>
    <t>GC-PERFIL 2-PF-RUA-GG-GDE SP</t>
  </si>
  <si>
    <t>GC-PERFIL 2-PF-RUA-GG-SPI</t>
  </si>
  <si>
    <t>GC-PERFIL 2-PF-RUA-GG-RJ/ES</t>
  </si>
  <si>
    <t>GC-PERFIL 2-PF-RUA-GG-MG</t>
  </si>
  <si>
    <t>GC-PERFIL 2-PF-RUA-GG-SUL</t>
  </si>
  <si>
    <t>GC-PERFIL 2-PF-RUA-GG-CO/N</t>
  </si>
  <si>
    <t>GC-PERFIL 2-PF-RUA-GG-NE</t>
  </si>
  <si>
    <t>GC-PERFIL 2-PF-SHOPPING-GG-GDE SP</t>
  </si>
  <si>
    <t>GC-PERFIL 2-PF-SHOPPING-GG-SPI</t>
  </si>
  <si>
    <t>GC-PERFIL 2-PF-SHOPPING-GG-RJ/ES</t>
  </si>
  <si>
    <t>GC-PERFIL 2-PF-SHOPPING-GG-MG</t>
  </si>
  <si>
    <t>GC-PERFIL 2-PF-SHOPPING-GG-SUL</t>
  </si>
  <si>
    <t>GC-PERFIL 2-PF-SHOPPING-GG-CO/N</t>
  </si>
  <si>
    <t>GC-PERFIL 2-PF-SHOPPING-GG-NE</t>
  </si>
  <si>
    <t>GC-PERFIL 2-CB-RUA-M-GDE SP</t>
  </si>
  <si>
    <t>GC-PERFIL 2-CB-RUA-M-SPI</t>
  </si>
  <si>
    <t>GC-PERFIL 2-CB-RUA-M-RJ/ES</t>
  </si>
  <si>
    <t>GC-PERFIL 2-CB-RUA-M-MG</t>
  </si>
  <si>
    <t>GC-PERFIL 2-CB-RUA-M-SUL</t>
  </si>
  <si>
    <t>GC-PERFIL 2-CB-RUA-M-CO/N</t>
  </si>
  <si>
    <t>GC-PERFIL 2-CB-RUA-M-NE</t>
  </si>
  <si>
    <t>GC-PERFIL 2-CB-SHOPPING-M-GDE SP</t>
  </si>
  <si>
    <t>GC-PERFIL 2-CB-SHOPPING-M-SPI</t>
  </si>
  <si>
    <t>GC-PERFIL 2-CB-SHOPPING-M-RJ/ES</t>
  </si>
  <si>
    <t>GC-PERFIL 2-CB-SHOPPING-M-MG</t>
  </si>
  <si>
    <t>GC-PERFIL 2-CB-SHOPPING-M-SUL</t>
  </si>
  <si>
    <t>GC-PERFIL 2-CB-SHOPPING-M-CO/N</t>
  </si>
  <si>
    <t>GC-PERFIL 2-CB-SHOPPING-M-NE</t>
  </si>
  <si>
    <t>GC-PERFIL 2-PF-RUA-M-GDE SP</t>
  </si>
  <si>
    <t>GC-PERFIL 2-PF-RUA-M-SPI</t>
  </si>
  <si>
    <t>GC-PERFIL 2-PF-RUA-M-RJ/ES</t>
  </si>
  <si>
    <t>GC-PERFIL 2-PF-RUA-M-MG</t>
  </si>
  <si>
    <t>GC-PERFIL 2-PF-RUA-M-SUL</t>
  </si>
  <si>
    <t>GC-PERFIL 2-PF-RUA-M-CO/N</t>
  </si>
  <si>
    <t>GC-PERFIL 2-PF-RUA-M-NE</t>
  </si>
  <si>
    <t>GC-PERFIL 2-PF-SHOPPING-M-GDE SP</t>
  </si>
  <si>
    <t>GC-PERFIL 2-PF-SHOPPING-M-SPI</t>
  </si>
  <si>
    <t>GC-PERFIL 2-PF-SHOPPING-M-RJ/ES</t>
  </si>
  <si>
    <t>GC-PERFIL 2-PF-SHOPPING-M-MG</t>
  </si>
  <si>
    <t>GC-PERFIL 2-PF-SHOPPING-M-SUL</t>
  </si>
  <si>
    <t>GC-PERFIL 2-PF-SHOPPING-M-CO/N</t>
  </si>
  <si>
    <t>GC-PERFIL 2-PF-SHOPPING-M-NE</t>
  </si>
  <si>
    <t>GC-PERFIL 2-CB-RUA-P-GDE SP</t>
  </si>
  <si>
    <t>GC-PERFIL 2-CB-RUA-P-SPI</t>
  </si>
  <si>
    <t>GC-PERFIL 2-CB-RUA-P-RJ/ES</t>
  </si>
  <si>
    <t>GC-PERFIL 2-CB-RUA-P-MG</t>
  </si>
  <si>
    <t>GC-PERFIL 2-CB-RUA-P-SUL</t>
  </si>
  <si>
    <t>GC-PERFIL 2-CB-RUA-P-CO/N</t>
  </si>
  <si>
    <t>GC-PERFIL 2-CB-RUA-P-NE</t>
  </si>
  <si>
    <t>GC-PERFIL 2-CB-SHOPPING-P-GDE SP</t>
  </si>
  <si>
    <t>GC-PERFIL 2-CB-SHOPPING-P-SPI</t>
  </si>
  <si>
    <t>GC-PERFIL 2-CB-SHOPPING-P-RJ/ES</t>
  </si>
  <si>
    <t>GC-PERFIL 2-CB-SHOPPING-P-MG</t>
  </si>
  <si>
    <t>GC-PERFIL 2-CB-SHOPPING-P-SUL</t>
  </si>
  <si>
    <t>GC-PERFIL 2-CB-SHOPPING-P-CO/N</t>
  </si>
  <si>
    <t>GC-PERFIL 2-CB-SHOPPING-P-NE</t>
  </si>
  <si>
    <t>GC-PERFIL 2-PF-RUA-P-GDE SP</t>
  </si>
  <si>
    <t>GC-PERFIL 2-PF-RUA-P-SPI</t>
  </si>
  <si>
    <t>GC-PERFIL 2-PF-RUA-P-RJ/ES</t>
  </si>
  <si>
    <t>GC-PERFIL 2-PF-RUA-P-MG</t>
  </si>
  <si>
    <t>GC-PERFIL 2-PF-RUA-P-SUL</t>
  </si>
  <si>
    <t>GC-PERFIL 2-PF-RUA-P-CO/N</t>
  </si>
  <si>
    <t>GC-PERFIL 2-PF-RUA-P-NE</t>
  </si>
  <si>
    <t>GC-PERFIL 2-PF-SHOPPING-P-GDE SP</t>
  </si>
  <si>
    <t>GC-PERFIL 2-PF-SHOPPING-P-SPI</t>
  </si>
  <si>
    <t>GC-PERFIL 2-PF-SHOPPING-P-RJ/ES</t>
  </si>
  <si>
    <t>GC-PERFIL 2-PF-SHOPPING-P-MG</t>
  </si>
  <si>
    <t>GC-PERFIL 2-PF-SHOPPING-P-SUL</t>
  </si>
  <si>
    <t>GC-PERFIL 2-PF-SHOPPING-P-CO/N</t>
  </si>
  <si>
    <t>GC-PERFIL 2-PF-SHOPPING-P-NE</t>
  </si>
  <si>
    <t>GC-PERFIL 2-CB-RUA-PP-GDE SP</t>
  </si>
  <si>
    <t>GC-PERFIL 2-CB-RUA-PP-SPI</t>
  </si>
  <si>
    <t>GC-PERFIL 2-CB-RUA-PP-RJ/ES</t>
  </si>
  <si>
    <t>GC-PERFIL 2-CB-RUA-PP-MG</t>
  </si>
  <si>
    <t>GC-PERFIL 2-CB-RUA-PP-SUL</t>
  </si>
  <si>
    <t>GC-PERFIL 2-CB-RUA-PP-CO/N</t>
  </si>
  <si>
    <t>GC-PERFIL 2-CB-RUA-PP-NE</t>
  </si>
  <si>
    <t>GC-PERFIL 2-CB-SHOPPING-PP-GDE SP</t>
  </si>
  <si>
    <t>GC-PERFIL 2-CB-SHOPPING-PP-SPI</t>
  </si>
  <si>
    <t>GC-PERFIL 2-CB-SHOPPING-PP-RJ/ES</t>
  </si>
  <si>
    <t>GC-PERFIL 2-CB-SHOPPING-PP-MG</t>
  </si>
  <si>
    <t>GC-PERFIL 2-CB-SHOPPING-PP-SUL</t>
  </si>
  <si>
    <t>GC-PERFIL 2-CB-SHOPPING-PP-CO/N</t>
  </si>
  <si>
    <t>GC-PERFIL 2-CB-SHOPPING-PP-NE</t>
  </si>
  <si>
    <t>GC-PERFIL 2-PF-RUA-PP-GDE SP</t>
  </si>
  <si>
    <t>GC-PERFIL 2-PF-RUA-PP-SPI</t>
  </si>
  <si>
    <t>GC-PERFIL 2-PF-RUA-PP-RJ/ES</t>
  </si>
  <si>
    <t>GC-PERFIL 2-PF-RUA-PP-MG</t>
  </si>
  <si>
    <t>GC-PERFIL 2-PF-RUA-PP-SUL</t>
  </si>
  <si>
    <t>GC-PERFIL 2-PF-RUA-PP-CO/N</t>
  </si>
  <si>
    <t>GC-PERFIL 2-PF-RUA-PP-NE</t>
  </si>
  <si>
    <t>GC-PERFIL 2-PF-SHOPPING-PP-GDE SP</t>
  </si>
  <si>
    <t>GC-PERFIL 2-PF-SHOPPING-PP-SPI</t>
  </si>
  <si>
    <t>GC-PERFIL 2-PF-SHOPPING-PP-RJ/ES</t>
  </si>
  <si>
    <t>GC-PERFIL 2-PF-SHOPPING-PP-MG</t>
  </si>
  <si>
    <t>GC-PERFIL 2-PF-SHOPPING-PP-SUL</t>
  </si>
  <si>
    <t>GC-PERFIL 2-PF-SHOPPING-PP-CO/N</t>
  </si>
  <si>
    <t>GC-PERFIL 2-PF-SHOPPING-PP-NE</t>
  </si>
  <si>
    <t>RUA-PERFIL 3-GDE SP</t>
  </si>
  <si>
    <t>GC-PERFIL 3-CB-RUA-G-GDE SP</t>
  </si>
  <si>
    <t>RUA-PERFIL 3-SPI</t>
  </si>
  <si>
    <t>GC-PERFIL 3-CB-RUA-G-SPI</t>
  </si>
  <si>
    <t>RUA-PERFIL 3-RJ/ES</t>
  </si>
  <si>
    <t>GC-PERFIL 3-CB-RUA-G-RJ/ES</t>
  </si>
  <si>
    <t>RUA-PERFIL 3-MG</t>
  </si>
  <si>
    <t>GC-PERFIL 3-CB-RUA-G-MG</t>
  </si>
  <si>
    <t>RUA-PERFIL 3-SUL</t>
  </si>
  <si>
    <t>GC-PERFIL 3-CB-RUA-G-SUL</t>
  </si>
  <si>
    <t>RUA-PERFIL 3-CO/N</t>
  </si>
  <si>
    <t>GC-PERFIL 3-CB-RUA-G-CO/N</t>
  </si>
  <si>
    <t>RUA-PERFIL 3-NE</t>
  </si>
  <si>
    <t>GC-PERFIL 3-CB-RUA-G-NE</t>
  </si>
  <si>
    <t>SHOPPING-PERFIL 3-GDE SP</t>
  </si>
  <si>
    <t>GC-PERFIL 3-CB-SHOPPING-G-GDE SP</t>
  </si>
  <si>
    <t>SHOPPING-PERFIL 3-SPI</t>
  </si>
  <si>
    <t>GC-PERFIL 3-CB-SHOPPING-G-SPI</t>
  </si>
  <si>
    <t>SHOPPING-PERFIL 3-RJ/ES</t>
  </si>
  <si>
    <t>GC-PERFIL 3-CB-SHOPPING-G-RJ/ES</t>
  </si>
  <si>
    <t>SHOPPING-PERFIL 3-MG</t>
  </si>
  <si>
    <t>GC-PERFIL 3-CB-SHOPPING-G-MG</t>
  </si>
  <si>
    <t>SHOPPING-PERFIL 3-SUL</t>
  </si>
  <si>
    <t>GC-PERFIL 3-CB-SHOPPING-G-SUL</t>
  </si>
  <si>
    <t>SHOPPING-PERFIL 3-CO/N</t>
  </si>
  <si>
    <t>GC-PERFIL 3-CB-SHOPPING-G-CO/N</t>
  </si>
  <si>
    <t>SHOPPING-PERFIL 3-NE</t>
  </si>
  <si>
    <t>GC-PERFIL 3-CB-SHOPPING-G-NE</t>
  </si>
  <si>
    <t>GC-PERFIL 3-PF-RUA-G-GDE SP</t>
  </si>
  <si>
    <t>GC-PERFIL 3-PF-RUA-G-SPI</t>
  </si>
  <si>
    <t>GC-PERFIL 3-PF-RUA-G-RJ/ES</t>
  </si>
  <si>
    <t>GC-PERFIL 3-PF-RUA-G-MG</t>
  </si>
  <si>
    <t>GC-PERFIL 3-PF-RUA-G-SUL</t>
  </si>
  <si>
    <t>GC-PERFIL 3-PF-RUA-G-CO/N</t>
  </si>
  <si>
    <t>GC-PERFIL 3-PF-RUA-G-NE</t>
  </si>
  <si>
    <t>GC-PERFIL 3-PF-SHOPPING-G-GDE SP</t>
  </si>
  <si>
    <t>GC-PERFIL 3-PF-SHOPPING-G-SPI</t>
  </si>
  <si>
    <t>GC-PERFIL 3-PF-SHOPPING-G-RJ/ES</t>
  </si>
  <si>
    <t>GC-PERFIL 3-PF-SHOPPING-G-MG</t>
  </si>
  <si>
    <t>GC-PERFIL 3-PF-SHOPPING-G-SUL</t>
  </si>
  <si>
    <t>GC-PERFIL 3-PF-SHOPPING-G-CO/N</t>
  </si>
  <si>
    <t>GC-PERFIL 3-PF-SHOPPING-G-NE</t>
  </si>
  <si>
    <t>GC-PERFIL 3-CB-RUA-GG-GDE SP</t>
  </si>
  <si>
    <t>GC-PERFIL 3-CB-RUA-GG-SPI</t>
  </si>
  <si>
    <t>GC-PERFIL 3-CB-RUA-GG-RJ/ES</t>
  </si>
  <si>
    <t>GC-PERFIL 3-CB-RUA-GG-MG</t>
  </si>
  <si>
    <t>GC-PERFIL 3-CB-RUA-GG-SUL</t>
  </si>
  <si>
    <t>GC-PERFIL 3-CB-RUA-GG-CO/N</t>
  </si>
  <si>
    <t>GC-PERFIL 3-CB-RUA-GG-NE</t>
  </si>
  <si>
    <t>GC-PERFIL 3-CB-SHOPPING-GG-GDE SP</t>
  </si>
  <si>
    <t>GC-PERFIL 3-CB-SHOPPING-GG-SPI</t>
  </si>
  <si>
    <t>GC-PERFIL 3-CB-SHOPPING-GG-RJ/ES</t>
  </si>
  <si>
    <t>GC-PERFIL 3-CB-SHOPPING-GG-MG</t>
  </si>
  <si>
    <t>GC-PERFIL 3-CB-SHOPPING-GG-SUL</t>
  </si>
  <si>
    <t>GC-PERFIL 3-CB-SHOPPING-GG-CO/N</t>
  </si>
  <si>
    <t>GC-PERFIL 3-CB-SHOPPING-GG-NE</t>
  </si>
  <si>
    <t>GC-PERFIL 3-PF-RUA-GG-GDE SP</t>
  </si>
  <si>
    <t>GC-PERFIL 3-PF-RUA-GG-SPI</t>
  </si>
  <si>
    <t>GC-PERFIL 3-PF-RUA-GG-RJ/ES</t>
  </si>
  <si>
    <t>GC-PERFIL 3-PF-RUA-GG-MG</t>
  </si>
  <si>
    <t>GC-PERFIL 3-PF-RUA-GG-SUL</t>
  </si>
  <si>
    <t>GC-PERFIL 3-PF-RUA-GG-CO/N</t>
  </si>
  <si>
    <t>GC-PERFIL 3-PF-RUA-GG-NE</t>
  </si>
  <si>
    <t>GC-PERFIL 3-PF-SHOPPING-GG-GDE SP</t>
  </si>
  <si>
    <t>GC-PERFIL 3-PF-SHOPPING-GG-SPI</t>
  </si>
  <si>
    <t>GC-PERFIL 3-PF-SHOPPING-GG-RJ/ES</t>
  </si>
  <si>
    <t>GC-PERFIL 3-PF-SHOPPING-GG-MG</t>
  </si>
  <si>
    <t>GC-PERFIL 3-PF-SHOPPING-GG-SUL</t>
  </si>
  <si>
    <t>GC-PERFIL 3-PF-SHOPPING-GG-CO/N</t>
  </si>
  <si>
    <t>GC-PERFIL 3-PF-SHOPPING-GG-NE</t>
  </si>
  <si>
    <t>GC-PERFIL 3-CB-RUA-M-GDE SP</t>
  </si>
  <si>
    <t>GC-PERFIL 3-CB-RUA-M-SPI</t>
  </si>
  <si>
    <t>GC-PERFIL 3-CB-RUA-M-RJ/ES</t>
  </si>
  <si>
    <t>GC-PERFIL 3-CB-RUA-M-MG</t>
  </si>
  <si>
    <t>GC-PERFIL 3-CB-RUA-M-SUL</t>
  </si>
  <si>
    <t>GC-PERFIL 3-CB-RUA-M-CO/N</t>
  </si>
  <si>
    <t>GC-PERFIL 3-CB-RUA-M-NE</t>
  </si>
  <si>
    <t>GC-PERFIL 3-CB-SHOPPING-M-GDE SP</t>
  </si>
  <si>
    <t>GC-PERFIL 3-CB-SHOPPING-M-SPI</t>
  </si>
  <si>
    <t>GC-PERFIL 3-CB-SHOPPING-M-RJ/ES</t>
  </si>
  <si>
    <t>GC-PERFIL 3-CB-SHOPPING-M-MG</t>
  </si>
  <si>
    <t>GC-PERFIL 3-CB-SHOPPING-M-SUL</t>
  </si>
  <si>
    <t>GC-PERFIL 3-CB-SHOPPING-M-CO/N</t>
  </si>
  <si>
    <t>GC-PERFIL 3-CB-SHOPPING-M-NE</t>
  </si>
  <si>
    <t>GC-PERFIL 3-PF-RUA-M-GDE SP</t>
  </si>
  <si>
    <t>GC-PERFIL 3-PF-RUA-M-SPI</t>
  </si>
  <si>
    <t>GC-PERFIL 3-PF-RUA-M-RJ/ES</t>
  </si>
  <si>
    <t>GC-PERFIL 3-PF-RUA-M-MG</t>
  </si>
  <si>
    <t>GC-PERFIL 3-PF-RUA-M-SUL</t>
  </si>
  <si>
    <t>GC-PERFIL 3-PF-RUA-M-CO/N</t>
  </si>
  <si>
    <t>GC-PERFIL 3-PF-RUA-M-NE</t>
  </si>
  <si>
    <t>GC-PERFIL 3-PF-SHOPPING-M-GDE SP</t>
  </si>
  <si>
    <t>GC-PERFIL 3-PF-SHOPPING-M-SPI</t>
  </si>
  <si>
    <t>GC-PERFIL 3-PF-SHOPPING-M-RJ/ES</t>
  </si>
  <si>
    <t>GC-PERFIL 3-PF-SHOPPING-M-MG</t>
  </si>
  <si>
    <t>GC-PERFIL 3-PF-SHOPPING-M-SUL</t>
  </si>
  <si>
    <t>GC-PERFIL 3-PF-SHOPPING-M-CO/N</t>
  </si>
  <si>
    <t>GC-PERFIL 3-PF-SHOPPING-M-NE</t>
  </si>
  <si>
    <t>GC-PERFIL 3-CB-RUA-P-GDE SP</t>
  </si>
  <si>
    <t>GC-PERFIL 3-CB-RUA-P-SPI</t>
  </si>
  <si>
    <t>GC-PERFIL 3-CB-RUA-P-RJ/ES</t>
  </si>
  <si>
    <t>GC-PERFIL 3-CB-RUA-P-MG</t>
  </si>
  <si>
    <t>GC-PERFIL 3-CB-RUA-P-SUL</t>
  </si>
  <si>
    <t>GC-PERFIL 3-CB-RUA-P-CO/N</t>
  </si>
  <si>
    <t>GC-PERFIL 3-CB-RUA-P-NE</t>
  </si>
  <si>
    <t>GC-PERFIL 3-CB-SHOPPING-P-GDE SP</t>
  </si>
  <si>
    <t>GC-PERFIL 3-CB-SHOPPING-P-SPI</t>
  </si>
  <si>
    <t>GC-PERFIL 3-CB-SHOPPING-P-RJ/ES</t>
  </si>
  <si>
    <t>GC-PERFIL 3-CB-SHOPPING-P-MG</t>
  </si>
  <si>
    <t>GC-PERFIL 3-CB-SHOPPING-P-SUL</t>
  </si>
  <si>
    <t>GC-PERFIL 3-CB-SHOPPING-P-CO/N</t>
  </si>
  <si>
    <t>GC-PERFIL 3-CB-SHOPPING-P-NE</t>
  </si>
  <si>
    <t>GC-PERFIL 3-PF-RUA-P-GDE SP</t>
  </si>
  <si>
    <t>GC-PERFIL 3-PF-RUA-P-SPI</t>
  </si>
  <si>
    <t>GC-PERFIL 3-PF-RUA-P-RJ/ES</t>
  </si>
  <si>
    <t>GC-PERFIL 3-PF-RUA-P-MG</t>
  </si>
  <si>
    <t>GC-PERFIL 3-PF-RUA-P-SUL</t>
  </si>
  <si>
    <t>GC-PERFIL 3-PF-RUA-P-CO/N</t>
  </si>
  <si>
    <t>GC-PERFIL 3-PF-RUA-P-NE</t>
  </si>
  <si>
    <t>GC-PERFIL 3-PF-SHOPPING-P-GDE SP</t>
  </si>
  <si>
    <t>GC-PERFIL 3-PF-SHOPPING-P-SPI</t>
  </si>
  <si>
    <t>GC-PERFIL 3-PF-SHOPPING-P-RJ/ES</t>
  </si>
  <si>
    <t>GC-PERFIL 3-PF-SHOPPING-P-MG</t>
  </si>
  <si>
    <t>GC-PERFIL 3-PF-SHOPPING-P-SUL</t>
  </si>
  <si>
    <t>GC-PERFIL 3-PF-SHOPPING-P-CO/N</t>
  </si>
  <si>
    <t>GC-PERFIL 3-PF-SHOPPING-P-NE</t>
  </si>
  <si>
    <t>GC-PERFIL 3-CB-RUA-PP-GDE SP</t>
  </si>
  <si>
    <t>GC-PERFIL 3-CB-RUA-PP-SPI</t>
  </si>
  <si>
    <t>GC-PERFIL 3-CB-RUA-PP-RJ/ES</t>
  </si>
  <si>
    <t>GC-PERFIL 3-CB-RUA-PP-MG</t>
  </si>
  <si>
    <t>GC-PERFIL 3-CB-RUA-PP-SUL</t>
  </si>
  <si>
    <t>GC-PERFIL 3-CB-RUA-PP-CO/N</t>
  </si>
  <si>
    <t>GC-PERFIL 3-CB-RUA-PP-NE</t>
  </si>
  <si>
    <t>GC-PERFIL 3-CB-SHOPPING-PP-GDE SP</t>
  </si>
  <si>
    <t>GC-PERFIL 3-CB-SHOPPING-PP-SPI</t>
  </si>
  <si>
    <t>GC-PERFIL 3-CB-SHOPPING-PP-RJ/ES</t>
  </si>
  <si>
    <t>GC-PERFIL 3-CB-SHOPPING-PP-MG</t>
  </si>
  <si>
    <t>GC-PERFIL 3-CB-SHOPPING-PP-SUL</t>
  </si>
  <si>
    <t>GC-PERFIL 3-CB-SHOPPING-PP-CO/N</t>
  </si>
  <si>
    <t>GC-PERFIL 3-CB-SHOPPING-PP-NE</t>
  </si>
  <si>
    <t>GC-PERFIL 3-PF-RUA-PP-GDE SP</t>
  </si>
  <si>
    <t>GC-PERFIL 3-PF-RUA-PP-SPI</t>
  </si>
  <si>
    <t>GC-PERFIL 3-PF-RUA-PP-RJ/ES</t>
  </si>
  <si>
    <t>GC-PERFIL 3-PF-RUA-PP-MG</t>
  </si>
  <si>
    <t>GC-PERFIL 3-PF-RUA-PP-SUL</t>
  </si>
  <si>
    <t>GC-PERFIL 3-PF-RUA-PP-CO/N</t>
  </si>
  <si>
    <t>GC-PERFIL 3-PF-RUA-PP-NE</t>
  </si>
  <si>
    <t>GC-PERFIL 3-PF-SHOPPING-PP-GDE SP</t>
  </si>
  <si>
    <t>GC-PERFIL 3-PF-SHOPPING-PP-SPI</t>
  </si>
  <si>
    <t>GC-PERFIL 3-PF-SHOPPING-PP-RJ/ES</t>
  </si>
  <si>
    <t>GC-PERFIL 3-PF-SHOPPING-PP-MG</t>
  </si>
  <si>
    <t>GC-PERFIL 3-PF-SHOPPING-PP-SUL</t>
  </si>
  <si>
    <t>GC-PERFIL 3-PF-SHOPPING-PP-CO/N</t>
  </si>
  <si>
    <t>GC-PERFIL 3-PF-SHOPPING-PP-NE</t>
  </si>
  <si>
    <t>RUA-PERFIL 4-GDE SP</t>
  </si>
  <si>
    <t>GC-PERFIL 4-CB-RUA-G-GDE SP</t>
  </si>
  <si>
    <t>RUA-PERFIL 4-SPI</t>
  </si>
  <si>
    <t>GC-PERFIL 4-CB-RUA-G-SPI</t>
  </si>
  <si>
    <t>RUA-PERFIL 4-RJ/ES</t>
  </si>
  <si>
    <t>GC-PERFIL 4-CB-RUA-G-RJ/ES</t>
  </si>
  <si>
    <t>RUA-PERFIL 4-MG</t>
  </si>
  <si>
    <t>GC-PERFIL 4-CB-RUA-G-MG</t>
  </si>
  <si>
    <t>RUA-PERFIL 4-SUL</t>
  </si>
  <si>
    <t>GC-PERFIL 4-CB-RUA-G-SUL</t>
  </si>
  <si>
    <t>RUA-PERFIL 4-CO/N</t>
  </si>
  <si>
    <t>GC-PERFIL 4-CB-RUA-G-CO/N</t>
  </si>
  <si>
    <t>RUA-PERFIL 4-NE</t>
  </si>
  <si>
    <t>GC-PERFIL 4-CB-RUA-G-NE</t>
  </si>
  <si>
    <t>SHOPPING-PERFIL 4-GDE SP</t>
  </si>
  <si>
    <t>GC-PERFIL 4-CB-SHOPPING-G-GDE SP</t>
  </si>
  <si>
    <t>SHOPPING-PERFIL 4-SPI</t>
  </si>
  <si>
    <t>GC-PERFIL 4-CB-SHOPPING-G-SPI</t>
  </si>
  <si>
    <t>SHOPPING-PERFIL 4-RJ/ES</t>
  </si>
  <si>
    <t>GC-PERFIL 4-CB-SHOPPING-G-RJ/ES</t>
  </si>
  <si>
    <t>SHOPPING-PERFIL 4-MG</t>
  </si>
  <si>
    <t>GC-PERFIL 4-CB-SHOPPING-G-MG</t>
  </si>
  <si>
    <t>SHOPPING-PERFIL 4-SUL</t>
  </si>
  <si>
    <t>GC-PERFIL 4-CB-SHOPPING-G-SUL</t>
  </si>
  <si>
    <t>SHOPPING-PERFIL 4-CO/N</t>
  </si>
  <si>
    <t>GC-PERFIL 4-CB-SHOPPING-G-CO/N</t>
  </si>
  <si>
    <t>SHOPPING-PERFIL 4-NE</t>
  </si>
  <si>
    <t>GC-PERFIL 4-CB-SHOPPING-G-NE</t>
  </si>
  <si>
    <t>GC-PERFIL 4-PF-RUA-G-GDE SP</t>
  </si>
  <si>
    <t>GC-PERFIL 4-PF-RUA-G-SPI</t>
  </si>
  <si>
    <t>GC-PERFIL 4-PF-RUA-G-RJ/ES</t>
  </si>
  <si>
    <t>GC-PERFIL 4-PF-RUA-G-MG</t>
  </si>
  <si>
    <t>GC-PERFIL 4-PF-RUA-G-SUL</t>
  </si>
  <si>
    <t>GC-PERFIL 4-PF-RUA-G-CO/N</t>
  </si>
  <si>
    <t>GC-PERFIL 4-PF-RUA-G-NE</t>
  </si>
  <si>
    <t>GC-PERFIL 4-PF-SHOPPING-G-GDE SP</t>
  </si>
  <si>
    <t>GC-PERFIL 4-PF-SHOPPING-G-SPI</t>
  </si>
  <si>
    <t>GC-PERFIL 4-PF-SHOPPING-G-RJ/ES</t>
  </si>
  <si>
    <t>GC-PERFIL 4-PF-SHOPPING-G-MG</t>
  </si>
  <si>
    <t>GC-PERFIL 4-PF-SHOPPING-G-SUL</t>
  </si>
  <si>
    <t>GC-PERFIL 4-PF-SHOPPING-G-CO/N</t>
  </si>
  <si>
    <t>GC-PERFIL 4-PF-SHOPPING-G-NE</t>
  </si>
  <si>
    <t>GC-PERFIL 4-CB-RUA-GG-GDE SP</t>
  </si>
  <si>
    <t>GC-PERFIL 4-CB-RUA-GG-SPI</t>
  </si>
  <si>
    <t>GC-PERFIL 4-CB-RUA-GG-RJ/ES</t>
  </si>
  <si>
    <t>GC-PERFIL 4-CB-RUA-GG-MG</t>
  </si>
  <si>
    <t>GC-PERFIL 4-CB-RUA-GG-SUL</t>
  </si>
  <si>
    <t>GC-PERFIL 4-CB-RUA-GG-CO/N</t>
  </si>
  <si>
    <t>GC-PERFIL 4-CB-RUA-GG-NE</t>
  </si>
  <si>
    <t>GC-PERFIL 4-CB-SHOPPING-GG-GDE SP</t>
  </si>
  <si>
    <t>GC-PERFIL 4-CB-SHOPPING-GG-SPI</t>
  </si>
  <si>
    <t>GC-PERFIL 4-CB-SHOPPING-GG-RJ/ES</t>
  </si>
  <si>
    <t>GC-PERFIL 4-CB-SHOPPING-GG-MG</t>
  </si>
  <si>
    <t>GC-PERFIL 4-CB-SHOPPING-GG-SUL</t>
  </si>
  <si>
    <t>GC-PERFIL 4-CB-SHOPPING-GG-CO/N</t>
  </si>
  <si>
    <t>GC-PERFIL 4-CB-SHOPPING-GG-NE</t>
  </si>
  <si>
    <t>GC-PERFIL 4-PF-RUA-GG-GDE SP</t>
  </si>
  <si>
    <t>GC-PERFIL 4-PF-RUA-GG-SPI</t>
  </si>
  <si>
    <t>GC-PERFIL 4-PF-RUA-GG-RJ/ES</t>
  </si>
  <si>
    <t>GC-PERFIL 4-PF-RUA-GG-MG</t>
  </si>
  <si>
    <t>GC-PERFIL 4-PF-RUA-GG-SUL</t>
  </si>
  <si>
    <t>GC-PERFIL 4-PF-RUA-GG-CO/N</t>
  </si>
  <si>
    <t>GC-PERFIL 4-PF-RUA-GG-NE</t>
  </si>
  <si>
    <t>GC-PERFIL 4-PF-SHOPPING-GG-GDE SP</t>
  </si>
  <si>
    <t>GC-PERFIL 4-PF-SHOPPING-GG-SPI</t>
  </si>
  <si>
    <t>GC-PERFIL 4-PF-SHOPPING-GG-RJ/ES</t>
  </si>
  <si>
    <t>GC-PERFIL 4-PF-SHOPPING-GG-MG</t>
  </si>
  <si>
    <t>GC-PERFIL 4-PF-SHOPPING-GG-SUL</t>
  </si>
  <si>
    <t>GC-PERFIL 4-PF-SHOPPING-GG-CO/N</t>
  </si>
  <si>
    <t>GC-PERFIL 4-PF-SHOPPING-GG-NE</t>
  </si>
  <si>
    <t>GC-PERFIL 4-CB-RUA-M-GDE SP</t>
  </si>
  <si>
    <t>GC-PERFIL 4-CB-RUA-M-SPI</t>
  </si>
  <si>
    <t>GC-PERFIL 4-CB-RUA-M-RJ/ES</t>
  </si>
  <si>
    <t>GC-PERFIL 4-CB-RUA-M-MG</t>
  </si>
  <si>
    <t>GC-PERFIL 4-CB-RUA-M-SUL</t>
  </si>
  <si>
    <t>GC-PERFIL 4-CB-RUA-M-CO/N</t>
  </si>
  <si>
    <t>GC-PERFIL 4-CB-RUA-M-NE</t>
  </si>
  <si>
    <t>GC-PERFIL 4-CB-SHOPPING-M-GDE SP</t>
  </si>
  <si>
    <t>GC-PERFIL 4-CB-SHOPPING-M-SPI</t>
  </si>
  <si>
    <t>GC-PERFIL 4-CB-SHOPPING-M-RJ/ES</t>
  </si>
  <si>
    <t>GC-PERFIL 4-CB-SHOPPING-M-MG</t>
  </si>
  <si>
    <t>GC-PERFIL 4-CB-SHOPPING-M-SUL</t>
  </si>
  <si>
    <t>GC-PERFIL 4-CB-SHOPPING-M-CO/N</t>
  </si>
  <si>
    <t>GC-PERFIL 4-CB-SHOPPING-M-NE</t>
  </si>
  <si>
    <t>GC-PERFIL 4-PF-RUA-M-GDE SP</t>
  </si>
  <si>
    <t>GC-PERFIL 4-PF-RUA-M-SPI</t>
  </si>
  <si>
    <t>GC-PERFIL 4-PF-RUA-M-RJ/ES</t>
  </si>
  <si>
    <t>GC-PERFIL 4-PF-RUA-M-MG</t>
  </si>
  <si>
    <t>GC-PERFIL 4-PF-RUA-M-SUL</t>
  </si>
  <si>
    <t>GC-PERFIL 4-PF-RUA-M-CO/N</t>
  </si>
  <si>
    <t>GC-PERFIL 4-PF-RUA-M-NE</t>
  </si>
  <si>
    <t>GC-PERFIL 4-PF-SHOPPING-M-GDE SP</t>
  </si>
  <si>
    <t>GC-PERFIL 4-PF-SHOPPING-M-SPI</t>
  </si>
  <si>
    <t>GC-PERFIL 4-PF-SHOPPING-M-RJ/ES</t>
  </si>
  <si>
    <t>GC-PERFIL 4-PF-SHOPPING-M-MG</t>
  </si>
  <si>
    <t>GC-PERFIL 4-PF-SHOPPING-M-SUL</t>
  </si>
  <si>
    <t>GC-PERFIL 4-PF-SHOPPING-M-CO/N</t>
  </si>
  <si>
    <t>GC-PERFIL 4-PF-SHOPPING-M-NE</t>
  </si>
  <si>
    <t>GC-PERFIL 4-CB-RUA-P-GDE SP</t>
  </si>
  <si>
    <t>GC-PERFIL 4-CB-RUA-P-SPI</t>
  </si>
  <si>
    <t>GC-PERFIL 4-CB-RUA-P-RJ/ES</t>
  </si>
  <si>
    <t>GC-PERFIL 4-CB-RUA-P-MG</t>
  </si>
  <si>
    <t>GC-PERFIL 4-CB-RUA-P-SUL</t>
  </si>
  <si>
    <t>GC-PERFIL 4-CB-RUA-P-CO/N</t>
  </si>
  <si>
    <t>GC-PERFIL 4-CB-RUA-P-NE</t>
  </si>
  <si>
    <t>GC-PERFIL 4-CB-SHOPPING-P-GDE SP</t>
  </si>
  <si>
    <t>GC-PERFIL 4-CB-SHOPPING-P-SPI</t>
  </si>
  <si>
    <t>GC-PERFIL 4-CB-SHOPPING-P-RJ/ES</t>
  </si>
  <si>
    <t>GC-PERFIL 4-CB-SHOPPING-P-MG</t>
  </si>
  <si>
    <t>GC-PERFIL 4-CB-SHOPPING-P-SUL</t>
  </si>
  <si>
    <t>GC-PERFIL 4-CB-SHOPPING-P-CO/N</t>
  </si>
  <si>
    <t>GC-PERFIL 4-CB-SHOPPING-P-NE</t>
  </si>
  <si>
    <t>GC-PERFIL 4-PF-RUA-P-GDE SP</t>
  </si>
  <si>
    <t>GC-PERFIL 4-PF-RUA-P-SPI</t>
  </si>
  <si>
    <t>GC-PERFIL 4-PF-RUA-P-RJ/ES</t>
  </si>
  <si>
    <t>GC-PERFIL 4-PF-RUA-P-MG</t>
  </si>
  <si>
    <t>GC-PERFIL 4-PF-RUA-P-SUL</t>
  </si>
  <si>
    <t>GC-PERFIL 4-PF-RUA-P-CO/N</t>
  </si>
  <si>
    <t>GC-PERFIL 4-PF-RUA-P-NE</t>
  </si>
  <si>
    <t>GC-PERFIL 4-PF-SHOPPING-P-GDE SP</t>
  </si>
  <si>
    <t>GC-PERFIL 4-PF-SHOPPING-P-SPI</t>
  </si>
  <si>
    <t>GC-PERFIL 4-PF-SHOPPING-P-RJ/ES</t>
  </si>
  <si>
    <t>GC-PERFIL 4-PF-SHOPPING-P-MG</t>
  </si>
  <si>
    <t>GC-PERFIL 4-PF-SHOPPING-P-SUL</t>
  </si>
  <si>
    <t>GC-PERFIL 4-PF-SHOPPING-P-CO/N</t>
  </si>
  <si>
    <t>GC-PERFIL 4-PF-SHOPPING-P-NE</t>
  </si>
  <si>
    <t>GC-PERFIL 4-CB-RUA-PP-GDE SP</t>
  </si>
  <si>
    <t>GC-PERFIL 4-CB-RUA-PP-SPI</t>
  </si>
  <si>
    <t>GC-PERFIL 4-CB-RUA-PP-RJ/ES</t>
  </si>
  <si>
    <t>GC-PERFIL 4-CB-RUA-PP-MG</t>
  </si>
  <si>
    <t>GC-PERFIL 4-CB-RUA-PP-SUL</t>
  </si>
  <si>
    <t>GC-PERFIL 4-CB-RUA-PP-CO/N</t>
  </si>
  <si>
    <t>GC-PERFIL 4-CB-RUA-PP-NE</t>
  </si>
  <si>
    <t>GC-PERFIL 4-CB-SHOPPING-PP-GDE SP</t>
  </si>
  <si>
    <t>GC-PERFIL 4-CB-SHOPPING-PP-SPI</t>
  </si>
  <si>
    <t>GC-PERFIL 4-CB-SHOPPING-PP-RJ/ES</t>
  </si>
  <si>
    <t>GC-PERFIL 4-CB-SHOPPING-PP-MG</t>
  </si>
  <si>
    <t>GC-PERFIL 4-CB-SHOPPING-PP-SUL</t>
  </si>
  <si>
    <t>GC-PERFIL 4-CB-SHOPPING-PP-CO/N</t>
  </si>
  <si>
    <t>GC-PERFIL 4-CB-SHOPPING-PP-NE</t>
  </si>
  <si>
    <t>GC-PERFIL 4-PF-RUA-PP-GDE SP</t>
  </si>
  <si>
    <t>GC-PERFIL 4-PF-RUA-PP-SPI</t>
  </si>
  <si>
    <t>GC-PERFIL 4-PF-RUA-PP-RJ/ES</t>
  </si>
  <si>
    <t>GC-PERFIL 4-PF-RUA-PP-MG</t>
  </si>
  <si>
    <t>GC-PERFIL 4-PF-RUA-PP-SUL</t>
  </si>
  <si>
    <t>GC-PERFIL 4-PF-RUA-PP-CO/N</t>
  </si>
  <si>
    <t>GC-PERFIL 4-PF-RUA-PP-NE</t>
  </si>
  <si>
    <t>GC-PERFIL 4-PF-SHOPPING-PP-GDE SP</t>
  </si>
  <si>
    <t>GC-PERFIL 4-PF-SHOPPING-PP-SPI</t>
  </si>
  <si>
    <t>GC-PERFIL 4-PF-SHOPPING-PP-RJ/ES</t>
  </si>
  <si>
    <t>GC-PERFIL 4-PF-SHOPPING-PP-MG</t>
  </si>
  <si>
    <t>GC-PERFIL 4-PF-SHOPPING-PP-SUL</t>
  </si>
  <si>
    <t>GC-PERFIL 4-PF-SHOPPING-PP-CO/N</t>
  </si>
  <si>
    <t>GC-PERFIL 4-PF-SHOPPING-PP-NE</t>
  </si>
  <si>
    <t>RUA-PERFIL 5-GDE SP</t>
  </si>
  <si>
    <t>GC-PERFIL 5-CB-RUA-G-GDE SP</t>
  </si>
  <si>
    <t>RUA-PERFIL 5-SPI</t>
  </si>
  <si>
    <t>GC-PERFIL 5-CB-RUA-G-SPI</t>
  </si>
  <si>
    <t>RUA-PERFIL 5-RJ/ES</t>
  </si>
  <si>
    <t>GC-PERFIL 5-CB-RUA-G-RJ/ES</t>
  </si>
  <si>
    <t>RUA-PERFIL 5-MG</t>
  </si>
  <si>
    <t>GC-PERFIL 5-CB-RUA-G-MG</t>
  </si>
  <si>
    <t>RUA-PERFIL 5-SUL</t>
  </si>
  <si>
    <t>GC-PERFIL 5-CB-RUA-G-SUL</t>
  </si>
  <si>
    <t>RUA-PERFIL 5-CO/N</t>
  </si>
  <si>
    <t>GC-PERFIL 5-CB-RUA-G-CO/N</t>
  </si>
  <si>
    <t>RUA-PERFIL 5-NE</t>
  </si>
  <si>
    <t>GC-PERFIL 5-CB-RUA-G-NE</t>
  </si>
  <si>
    <t>SHOPPING-PERFIL 5-GDE SP</t>
  </si>
  <si>
    <t>GC-PERFIL 5-CB-SHOPPING-G-GDE SP</t>
  </si>
  <si>
    <t>SHOPPING-PERFIL 5-SPI</t>
  </si>
  <si>
    <t>GC-PERFIL 5-CB-SHOPPING-G-SPI</t>
  </si>
  <si>
    <t>SHOPPING-PERFIL 5-RJ/ES</t>
  </si>
  <si>
    <t>GC-PERFIL 5-CB-SHOPPING-G-RJ/ES</t>
  </si>
  <si>
    <t>SHOPPING-PERFIL 5-MG</t>
  </si>
  <si>
    <t>GC-PERFIL 5-CB-SHOPPING-G-MG</t>
  </si>
  <si>
    <t>SHOPPING-PERFIL 5-SUL</t>
  </si>
  <si>
    <t>GC-PERFIL 5-CB-SHOPPING-G-SUL</t>
  </si>
  <si>
    <t>SHOPPING-PERFIL 5-CO/N</t>
  </si>
  <si>
    <t>GC-PERFIL 5-CB-SHOPPING-G-CO/N</t>
  </si>
  <si>
    <t>SHOPPING-PERFIL 5-NE</t>
  </si>
  <si>
    <t>GC-PERFIL 5-CB-SHOPPING-G-NE</t>
  </si>
  <si>
    <t>GC-PERFIL 5-PF-RUA-G-GDE SP</t>
  </si>
  <si>
    <t>GC-PERFIL 5-PF-RUA-G-SPI</t>
  </si>
  <si>
    <t>GC-PERFIL 5-PF-RUA-G-RJ/ES</t>
  </si>
  <si>
    <t>GC-PERFIL 5-PF-RUA-G-MG</t>
  </si>
  <si>
    <t>GC-PERFIL 5-PF-RUA-G-SUL</t>
  </si>
  <si>
    <t>GC-PERFIL 5-PF-RUA-G-CO/N</t>
  </si>
  <si>
    <t>GC-PERFIL 5-PF-RUA-G-NE</t>
  </si>
  <si>
    <t>GC-PERFIL 5-PF-SHOPPING-G-GDE SP</t>
  </si>
  <si>
    <t>GC-PERFIL 5-PF-SHOPPING-G-SPI</t>
  </si>
  <si>
    <t>GC-PERFIL 5-PF-SHOPPING-G-RJ/ES</t>
  </si>
  <si>
    <t>GC-PERFIL 5-PF-SHOPPING-G-MG</t>
  </si>
  <si>
    <t>GC-PERFIL 5-PF-SHOPPING-G-SUL</t>
  </si>
  <si>
    <t>GC-PERFIL 5-PF-SHOPPING-G-CO/N</t>
  </si>
  <si>
    <t>GC-PERFIL 5-PF-SHOPPING-G-NE</t>
  </si>
  <si>
    <t>GC-PERFIL 5-CB-RUA-GG-GDE SP</t>
  </si>
  <si>
    <t>GC-PERFIL 5-CB-RUA-GG-SPI</t>
  </si>
  <si>
    <t>GC-PERFIL 5-CB-RUA-GG-RJ/ES</t>
  </si>
  <si>
    <t>GC-PERFIL 5-CB-RUA-GG-MG</t>
  </si>
  <si>
    <t>GC-PERFIL 5-CB-RUA-GG-SUL</t>
  </si>
  <si>
    <t>GC-PERFIL 5-CB-RUA-GG-CO/N</t>
  </si>
  <si>
    <t>GC-PERFIL 5-CB-RUA-GG-NE</t>
  </si>
  <si>
    <t>GC-PERFIL 5-CB-SHOPPING-GG-GDE SP</t>
  </si>
  <si>
    <t>GC-PERFIL 5-CB-SHOPPING-GG-SPI</t>
  </si>
  <si>
    <t>GC-PERFIL 5-CB-SHOPPING-GG-RJ/ES</t>
  </si>
  <si>
    <t>GC-PERFIL 5-CB-SHOPPING-GG-MG</t>
  </si>
  <si>
    <t>GC-PERFIL 5-CB-SHOPPING-GG-SUL</t>
  </si>
  <si>
    <t>GC-PERFIL 5-CB-SHOPPING-GG-CO/N</t>
  </si>
  <si>
    <t>GC-PERFIL 5-CB-SHOPPING-GG-NE</t>
  </si>
  <si>
    <t>GC-PERFIL 5-PF-RUA-GG-GDE SP</t>
  </si>
  <si>
    <t>GC-PERFIL 5-PF-RUA-GG-SPI</t>
  </si>
  <si>
    <t>GC-PERFIL 5-PF-RUA-GG-RJ/ES</t>
  </si>
  <si>
    <t>GC-PERFIL 5-PF-RUA-GG-MG</t>
  </si>
  <si>
    <t>GC-PERFIL 5-PF-RUA-GG-SUL</t>
  </si>
  <si>
    <t>GC-PERFIL 5-PF-RUA-GG-CO/N</t>
  </si>
  <si>
    <t>GC-PERFIL 5-PF-RUA-GG-NE</t>
  </si>
  <si>
    <t>GC-PERFIL 5-PF-SHOPPING-GG-GDE SP</t>
  </si>
  <si>
    <t>GC-PERFIL 5-PF-SHOPPING-GG-SPI</t>
  </si>
  <si>
    <t>GC-PERFIL 5-PF-SHOPPING-GG-RJ/ES</t>
  </si>
  <si>
    <t>GC-PERFIL 5-PF-SHOPPING-GG-MG</t>
  </si>
  <si>
    <t>GC-PERFIL 5-PF-SHOPPING-GG-SUL</t>
  </si>
  <si>
    <t>GC-PERFIL 5-PF-SHOPPING-GG-CO/N</t>
  </si>
  <si>
    <t>GC-PERFIL 5-PF-SHOPPING-GG-NE</t>
  </si>
  <si>
    <t>GC-PERFIL 5-CB-RUA-M-GDE SP</t>
  </si>
  <si>
    <t>GC-PERFIL 5-CB-RUA-M-SPI</t>
  </si>
  <si>
    <t>GC-PERFIL 5-CB-RUA-M-RJ/ES</t>
  </si>
  <si>
    <t>GC-PERFIL 5-CB-RUA-M-MG</t>
  </si>
  <si>
    <t>GC-PERFIL 5-CB-RUA-M-SUL</t>
  </si>
  <si>
    <t>GC-PERFIL 5-CB-RUA-M-CO/N</t>
  </si>
  <si>
    <t>GC-PERFIL 5-CB-RUA-M-NE</t>
  </si>
  <si>
    <t>GC-PERFIL 5-CB-SHOPPING-M-GDE SP</t>
  </si>
  <si>
    <t>GC-PERFIL 5-CB-SHOPPING-M-SPI</t>
  </si>
  <si>
    <t>GC-PERFIL 5-CB-SHOPPING-M-RJ/ES</t>
  </si>
  <si>
    <t>GC-PERFIL 5-CB-SHOPPING-M-MG</t>
  </si>
  <si>
    <t>GC-PERFIL 5-CB-SHOPPING-M-SUL</t>
  </si>
  <si>
    <t>GC-PERFIL 5-CB-SHOPPING-M-CO/N</t>
  </si>
  <si>
    <t>GC-PERFIL 5-CB-SHOPPING-M-NE</t>
  </si>
  <si>
    <t>GC-PERFIL 5-PF-RUA-M-GDE SP</t>
  </si>
  <si>
    <t>GC-PERFIL 5-PF-RUA-M-SPI</t>
  </si>
  <si>
    <t>GC-PERFIL 5-PF-RUA-M-RJ/ES</t>
  </si>
  <si>
    <t>GC-PERFIL 5-PF-RUA-M-MG</t>
  </si>
  <si>
    <t>GC-PERFIL 5-PF-RUA-M-SUL</t>
  </si>
  <si>
    <t>GC-PERFIL 5-PF-RUA-M-CO/N</t>
  </si>
  <si>
    <t>GC-PERFIL 5-PF-RUA-M-NE</t>
  </si>
  <si>
    <t>GC-PERFIL 5-PF-SHOPPING-M-GDE SP</t>
  </si>
  <si>
    <t>GC-PERFIL 5-PF-SHOPPING-M-SPI</t>
  </si>
  <si>
    <t>GC-PERFIL 5-PF-SHOPPING-M-RJ/ES</t>
  </si>
  <si>
    <t>GC-PERFIL 5-PF-SHOPPING-M-MG</t>
  </si>
  <si>
    <t>GC-PERFIL 5-PF-SHOPPING-M-SUL</t>
  </si>
  <si>
    <t>GC-PERFIL 5-PF-SHOPPING-M-CO/N</t>
  </si>
  <si>
    <t>GC-PERFIL 5-PF-SHOPPING-M-NE</t>
  </si>
  <si>
    <t>GC-PERFIL 5-PF-SHOPPING-MEGA-GDE SP</t>
  </si>
  <si>
    <t>MEGA</t>
  </si>
  <si>
    <t>GC-PERFIL 5-CB-RUA-P-GDE SP</t>
  </si>
  <si>
    <t>GC-PERFIL 5-CB-RUA-P-SPI</t>
  </si>
  <si>
    <t>GC-PERFIL 5-CB-RUA-P-RJ/ES</t>
  </si>
  <si>
    <t>GC-PERFIL 5-CB-RUA-P-MG</t>
  </si>
  <si>
    <t>GC-PERFIL 5-CB-RUA-P-SUL</t>
  </si>
  <si>
    <t>GC-PERFIL 5-CB-RUA-P-CO/N</t>
  </si>
  <si>
    <t>GC-PERFIL 5-CB-RUA-P-NE</t>
  </si>
  <si>
    <t>GC-PERFIL 5-CB-SHOPPING-P-GDE SP</t>
  </si>
  <si>
    <t>GC-PERFIL 5-CB-SHOPPING-P-SPI</t>
  </si>
  <si>
    <t>GC-PERFIL 5-CB-SHOPPING-P-RJ/ES</t>
  </si>
  <si>
    <t>GC-PERFIL 5-CB-SHOPPING-P-MG</t>
  </si>
  <si>
    <t>GC-PERFIL 5-CB-SHOPPING-P-SUL</t>
  </si>
  <si>
    <t>GC-PERFIL 5-CB-SHOPPING-P-CO/N</t>
  </si>
  <si>
    <t>GC-PERFIL 5-CB-SHOPPING-P-NE</t>
  </si>
  <si>
    <t>GC-PERFIL 5-PF-RUA-P-GDE SP</t>
  </si>
  <si>
    <t>GC-PERFIL 5-PF-RUA-P-SPI</t>
  </si>
  <si>
    <t>GC-PERFIL 5-PF-RUA-P-RJ/ES</t>
  </si>
  <si>
    <t>GC-PERFIL 5-PF-RUA-P-MG</t>
  </si>
  <si>
    <t>GC-PERFIL 5-PF-RUA-P-SUL</t>
  </si>
  <si>
    <t>GC-PERFIL 5-PF-RUA-P-CO/N</t>
  </si>
  <si>
    <t>GC-PERFIL 5-PF-RUA-P-NE</t>
  </si>
  <si>
    <t>GC-PERFIL 5-PF-SHOPPING-P-GDE SP</t>
  </si>
  <si>
    <t>GC-PERFIL 5-PF-SHOPPING-P-SPI</t>
  </si>
  <si>
    <t>GC-PERFIL 5-PF-SHOPPING-P-RJ/ES</t>
  </si>
  <si>
    <t>GC-PERFIL 5-PF-SHOPPING-P-MG</t>
  </si>
  <si>
    <t>GC-PERFIL 5-PF-SHOPPING-P-SUL</t>
  </si>
  <si>
    <t>GC-PERFIL 5-PF-SHOPPING-P-CO/N</t>
  </si>
  <si>
    <t>GC-PERFIL 5-PF-SHOPPING-P-NE</t>
  </si>
  <si>
    <t>GC-PERFIL 5-CB-RUA-PP-GDE SP</t>
  </si>
  <si>
    <t>GC-PERFIL 5-CB-RUA-PP-SPI</t>
  </si>
  <si>
    <t>GC-PERFIL 5-CB-RUA-PP-RJ/ES</t>
  </si>
  <si>
    <t>GC-PERFIL 5-CB-RUA-PP-MG</t>
  </si>
  <si>
    <t>GC-PERFIL 5-CB-RUA-PP-SUL</t>
  </si>
  <si>
    <t>GC-PERFIL 5-CB-RUA-PP-CO/N</t>
  </si>
  <si>
    <t>GC-PERFIL 5-CB-RUA-PP-NE</t>
  </si>
  <si>
    <t>GC-PERFIL 5-CB-SHOPPING-PP-GDE SP</t>
  </si>
  <si>
    <t>GC-PERFIL 5-CB-SHOPPING-PP-SPI</t>
  </si>
  <si>
    <t>GC-PERFIL 5-CB-SHOPPING-PP-RJ/ES</t>
  </si>
  <si>
    <t>GC-PERFIL 5-CB-SHOPPING-PP-MG</t>
  </si>
  <si>
    <t>GC-PERFIL 5-CB-SHOPPING-PP-SUL</t>
  </si>
  <si>
    <t>GC-PERFIL 5-CB-SHOPPING-PP-CO/N</t>
  </si>
  <si>
    <t>GC-PERFIL 5-CB-SHOPPING-PP-NE</t>
  </si>
  <si>
    <t>GC-PERFIL 5-PF-RUA-PP-GDE SP</t>
  </si>
  <si>
    <t>GC-PERFIL 5-PF-RUA-PP-SPI</t>
  </si>
  <si>
    <t>GC-PERFIL 5-PF-RUA-PP-RJ/ES</t>
  </si>
  <si>
    <t>GC-PERFIL 5-PF-RUA-PP-MG</t>
  </si>
  <si>
    <t>GC-PERFIL 5-PF-RUA-PP-SUL</t>
  </si>
  <si>
    <t>GC-PERFIL 5-PF-RUA-PP-CO/N</t>
  </si>
  <si>
    <t>GC-PERFIL 5-PF-RUA-PP-NE</t>
  </si>
  <si>
    <t>GC-PERFIL 5-PF-SHOPPING-PP-GDE SP</t>
  </si>
  <si>
    <t>GC-PERFIL 5-PF-SHOPPING-PP-SPI</t>
  </si>
  <si>
    <t>GC-PERFIL 5-PF-SHOPPING-PP-RJ/ES</t>
  </si>
  <si>
    <t>GC-PERFIL 5-PF-SHOPPING-PP-MG</t>
  </si>
  <si>
    <t>GC-PERFIL 5-PF-SHOPPING-PP-SUL</t>
  </si>
  <si>
    <t>GC-PERFIL 5-PF-SHOPPING-PP-CO/N</t>
  </si>
  <si>
    <t>GC-PERFIL 5-PF-SHOPPING-PP-NE</t>
  </si>
  <si>
    <t>DIGITAL-PERFIL 1-GDE SP</t>
  </si>
  <si>
    <t>GC-PERFIL 1-CB-DIGITAL-P-GDE SP</t>
  </si>
  <si>
    <t>QUIOSQUE-PERFIL 1-GDE SP</t>
  </si>
  <si>
    <t>GC-PERFIL 1-PF-QUIOSQUE-M-GDE SP</t>
  </si>
  <si>
    <t>GC-PERFIL 1-PF-QUIOSQUE-P-GDE SP</t>
  </si>
  <si>
    <t>QUIOSQUE-PERFIL 2-GDE SP</t>
  </si>
  <si>
    <t>GC-PERFIL 2-PF-QUIOSQUE-M-GDE SP</t>
  </si>
  <si>
    <t>GC-PERFIL 2-PF-QUIOSQUE-P-GDE SP</t>
  </si>
  <si>
    <t>QUIOSQUE-PERFIL 3-GDE SP</t>
  </si>
  <si>
    <t>GC-PERFIL 3-PF-QUIOSQUE-M-GDE SP</t>
  </si>
  <si>
    <t>GC-PERFIL 3-PF-QUIOSQUE-P-GDE SP</t>
  </si>
  <si>
    <t>QUIOSQUE-PERFIL 4-GDE SP</t>
  </si>
  <si>
    <t>GC-PERFIL 4-PF-QUIOSQUE-P-GDE SP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</si>
  <si>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</si>
  <si>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</si>
  <si>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</si>
  <si>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</si>
  <si>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</si>
  <si>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</si>
  <si>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</si>
  <si>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</si>
  <si>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</si>
  <si>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</si>
  <si>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(vazio)</t>
  </si>
  <si>
    <t>Total Geral</t>
  </si>
  <si>
    <t>REGIAO 2</t>
  </si>
  <si>
    <t>CONCATENADO4</t>
  </si>
  <si>
    <t>CONCATENADO5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</si>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</sst>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rial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name val="Arial"/>
      <family val="2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sz val="16"/>
      <color theme="1"/>
      <name val="Calibri"/>
      <family val="2"/>
    </font>
    <font>
      <sz val="12"/>
      <color theme="0"/>
      <name val="Calibri"/>
      <family val="2"/>
    </font>
    <font>
      <b/>
      <sz val="12"/>
      <color theme="5"/>
      <name val="Calibri"/>
      <family val="2"/>
    </font>
    <font>
      <b/>
      <sz val="12"/>
      <color theme="0"/>
      <name val="Calibri"/>
      <family val="2"/>
    </font>
    <font>
      <sz val="12"/>
      <color rgb="FF595959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Calibri"/>
      <family val="2"/>
    </font>
    <font>
      <b/>
      <sz val="14"/>
      <color rgb="FF3F3F76"/>
      <name val="Calibri"/>
      <family val="2"/>
    </font>
    <font>
      <b/>
      <sz val="11"/>
      <color theme="1"/>
      <name val="Calibri"/>
      <family val="2"/>
    </font>
    <font>
      <sz val="11"/>
      <color rgb="FF3F3F3F"/>
      <name val="Calibri"/>
      <family val="2"/>
    </font>
    <font>
      <sz val="11"/>
      <color theme="0"/>
      <name val="Calibri"/>
      <family val="2"/>
    </font>
    <font>
      <sz val="1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rgb="FF2E75B5"/>
        <bgColor rgb="FF2E75B5"/>
      </patternFill>
    </fill>
    <fill>
      <patternFill patternType="solid">
        <fgColor rgb="FFC00000"/>
        <bgColor rgb="FFC00000"/>
      </patternFill>
    </fill>
    <fill>
      <patternFill patternType="solid">
        <fgColor rgb="FFD8D8D8"/>
        <bgColor rgb="FFD8D8D8"/>
      </patternFill>
    </fill>
    <fill>
      <patternFill patternType="solid">
        <fgColor rgb="FFD9E2F3"/>
        <bgColor rgb="FFD9E2F3"/>
      </patternFill>
    </fill>
    <fill>
      <patternFill patternType="solid">
        <fgColor rgb="FFD0CECE"/>
        <bgColor rgb="FFD0CECE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theme="0"/>
      </patternFill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theme="4"/>
        <bgColor theme="4"/>
      </patternFill>
    </fill>
    <fill>
      <patternFill patternType="solid">
        <fgColor rgb="FFFFCC99"/>
        <bgColor rgb="FFFFCC99"/>
      </patternFill>
    </fill>
    <fill>
      <patternFill patternType="solid">
        <fgColor rgb="FFF2F2F2"/>
        <bgColor rgb="FFF2F2F2"/>
      </patternFill>
    </fill>
    <fill>
      <patternFill patternType="solid">
        <fgColor rgb="FFF4B083"/>
        <bgColor rgb="FFF4B083"/>
      </patternFill>
    </fill>
    <fill>
      <patternFill patternType="solid">
        <fgColor rgb="FF548135"/>
        <bgColor rgb="FF548135"/>
      </patternFill>
    </fill>
    <fill>
      <patternFill patternType="solid">
        <fgColor rgb="FFA8D08D"/>
        <bgColor rgb="FFA8D08D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2" fillId="0" borderId="7" xfId="0" applyFont="1" applyBorder="1" applyAlignment="1">
      <alignment horizontal="right"/>
    </xf>
    <xf numFmtId="0" fontId="2" fillId="5" borderId="8" xfId="0" applyFont="1" applyFill="1" applyBorder="1" applyAlignment="1">
      <alignment horizontal="center"/>
    </xf>
    <xf numFmtId="0" fontId="2" fillId="5" borderId="5" xfId="0" applyFont="1" applyFill="1" applyBorder="1"/>
    <xf numFmtId="0" fontId="2" fillId="0" borderId="0" xfId="0" applyFont="1" applyAlignment="1">
      <alignment horizontal="righ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6" borderId="11" xfId="0" applyFont="1" applyFill="1" applyBorder="1" applyAlignment="1">
      <alignment horizontal="right" vertical="center"/>
    </xf>
    <xf numFmtId="0" fontId="6" fillId="6" borderId="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2" fillId="7" borderId="6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8" fillId="0" borderId="0" xfId="0" applyFont="1" applyAlignment="1">
      <alignment horizontal="right"/>
    </xf>
    <xf numFmtId="0" fontId="8" fillId="0" borderId="6" xfId="0" applyFont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5" fillId="9" borderId="11" xfId="0" applyFont="1" applyFill="1" applyBorder="1" applyAlignment="1">
      <alignment horizontal="center"/>
    </xf>
    <xf numFmtId="0" fontId="9" fillId="9" borderId="11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center"/>
    </xf>
    <xf numFmtId="0" fontId="2" fillId="0" borderId="6" xfId="0" applyFont="1" applyBorder="1" applyAlignment="1">
      <alignment horizontal="center" wrapText="1"/>
    </xf>
    <xf numFmtId="0" fontId="2" fillId="10" borderId="6" xfId="0" applyFont="1" applyFill="1" applyBorder="1" applyAlignment="1">
      <alignment horizontal="center" wrapText="1"/>
    </xf>
    <xf numFmtId="0" fontId="2" fillId="11" borderId="6" xfId="0" applyFont="1" applyFill="1" applyBorder="1" applyAlignment="1">
      <alignment horizontal="center" wrapText="1"/>
    </xf>
    <xf numFmtId="0" fontId="2" fillId="12" borderId="6" xfId="0" applyFont="1" applyFill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0" fillId="0" borderId="6" xfId="0" applyFont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1" fillId="0" borderId="0" xfId="0" applyFont="1"/>
    <xf numFmtId="0" fontId="12" fillId="13" borderId="11" xfId="0" applyFont="1" applyFill="1" applyBorder="1"/>
    <xf numFmtId="0" fontId="12" fillId="0" borderId="0" xfId="0" applyFont="1"/>
    <xf numFmtId="14" fontId="12" fillId="0" borderId="0" xfId="0" applyNumberFormat="1" applyFont="1"/>
    <xf numFmtId="0" fontId="14" fillId="14" borderId="13" xfId="0" applyFont="1" applyFill="1" applyBorder="1" applyAlignment="1">
      <alignment horizontal="left" vertical="center"/>
    </xf>
    <xf numFmtId="0" fontId="14" fillId="11" borderId="13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center"/>
    </xf>
    <xf numFmtId="0" fontId="15" fillId="10" borderId="6" xfId="0" applyFont="1" applyFill="1" applyBorder="1" applyAlignment="1">
      <alignment horizontal="left"/>
    </xf>
    <xf numFmtId="2" fontId="15" fillId="10" borderId="6" xfId="0" applyNumberFormat="1" applyFont="1" applyFill="1" applyBorder="1" applyAlignment="1">
      <alignment horizontal="center"/>
    </xf>
    <xf numFmtId="0" fontId="15" fillId="11" borderId="14" xfId="0" applyFont="1" applyFill="1" applyBorder="1"/>
    <xf numFmtId="0" fontId="16" fillId="15" borderId="15" xfId="0" applyFont="1" applyFill="1" applyBorder="1" applyAlignment="1">
      <alignment horizontal="left"/>
    </xf>
    <xf numFmtId="0" fontId="16" fillId="11" borderId="15" xfId="0" applyFont="1" applyFill="1" applyBorder="1" applyAlignment="1">
      <alignment horizontal="left"/>
    </xf>
    <xf numFmtId="0" fontId="12" fillId="0" borderId="6" xfId="0" applyFont="1" applyBorder="1" applyAlignment="1">
      <alignment horizontal="center"/>
    </xf>
    <xf numFmtId="0" fontId="12" fillId="0" borderId="6" xfId="0" applyFont="1" applyBorder="1" applyAlignment="1">
      <alignment horizontal="left"/>
    </xf>
    <xf numFmtId="0" fontId="12" fillId="0" borderId="6" xfId="0" applyFont="1" applyBorder="1"/>
    <xf numFmtId="0" fontId="12" fillId="11" borderId="6" xfId="0" applyFont="1" applyFill="1" applyBorder="1"/>
    <xf numFmtId="0" fontId="17" fillId="16" borderId="6" xfId="0" applyFont="1" applyFill="1" applyBorder="1" applyAlignment="1">
      <alignment horizontal="center" vertical="top" wrapText="1"/>
    </xf>
    <xf numFmtId="0" fontId="17" fillId="16" borderId="6" xfId="0" applyFont="1" applyFill="1" applyBorder="1" applyAlignment="1">
      <alignment horizontal="center" vertical="top"/>
    </xf>
    <xf numFmtId="0" fontId="17" fillId="18" borderId="6" xfId="0" applyFont="1" applyFill="1" applyBorder="1" applyAlignment="1">
      <alignment horizontal="center" vertical="top" wrapText="1"/>
    </xf>
    <xf numFmtId="0" fontId="17" fillId="18" borderId="6" xfId="0" applyFont="1" applyFill="1" applyBorder="1" applyAlignment="1">
      <alignment horizontal="center" vertical="top"/>
    </xf>
    <xf numFmtId="0" fontId="0" fillId="0" borderId="22" xfId="0" applyFont="1" applyBorder="1" applyAlignment="1"/>
    <xf numFmtId="0" fontId="0" fillId="0" borderId="22" xfId="0" pivotButton="1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25" xfId="0" applyNumberFormat="1" applyFont="1" applyBorder="1" applyAlignment="1"/>
    <xf numFmtId="0" fontId="0" fillId="0" borderId="26" xfId="0" applyFont="1" applyBorder="1" applyAlignment="1"/>
    <xf numFmtId="0" fontId="0" fillId="0" borderId="26" xfId="0" pivotButton="1" applyFont="1" applyBorder="1" applyAlignment="1"/>
    <xf numFmtId="0" fontId="0" fillId="0" borderId="23" xfId="0" pivotButton="1" applyFont="1" applyBorder="1" applyAlignment="1"/>
    <xf numFmtId="0" fontId="0" fillId="0" borderId="27" xfId="0" applyFont="1" applyBorder="1" applyAlignment="1"/>
    <xf numFmtId="0" fontId="0" fillId="0" borderId="28" xfId="0" applyFont="1" applyBorder="1" applyAlignment="1"/>
    <xf numFmtId="0" fontId="0" fillId="0" borderId="29" xfId="0" applyFont="1" applyBorder="1" applyAlignment="1"/>
    <xf numFmtId="0" fontId="0" fillId="0" borderId="22" xfId="0" applyNumberFormat="1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0" fillId="0" borderId="32" xfId="0" applyFont="1" applyBorder="1" applyAlignment="1"/>
    <xf numFmtId="0" fontId="0" fillId="0" borderId="33" xfId="0" applyFont="1" applyBorder="1" applyAlignment="1"/>
    <xf numFmtId="0" fontId="19" fillId="13" borderId="34" xfId="0" applyFont="1" applyFill="1" applyBorder="1"/>
    <xf numFmtId="0" fontId="19" fillId="13" borderId="35" xfId="0" applyFont="1" applyFill="1" applyBorder="1"/>
    <xf numFmtId="0" fontId="0" fillId="0" borderId="0" xfId="0" pivotButton="1" applyFont="1" applyAlignment="1"/>
    <xf numFmtId="0" fontId="0" fillId="0" borderId="0" xfId="0" applyNumberFormat="1" applyFont="1" applyAlignment="1"/>
    <xf numFmtId="0" fontId="11" fillId="0" borderId="18" xfId="0" applyFont="1" applyBorder="1"/>
    <xf numFmtId="0" fontId="13" fillId="0" borderId="18" xfId="0" applyFont="1" applyBorder="1" applyAlignment="1">
      <alignment horizontal="center"/>
    </xf>
    <xf numFmtId="0" fontId="13" fillId="0" borderId="18" xfId="0" applyFont="1" applyBorder="1"/>
    <xf numFmtId="0" fontId="0" fillId="0" borderId="18" xfId="0" applyBorder="1"/>
    <xf numFmtId="0" fontId="2" fillId="4" borderId="1" xfId="0" applyFont="1" applyFill="1" applyBorder="1" applyAlignment="1">
      <alignment horizontal="center" wrapText="1"/>
    </xf>
    <xf numFmtId="0" fontId="3" fillId="0" borderId="2" xfId="0" applyFont="1" applyBorder="1"/>
    <xf numFmtId="0" fontId="3" fillId="0" borderId="3" xfId="0" applyFont="1" applyBorder="1"/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3" fillId="0" borderId="4" xfId="0" applyFont="1" applyBorder="1"/>
    <xf numFmtId="0" fontId="2" fillId="5" borderId="1" xfId="0" applyFont="1" applyFill="1" applyBorder="1" applyAlignment="1">
      <alignment horizontal="center"/>
    </xf>
    <xf numFmtId="0" fontId="17" fillId="4" borderId="16" xfId="0" applyFont="1" applyFill="1" applyBorder="1" applyAlignment="1">
      <alignment horizontal="center" vertical="center"/>
    </xf>
    <xf numFmtId="0" fontId="3" fillId="0" borderId="17" xfId="0" applyFont="1" applyBorder="1"/>
    <xf numFmtId="0" fontId="3" fillId="0" borderId="18" xfId="0" applyFont="1" applyBorder="1"/>
    <xf numFmtId="0" fontId="17" fillId="17" borderId="19" xfId="0" applyFont="1" applyFill="1" applyBorder="1" applyAlignment="1">
      <alignment horizontal="center" vertical="center"/>
    </xf>
    <xf numFmtId="0" fontId="3" fillId="0" borderId="20" xfId="0" applyFont="1" applyBorder="1"/>
    <xf numFmtId="0" fontId="3" fillId="0" borderId="21" xfId="0" applyFont="1" applyBorder="1"/>
  </cellXfs>
  <cellStyles count="1">
    <cellStyle name="Normal" xfId="0" builtinId="0"/>
  </cellStyles>
  <dxfs count="28"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b/>
        <color rgb="FF1E4E79"/>
      </font>
      <fill>
        <patternFill patternType="solid">
          <fgColor rgb="FF9CC2E5"/>
          <bgColor rgb="FF9CC2E5"/>
        </patternFill>
      </fill>
    </dxf>
    <dxf>
      <font>
        <b/>
        <color rgb="FF7F6000"/>
      </font>
      <fill>
        <patternFill patternType="solid">
          <fgColor rgb="FFFEF2CB"/>
          <bgColor rgb="FFFEF2C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4</xdr:row>
          <xdr:rowOff>171450</xdr:rowOff>
        </xdr:from>
        <xdr:to>
          <xdr:col>2</xdr:col>
          <xdr:colOff>1009650</xdr:colOff>
          <xdr:row>6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1838325</xdr:colOff>
          <xdr:row>4</xdr:row>
          <xdr:rowOff>171450</xdr:rowOff>
        </xdr:from>
        <xdr:to>
          <xdr:col>2</xdr:col>
          <xdr:colOff>3705225</xdr:colOff>
          <xdr:row>6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Carga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6070451389" refreshedVersion="6" recordCount="219" xr:uid="{00000000-000A-0000-FFFF-FFFF00000000}">
  <cacheSource type="worksheet">
    <worksheetSource ref="A1:AA220" sheet="SORTEMP"/>
  </cacheSource>
  <cacheFields count="27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unt="1">
        <m/>
      </sharedItems>
    </cacheField>
    <cacheField name="DESC MERCADORIA" numFmtId="0">
      <sharedItems containsNonDate="0" containsString="0" containsBlank="1" count="1">
        <m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/>
    </cacheField>
    <cacheField name="VIGENCIA INICIO" numFmtId="14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String="0" containsBlank="1" count="1">
        <m/>
      </sharedItems>
    </cacheField>
    <cacheField name="BANDEIRA" numFmtId="0">
      <sharedItems containsNonDate="0" containsString="0" containsBlank="1" count="1">
        <m/>
      </sharedItems>
    </cacheField>
    <cacheField name="LOCAL" numFmtId="0">
      <sharedItems containsNonDate="0" containsString="0" containsBlank="1" count="1">
        <m/>
      </sharedItems>
    </cacheField>
    <cacheField name="LOCAL_NOVO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 count="1">
        <m/>
      </sharedItems>
    </cacheField>
    <cacheField name="STATUS" numFmtId="0">
      <sharedItems containsNonDate="0" containsString="0" containsBlank="1" count="1">
        <m/>
      </sharedItems>
    </cacheField>
    <cacheField name="MARCA_MERCADORIA" numFmtId="0">
      <sharedItems containsNonDate="0" containsString="0" containsBlank="1" count="1">
        <m/>
      </sharedItems>
    </cacheField>
    <cacheField name="ESPECIE_MERCADORIA" numFmtId="0">
      <sharedItems containsNonDate="0" containsString="0" containsBlank="1" count="1">
        <m/>
      </sharedItems>
    </cacheField>
    <cacheField name="CONCATENADO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60704629628" createdVersion="6" refreshedVersion="6" minRefreshableVersion="3" recordCount="2303" xr:uid="{5DAAF697-38B5-4CFA-99DF-7134E25E4827}">
  <cacheSource type="worksheet">
    <worksheetSource ref="A1:X2499" sheet="SORTIM"/>
  </cacheSource>
  <cacheFields count="24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/>
    </cacheField>
    <cacheField name="CONCATENADO6" numFmtId="0">
      <sharedItems containsNonDate="0" containsBlank="1" count="94">
        <m/>
        <s v="PERFIL 2-PF-RUA-SUL" u="1"/>
        <s v="PERFIL 3-PF-RUA-SUL" u="1"/>
        <s v="PERFIL 4-PF-RUA-SUL" u="1"/>
        <s v="PERFIL 5-PF-RUA-SUL" u="1"/>
        <s v="PERFIL 1-PF-RUA-RJ/ES" u="1"/>
        <s v="PERFIL 3-CB-RUA-RJ/ES" u="1"/>
        <s v="PERFIL 3-PF-RUA-RJ/ES" u="1"/>
        <s v="PERFIL 4-CB-RUA-RJ/ES" u="1"/>
        <s v="PERFIL 4-PF-RUA-RJ/ES" u="1"/>
        <s v="PERFIL 5-CB-RUA-RJ/ES" u="1"/>
        <s v="PERFIL 1-CB-SHOPPING-RJ/ES" u="1"/>
        <s v="PERFIL 1-PF-SHOPPING-RJ/ES" u="1"/>
        <s v="PERFIL 2-CB-SHOPPING-RJ/ES" u="1"/>
        <s v="PERFIL 2-PF-SHOPPING-RJ/ES" u="1"/>
        <s v="PERFIL 3-CB-SHOPPING-RJ/ES" u="1"/>
        <s v="PERFIL 3-PF-SHOPPING-RJ/ES" u="1"/>
        <s v="PERFIL 4-CB-SHOPPING-RJ/ES" u="1"/>
        <s v="PERFIL 4-PF-SHOPPING-RJ/ES" u="1"/>
        <s v="PERFIL 1-CB-SHOPPING-GDE SP" u="1"/>
        <s v="PERFIL 1-PF-SHOPPING-GDE SP" u="1"/>
        <s v="PERFIL 2-CB-SHOPPING-GDE SP" u="1"/>
        <s v="PERFIL 2-PF-SHOPPING-GDE SP" u="1"/>
        <s v="PERFIL 3-CB-SHOPPING-GDE SP" u="1"/>
        <s v="PERFIL 3-PF-SHOPPING-GDE SP" u="1"/>
        <s v="PERFIL 4-CB-SHOPPING-GDE SP" u="1"/>
        <s v="PERFIL 5-CB-SHOPPING-GDE SP" u="1"/>
        <s v="PERFIL 5-PF-SHOPPING-GDE SP" u="1"/>
        <s v="PERFIL 1-CB-SHOPPING-NE" u="1"/>
        <s v="PERFIL 2-CB-SHOPPING-NE" u="1"/>
        <s v="PERFIL 3-CB-SHOPPING-NE" u="1"/>
        <s v="PERFIL 4-CB-SHOPPING-NE" u="1"/>
        <s v="PERFIL 1-PF-COMPACTA-NE" u="1"/>
        <s v="PERFIL 5-PF-COMPACTA-NE" u="1"/>
        <s v="PERFIL 1-CB-SHOPPING-CO/N" u="1"/>
        <s v="PERFIL 1-PF-SHOPPING-CO/N" u="1"/>
        <s v="PERFIL 2-CB-SHOPPING-CO/N" u="1"/>
        <s v="PERFIL 2-PF-SHOPPING-CO/N" u="1"/>
        <s v="PERFIL 3-CB-SHOPPING-CO/N" u="1"/>
        <s v="PERFIL 4-CB-SHOPPING-CO/N" u="1"/>
        <s v="PERFIL 4-PF-SHOPPING-CO/N" u="1"/>
        <s v="PERFIL 5-CB-SHOPPING-CO/N" u="1"/>
        <s v="PERFIL 2-PF-RUA-CO/N" u="1"/>
        <s v="PERFIL 3-CB-RUA-CO/N" u="1"/>
        <s v="PERFIL 4-CB-RUA-CO/N" u="1"/>
        <s v="PERFIL 4-PF-RUA-CO/N" u="1"/>
        <s v="PERFIL 5-CB-RUA-CO/N" u="1"/>
        <s v="PERFIL 2-CB-RUA-NE" u="1"/>
        <s v="PERFIL 3-CB-RUA-NE" u="1"/>
        <s v="PERFIL 4-CB-RUA-NE" u="1"/>
        <s v="PERFIL 5-CB-RUA-NE" u="1"/>
        <s v="PERFIL 1-PF-SHOPPING-MG" u="1"/>
        <s v="PERFIL 2-CB-SHOPPING-MG" u="1"/>
        <s v="PERFIL 2-PF-SHOPPING-MG" u="1"/>
        <s v="PERFIL 3-CB-SHOPPING-MG" u="1"/>
        <s v="PERFIL 3-PF-SHOPPING-MG" u="1"/>
        <s v="PERFIL 4-CB-SHOPPING-MG" u="1"/>
        <s v="PERFIL 1-CB-SHOPPING-SPI" u="1"/>
        <s v="PERFIL 1-PF-SHOPPING-SPI" u="1"/>
        <s v="PERFIL 2-CB-SHOPPING-SPI" u="1"/>
        <s v="PERFIL 2-PF-SHOPPING-SPI" u="1"/>
        <s v="PERFIL 3-CB-SHOPPING-SPI" u="1"/>
        <s v="PERFIL 2-CB-RUA-MG" u="1"/>
        <s v="PERFIL 3-CB-RUA-MG" u="1"/>
        <s v="PERFIL 4-CB-RUA-MG" u="1"/>
        <s v="PERFIL 5-CB-RUA-MG" u="1"/>
        <s v="PERFIL 1-CB-RUA-SPI" u="1"/>
        <s v="PERFIL 2-CB-RUA-SPI" u="1"/>
        <s v="PERFIL 3-CB-RUA-SPI" u="1"/>
        <s v="PERFIL 4-CB-RUA-SPI" u="1"/>
        <s v="PERFIL 5-CB-RUA-SPI" u="1"/>
        <s v="PERFIL 2-PF-RUA-SPI" u="1"/>
        <s v="PERFIL 3-PF-RUA-SPI" u="1"/>
        <s v="PERFIL 1-CB-RUA-GDE SP" u="1"/>
        <s v="PERFIL 2-CB-RUA-GDE SP" u="1"/>
        <s v="PERFIL 3-CB-RUA-GDE SP" u="1"/>
        <s v="PERFIL 3-PF-RUA-GDE SP" u="1"/>
        <s v="PERFIL 4-CB-RUA-GDE SP" u="1"/>
        <s v="PERFIL 4-PF-RUA-GDE SP" u="1"/>
        <s v="PERFIL 5-CB-RUA-GDE SP" u="1"/>
        <s v="PERFIL 2-PF-RUA-MG" u="1"/>
        <s v="PERFIL 3-PF-RUA-MG" u="1"/>
        <s v="PERFIL 4-PF-RUA-MG" u="1"/>
        <s v="PERFIL 5-PF-RUA-MG" u="1"/>
        <s v="PERFIL 1-CB-SHOPPING-SUL" u="1"/>
        <s v="PERFIL 1-PF-SHOPPING-SUL" u="1"/>
        <s v="PERFIL 2-CB-SHOPPING-SUL" u="1"/>
        <s v="PERFIL 2-PF-SHOPPING-SUL" u="1"/>
        <s v="PERFIL 3-CB-SHOPPING-SUL" u="1"/>
        <s v="PERFIL 5-CB-SHOPPING-SUL" u="1"/>
        <s v="PERFIL 2-CB-RUA-SUL" u="1"/>
        <s v="PERFIL 3-CB-RUA-SUL" u="1"/>
        <s v="PERFIL 4-CB-RUA-SUL" u="1"/>
        <s v="PERFIL 5-CB-RUA-SUL" u="1"/>
      </sharedItems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  <cacheField name="SOLIC#VOLT DIF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9"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  <r>
    <m/>
    <m/>
    <m/>
    <m/>
    <m/>
    <m/>
    <m/>
    <x v="0"/>
    <x v="0"/>
    <m/>
    <m/>
    <m/>
    <m/>
    <m/>
    <m/>
    <x v="0"/>
    <x v="0"/>
    <x v="0"/>
    <m/>
    <m/>
    <x v="0"/>
    <x v="0"/>
    <x v="0"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3"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  <r>
    <m/>
    <m/>
    <m/>
    <m/>
    <m/>
    <m/>
    <m/>
    <m/>
    <m/>
    <m/>
    <m/>
    <m/>
    <m/>
    <m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N SORTEMP" cacheId="12" applyNumberFormats="0" applyBorderFormats="0" applyFontFormats="0" applyPatternFormats="0" applyAlignmentFormats="0" applyWidthHeightFormats="0" dataCaption="" updatedVersion="6" compact="0" compactData="0">
  <location ref="A3:I9" firstHeaderRow="1" firstDataRow="5" firstDataCol="5"/>
  <pivotFields count="27">
    <pivotField name="COD SORTIMENT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COD PUBLICO" compact="0" outline="0" multipleItemSelectionAllowed="1" showAll="0"/>
    <pivotField name="DESC PUBLICO" compact="0" outline="0" multipleItemSelectionAllowed="1" showAll="0"/>
    <pivotField name="COD MERCADORIA" axis="axisRow" compact="0" outline="0" multipleItemSelectionAllowed="1" showAll="0" sortType="ascending" defaultSubtotal="0">
      <items count="1">
        <item x="0"/>
      </items>
    </pivotField>
    <pivotField name="DESC MERCADORIA" axis="axisRow" compact="0" outline="0" multipleItemSelectionAllowed="1" showAll="0" sortType="ascending" defaultSubtotal="0">
      <items count="1">
        <item x="0"/>
      </items>
    </pivotField>
    <pivotField name="MERC / CONJ" compact="0" outline="0" multipleItemSelectionAllowed="1" showAll="0"/>
    <pivotField name="PRIORIDADE" dataField="1" compact="0" outline="0" multipleItemSelectionAllowed="1" showAll="0"/>
    <pivotField name="QTDE" compact="0" outline="0" multipleItemSelectionAllowed="1" showAll="0"/>
    <pivotField name="VOLTAGEM" compact="0" outline="0" multipleItemSelectionAllowed="1" showAll="0"/>
    <pivotField name="VIGENCIA INICIO" compact="0" outline="0" multipleItemSelectionAllowed="1" showAll="0"/>
    <pivotField name="VIGENCIA FIM" compact="0" outline="0" multipleItemSelectionAllowed="1" showAll="0"/>
    <pivotField name="PERFIL" axis="axisCol" compact="0" outline="0" multipleItemSelectionAllowed="1" showAll="0" sortType="ascending" defaultSubtotal="0">
      <items count="1">
        <item x="0"/>
      </items>
    </pivotField>
    <pivotField name="BANDEIRA" axis="axisCol" compact="0" outline="0" multipleItemSelectionAllowed="1" showAll="0" sortType="ascending">
      <items count="2">
        <item x="0"/>
        <item t="default"/>
      </items>
    </pivotField>
    <pivotField name="LOCAL" axis="axisCol" compact="0" outline="0" multipleItemSelectionAllowed="1" showAll="0" sortType="ascending" defaultSubtotal="0">
      <items count="1">
        <item x="0"/>
      </items>
    </pivotField>
    <pivotField name="LOCAL_NOVO" compact="0" outline="0" multipleItemSelectionAllowed="1" showAll="0"/>
    <pivotField name="TAMANHO" compact="0" outline="0" multipleItemSelectionAllowed="1" showAll="0"/>
    <pivotField name="REGIÃO" axis="axisCol" compact="0" outline="0" multipleItemSelectionAllowed="1" showAll="0" sortType="ascending" defaultSubtotal="0">
      <items count="1">
        <item x="0"/>
      </items>
    </pivotField>
    <pivotField name="STATUS" axis="axisRow" compact="0" outline="0" multipleItemSelectionAllowed="1" showAll="0" sortType="ascending" defaultSubtotal="0">
      <items count="1">
        <item x="0"/>
      </items>
    </pivotField>
    <pivotField name="MARCA_MERCADORIA" axis="axisRow" compact="0" outline="0" multipleItemSelectionAllowed="1" showAll="0" sortType="ascending" defaultSubtotal="0">
      <items count="1">
        <item x="0"/>
      </items>
    </pivotField>
    <pivotField name="ESPECIE_MERCADORIA" axis="axisRow" compact="0" outline="0" multipleItemSelectionAllowed="1" showAll="0" sortType="ascending">
      <items count="2">
        <item x="0"/>
        <item t="default"/>
      </items>
    </pivotField>
    <pivotField name="CONCATENADO" compact="0" outline="0" multipleItemSelectionAllowed="1" showAll="0"/>
    <pivotField name="CONCATENADO3" compact="0" outline="0" multipleItemSelectionAllowed="1" showAll="0"/>
    <pivotField name="CONCATENADO2" compact="0" outline="0" multipleItemSelectionAllowed="1" showAll="0"/>
  </pivotFields>
  <rowFields count="5">
    <field x="7"/>
    <field x="8"/>
    <field x="22"/>
    <field x="21"/>
    <field x="23"/>
  </rowFields>
  <rowItems count="2">
    <i>
      <x/>
      <x/>
      <x/>
      <x/>
      <x/>
    </i>
    <i t="grand">
      <x/>
    </i>
  </rowItems>
  <colFields count="4">
    <field x="17"/>
    <field x="20"/>
    <field x="15"/>
    <field x="16"/>
  </colFields>
  <colItems count="2">
    <i>
      <x/>
      <x/>
      <x/>
      <x/>
    </i>
    <i t="grand">
      <x/>
    </i>
  </colItems>
  <dataFields count="1">
    <dataField name="Média de PRIORIDADE" fld="10" subtotal="average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A329F-3346-4D5B-9588-F0993F6B011D}" name="DIN SORTIM" cacheId="15" applyNumberFormats="0" applyBorderFormats="0" applyFontFormats="0" applyPatternFormats="0" applyAlignmentFormats="0" applyWidthHeightFormats="0" dataCaption="" updatedVersion="6" compact="0" compactData="0">
  <location ref="A3:C5" firstHeaderRow="1" firstDataRow="2" firstDataCol="1"/>
  <pivotFields count="24">
    <pivotField name="COD PUBLICO" compact="0" outline="0" multipleItemSelectionAllowed="1" showAll="0"/>
    <pivotField name="DESC PUBLICO" compact="0" outline="0" multipleItemSelectionAllowed="1" showAll="0"/>
    <pivotField name="COD SECAO" compact="0" outline="0" multipleItemSelectionAllowed="1" showAll="0"/>
    <pivotField name="DESC SECAO" compact="0" outline="0" multipleItemSelectionAllowed="1" showAll="0"/>
    <pivotField name="COD SORTIMENTO" compact="0" outline="0" multipleItemSelectionAllowed="1" showAll="0"/>
    <pivotField name="COD TAMANHO" compact="0" outline="0" multipleItemSelectionAllowed="1" showAll="0"/>
    <pivotField name="DESC TAMANHO" compact="0" outline="0" multipleItemSelectionAllowed="1" showAll="0"/>
    <pivotField name="PERFIL" compact="0" outline="0" multipleItemSelectionAllowed="1" showAll="0"/>
    <pivotField name="BANDEIRA" compact="0" outline="0" multipleItemSelectionAllowed="1" showAll="0"/>
    <pivotField name="LOCAL_NOVO" compact="0" outline="0" multipleItemSelectionAllowed="1" showAll="0"/>
    <pivotField name="LOCAL" compact="0" outline="0" multipleItemSelectionAllowed="1" showAll="0"/>
    <pivotField name="TAMANHO" compact="0" outline="0" multipleItemSelectionAllowed="1" showAll="0"/>
    <pivotField name="REGIÃO" compact="0" outline="0" multipleItemSelectionAllowed="1" showAll="0"/>
    <pivotField compact="0" outline="0" showAll="0" includeNewItemsInFilter="1"/>
    <pivotField name="CONCATENADO" compact="0" outline="0" multipleItemSelectionAllowed="1" showAll="0"/>
    <pivotField name="CONCATENADO2" compact="0" outline="0" multipleItemSelectionAllowed="1" showAll="0"/>
    <pivotField name="CONCATENADO3" compact="0" outline="0" multipleItemSelectionAllowed="1" showAll="0" sortType="ascending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95">
        <item x="0"/>
        <item m="1" x="9"/>
        <item m="1" x="7"/>
        <item m="1" x="33"/>
        <item m="1" x="14"/>
        <item m="1" x="72"/>
        <item m="1" x="12"/>
        <item m="1" x="45"/>
        <item m="1" x="76"/>
        <item m="1" x="35"/>
        <item m="1" x="80"/>
        <item m="1" x="37"/>
        <item m="1" x="27"/>
        <item m="1" x="20"/>
        <item m="1" x="3"/>
        <item m="1" x="16"/>
        <item m="1" x="5"/>
        <item m="1" x="53"/>
        <item m="1" x="82"/>
        <item m="1" x="51"/>
        <item m="1" x="18"/>
        <item m="1" x="83"/>
        <item m="1" x="19"/>
        <item m="1" x="2"/>
        <item m="1" x="1"/>
        <item m="1" x="78"/>
        <item m="1" x="4"/>
        <item m="1" x="81"/>
        <item m="1" x="71"/>
        <item m="1" x="42"/>
        <item m="1" x="60"/>
        <item m="1" x="85"/>
        <item m="1" x="87"/>
        <item m="1" x="58"/>
        <item m="1" x="24"/>
        <item m="1" x="40"/>
        <item m="1" x="55"/>
        <item m="1" x="22"/>
        <item m="1" x="32"/>
        <item m="1" x="31"/>
        <item m="1" x="79"/>
        <item m="1" x="23"/>
        <item m="1" x="77"/>
        <item m="1" x="26"/>
        <item m="1" x="75"/>
        <item m="1" x="69"/>
        <item m="1" x="68"/>
        <item m="1" x="73"/>
        <item m="1" x="70"/>
        <item m="1" x="64"/>
        <item m="1" x="8"/>
        <item m="1" x="65"/>
        <item m="1" x="74"/>
        <item m="1" x="61"/>
        <item m="1" x="63"/>
        <item m="1" x="46"/>
        <item m="1" x="49"/>
        <item m="1" x="28"/>
        <item m="1" x="93"/>
        <item m="1" x="91"/>
        <item m="1" x="90"/>
        <item m="1" x="15"/>
        <item m="1" x="43"/>
        <item m="1" x="50"/>
        <item m="1" x="84"/>
        <item m="1" x="6"/>
        <item m="1" x="17"/>
        <item m="1" x="67"/>
        <item m="1" x="10"/>
        <item m="1" x="54"/>
        <item m="1" x="92"/>
        <item m="1" x="44"/>
        <item m="1" x="21"/>
        <item m="1" x="41"/>
        <item m="1" x="39"/>
        <item m="1" x="11"/>
        <item m="1" x="59"/>
        <item m="1" x="56"/>
        <item m="1" x="34"/>
        <item m="1" x="66"/>
        <item m="1" x="57"/>
        <item m="1" x="30"/>
        <item m="1" x="86"/>
        <item m="1" x="25"/>
        <item m="1" x="52"/>
        <item m="1" x="36"/>
        <item m="1" x="13"/>
        <item m="1" x="89"/>
        <item m="1" x="38"/>
        <item m="1" x="48"/>
        <item m="1" x="29"/>
        <item m="1" x="62"/>
        <item m="1" x="88"/>
        <item m="1" x="47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</pivotFields>
  <rowItems count="1">
    <i/>
  </rowItems>
  <colFields count="1">
    <field x="19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EZ220"/>
  <sheetViews>
    <sheetView showGridLines="0" tabSelected="1" zoomScale="55" zoomScaleNormal="55" workbookViewId="0">
      <selection activeCell="F10" sqref="F10"/>
    </sheetView>
  </sheetViews>
  <sheetFormatPr defaultColWidth="12.625" defaultRowHeight="15" customHeight="1" x14ac:dyDescent="0.2"/>
  <cols>
    <col min="1" max="1" width="7.375" customWidth="1"/>
    <col min="2" max="2" width="13" customWidth="1"/>
    <col min="3" max="3" width="61.375" customWidth="1"/>
    <col min="4" max="4" width="18.625" customWidth="1"/>
    <col min="5" max="5" width="21.25" customWidth="1"/>
    <col min="6" max="7" width="39.5" customWidth="1"/>
    <col min="8" max="8" width="3.75" customWidth="1"/>
    <col min="9" max="11" width="14.25" customWidth="1"/>
    <col min="12" max="61" width="8.625" customWidth="1"/>
    <col min="62" max="62" width="15" customWidth="1"/>
    <col min="63" max="96" width="8.625" customWidth="1"/>
    <col min="97" max="97" width="12" customWidth="1"/>
    <col min="98" max="98" width="11.125" customWidth="1"/>
    <col min="99" max="111" width="9.5" customWidth="1"/>
    <col min="112" max="112" width="13.625" customWidth="1"/>
    <col min="113" max="113" width="9.75" customWidth="1"/>
    <col min="114" max="115" width="8.125" customWidth="1"/>
    <col min="116" max="116" width="10.125" customWidth="1"/>
    <col min="117" max="122" width="8.125" customWidth="1"/>
    <col min="123" max="123" width="10" customWidth="1"/>
    <col min="124" max="126" width="8.125" customWidth="1"/>
    <col min="127" max="127" width="12.875" customWidth="1"/>
    <col min="128" max="128" width="10.625" customWidth="1"/>
    <col min="129" max="141" width="9.25" customWidth="1"/>
    <col min="142" max="156" width="8.375" customWidth="1"/>
  </cols>
  <sheetData>
    <row r="1" spans="1:156" ht="15.75" customHeight="1" x14ac:dyDescent="0.25">
      <c r="A1" s="1"/>
      <c r="B1" s="2"/>
      <c r="C1" s="3"/>
      <c r="D1" s="2"/>
      <c r="E1" s="2"/>
      <c r="F1" s="2"/>
      <c r="G1" s="2"/>
      <c r="H1" s="2"/>
      <c r="I1" s="2"/>
      <c r="J1" s="2"/>
      <c r="K1" s="2"/>
      <c r="L1" s="88" t="s">
        <v>0</v>
      </c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7"/>
      <c r="AA1" s="89" t="s">
        <v>0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7"/>
      <c r="AO1" s="89" t="s">
        <v>0</v>
      </c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7"/>
      <c r="BC1" s="89" t="s">
        <v>0</v>
      </c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7"/>
      <c r="BR1" s="89" t="s">
        <v>0</v>
      </c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90"/>
      <c r="CF1" s="85" t="s">
        <v>1</v>
      </c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7"/>
      <c r="CU1" s="85" t="s">
        <v>1</v>
      </c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7"/>
      <c r="DJ1" s="85" t="s">
        <v>1</v>
      </c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7"/>
      <c r="DY1" s="85" t="s">
        <v>1</v>
      </c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7"/>
      <c r="EM1" s="85" t="s">
        <v>1</v>
      </c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7"/>
    </row>
    <row r="2" spans="1:156" ht="15.75" customHeight="1" x14ac:dyDescent="0.25">
      <c r="A2" s="1"/>
      <c r="B2" s="2"/>
      <c r="C2" s="3"/>
      <c r="D2" s="2"/>
      <c r="E2" s="2"/>
      <c r="F2" s="2"/>
      <c r="G2" s="4"/>
      <c r="H2" s="4"/>
      <c r="I2" s="4"/>
      <c r="J2" s="4"/>
      <c r="K2" s="4"/>
      <c r="L2" s="91" t="s">
        <v>2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7"/>
      <c r="AA2" s="91" t="s">
        <v>3</v>
      </c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7"/>
      <c r="AO2" s="91" t="s">
        <v>4</v>
      </c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7"/>
      <c r="BC2" s="91" t="s">
        <v>5</v>
      </c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7"/>
      <c r="BR2" s="91" t="s">
        <v>6</v>
      </c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  <c r="CD2" s="86"/>
      <c r="CE2" s="90"/>
      <c r="CF2" s="91" t="s">
        <v>2</v>
      </c>
      <c r="CG2" s="86"/>
      <c r="CH2" s="86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7"/>
      <c r="CU2" s="91" t="s">
        <v>3</v>
      </c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7"/>
      <c r="DJ2" s="91" t="s">
        <v>4</v>
      </c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7"/>
      <c r="DY2" s="91" t="s">
        <v>5</v>
      </c>
      <c r="DZ2" s="86"/>
      <c r="EA2" s="86"/>
      <c r="EB2" s="86"/>
      <c r="EC2" s="86"/>
      <c r="ED2" s="86"/>
      <c r="EE2" s="86"/>
      <c r="EF2" s="86"/>
      <c r="EG2" s="86"/>
      <c r="EH2" s="86"/>
      <c r="EI2" s="86"/>
      <c r="EJ2" s="86"/>
      <c r="EK2" s="86"/>
      <c r="EL2" s="87"/>
      <c r="EM2" s="91" t="s">
        <v>6</v>
      </c>
      <c r="EN2" s="86"/>
      <c r="EO2" s="86"/>
      <c r="EP2" s="86"/>
      <c r="EQ2" s="86"/>
      <c r="ER2" s="86"/>
      <c r="ES2" s="86"/>
      <c r="ET2" s="86"/>
      <c r="EU2" s="86"/>
      <c r="EV2" s="86"/>
      <c r="EW2" s="86"/>
      <c r="EX2" s="86"/>
      <c r="EY2" s="86"/>
      <c r="EZ2" s="87"/>
    </row>
    <row r="3" spans="1:156" ht="15.75" customHeight="1" x14ac:dyDescent="0.25">
      <c r="A3" s="1"/>
      <c r="B3" s="2"/>
      <c r="C3" s="3"/>
      <c r="D3" s="2"/>
      <c r="E3" s="2"/>
      <c r="F3" s="4"/>
      <c r="G3" s="2"/>
      <c r="H3" s="2"/>
      <c r="I3" s="2"/>
      <c r="J3" s="2"/>
      <c r="K3" s="2"/>
      <c r="L3" s="5" t="s">
        <v>7</v>
      </c>
      <c r="M3" s="5" t="s">
        <v>8</v>
      </c>
      <c r="N3" s="5" t="s">
        <v>9</v>
      </c>
      <c r="O3" s="5" t="s">
        <v>10</v>
      </c>
      <c r="P3" s="5" t="s">
        <v>11</v>
      </c>
      <c r="Q3" s="5" t="s">
        <v>12</v>
      </c>
      <c r="R3" s="5" t="s">
        <v>13</v>
      </c>
      <c r="S3" s="5" t="s">
        <v>10</v>
      </c>
      <c r="T3" s="5" t="s">
        <v>7</v>
      </c>
      <c r="U3" s="5" t="s">
        <v>8</v>
      </c>
      <c r="V3" s="5" t="s">
        <v>9</v>
      </c>
      <c r="W3" s="5" t="s">
        <v>10</v>
      </c>
      <c r="X3" s="5" t="s">
        <v>11</v>
      </c>
      <c r="Y3" s="5" t="s">
        <v>12</v>
      </c>
      <c r="Z3" s="5" t="s">
        <v>13</v>
      </c>
      <c r="AA3" s="5" t="s">
        <v>7</v>
      </c>
      <c r="AB3" s="5" t="s">
        <v>8</v>
      </c>
      <c r="AC3" s="5" t="s">
        <v>9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7</v>
      </c>
      <c r="AI3" s="5" t="s">
        <v>8</v>
      </c>
      <c r="AJ3" s="5" t="s">
        <v>9</v>
      </c>
      <c r="AK3" s="5" t="s">
        <v>10</v>
      </c>
      <c r="AL3" s="5" t="s">
        <v>11</v>
      </c>
      <c r="AM3" s="5" t="s">
        <v>12</v>
      </c>
      <c r="AN3" s="5" t="s">
        <v>13</v>
      </c>
      <c r="AO3" s="5" t="s">
        <v>7</v>
      </c>
      <c r="AP3" s="5" t="s">
        <v>8</v>
      </c>
      <c r="AQ3" s="5" t="s">
        <v>9</v>
      </c>
      <c r="AR3" s="5" t="s">
        <v>10</v>
      </c>
      <c r="AS3" s="5" t="s">
        <v>11</v>
      </c>
      <c r="AT3" s="5" t="s">
        <v>12</v>
      </c>
      <c r="AU3" s="6" t="s">
        <v>13</v>
      </c>
      <c r="AV3" s="5" t="s">
        <v>7</v>
      </c>
      <c r="AW3" s="5" t="s">
        <v>8</v>
      </c>
      <c r="AX3" s="5" t="s">
        <v>9</v>
      </c>
      <c r="AY3" s="5" t="s">
        <v>10</v>
      </c>
      <c r="AZ3" s="5" t="s">
        <v>11</v>
      </c>
      <c r="BA3" s="5" t="s">
        <v>12</v>
      </c>
      <c r="BB3" s="5" t="s">
        <v>13</v>
      </c>
      <c r="BC3" s="5" t="s">
        <v>7</v>
      </c>
      <c r="BD3" s="5" t="s">
        <v>8</v>
      </c>
      <c r="BE3" s="5" t="s">
        <v>9</v>
      </c>
      <c r="BF3" s="5" t="s">
        <v>10</v>
      </c>
      <c r="BG3" s="5" t="s">
        <v>11</v>
      </c>
      <c r="BH3" s="5" t="s">
        <v>12</v>
      </c>
      <c r="BI3" s="5" t="s">
        <v>13</v>
      </c>
      <c r="BJ3" s="5" t="s">
        <v>7</v>
      </c>
      <c r="BK3" s="5" t="s">
        <v>7</v>
      </c>
      <c r="BL3" s="5" t="s">
        <v>8</v>
      </c>
      <c r="BM3" s="5" t="s">
        <v>9</v>
      </c>
      <c r="BN3" s="5" t="s">
        <v>10</v>
      </c>
      <c r="BO3" s="5" t="s">
        <v>11</v>
      </c>
      <c r="BP3" s="5" t="s">
        <v>12</v>
      </c>
      <c r="BQ3" s="5" t="s">
        <v>13</v>
      </c>
      <c r="BR3" s="5" t="s">
        <v>7</v>
      </c>
      <c r="BS3" s="5" t="s">
        <v>8</v>
      </c>
      <c r="BT3" s="5" t="s">
        <v>9</v>
      </c>
      <c r="BU3" s="5" t="s">
        <v>10</v>
      </c>
      <c r="BV3" s="5" t="s">
        <v>11</v>
      </c>
      <c r="BW3" s="5" t="s">
        <v>12</v>
      </c>
      <c r="BX3" s="5" t="s">
        <v>13</v>
      </c>
      <c r="BY3" s="5" t="s">
        <v>7</v>
      </c>
      <c r="BZ3" s="5" t="s">
        <v>8</v>
      </c>
      <c r="CA3" s="5" t="s">
        <v>9</v>
      </c>
      <c r="CB3" s="5" t="s">
        <v>10</v>
      </c>
      <c r="CC3" s="5" t="s">
        <v>11</v>
      </c>
      <c r="CD3" s="5" t="s">
        <v>12</v>
      </c>
      <c r="CE3" s="5" t="s">
        <v>13</v>
      </c>
      <c r="CF3" s="5" t="s">
        <v>7</v>
      </c>
      <c r="CG3" s="5" t="s">
        <v>8</v>
      </c>
      <c r="CH3" s="5" t="s">
        <v>9</v>
      </c>
      <c r="CI3" s="5" t="s">
        <v>10</v>
      </c>
      <c r="CJ3" s="5" t="s">
        <v>11</v>
      </c>
      <c r="CK3" s="5" t="s">
        <v>12</v>
      </c>
      <c r="CL3" s="5" t="s">
        <v>13</v>
      </c>
      <c r="CM3" s="5" t="s">
        <v>7</v>
      </c>
      <c r="CN3" s="5" t="s">
        <v>8</v>
      </c>
      <c r="CO3" s="5" t="s">
        <v>9</v>
      </c>
      <c r="CP3" s="5" t="s">
        <v>10</v>
      </c>
      <c r="CQ3" s="5" t="s">
        <v>11</v>
      </c>
      <c r="CR3" s="5" t="s">
        <v>12</v>
      </c>
      <c r="CS3" s="5" t="s">
        <v>13</v>
      </c>
      <c r="CT3" s="5" t="s">
        <v>10</v>
      </c>
      <c r="CU3" s="5" t="s">
        <v>7</v>
      </c>
      <c r="CV3" s="5" t="s">
        <v>8</v>
      </c>
      <c r="CW3" s="5" t="s">
        <v>9</v>
      </c>
      <c r="CX3" s="5" t="s">
        <v>10</v>
      </c>
      <c r="CY3" s="5" t="s">
        <v>11</v>
      </c>
      <c r="CZ3" s="5" t="s">
        <v>12</v>
      </c>
      <c r="DA3" s="5" t="s">
        <v>13</v>
      </c>
      <c r="DB3" s="5" t="s">
        <v>7</v>
      </c>
      <c r="DC3" s="5" t="s">
        <v>8</v>
      </c>
      <c r="DD3" s="5" t="s">
        <v>9</v>
      </c>
      <c r="DE3" s="5" t="s">
        <v>10</v>
      </c>
      <c r="DF3" s="5" t="s">
        <v>11</v>
      </c>
      <c r="DG3" s="5" t="s">
        <v>12</v>
      </c>
      <c r="DH3" s="5" t="s">
        <v>13</v>
      </c>
      <c r="DI3" s="5" t="s">
        <v>10</v>
      </c>
      <c r="DJ3" s="5" t="s">
        <v>7</v>
      </c>
      <c r="DK3" s="5" t="s">
        <v>8</v>
      </c>
      <c r="DL3" s="5" t="s">
        <v>9</v>
      </c>
      <c r="DM3" s="5" t="s">
        <v>10</v>
      </c>
      <c r="DN3" s="5" t="s">
        <v>11</v>
      </c>
      <c r="DO3" s="5" t="s">
        <v>12</v>
      </c>
      <c r="DP3" s="5" t="s">
        <v>13</v>
      </c>
      <c r="DQ3" s="5" t="s">
        <v>7</v>
      </c>
      <c r="DR3" s="5" t="s">
        <v>8</v>
      </c>
      <c r="DS3" s="5" t="s">
        <v>9</v>
      </c>
      <c r="DT3" s="5" t="s">
        <v>10</v>
      </c>
      <c r="DU3" s="5" t="s">
        <v>11</v>
      </c>
      <c r="DV3" s="5" t="s">
        <v>12</v>
      </c>
      <c r="DW3" s="5" t="s">
        <v>13</v>
      </c>
      <c r="DX3" s="5" t="s">
        <v>10</v>
      </c>
      <c r="DY3" s="5" t="s">
        <v>7</v>
      </c>
      <c r="DZ3" s="5" t="s">
        <v>8</v>
      </c>
      <c r="EA3" s="5" t="s">
        <v>9</v>
      </c>
      <c r="EB3" s="5" t="s">
        <v>10</v>
      </c>
      <c r="EC3" s="5" t="s">
        <v>11</v>
      </c>
      <c r="ED3" s="5" t="s">
        <v>12</v>
      </c>
      <c r="EE3" s="5" t="s">
        <v>13</v>
      </c>
      <c r="EF3" s="5" t="s">
        <v>7</v>
      </c>
      <c r="EG3" s="5" t="s">
        <v>8</v>
      </c>
      <c r="EH3" s="5" t="s">
        <v>9</v>
      </c>
      <c r="EI3" s="5" t="s">
        <v>10</v>
      </c>
      <c r="EJ3" s="5" t="s">
        <v>11</v>
      </c>
      <c r="EK3" s="5" t="s">
        <v>12</v>
      </c>
      <c r="EL3" s="5" t="s">
        <v>13</v>
      </c>
      <c r="EM3" s="5" t="s">
        <v>7</v>
      </c>
      <c r="EN3" s="5" t="s">
        <v>8</v>
      </c>
      <c r="EO3" s="5" t="s">
        <v>9</v>
      </c>
      <c r="EP3" s="5" t="s">
        <v>10</v>
      </c>
      <c r="EQ3" s="5" t="s">
        <v>11</v>
      </c>
      <c r="ER3" s="5" t="s">
        <v>12</v>
      </c>
      <c r="ES3" s="5" t="s">
        <v>13</v>
      </c>
      <c r="ET3" s="5" t="s">
        <v>7</v>
      </c>
      <c r="EU3" s="5" t="s">
        <v>8</v>
      </c>
      <c r="EV3" s="5" t="s">
        <v>9</v>
      </c>
      <c r="EW3" s="5" t="s">
        <v>10</v>
      </c>
      <c r="EX3" s="5" t="s">
        <v>11</v>
      </c>
      <c r="EY3" s="5" t="s">
        <v>12</v>
      </c>
      <c r="EZ3" s="5" t="s">
        <v>13</v>
      </c>
    </row>
    <row r="4" spans="1:156" ht="15.75" customHeight="1" x14ac:dyDescent="0.25">
      <c r="A4" s="7"/>
      <c r="B4" s="8"/>
      <c r="C4" s="9"/>
      <c r="D4" s="2"/>
      <c r="E4" s="2"/>
      <c r="F4" s="2"/>
      <c r="G4" s="4"/>
      <c r="H4" s="4"/>
      <c r="I4" s="4"/>
      <c r="J4" s="4"/>
      <c r="K4" s="10" t="s">
        <v>14</v>
      </c>
      <c r="L4" s="91" t="s">
        <v>15</v>
      </c>
      <c r="M4" s="86"/>
      <c r="N4" s="86"/>
      <c r="O4" s="86"/>
      <c r="P4" s="86"/>
      <c r="Q4" s="86"/>
      <c r="R4" s="87"/>
      <c r="S4" s="6" t="s">
        <v>16</v>
      </c>
      <c r="T4" s="91" t="s">
        <v>17</v>
      </c>
      <c r="U4" s="86"/>
      <c r="V4" s="86"/>
      <c r="W4" s="86"/>
      <c r="X4" s="86"/>
      <c r="Y4" s="86"/>
      <c r="Z4" s="87"/>
      <c r="AA4" s="91" t="s">
        <v>15</v>
      </c>
      <c r="AB4" s="86"/>
      <c r="AC4" s="86"/>
      <c r="AD4" s="86"/>
      <c r="AE4" s="86"/>
      <c r="AF4" s="86"/>
      <c r="AG4" s="87"/>
      <c r="AH4" s="91" t="s">
        <v>17</v>
      </c>
      <c r="AI4" s="86"/>
      <c r="AJ4" s="86"/>
      <c r="AK4" s="86"/>
      <c r="AL4" s="86"/>
      <c r="AM4" s="86"/>
      <c r="AN4" s="87"/>
      <c r="AO4" s="91" t="s">
        <v>15</v>
      </c>
      <c r="AP4" s="86"/>
      <c r="AQ4" s="86"/>
      <c r="AR4" s="86"/>
      <c r="AS4" s="86"/>
      <c r="AT4" s="86"/>
      <c r="AU4" s="87"/>
      <c r="AV4" s="91" t="s">
        <v>17</v>
      </c>
      <c r="AW4" s="86"/>
      <c r="AX4" s="86"/>
      <c r="AY4" s="86"/>
      <c r="AZ4" s="86"/>
      <c r="BA4" s="86"/>
      <c r="BB4" s="87"/>
      <c r="BC4" s="91" t="s">
        <v>15</v>
      </c>
      <c r="BD4" s="86"/>
      <c r="BE4" s="86"/>
      <c r="BF4" s="86"/>
      <c r="BG4" s="86"/>
      <c r="BH4" s="86"/>
      <c r="BI4" s="87"/>
      <c r="BJ4" s="11" t="s">
        <v>18</v>
      </c>
      <c r="BK4" s="91" t="s">
        <v>17</v>
      </c>
      <c r="BL4" s="86"/>
      <c r="BM4" s="86"/>
      <c r="BN4" s="86"/>
      <c r="BO4" s="86"/>
      <c r="BP4" s="86"/>
      <c r="BQ4" s="87"/>
      <c r="BR4" s="91" t="s">
        <v>15</v>
      </c>
      <c r="BS4" s="86"/>
      <c r="BT4" s="86"/>
      <c r="BU4" s="86"/>
      <c r="BV4" s="86"/>
      <c r="BW4" s="86"/>
      <c r="BX4" s="87"/>
      <c r="BY4" s="91" t="s">
        <v>17</v>
      </c>
      <c r="BZ4" s="86"/>
      <c r="CA4" s="86"/>
      <c r="CB4" s="86"/>
      <c r="CC4" s="86"/>
      <c r="CD4" s="86"/>
      <c r="CE4" s="87"/>
      <c r="CF4" s="91" t="s">
        <v>15</v>
      </c>
      <c r="CG4" s="86"/>
      <c r="CH4" s="86"/>
      <c r="CI4" s="86"/>
      <c r="CJ4" s="86"/>
      <c r="CK4" s="86"/>
      <c r="CL4" s="87"/>
      <c r="CM4" s="91" t="s">
        <v>17</v>
      </c>
      <c r="CN4" s="86"/>
      <c r="CO4" s="86"/>
      <c r="CP4" s="86"/>
      <c r="CQ4" s="86"/>
      <c r="CR4" s="86"/>
      <c r="CS4" s="87"/>
      <c r="CT4" s="12" t="s">
        <v>19</v>
      </c>
      <c r="CU4" s="91" t="s">
        <v>15</v>
      </c>
      <c r="CV4" s="86"/>
      <c r="CW4" s="86"/>
      <c r="CX4" s="86"/>
      <c r="CY4" s="86"/>
      <c r="CZ4" s="86"/>
      <c r="DA4" s="87"/>
      <c r="DB4" s="91" t="s">
        <v>17</v>
      </c>
      <c r="DC4" s="86"/>
      <c r="DD4" s="86"/>
      <c r="DE4" s="86"/>
      <c r="DF4" s="86"/>
      <c r="DG4" s="86"/>
      <c r="DH4" s="87"/>
      <c r="DI4" s="12" t="s">
        <v>19</v>
      </c>
      <c r="DJ4" s="91" t="s">
        <v>15</v>
      </c>
      <c r="DK4" s="86"/>
      <c r="DL4" s="86"/>
      <c r="DM4" s="86"/>
      <c r="DN4" s="86"/>
      <c r="DO4" s="86"/>
      <c r="DP4" s="87"/>
      <c r="DQ4" s="91" t="s">
        <v>17</v>
      </c>
      <c r="DR4" s="86"/>
      <c r="DS4" s="86"/>
      <c r="DT4" s="86"/>
      <c r="DU4" s="86"/>
      <c r="DV4" s="86"/>
      <c r="DW4" s="87"/>
      <c r="DX4" s="12" t="s">
        <v>19</v>
      </c>
      <c r="DY4" s="91" t="s">
        <v>15</v>
      </c>
      <c r="DZ4" s="86"/>
      <c r="EA4" s="86"/>
      <c r="EB4" s="86"/>
      <c r="EC4" s="86"/>
      <c r="ED4" s="86"/>
      <c r="EE4" s="87"/>
      <c r="EF4" s="91" t="s">
        <v>17</v>
      </c>
      <c r="EG4" s="86"/>
      <c r="EH4" s="86"/>
      <c r="EI4" s="86"/>
      <c r="EJ4" s="86"/>
      <c r="EK4" s="86"/>
      <c r="EL4" s="87"/>
      <c r="EM4" s="91" t="s">
        <v>15</v>
      </c>
      <c r="EN4" s="86"/>
      <c r="EO4" s="86"/>
      <c r="EP4" s="86"/>
      <c r="EQ4" s="86"/>
      <c r="ER4" s="86"/>
      <c r="ES4" s="87"/>
      <c r="ET4" s="91" t="s">
        <v>17</v>
      </c>
      <c r="EU4" s="86"/>
      <c r="EV4" s="86"/>
      <c r="EW4" s="86"/>
      <c r="EX4" s="86"/>
      <c r="EY4" s="86"/>
      <c r="EZ4" s="87"/>
    </row>
    <row r="5" spans="1:156" ht="15.75" customHeight="1" x14ac:dyDescent="0.25">
      <c r="A5" s="1"/>
      <c r="B5" s="9"/>
      <c r="C5" s="9" t="str">
        <f>IF(OR(L5&gt;L8,M5&gt;M8,N5&gt;N8,O5&gt;O8,P5&gt;P8,AU5&gt;AU8,Q5&gt;Q8,R5&gt;R8,S5&gt;S8,T5&gt;T8,U5&gt;U8,V5&gt;V8,W5&gt;W8,X5&gt;X8,Y5&gt;Y8,Z5&gt;Z8,AA5&gt;AA8,AB5&gt;AB8,AC5&gt;AC8,AD5&gt;AD8,AE5&gt;AE8,AF5&gt;AF8,AG5&gt;AG8,AH5&gt;AH8,AI5&gt;AI8),"Os itens obrigatórios seperam o número 'ideal' em algum(ns) tamanhos ----&gt;","")</f>
        <v/>
      </c>
      <c r="D5" s="2"/>
      <c r="E5" s="2"/>
      <c r="F5" s="2"/>
      <c r="G5" s="4"/>
      <c r="H5" s="4"/>
      <c r="I5" s="4"/>
      <c r="J5" s="4"/>
      <c r="K5" s="13" t="s">
        <v>20</v>
      </c>
      <c r="L5" s="14">
        <f>COUNTIF(L17:L439,1)</f>
        <v>0</v>
      </c>
      <c r="M5" s="14">
        <f t="shared" ref="M5:BX5" si="0">COUNTIF(M17:M439,1)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  <c r="BT5" s="14">
        <f t="shared" si="0"/>
        <v>0</v>
      </c>
      <c r="BU5" s="14">
        <f t="shared" si="0"/>
        <v>0</v>
      </c>
      <c r="BV5" s="14">
        <f t="shared" si="0"/>
        <v>0</v>
      </c>
      <c r="BW5" s="14">
        <f t="shared" si="0"/>
        <v>0</v>
      </c>
      <c r="BX5" s="14">
        <f t="shared" si="0"/>
        <v>0</v>
      </c>
      <c r="BY5" s="14">
        <f t="shared" ref="BY5:EJ5" si="1">COUNTIF(BY17:BY439,1)</f>
        <v>0</v>
      </c>
      <c r="BZ5" s="14">
        <f t="shared" si="1"/>
        <v>0</v>
      </c>
      <c r="CA5" s="14">
        <f t="shared" si="1"/>
        <v>0</v>
      </c>
      <c r="CB5" s="14">
        <f t="shared" si="1"/>
        <v>0</v>
      </c>
      <c r="CC5" s="14">
        <f t="shared" si="1"/>
        <v>0</v>
      </c>
      <c r="CD5" s="14">
        <f t="shared" si="1"/>
        <v>0</v>
      </c>
      <c r="CE5" s="14">
        <f t="shared" si="1"/>
        <v>0</v>
      </c>
      <c r="CF5" s="14">
        <f t="shared" si="1"/>
        <v>0</v>
      </c>
      <c r="CG5" s="14">
        <f t="shared" si="1"/>
        <v>0</v>
      </c>
      <c r="CH5" s="14">
        <f t="shared" si="1"/>
        <v>0</v>
      </c>
      <c r="CI5" s="14">
        <f t="shared" si="1"/>
        <v>0</v>
      </c>
      <c r="CJ5" s="14">
        <f t="shared" si="1"/>
        <v>0</v>
      </c>
      <c r="CK5" s="14">
        <f t="shared" si="1"/>
        <v>0</v>
      </c>
      <c r="CL5" s="14">
        <f t="shared" si="1"/>
        <v>0</v>
      </c>
      <c r="CM5" s="14">
        <f t="shared" si="1"/>
        <v>0</v>
      </c>
      <c r="CN5" s="14">
        <f t="shared" si="1"/>
        <v>0</v>
      </c>
      <c r="CO5" s="14">
        <f t="shared" si="1"/>
        <v>0</v>
      </c>
      <c r="CP5" s="14">
        <f t="shared" si="1"/>
        <v>0</v>
      </c>
      <c r="CQ5" s="14">
        <f t="shared" si="1"/>
        <v>0</v>
      </c>
      <c r="CR5" s="14">
        <f t="shared" si="1"/>
        <v>0</v>
      </c>
      <c r="CS5" s="14">
        <f t="shared" si="1"/>
        <v>0</v>
      </c>
      <c r="CT5" s="14">
        <f t="shared" si="1"/>
        <v>0</v>
      </c>
      <c r="CU5" s="14">
        <f t="shared" si="1"/>
        <v>0</v>
      </c>
      <c r="CV5" s="14">
        <f t="shared" si="1"/>
        <v>0</v>
      </c>
      <c r="CW5" s="14">
        <f t="shared" si="1"/>
        <v>0</v>
      </c>
      <c r="CX5" s="14">
        <f t="shared" si="1"/>
        <v>0</v>
      </c>
      <c r="CY5" s="14">
        <f t="shared" si="1"/>
        <v>0</v>
      </c>
      <c r="CZ5" s="14">
        <f t="shared" si="1"/>
        <v>0</v>
      </c>
      <c r="DA5" s="14">
        <f t="shared" si="1"/>
        <v>0</v>
      </c>
      <c r="DB5" s="14">
        <f t="shared" si="1"/>
        <v>0</v>
      </c>
      <c r="DC5" s="14">
        <f t="shared" si="1"/>
        <v>0</v>
      </c>
      <c r="DD5" s="14">
        <f t="shared" si="1"/>
        <v>0</v>
      </c>
      <c r="DE5" s="14">
        <f t="shared" si="1"/>
        <v>0</v>
      </c>
      <c r="DF5" s="14">
        <f t="shared" si="1"/>
        <v>0</v>
      </c>
      <c r="DG5" s="14">
        <f t="shared" si="1"/>
        <v>0</v>
      </c>
      <c r="DH5" s="14">
        <f t="shared" si="1"/>
        <v>0</v>
      </c>
      <c r="DI5" s="14">
        <f t="shared" si="1"/>
        <v>0</v>
      </c>
      <c r="DJ5" s="14">
        <f t="shared" si="1"/>
        <v>0</v>
      </c>
      <c r="DK5" s="14">
        <f t="shared" si="1"/>
        <v>0</v>
      </c>
      <c r="DL5" s="14">
        <f t="shared" si="1"/>
        <v>0</v>
      </c>
      <c r="DM5" s="14">
        <f t="shared" si="1"/>
        <v>0</v>
      </c>
      <c r="DN5" s="14">
        <f t="shared" si="1"/>
        <v>0</v>
      </c>
      <c r="DO5" s="14">
        <f t="shared" si="1"/>
        <v>0</v>
      </c>
      <c r="DP5" s="14">
        <f t="shared" si="1"/>
        <v>0</v>
      </c>
      <c r="DQ5" s="14">
        <f t="shared" si="1"/>
        <v>0</v>
      </c>
      <c r="DR5" s="14">
        <f t="shared" si="1"/>
        <v>0</v>
      </c>
      <c r="DS5" s="14">
        <f t="shared" si="1"/>
        <v>0</v>
      </c>
      <c r="DT5" s="14">
        <f t="shared" si="1"/>
        <v>0</v>
      </c>
      <c r="DU5" s="14">
        <f t="shared" si="1"/>
        <v>0</v>
      </c>
      <c r="DV5" s="14">
        <f t="shared" si="1"/>
        <v>0</v>
      </c>
      <c r="DW5" s="14">
        <f t="shared" si="1"/>
        <v>0</v>
      </c>
      <c r="DX5" s="14">
        <f t="shared" si="1"/>
        <v>0</v>
      </c>
      <c r="DY5" s="14">
        <f t="shared" si="1"/>
        <v>0</v>
      </c>
      <c r="DZ5" s="14">
        <f t="shared" si="1"/>
        <v>0</v>
      </c>
      <c r="EA5" s="14">
        <f t="shared" si="1"/>
        <v>0</v>
      </c>
      <c r="EB5" s="14">
        <f t="shared" si="1"/>
        <v>0</v>
      </c>
      <c r="EC5" s="14">
        <f t="shared" si="1"/>
        <v>0</v>
      </c>
      <c r="ED5" s="14">
        <f t="shared" si="1"/>
        <v>0</v>
      </c>
      <c r="EE5" s="14">
        <f t="shared" si="1"/>
        <v>0</v>
      </c>
      <c r="EF5" s="14">
        <f t="shared" si="1"/>
        <v>0</v>
      </c>
      <c r="EG5" s="14">
        <f t="shared" si="1"/>
        <v>0</v>
      </c>
      <c r="EH5" s="14">
        <f t="shared" si="1"/>
        <v>0</v>
      </c>
      <c r="EI5" s="14">
        <f t="shared" si="1"/>
        <v>0</v>
      </c>
      <c r="EJ5" s="14">
        <f t="shared" si="1"/>
        <v>0</v>
      </c>
      <c r="EK5" s="14">
        <f t="shared" ref="EK5:EZ5" si="2">COUNTIF(EK17:EK439,1)</f>
        <v>0</v>
      </c>
      <c r="EL5" s="14">
        <f t="shared" si="2"/>
        <v>0</v>
      </c>
      <c r="EM5" s="14">
        <f t="shared" si="2"/>
        <v>0</v>
      </c>
      <c r="EN5" s="14">
        <f t="shared" si="2"/>
        <v>0</v>
      </c>
      <c r="EO5" s="14">
        <f t="shared" si="2"/>
        <v>0</v>
      </c>
      <c r="EP5" s="14">
        <f t="shared" si="2"/>
        <v>0</v>
      </c>
      <c r="EQ5" s="14">
        <f t="shared" si="2"/>
        <v>0</v>
      </c>
      <c r="ER5" s="14">
        <f t="shared" si="2"/>
        <v>0</v>
      </c>
      <c r="ES5" s="14">
        <f t="shared" si="2"/>
        <v>0</v>
      </c>
      <c r="ET5" s="14">
        <f t="shared" si="2"/>
        <v>0</v>
      </c>
      <c r="EU5" s="14">
        <f t="shared" si="2"/>
        <v>0</v>
      </c>
      <c r="EV5" s="14">
        <f t="shared" si="2"/>
        <v>0</v>
      </c>
      <c r="EW5" s="14">
        <f t="shared" si="2"/>
        <v>0</v>
      </c>
      <c r="EX5" s="14">
        <f t="shared" si="2"/>
        <v>0</v>
      </c>
      <c r="EY5" s="14">
        <f t="shared" si="2"/>
        <v>0</v>
      </c>
      <c r="EZ5" s="14">
        <f t="shared" si="2"/>
        <v>0</v>
      </c>
    </row>
    <row r="6" spans="1:156" ht="15.75" customHeight="1" x14ac:dyDescent="0.25">
      <c r="A6" s="1"/>
      <c r="B6" s="2"/>
      <c r="C6" s="3"/>
      <c r="D6" s="2"/>
      <c r="E6" s="2"/>
      <c r="F6" s="2"/>
      <c r="G6" s="4"/>
      <c r="H6" s="4"/>
      <c r="I6" s="4"/>
      <c r="J6" s="4"/>
      <c r="K6" s="13" t="s">
        <v>21</v>
      </c>
      <c r="L6" s="15">
        <f>COUNTIF(L17:L411,3)</f>
        <v>0</v>
      </c>
      <c r="M6" s="15">
        <f t="shared" ref="M6:BX6" si="3">COUNTIF(M17:M411,3)</f>
        <v>0</v>
      </c>
      <c r="N6" s="15">
        <f t="shared" si="3"/>
        <v>0</v>
      </c>
      <c r="O6" s="15">
        <f t="shared" si="3"/>
        <v>0</v>
      </c>
      <c r="P6" s="15">
        <f t="shared" si="3"/>
        <v>0</v>
      </c>
      <c r="Q6" s="15">
        <f t="shared" si="3"/>
        <v>0</v>
      </c>
      <c r="R6" s="15">
        <f t="shared" si="3"/>
        <v>0</v>
      </c>
      <c r="S6" s="15">
        <f t="shared" si="3"/>
        <v>0</v>
      </c>
      <c r="T6" s="15">
        <f t="shared" si="3"/>
        <v>0</v>
      </c>
      <c r="U6" s="15">
        <f t="shared" si="3"/>
        <v>0</v>
      </c>
      <c r="V6" s="15">
        <f t="shared" si="3"/>
        <v>0</v>
      </c>
      <c r="W6" s="15">
        <f t="shared" si="3"/>
        <v>0</v>
      </c>
      <c r="X6" s="15">
        <f t="shared" si="3"/>
        <v>0</v>
      </c>
      <c r="Y6" s="15">
        <f t="shared" si="3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3"/>
        <v>0</v>
      </c>
      <c r="AK6" s="15">
        <f t="shared" si="3"/>
        <v>0</v>
      </c>
      <c r="AL6" s="15">
        <f t="shared" si="3"/>
        <v>0</v>
      </c>
      <c r="AM6" s="15">
        <f t="shared" si="3"/>
        <v>0</v>
      </c>
      <c r="AN6" s="15">
        <f t="shared" si="3"/>
        <v>0</v>
      </c>
      <c r="AO6" s="15">
        <f t="shared" si="3"/>
        <v>0</v>
      </c>
      <c r="AP6" s="15">
        <f t="shared" si="3"/>
        <v>0</v>
      </c>
      <c r="AQ6" s="15">
        <f t="shared" si="3"/>
        <v>0</v>
      </c>
      <c r="AR6" s="15">
        <f t="shared" si="3"/>
        <v>0</v>
      </c>
      <c r="AS6" s="15">
        <f t="shared" si="3"/>
        <v>0</v>
      </c>
      <c r="AT6" s="15">
        <f t="shared" si="3"/>
        <v>0</v>
      </c>
      <c r="AU6" s="15">
        <f t="shared" si="3"/>
        <v>0</v>
      </c>
      <c r="AV6" s="15">
        <f t="shared" si="3"/>
        <v>0</v>
      </c>
      <c r="AW6" s="15">
        <f t="shared" si="3"/>
        <v>0</v>
      </c>
      <c r="AX6" s="15">
        <f t="shared" si="3"/>
        <v>0</v>
      </c>
      <c r="AY6" s="15">
        <f t="shared" si="3"/>
        <v>0</v>
      </c>
      <c r="AZ6" s="15">
        <f t="shared" si="3"/>
        <v>0</v>
      </c>
      <c r="BA6" s="15">
        <f t="shared" si="3"/>
        <v>0</v>
      </c>
      <c r="BB6" s="15">
        <f t="shared" si="3"/>
        <v>0</v>
      </c>
      <c r="BC6" s="15">
        <f t="shared" si="3"/>
        <v>0</v>
      </c>
      <c r="BD6" s="15">
        <f t="shared" si="3"/>
        <v>0</v>
      </c>
      <c r="BE6" s="15">
        <f t="shared" si="3"/>
        <v>0</v>
      </c>
      <c r="BF6" s="15">
        <f t="shared" si="3"/>
        <v>0</v>
      </c>
      <c r="BG6" s="15">
        <f t="shared" si="3"/>
        <v>0</v>
      </c>
      <c r="BH6" s="15">
        <f t="shared" si="3"/>
        <v>0</v>
      </c>
      <c r="BI6" s="15">
        <f t="shared" si="3"/>
        <v>0</v>
      </c>
      <c r="BJ6" s="15">
        <f t="shared" si="3"/>
        <v>0</v>
      </c>
      <c r="BK6" s="15">
        <f t="shared" si="3"/>
        <v>0</v>
      </c>
      <c r="BL6" s="15">
        <f t="shared" si="3"/>
        <v>0</v>
      </c>
      <c r="BM6" s="15">
        <f t="shared" si="3"/>
        <v>0</v>
      </c>
      <c r="BN6" s="15">
        <f t="shared" si="3"/>
        <v>0</v>
      </c>
      <c r="BO6" s="15">
        <f t="shared" si="3"/>
        <v>0</v>
      </c>
      <c r="BP6" s="15">
        <f t="shared" si="3"/>
        <v>0</v>
      </c>
      <c r="BQ6" s="15">
        <f t="shared" si="3"/>
        <v>0</v>
      </c>
      <c r="BR6" s="15">
        <f t="shared" si="3"/>
        <v>0</v>
      </c>
      <c r="BS6" s="15">
        <f t="shared" si="3"/>
        <v>0</v>
      </c>
      <c r="BT6" s="15">
        <f t="shared" si="3"/>
        <v>0</v>
      </c>
      <c r="BU6" s="15">
        <f t="shared" si="3"/>
        <v>0</v>
      </c>
      <c r="BV6" s="15">
        <f t="shared" si="3"/>
        <v>0</v>
      </c>
      <c r="BW6" s="15">
        <f t="shared" si="3"/>
        <v>0</v>
      </c>
      <c r="BX6" s="15">
        <f t="shared" si="3"/>
        <v>0</v>
      </c>
      <c r="BY6" s="15">
        <f t="shared" ref="BY6:EJ6" si="4">COUNTIF(BY17:BY411,3)</f>
        <v>0</v>
      </c>
      <c r="BZ6" s="15">
        <f t="shared" si="4"/>
        <v>0</v>
      </c>
      <c r="CA6" s="15">
        <f t="shared" si="4"/>
        <v>0</v>
      </c>
      <c r="CB6" s="15">
        <f t="shared" si="4"/>
        <v>0</v>
      </c>
      <c r="CC6" s="15">
        <f t="shared" si="4"/>
        <v>0</v>
      </c>
      <c r="CD6" s="15">
        <f t="shared" si="4"/>
        <v>0</v>
      </c>
      <c r="CE6" s="15">
        <f t="shared" si="4"/>
        <v>0</v>
      </c>
      <c r="CF6" s="15">
        <f t="shared" si="4"/>
        <v>0</v>
      </c>
      <c r="CG6" s="15">
        <f t="shared" si="4"/>
        <v>0</v>
      </c>
      <c r="CH6" s="15">
        <f t="shared" si="4"/>
        <v>0</v>
      </c>
      <c r="CI6" s="15">
        <f t="shared" si="4"/>
        <v>0</v>
      </c>
      <c r="CJ6" s="15">
        <f t="shared" si="4"/>
        <v>0</v>
      </c>
      <c r="CK6" s="15">
        <f t="shared" si="4"/>
        <v>0</v>
      </c>
      <c r="CL6" s="15">
        <f t="shared" si="4"/>
        <v>0</v>
      </c>
      <c r="CM6" s="15">
        <f t="shared" si="4"/>
        <v>0</v>
      </c>
      <c r="CN6" s="15">
        <f t="shared" si="4"/>
        <v>0</v>
      </c>
      <c r="CO6" s="15">
        <f t="shared" si="4"/>
        <v>0</v>
      </c>
      <c r="CP6" s="15">
        <f t="shared" si="4"/>
        <v>0</v>
      </c>
      <c r="CQ6" s="15">
        <f t="shared" si="4"/>
        <v>0</v>
      </c>
      <c r="CR6" s="15">
        <f t="shared" si="4"/>
        <v>0</v>
      </c>
      <c r="CS6" s="15">
        <f t="shared" si="4"/>
        <v>0</v>
      </c>
      <c r="CT6" s="15">
        <f t="shared" si="4"/>
        <v>0</v>
      </c>
      <c r="CU6" s="15">
        <f t="shared" si="4"/>
        <v>0</v>
      </c>
      <c r="CV6" s="15">
        <f t="shared" si="4"/>
        <v>0</v>
      </c>
      <c r="CW6" s="15">
        <f t="shared" si="4"/>
        <v>0</v>
      </c>
      <c r="CX6" s="15">
        <f t="shared" si="4"/>
        <v>0</v>
      </c>
      <c r="CY6" s="15">
        <f t="shared" si="4"/>
        <v>0</v>
      </c>
      <c r="CZ6" s="15">
        <f t="shared" si="4"/>
        <v>0</v>
      </c>
      <c r="DA6" s="15">
        <f t="shared" si="4"/>
        <v>0</v>
      </c>
      <c r="DB6" s="15">
        <f t="shared" si="4"/>
        <v>0</v>
      </c>
      <c r="DC6" s="15">
        <f t="shared" si="4"/>
        <v>0</v>
      </c>
      <c r="DD6" s="15">
        <f t="shared" si="4"/>
        <v>0</v>
      </c>
      <c r="DE6" s="15">
        <f t="shared" si="4"/>
        <v>0</v>
      </c>
      <c r="DF6" s="15">
        <f t="shared" si="4"/>
        <v>0</v>
      </c>
      <c r="DG6" s="15">
        <f t="shared" si="4"/>
        <v>0</v>
      </c>
      <c r="DH6" s="15">
        <f t="shared" si="4"/>
        <v>0</v>
      </c>
      <c r="DI6" s="15">
        <f t="shared" si="4"/>
        <v>0</v>
      </c>
      <c r="DJ6" s="15">
        <f t="shared" si="4"/>
        <v>0</v>
      </c>
      <c r="DK6" s="15">
        <f t="shared" si="4"/>
        <v>0</v>
      </c>
      <c r="DL6" s="15">
        <f t="shared" si="4"/>
        <v>0</v>
      </c>
      <c r="DM6" s="15">
        <f t="shared" si="4"/>
        <v>0</v>
      </c>
      <c r="DN6" s="15">
        <f t="shared" si="4"/>
        <v>0</v>
      </c>
      <c r="DO6" s="15">
        <f t="shared" si="4"/>
        <v>0</v>
      </c>
      <c r="DP6" s="15">
        <f t="shared" si="4"/>
        <v>0</v>
      </c>
      <c r="DQ6" s="15">
        <f t="shared" si="4"/>
        <v>0</v>
      </c>
      <c r="DR6" s="15">
        <f t="shared" si="4"/>
        <v>0</v>
      </c>
      <c r="DS6" s="15">
        <f t="shared" si="4"/>
        <v>0</v>
      </c>
      <c r="DT6" s="15">
        <f t="shared" si="4"/>
        <v>0</v>
      </c>
      <c r="DU6" s="15">
        <f t="shared" si="4"/>
        <v>0</v>
      </c>
      <c r="DV6" s="15">
        <f t="shared" si="4"/>
        <v>0</v>
      </c>
      <c r="DW6" s="15">
        <f t="shared" si="4"/>
        <v>0</v>
      </c>
      <c r="DX6" s="15">
        <f t="shared" si="4"/>
        <v>0</v>
      </c>
      <c r="DY6" s="15">
        <f t="shared" si="4"/>
        <v>0</v>
      </c>
      <c r="DZ6" s="15">
        <f t="shared" si="4"/>
        <v>0</v>
      </c>
      <c r="EA6" s="15">
        <f t="shared" si="4"/>
        <v>0</v>
      </c>
      <c r="EB6" s="15">
        <f t="shared" si="4"/>
        <v>0</v>
      </c>
      <c r="EC6" s="15">
        <f t="shared" si="4"/>
        <v>0</v>
      </c>
      <c r="ED6" s="15">
        <f t="shared" si="4"/>
        <v>0</v>
      </c>
      <c r="EE6" s="15">
        <f t="shared" si="4"/>
        <v>0</v>
      </c>
      <c r="EF6" s="15">
        <f t="shared" si="4"/>
        <v>0</v>
      </c>
      <c r="EG6" s="15">
        <f t="shared" si="4"/>
        <v>0</v>
      </c>
      <c r="EH6" s="15">
        <f t="shared" si="4"/>
        <v>0</v>
      </c>
      <c r="EI6" s="15">
        <f t="shared" si="4"/>
        <v>0</v>
      </c>
      <c r="EJ6" s="15">
        <f t="shared" si="4"/>
        <v>0</v>
      </c>
      <c r="EK6" s="15">
        <f t="shared" ref="EK6:EZ6" si="5">COUNTIF(EK17:EK411,3)</f>
        <v>0</v>
      </c>
      <c r="EL6" s="15">
        <f t="shared" si="5"/>
        <v>0</v>
      </c>
      <c r="EM6" s="15">
        <f t="shared" si="5"/>
        <v>0</v>
      </c>
      <c r="EN6" s="15">
        <f t="shared" si="5"/>
        <v>0</v>
      </c>
      <c r="EO6" s="15">
        <f t="shared" si="5"/>
        <v>0</v>
      </c>
      <c r="EP6" s="15">
        <f t="shared" si="5"/>
        <v>0</v>
      </c>
      <c r="EQ6" s="15">
        <f t="shared" si="5"/>
        <v>0</v>
      </c>
      <c r="ER6" s="15">
        <f t="shared" si="5"/>
        <v>0</v>
      </c>
      <c r="ES6" s="15">
        <f t="shared" si="5"/>
        <v>0</v>
      </c>
      <c r="ET6" s="15">
        <f t="shared" si="5"/>
        <v>0</v>
      </c>
      <c r="EU6" s="15">
        <f t="shared" si="5"/>
        <v>0</v>
      </c>
      <c r="EV6" s="15">
        <f t="shared" si="5"/>
        <v>0</v>
      </c>
      <c r="EW6" s="15">
        <f t="shared" si="5"/>
        <v>0</v>
      </c>
      <c r="EX6" s="15">
        <f t="shared" si="5"/>
        <v>0</v>
      </c>
      <c r="EY6" s="15">
        <f t="shared" si="5"/>
        <v>0</v>
      </c>
      <c r="EZ6" s="15">
        <f t="shared" si="5"/>
        <v>0</v>
      </c>
    </row>
    <row r="7" spans="1:156" ht="15.75" customHeight="1" x14ac:dyDescent="0.25">
      <c r="A7" s="2"/>
      <c r="B7" s="2"/>
      <c r="C7" s="2"/>
      <c r="D7" s="2"/>
      <c r="E7" s="2"/>
      <c r="F7" s="2"/>
      <c r="G7" s="4"/>
      <c r="H7" s="4"/>
      <c r="I7" s="4"/>
      <c r="J7" s="4"/>
      <c r="K7" s="13" t="s">
        <v>22</v>
      </c>
      <c r="L7" s="16">
        <f t="shared" ref="L7:EY7" si="6">(L5+L6)</f>
        <v>0</v>
      </c>
      <c r="M7" s="16">
        <f t="shared" si="6"/>
        <v>0</v>
      </c>
      <c r="N7" s="16">
        <f t="shared" si="6"/>
        <v>0</v>
      </c>
      <c r="O7" s="16">
        <f t="shared" si="6"/>
        <v>0</v>
      </c>
      <c r="P7" s="16">
        <f t="shared" si="6"/>
        <v>0</v>
      </c>
      <c r="Q7" s="16">
        <f t="shared" si="6"/>
        <v>0</v>
      </c>
      <c r="R7" s="16">
        <f t="shared" si="6"/>
        <v>0</v>
      </c>
      <c r="S7" s="16">
        <f t="shared" si="6"/>
        <v>0</v>
      </c>
      <c r="T7" s="16">
        <f t="shared" si="6"/>
        <v>0</v>
      </c>
      <c r="U7" s="16">
        <f t="shared" si="6"/>
        <v>0</v>
      </c>
      <c r="V7" s="16">
        <f t="shared" si="6"/>
        <v>0</v>
      </c>
      <c r="W7" s="16">
        <f t="shared" si="6"/>
        <v>0</v>
      </c>
      <c r="X7" s="16">
        <f t="shared" si="6"/>
        <v>0</v>
      </c>
      <c r="Y7" s="16">
        <f t="shared" si="6"/>
        <v>0</v>
      </c>
      <c r="Z7" s="16">
        <f t="shared" si="6"/>
        <v>0</v>
      </c>
      <c r="AA7" s="16">
        <f t="shared" si="6"/>
        <v>0</v>
      </c>
      <c r="AB7" s="16">
        <f t="shared" si="6"/>
        <v>0</v>
      </c>
      <c r="AC7" s="16">
        <f t="shared" si="6"/>
        <v>0</v>
      </c>
      <c r="AD7" s="16">
        <f t="shared" si="6"/>
        <v>0</v>
      </c>
      <c r="AE7" s="16">
        <f t="shared" si="6"/>
        <v>0</v>
      </c>
      <c r="AF7" s="16">
        <f t="shared" si="6"/>
        <v>0</v>
      </c>
      <c r="AG7" s="16">
        <f t="shared" si="6"/>
        <v>0</v>
      </c>
      <c r="AH7" s="16">
        <f t="shared" si="6"/>
        <v>0</v>
      </c>
      <c r="AI7" s="16">
        <f t="shared" si="6"/>
        <v>0</v>
      </c>
      <c r="AJ7" s="16">
        <f t="shared" si="6"/>
        <v>0</v>
      </c>
      <c r="AK7" s="16">
        <f t="shared" si="6"/>
        <v>0</v>
      </c>
      <c r="AL7" s="16">
        <f t="shared" si="6"/>
        <v>0</v>
      </c>
      <c r="AM7" s="16">
        <f t="shared" si="6"/>
        <v>0</v>
      </c>
      <c r="AN7" s="16">
        <f t="shared" si="6"/>
        <v>0</v>
      </c>
      <c r="AO7" s="16">
        <f t="shared" si="6"/>
        <v>0</v>
      </c>
      <c r="AP7" s="16">
        <f t="shared" si="6"/>
        <v>0</v>
      </c>
      <c r="AQ7" s="16">
        <f t="shared" si="6"/>
        <v>0</v>
      </c>
      <c r="AR7" s="16">
        <f t="shared" si="6"/>
        <v>0</v>
      </c>
      <c r="AS7" s="16">
        <f t="shared" si="6"/>
        <v>0</v>
      </c>
      <c r="AT7" s="16">
        <f t="shared" si="6"/>
        <v>0</v>
      </c>
      <c r="AU7" s="16">
        <f t="shared" si="6"/>
        <v>0</v>
      </c>
      <c r="AV7" s="16">
        <f t="shared" si="6"/>
        <v>0</v>
      </c>
      <c r="AW7" s="16">
        <f t="shared" si="6"/>
        <v>0</v>
      </c>
      <c r="AX7" s="16">
        <f t="shared" si="6"/>
        <v>0</v>
      </c>
      <c r="AY7" s="16">
        <f t="shared" si="6"/>
        <v>0</v>
      </c>
      <c r="AZ7" s="16">
        <f t="shared" si="6"/>
        <v>0</v>
      </c>
      <c r="BA7" s="16">
        <f t="shared" si="6"/>
        <v>0</v>
      </c>
      <c r="BB7" s="16">
        <f t="shared" si="6"/>
        <v>0</v>
      </c>
      <c r="BC7" s="16">
        <f t="shared" si="6"/>
        <v>0</v>
      </c>
      <c r="BD7" s="16">
        <f t="shared" si="6"/>
        <v>0</v>
      </c>
      <c r="BE7" s="16">
        <f t="shared" si="6"/>
        <v>0</v>
      </c>
      <c r="BF7" s="16">
        <f t="shared" si="6"/>
        <v>0</v>
      </c>
      <c r="BG7" s="16">
        <f t="shared" si="6"/>
        <v>0</v>
      </c>
      <c r="BH7" s="16">
        <f t="shared" si="6"/>
        <v>0</v>
      </c>
      <c r="BI7" s="16">
        <f t="shared" si="6"/>
        <v>0</v>
      </c>
      <c r="BJ7" s="16">
        <f t="shared" si="6"/>
        <v>0</v>
      </c>
      <c r="BK7" s="16">
        <f t="shared" si="6"/>
        <v>0</v>
      </c>
      <c r="BL7" s="16">
        <f t="shared" si="6"/>
        <v>0</v>
      </c>
      <c r="BM7" s="16">
        <f t="shared" si="6"/>
        <v>0</v>
      </c>
      <c r="BN7" s="16">
        <f t="shared" si="6"/>
        <v>0</v>
      </c>
      <c r="BO7" s="16">
        <f t="shared" si="6"/>
        <v>0</v>
      </c>
      <c r="BP7" s="16">
        <f t="shared" si="6"/>
        <v>0</v>
      </c>
      <c r="BQ7" s="16">
        <f t="shared" si="6"/>
        <v>0</v>
      </c>
      <c r="BR7" s="16">
        <f t="shared" si="6"/>
        <v>0</v>
      </c>
      <c r="BS7" s="16">
        <f t="shared" si="6"/>
        <v>0</v>
      </c>
      <c r="BT7" s="16">
        <f t="shared" si="6"/>
        <v>0</v>
      </c>
      <c r="BU7" s="16">
        <f t="shared" si="6"/>
        <v>0</v>
      </c>
      <c r="BV7" s="16">
        <f t="shared" si="6"/>
        <v>0</v>
      </c>
      <c r="BW7" s="16">
        <f t="shared" si="6"/>
        <v>0</v>
      </c>
      <c r="BX7" s="16">
        <f t="shared" si="6"/>
        <v>0</v>
      </c>
      <c r="BY7" s="16">
        <f t="shared" si="6"/>
        <v>0</v>
      </c>
      <c r="BZ7" s="16">
        <f t="shared" si="6"/>
        <v>0</v>
      </c>
      <c r="CA7" s="16">
        <f t="shared" si="6"/>
        <v>0</v>
      </c>
      <c r="CB7" s="16">
        <f t="shared" si="6"/>
        <v>0</v>
      </c>
      <c r="CC7" s="16">
        <f t="shared" si="6"/>
        <v>0</v>
      </c>
      <c r="CD7" s="16">
        <f t="shared" si="6"/>
        <v>0</v>
      </c>
      <c r="CE7" s="16">
        <f t="shared" si="6"/>
        <v>0</v>
      </c>
      <c r="CF7" s="16">
        <f t="shared" si="6"/>
        <v>0</v>
      </c>
      <c r="CG7" s="16">
        <f t="shared" si="6"/>
        <v>0</v>
      </c>
      <c r="CH7" s="16">
        <f t="shared" si="6"/>
        <v>0</v>
      </c>
      <c r="CI7" s="16">
        <f t="shared" si="6"/>
        <v>0</v>
      </c>
      <c r="CJ7" s="16">
        <f t="shared" si="6"/>
        <v>0</v>
      </c>
      <c r="CK7" s="16">
        <f t="shared" si="6"/>
        <v>0</v>
      </c>
      <c r="CL7" s="16">
        <f t="shared" si="6"/>
        <v>0</v>
      </c>
      <c r="CM7" s="16">
        <f t="shared" si="6"/>
        <v>0</v>
      </c>
      <c r="CN7" s="16">
        <f t="shared" si="6"/>
        <v>0</v>
      </c>
      <c r="CO7" s="16">
        <f t="shared" si="6"/>
        <v>0</v>
      </c>
      <c r="CP7" s="16">
        <f t="shared" si="6"/>
        <v>0</v>
      </c>
      <c r="CQ7" s="16">
        <f t="shared" si="6"/>
        <v>0</v>
      </c>
      <c r="CR7" s="16">
        <f t="shared" si="6"/>
        <v>0</v>
      </c>
      <c r="CS7" s="16">
        <f t="shared" si="6"/>
        <v>0</v>
      </c>
      <c r="CT7" s="16">
        <f t="shared" si="6"/>
        <v>0</v>
      </c>
      <c r="CU7" s="16">
        <f t="shared" si="6"/>
        <v>0</v>
      </c>
      <c r="CV7" s="16">
        <f t="shared" si="6"/>
        <v>0</v>
      </c>
      <c r="CW7" s="16">
        <f t="shared" si="6"/>
        <v>0</v>
      </c>
      <c r="CX7" s="16">
        <f t="shared" si="6"/>
        <v>0</v>
      </c>
      <c r="CY7" s="16">
        <f t="shared" si="6"/>
        <v>0</v>
      </c>
      <c r="CZ7" s="16">
        <f t="shared" si="6"/>
        <v>0</v>
      </c>
      <c r="DA7" s="16">
        <f t="shared" si="6"/>
        <v>0</v>
      </c>
      <c r="DB7" s="16">
        <f t="shared" si="6"/>
        <v>0</v>
      </c>
      <c r="DC7" s="16">
        <f t="shared" si="6"/>
        <v>0</v>
      </c>
      <c r="DD7" s="16">
        <f t="shared" si="6"/>
        <v>0</v>
      </c>
      <c r="DE7" s="16">
        <f t="shared" si="6"/>
        <v>0</v>
      </c>
      <c r="DF7" s="16">
        <f t="shared" si="6"/>
        <v>0</v>
      </c>
      <c r="DG7" s="16">
        <f t="shared" si="6"/>
        <v>0</v>
      </c>
      <c r="DH7" s="16">
        <f t="shared" si="6"/>
        <v>0</v>
      </c>
      <c r="DI7" s="16">
        <f t="shared" si="6"/>
        <v>0</v>
      </c>
      <c r="DJ7" s="16">
        <f t="shared" si="6"/>
        <v>0</v>
      </c>
      <c r="DK7" s="16">
        <f t="shared" si="6"/>
        <v>0</v>
      </c>
      <c r="DL7" s="16">
        <f t="shared" si="6"/>
        <v>0</v>
      </c>
      <c r="DM7" s="16">
        <f t="shared" si="6"/>
        <v>0</v>
      </c>
      <c r="DN7" s="16">
        <f t="shared" si="6"/>
        <v>0</v>
      </c>
      <c r="DO7" s="16">
        <f t="shared" si="6"/>
        <v>0</v>
      </c>
      <c r="DP7" s="16">
        <f t="shared" si="6"/>
        <v>0</v>
      </c>
      <c r="DQ7" s="16">
        <f t="shared" si="6"/>
        <v>0</v>
      </c>
      <c r="DR7" s="16">
        <f t="shared" si="6"/>
        <v>0</v>
      </c>
      <c r="DS7" s="16">
        <f t="shared" si="6"/>
        <v>0</v>
      </c>
      <c r="DT7" s="16">
        <f t="shared" si="6"/>
        <v>0</v>
      </c>
      <c r="DU7" s="16">
        <f t="shared" si="6"/>
        <v>0</v>
      </c>
      <c r="DV7" s="16">
        <f t="shared" si="6"/>
        <v>0</v>
      </c>
      <c r="DW7" s="16">
        <f t="shared" si="6"/>
        <v>0</v>
      </c>
      <c r="DX7" s="16">
        <f t="shared" si="6"/>
        <v>0</v>
      </c>
      <c r="DY7" s="16">
        <f t="shared" si="6"/>
        <v>0</v>
      </c>
      <c r="DZ7" s="16">
        <f t="shared" si="6"/>
        <v>0</v>
      </c>
      <c r="EA7" s="16">
        <f t="shared" si="6"/>
        <v>0</v>
      </c>
      <c r="EB7" s="16">
        <f t="shared" si="6"/>
        <v>0</v>
      </c>
      <c r="EC7" s="16">
        <f t="shared" si="6"/>
        <v>0</v>
      </c>
      <c r="ED7" s="16">
        <f t="shared" si="6"/>
        <v>0</v>
      </c>
      <c r="EE7" s="16">
        <f t="shared" si="6"/>
        <v>0</v>
      </c>
      <c r="EF7" s="16">
        <f t="shared" si="6"/>
        <v>0</v>
      </c>
      <c r="EG7" s="16">
        <f t="shared" si="6"/>
        <v>0</v>
      </c>
      <c r="EH7" s="16">
        <f t="shared" si="6"/>
        <v>0</v>
      </c>
      <c r="EI7" s="16">
        <f t="shared" si="6"/>
        <v>0</v>
      </c>
      <c r="EJ7" s="16">
        <f t="shared" si="6"/>
        <v>0</v>
      </c>
      <c r="EK7" s="16">
        <f t="shared" si="6"/>
        <v>0</v>
      </c>
      <c r="EL7" s="16">
        <f t="shared" si="6"/>
        <v>0</v>
      </c>
      <c r="EM7" s="16">
        <f t="shared" si="6"/>
        <v>0</v>
      </c>
      <c r="EN7" s="16">
        <f t="shared" si="6"/>
        <v>0</v>
      </c>
      <c r="EO7" s="16">
        <f t="shared" si="6"/>
        <v>0</v>
      </c>
      <c r="EP7" s="16">
        <f t="shared" si="6"/>
        <v>0</v>
      </c>
      <c r="EQ7" s="16">
        <f t="shared" si="6"/>
        <v>0</v>
      </c>
      <c r="ER7" s="16">
        <f t="shared" si="6"/>
        <v>0</v>
      </c>
      <c r="ES7" s="16">
        <f t="shared" si="6"/>
        <v>0</v>
      </c>
      <c r="ET7" s="16">
        <f t="shared" si="6"/>
        <v>0</v>
      </c>
      <c r="EU7" s="16">
        <f t="shared" si="6"/>
        <v>0</v>
      </c>
      <c r="EV7" s="16">
        <f t="shared" si="6"/>
        <v>0</v>
      </c>
      <c r="EW7" s="16">
        <f t="shared" si="6"/>
        <v>0</v>
      </c>
      <c r="EX7" s="16">
        <f t="shared" si="6"/>
        <v>0</v>
      </c>
      <c r="EY7" s="16">
        <f t="shared" si="6"/>
        <v>0</v>
      </c>
      <c r="EZ7" s="16">
        <f t="shared" ref="EZ7" si="7">(EZ5+EZ6)</f>
        <v>0</v>
      </c>
    </row>
    <row r="8" spans="1:156" ht="21" customHeight="1" x14ac:dyDescent="0.25">
      <c r="A8" s="2"/>
      <c r="B8" s="2"/>
      <c r="C8" s="3"/>
      <c r="D8" s="2"/>
      <c r="E8" s="2"/>
      <c r="F8" s="2"/>
      <c r="G8" s="17"/>
      <c r="H8" s="17"/>
      <c r="I8" s="17"/>
      <c r="J8" s="17"/>
      <c r="K8" s="17" t="s">
        <v>23</v>
      </c>
      <c r="L8" s="18">
        <v>21</v>
      </c>
      <c r="M8" s="18">
        <v>112</v>
      </c>
      <c r="N8" s="18">
        <v>5</v>
      </c>
      <c r="O8" s="18">
        <v>147</v>
      </c>
      <c r="P8" s="18">
        <v>147</v>
      </c>
      <c r="Q8" s="18">
        <v>147</v>
      </c>
      <c r="R8" s="18">
        <v>132</v>
      </c>
      <c r="S8" s="18">
        <v>132</v>
      </c>
      <c r="T8" s="18">
        <v>0</v>
      </c>
      <c r="U8" s="18">
        <v>147</v>
      </c>
      <c r="V8" s="18">
        <v>147</v>
      </c>
      <c r="W8" s="18">
        <v>92</v>
      </c>
      <c r="X8" s="18">
        <v>106</v>
      </c>
      <c r="Y8" s="18">
        <v>8</v>
      </c>
      <c r="Z8" s="18">
        <v>143</v>
      </c>
      <c r="AA8" s="18">
        <v>140</v>
      </c>
      <c r="AB8" s="18">
        <v>9</v>
      </c>
      <c r="AC8" s="18">
        <v>144</v>
      </c>
      <c r="AD8" s="18">
        <v>152</v>
      </c>
      <c r="AE8" s="18">
        <v>6</v>
      </c>
      <c r="AF8" s="18">
        <v>131</v>
      </c>
      <c r="AG8" s="18">
        <v>131</v>
      </c>
      <c r="AH8" s="18">
        <v>151</v>
      </c>
      <c r="AI8" s="18">
        <v>151</v>
      </c>
      <c r="AJ8" s="18">
        <v>151</v>
      </c>
      <c r="AK8" s="18">
        <v>151</v>
      </c>
      <c r="AL8" s="18">
        <v>151</v>
      </c>
      <c r="AM8" s="18">
        <v>151</v>
      </c>
      <c r="AN8" s="18">
        <v>151</v>
      </c>
      <c r="AO8" s="18">
        <v>151</v>
      </c>
      <c r="AP8" s="18">
        <v>151</v>
      </c>
      <c r="AQ8" s="18">
        <v>151</v>
      </c>
      <c r="AR8" s="18">
        <v>151</v>
      </c>
      <c r="AS8" s="18">
        <v>151</v>
      </c>
      <c r="AT8" s="18">
        <v>151</v>
      </c>
      <c r="AU8" s="18">
        <v>152</v>
      </c>
      <c r="AV8" s="18">
        <v>151</v>
      </c>
      <c r="AW8" s="18">
        <v>151</v>
      </c>
      <c r="AX8" s="18">
        <v>151</v>
      </c>
      <c r="AY8" s="18">
        <v>151</v>
      </c>
      <c r="AZ8" s="18">
        <v>151</v>
      </c>
      <c r="BA8" s="18">
        <v>151</v>
      </c>
      <c r="BB8" s="18">
        <v>151</v>
      </c>
      <c r="BC8" s="18">
        <v>151</v>
      </c>
      <c r="BD8" s="18">
        <v>151</v>
      </c>
      <c r="BE8" s="18">
        <v>151</v>
      </c>
      <c r="BF8" s="18">
        <v>151</v>
      </c>
      <c r="BG8" s="18">
        <v>151</v>
      </c>
      <c r="BH8" s="18">
        <v>151</v>
      </c>
      <c r="BI8" s="18">
        <v>151</v>
      </c>
      <c r="BJ8" s="18">
        <v>151</v>
      </c>
      <c r="BK8" s="18">
        <v>151</v>
      </c>
      <c r="BL8" s="18">
        <v>151</v>
      </c>
      <c r="BM8" s="18">
        <v>151</v>
      </c>
      <c r="BN8" s="18">
        <v>151</v>
      </c>
      <c r="BO8" s="18">
        <v>151</v>
      </c>
      <c r="BP8" s="18">
        <v>151</v>
      </c>
      <c r="BQ8" s="18">
        <v>151</v>
      </c>
      <c r="BR8" s="18">
        <v>151</v>
      </c>
      <c r="BS8" s="18">
        <v>151</v>
      </c>
      <c r="BT8" s="18">
        <v>151</v>
      </c>
      <c r="BU8" s="18">
        <v>151</v>
      </c>
      <c r="BV8" s="18">
        <v>151</v>
      </c>
      <c r="BW8" s="18">
        <v>151</v>
      </c>
      <c r="BX8" s="18">
        <v>151</v>
      </c>
      <c r="BY8" s="18">
        <v>151</v>
      </c>
      <c r="BZ8" s="18">
        <v>151</v>
      </c>
      <c r="CA8" s="18">
        <v>151</v>
      </c>
      <c r="CB8" s="18">
        <v>151</v>
      </c>
      <c r="CC8" s="18">
        <v>151</v>
      </c>
      <c r="CD8" s="18">
        <v>151</v>
      </c>
      <c r="CE8" s="18">
        <v>151</v>
      </c>
      <c r="CF8" s="18">
        <v>151</v>
      </c>
      <c r="CG8" s="18">
        <v>151</v>
      </c>
      <c r="CH8" s="18">
        <v>151</v>
      </c>
      <c r="CI8" s="18">
        <v>151</v>
      </c>
      <c r="CJ8" s="18">
        <v>151</v>
      </c>
      <c r="CK8" s="18">
        <v>151</v>
      </c>
      <c r="CL8" s="18">
        <v>151</v>
      </c>
      <c r="CM8" s="18">
        <v>151</v>
      </c>
      <c r="CN8" s="18">
        <v>151</v>
      </c>
      <c r="CO8" s="18">
        <v>151</v>
      </c>
      <c r="CP8" s="18">
        <v>151</v>
      </c>
      <c r="CQ8" s="18">
        <v>151</v>
      </c>
      <c r="CR8" s="18">
        <v>151</v>
      </c>
      <c r="CS8" s="18">
        <v>151</v>
      </c>
      <c r="CT8" s="18">
        <v>151</v>
      </c>
      <c r="CU8" s="18">
        <v>151</v>
      </c>
      <c r="CV8" s="18">
        <v>151</v>
      </c>
      <c r="CW8" s="18">
        <v>151</v>
      </c>
      <c r="CX8" s="18">
        <v>151</v>
      </c>
      <c r="CY8" s="18">
        <v>151</v>
      </c>
      <c r="CZ8" s="18">
        <v>151</v>
      </c>
      <c r="DA8" s="18">
        <v>151</v>
      </c>
      <c r="DB8" s="18">
        <v>151</v>
      </c>
      <c r="DC8" s="18">
        <v>151</v>
      </c>
      <c r="DD8" s="18">
        <v>151</v>
      </c>
      <c r="DE8" s="18">
        <v>151</v>
      </c>
      <c r="DF8" s="18">
        <v>151</v>
      </c>
      <c r="DG8" s="18">
        <v>151</v>
      </c>
      <c r="DH8" s="18">
        <v>151</v>
      </c>
      <c r="DI8" s="18">
        <v>151</v>
      </c>
      <c r="DJ8" s="18">
        <v>151</v>
      </c>
      <c r="DK8" s="18">
        <v>151</v>
      </c>
      <c r="DL8" s="18">
        <v>151</v>
      </c>
      <c r="DM8" s="18">
        <v>151</v>
      </c>
      <c r="DN8" s="18">
        <v>151</v>
      </c>
      <c r="DO8" s="18">
        <v>151</v>
      </c>
      <c r="DP8" s="18">
        <v>151</v>
      </c>
      <c r="DQ8" s="18">
        <v>151</v>
      </c>
      <c r="DR8" s="18">
        <v>151</v>
      </c>
      <c r="DS8" s="18">
        <v>151</v>
      </c>
      <c r="DT8" s="18">
        <v>151</v>
      </c>
      <c r="DU8" s="18">
        <v>151</v>
      </c>
      <c r="DV8" s="18">
        <v>151</v>
      </c>
      <c r="DW8" s="18">
        <v>151</v>
      </c>
      <c r="DX8" s="18">
        <v>151</v>
      </c>
      <c r="DY8" s="18">
        <v>151</v>
      </c>
      <c r="DZ8" s="18">
        <v>151</v>
      </c>
      <c r="EA8" s="18">
        <v>151</v>
      </c>
      <c r="EB8" s="18">
        <v>151</v>
      </c>
      <c r="EC8" s="18">
        <v>151</v>
      </c>
      <c r="ED8" s="18">
        <v>151</v>
      </c>
      <c r="EE8" s="18">
        <v>151</v>
      </c>
      <c r="EF8" s="18">
        <v>151</v>
      </c>
      <c r="EG8" s="18">
        <v>151</v>
      </c>
      <c r="EH8" s="18">
        <v>151</v>
      </c>
      <c r="EI8" s="18">
        <v>151</v>
      </c>
      <c r="EJ8" s="18">
        <v>151</v>
      </c>
      <c r="EK8" s="18">
        <v>151</v>
      </c>
      <c r="EL8" s="18">
        <v>151</v>
      </c>
      <c r="EM8" s="18">
        <v>151</v>
      </c>
      <c r="EN8" s="18">
        <v>151</v>
      </c>
      <c r="EO8" s="18">
        <v>151</v>
      </c>
      <c r="EP8" s="18">
        <v>151</v>
      </c>
      <c r="EQ8" s="18">
        <v>151</v>
      </c>
      <c r="ER8" s="18">
        <v>151</v>
      </c>
      <c r="ES8" s="18">
        <v>151</v>
      </c>
      <c r="ET8" s="18">
        <v>151</v>
      </c>
      <c r="EU8" s="18">
        <v>151</v>
      </c>
      <c r="EV8" s="18">
        <v>151</v>
      </c>
      <c r="EW8" s="18">
        <v>151</v>
      </c>
      <c r="EX8" s="18">
        <v>151</v>
      </c>
      <c r="EY8" s="18">
        <v>151</v>
      </c>
      <c r="EZ8" s="18">
        <v>151</v>
      </c>
    </row>
    <row r="9" spans="1:156" ht="15.75" customHeight="1" x14ac:dyDescent="0.25">
      <c r="A9" s="19"/>
      <c r="B9" s="19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</row>
    <row r="10" spans="1:156" ht="21" customHeight="1" x14ac:dyDescent="0.25">
      <c r="A10" s="2"/>
      <c r="B10" s="21" t="s">
        <v>24</v>
      </c>
      <c r="C10" s="22">
        <f>SORTEMP!B2</f>
        <v>0</v>
      </c>
      <c r="D10" s="2"/>
      <c r="E10" s="2"/>
      <c r="F10" s="4"/>
      <c r="G10" s="4"/>
      <c r="H10" s="4"/>
      <c r="I10" s="4"/>
      <c r="J10" s="4"/>
      <c r="K10" s="4"/>
      <c r="L10" s="88" t="s">
        <v>0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7"/>
      <c r="AA10" s="89" t="s">
        <v>0</v>
      </c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7"/>
      <c r="AO10" s="89" t="s">
        <v>0</v>
      </c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7"/>
      <c r="BC10" s="89" t="s">
        <v>0</v>
      </c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7"/>
      <c r="BR10" s="89" t="s">
        <v>0</v>
      </c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90"/>
      <c r="CF10" s="85" t="s">
        <v>1</v>
      </c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6"/>
      <c r="CT10" s="87"/>
      <c r="CU10" s="85" t="s">
        <v>1</v>
      </c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7"/>
      <c r="DJ10" s="85" t="s">
        <v>1</v>
      </c>
      <c r="DK10" s="86"/>
      <c r="DL10" s="86"/>
      <c r="DM10" s="86"/>
      <c r="DN10" s="86"/>
      <c r="DO10" s="86"/>
      <c r="DP10" s="86"/>
      <c r="DQ10" s="86"/>
      <c r="DR10" s="86"/>
      <c r="DS10" s="86"/>
      <c r="DT10" s="86"/>
      <c r="DU10" s="86"/>
      <c r="DV10" s="86"/>
      <c r="DW10" s="86"/>
      <c r="DX10" s="87"/>
      <c r="DY10" s="85" t="s">
        <v>1</v>
      </c>
      <c r="DZ10" s="86"/>
      <c r="EA10" s="86"/>
      <c r="EB10" s="86"/>
      <c r="EC10" s="86"/>
      <c r="ED10" s="86"/>
      <c r="EE10" s="86"/>
      <c r="EF10" s="86"/>
      <c r="EG10" s="86"/>
      <c r="EH10" s="86"/>
      <c r="EI10" s="86"/>
      <c r="EJ10" s="86"/>
      <c r="EK10" s="86"/>
      <c r="EL10" s="87"/>
      <c r="EM10" s="85" t="s">
        <v>1</v>
      </c>
      <c r="EN10" s="86"/>
      <c r="EO10" s="86"/>
      <c r="EP10" s="86"/>
      <c r="EQ10" s="86"/>
      <c r="ER10" s="86"/>
      <c r="ES10" s="86"/>
      <c r="ET10" s="86"/>
      <c r="EU10" s="86"/>
      <c r="EV10" s="86"/>
      <c r="EW10" s="86"/>
      <c r="EX10" s="86"/>
      <c r="EY10" s="86"/>
      <c r="EZ10" s="87"/>
    </row>
    <row r="11" spans="1:156" ht="21" customHeight="1" x14ac:dyDescent="0.25">
      <c r="A11" s="2"/>
      <c r="B11" s="2"/>
      <c r="C11" s="23"/>
      <c r="D11" s="2"/>
      <c r="E11" s="2"/>
      <c r="F11" s="4"/>
      <c r="G11" s="4"/>
      <c r="H11" s="4"/>
      <c r="I11" s="4"/>
      <c r="J11" s="4"/>
      <c r="K11" s="4"/>
      <c r="L11" s="91" t="s">
        <v>2</v>
      </c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7"/>
      <c r="AA11" s="91" t="s">
        <v>3</v>
      </c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7"/>
      <c r="AO11" s="91" t="s">
        <v>4</v>
      </c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7"/>
      <c r="BC11" s="91" t="s">
        <v>5</v>
      </c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7"/>
      <c r="BR11" s="91" t="s">
        <v>6</v>
      </c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90"/>
      <c r="CF11" s="91" t="s">
        <v>2</v>
      </c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7"/>
      <c r="CU11" s="91" t="s">
        <v>3</v>
      </c>
      <c r="CV11" s="86"/>
      <c r="CW11" s="86"/>
      <c r="CX11" s="86"/>
      <c r="CY11" s="86"/>
      <c r="CZ11" s="86"/>
      <c r="DA11" s="86"/>
      <c r="DB11" s="86"/>
      <c r="DC11" s="86"/>
      <c r="DD11" s="86"/>
      <c r="DE11" s="86"/>
      <c r="DF11" s="86"/>
      <c r="DG11" s="86"/>
      <c r="DH11" s="86"/>
      <c r="DI11" s="87"/>
      <c r="DJ11" s="91" t="s">
        <v>4</v>
      </c>
      <c r="DK11" s="86"/>
      <c r="DL11" s="86"/>
      <c r="DM11" s="86"/>
      <c r="DN11" s="86"/>
      <c r="DO11" s="86"/>
      <c r="DP11" s="86"/>
      <c r="DQ11" s="86"/>
      <c r="DR11" s="86"/>
      <c r="DS11" s="86"/>
      <c r="DT11" s="86"/>
      <c r="DU11" s="86"/>
      <c r="DV11" s="86"/>
      <c r="DW11" s="86"/>
      <c r="DX11" s="87"/>
      <c r="DY11" s="91" t="s">
        <v>5</v>
      </c>
      <c r="DZ11" s="86"/>
      <c r="EA11" s="86"/>
      <c r="EB11" s="86"/>
      <c r="EC11" s="86"/>
      <c r="ED11" s="86"/>
      <c r="EE11" s="86"/>
      <c r="EF11" s="86"/>
      <c r="EG11" s="86"/>
      <c r="EH11" s="86"/>
      <c r="EI11" s="86"/>
      <c r="EJ11" s="86"/>
      <c r="EK11" s="86"/>
      <c r="EL11" s="87"/>
      <c r="EM11" s="91" t="s">
        <v>6</v>
      </c>
      <c r="EN11" s="86"/>
      <c r="EO11" s="86"/>
      <c r="EP11" s="86"/>
      <c r="EQ11" s="86"/>
      <c r="ER11" s="86"/>
      <c r="ES11" s="86"/>
      <c r="ET11" s="86"/>
      <c r="EU11" s="86"/>
      <c r="EV11" s="86"/>
      <c r="EW11" s="86"/>
      <c r="EX11" s="86"/>
      <c r="EY11" s="86"/>
      <c r="EZ11" s="87"/>
    </row>
    <row r="12" spans="1:156" ht="15.75" customHeight="1" x14ac:dyDescent="0.25">
      <c r="A12" s="24"/>
      <c r="B12" s="24"/>
      <c r="C12" s="25"/>
      <c r="D12" s="24"/>
      <c r="E12" s="24"/>
      <c r="F12" s="26"/>
      <c r="G12" s="26"/>
      <c r="H12" s="4"/>
      <c r="I12" s="24"/>
      <c r="J12" s="26"/>
      <c r="K12" s="26"/>
      <c r="L12" s="5" t="s">
        <v>7</v>
      </c>
      <c r="M12" s="5" t="s">
        <v>8</v>
      </c>
      <c r="N12" s="5" t="s">
        <v>9</v>
      </c>
      <c r="O12" s="5" t="s">
        <v>10</v>
      </c>
      <c r="P12" s="5" t="s">
        <v>11</v>
      </c>
      <c r="Q12" s="5" t="s">
        <v>12</v>
      </c>
      <c r="R12" s="5" t="s">
        <v>13</v>
      </c>
      <c r="S12" s="5" t="s">
        <v>10</v>
      </c>
      <c r="T12" s="5" t="s">
        <v>7</v>
      </c>
      <c r="U12" s="5" t="s">
        <v>8</v>
      </c>
      <c r="V12" s="5" t="s">
        <v>9</v>
      </c>
      <c r="W12" s="5" t="s">
        <v>10</v>
      </c>
      <c r="X12" s="5" t="s">
        <v>11</v>
      </c>
      <c r="Y12" s="5" t="s">
        <v>12</v>
      </c>
      <c r="Z12" s="5" t="s">
        <v>13</v>
      </c>
      <c r="AA12" s="5" t="s">
        <v>7</v>
      </c>
      <c r="AB12" s="5" t="s">
        <v>8</v>
      </c>
      <c r="AC12" s="5" t="s">
        <v>9</v>
      </c>
      <c r="AD12" s="5" t="s">
        <v>10</v>
      </c>
      <c r="AE12" s="5" t="s">
        <v>11</v>
      </c>
      <c r="AF12" s="5" t="s">
        <v>12</v>
      </c>
      <c r="AG12" s="5" t="s">
        <v>13</v>
      </c>
      <c r="AH12" s="5" t="s">
        <v>7</v>
      </c>
      <c r="AI12" s="5" t="s">
        <v>8</v>
      </c>
      <c r="AJ12" s="5" t="s">
        <v>9</v>
      </c>
      <c r="AK12" s="5" t="s">
        <v>10</v>
      </c>
      <c r="AL12" s="5" t="s">
        <v>11</v>
      </c>
      <c r="AM12" s="5" t="s">
        <v>12</v>
      </c>
      <c r="AN12" s="5" t="s">
        <v>13</v>
      </c>
      <c r="AO12" s="5" t="s">
        <v>7</v>
      </c>
      <c r="AP12" s="5" t="s">
        <v>8</v>
      </c>
      <c r="AQ12" s="5" t="s">
        <v>9</v>
      </c>
      <c r="AR12" s="5" t="s">
        <v>10</v>
      </c>
      <c r="AS12" s="5" t="s">
        <v>11</v>
      </c>
      <c r="AT12" s="5" t="s">
        <v>12</v>
      </c>
      <c r="AU12" s="6" t="s">
        <v>13</v>
      </c>
      <c r="AV12" s="5" t="s">
        <v>7</v>
      </c>
      <c r="AW12" s="5" t="s">
        <v>8</v>
      </c>
      <c r="AX12" s="5" t="s">
        <v>9</v>
      </c>
      <c r="AY12" s="5" t="s">
        <v>10</v>
      </c>
      <c r="AZ12" s="5" t="s">
        <v>11</v>
      </c>
      <c r="BA12" s="5" t="s">
        <v>12</v>
      </c>
      <c r="BB12" s="5" t="s">
        <v>13</v>
      </c>
      <c r="BC12" s="5" t="s">
        <v>7</v>
      </c>
      <c r="BD12" s="5" t="s">
        <v>8</v>
      </c>
      <c r="BE12" s="5" t="s">
        <v>9</v>
      </c>
      <c r="BF12" s="5" t="s">
        <v>10</v>
      </c>
      <c r="BG12" s="5" t="s">
        <v>11</v>
      </c>
      <c r="BH12" s="5" t="s">
        <v>12</v>
      </c>
      <c r="BI12" s="5" t="s">
        <v>13</v>
      </c>
      <c r="BJ12" s="5" t="s">
        <v>7</v>
      </c>
      <c r="BK12" s="5" t="s">
        <v>7</v>
      </c>
      <c r="BL12" s="5" t="s">
        <v>8</v>
      </c>
      <c r="BM12" s="5" t="s">
        <v>9</v>
      </c>
      <c r="BN12" s="5" t="s">
        <v>10</v>
      </c>
      <c r="BO12" s="5" t="s">
        <v>11</v>
      </c>
      <c r="BP12" s="5" t="s">
        <v>12</v>
      </c>
      <c r="BQ12" s="5" t="s">
        <v>13</v>
      </c>
      <c r="BR12" s="5" t="s">
        <v>7</v>
      </c>
      <c r="BS12" s="5" t="s">
        <v>8</v>
      </c>
      <c r="BT12" s="5" t="s">
        <v>9</v>
      </c>
      <c r="BU12" s="5" t="s">
        <v>10</v>
      </c>
      <c r="BV12" s="5" t="s">
        <v>11</v>
      </c>
      <c r="BW12" s="5" t="s">
        <v>12</v>
      </c>
      <c r="BX12" s="5" t="s">
        <v>13</v>
      </c>
      <c r="BY12" s="5" t="s">
        <v>7</v>
      </c>
      <c r="BZ12" s="5" t="s">
        <v>8</v>
      </c>
      <c r="CA12" s="5" t="s">
        <v>9</v>
      </c>
      <c r="CB12" s="5" t="s">
        <v>10</v>
      </c>
      <c r="CC12" s="5" t="s">
        <v>11</v>
      </c>
      <c r="CD12" s="5" t="s">
        <v>12</v>
      </c>
      <c r="CE12" s="5" t="s">
        <v>13</v>
      </c>
      <c r="CF12" s="5" t="s">
        <v>7</v>
      </c>
      <c r="CG12" s="5" t="s">
        <v>8</v>
      </c>
      <c r="CH12" s="5" t="s">
        <v>9</v>
      </c>
      <c r="CI12" s="5" t="s">
        <v>10</v>
      </c>
      <c r="CJ12" s="5" t="s">
        <v>11</v>
      </c>
      <c r="CK12" s="5" t="s">
        <v>12</v>
      </c>
      <c r="CL12" s="5" t="s">
        <v>13</v>
      </c>
      <c r="CM12" s="5" t="s">
        <v>7</v>
      </c>
      <c r="CN12" s="5" t="s">
        <v>8</v>
      </c>
      <c r="CO12" s="5" t="s">
        <v>9</v>
      </c>
      <c r="CP12" s="5" t="s">
        <v>10</v>
      </c>
      <c r="CQ12" s="5" t="s">
        <v>11</v>
      </c>
      <c r="CR12" s="5" t="s">
        <v>12</v>
      </c>
      <c r="CS12" s="5" t="s">
        <v>13</v>
      </c>
      <c r="CT12" s="5" t="s">
        <v>10</v>
      </c>
      <c r="CU12" s="5" t="s">
        <v>7</v>
      </c>
      <c r="CV12" s="5" t="s">
        <v>8</v>
      </c>
      <c r="CW12" s="5" t="s">
        <v>9</v>
      </c>
      <c r="CX12" s="5" t="s">
        <v>10</v>
      </c>
      <c r="CY12" s="5" t="s">
        <v>11</v>
      </c>
      <c r="CZ12" s="5" t="s">
        <v>12</v>
      </c>
      <c r="DA12" s="5" t="s">
        <v>13</v>
      </c>
      <c r="DB12" s="5" t="s">
        <v>7</v>
      </c>
      <c r="DC12" s="5" t="s">
        <v>8</v>
      </c>
      <c r="DD12" s="5" t="s">
        <v>9</v>
      </c>
      <c r="DE12" s="5" t="s">
        <v>10</v>
      </c>
      <c r="DF12" s="5" t="s">
        <v>11</v>
      </c>
      <c r="DG12" s="5" t="s">
        <v>12</v>
      </c>
      <c r="DH12" s="5" t="s">
        <v>13</v>
      </c>
      <c r="DI12" s="5" t="s">
        <v>10</v>
      </c>
      <c r="DJ12" s="5" t="s">
        <v>7</v>
      </c>
      <c r="DK12" s="5" t="s">
        <v>8</v>
      </c>
      <c r="DL12" s="5" t="s">
        <v>9</v>
      </c>
      <c r="DM12" s="5" t="s">
        <v>10</v>
      </c>
      <c r="DN12" s="5" t="s">
        <v>11</v>
      </c>
      <c r="DO12" s="5" t="s">
        <v>12</v>
      </c>
      <c r="DP12" s="5" t="s">
        <v>13</v>
      </c>
      <c r="DQ12" s="5" t="s">
        <v>7</v>
      </c>
      <c r="DR12" s="5" t="s">
        <v>8</v>
      </c>
      <c r="DS12" s="5" t="s">
        <v>9</v>
      </c>
      <c r="DT12" s="5" t="s">
        <v>10</v>
      </c>
      <c r="DU12" s="5" t="s">
        <v>11</v>
      </c>
      <c r="DV12" s="5" t="s">
        <v>12</v>
      </c>
      <c r="DW12" s="5" t="s">
        <v>13</v>
      </c>
      <c r="DX12" s="5" t="s">
        <v>10</v>
      </c>
      <c r="DY12" s="5" t="s">
        <v>7</v>
      </c>
      <c r="DZ12" s="5" t="s">
        <v>8</v>
      </c>
      <c r="EA12" s="5" t="s">
        <v>9</v>
      </c>
      <c r="EB12" s="5" t="s">
        <v>10</v>
      </c>
      <c r="EC12" s="5" t="s">
        <v>11</v>
      </c>
      <c r="ED12" s="5" t="s">
        <v>12</v>
      </c>
      <c r="EE12" s="5" t="s">
        <v>13</v>
      </c>
      <c r="EF12" s="5" t="s">
        <v>7</v>
      </c>
      <c r="EG12" s="5" t="s">
        <v>8</v>
      </c>
      <c r="EH12" s="5" t="s">
        <v>9</v>
      </c>
      <c r="EI12" s="5" t="s">
        <v>10</v>
      </c>
      <c r="EJ12" s="5" t="s">
        <v>11</v>
      </c>
      <c r="EK12" s="5" t="s">
        <v>12</v>
      </c>
      <c r="EL12" s="5" t="s">
        <v>13</v>
      </c>
      <c r="EM12" s="5" t="s">
        <v>7</v>
      </c>
      <c r="EN12" s="5" t="s">
        <v>8</v>
      </c>
      <c r="EO12" s="5" t="s">
        <v>9</v>
      </c>
      <c r="EP12" s="5" t="s">
        <v>10</v>
      </c>
      <c r="EQ12" s="5" t="s">
        <v>11</v>
      </c>
      <c r="ER12" s="5" t="s">
        <v>12</v>
      </c>
      <c r="ES12" s="5" t="s">
        <v>13</v>
      </c>
      <c r="ET12" s="5" t="s">
        <v>7</v>
      </c>
      <c r="EU12" s="5" t="s">
        <v>8</v>
      </c>
      <c r="EV12" s="5" t="s">
        <v>9</v>
      </c>
      <c r="EW12" s="5" t="s">
        <v>10</v>
      </c>
      <c r="EX12" s="5" t="s">
        <v>11</v>
      </c>
      <c r="EY12" s="5" t="s">
        <v>12</v>
      </c>
      <c r="EZ12" s="5" t="s">
        <v>13</v>
      </c>
    </row>
    <row r="13" spans="1:156" ht="15.75" customHeight="1" x14ac:dyDescent="0.25">
      <c r="A13" s="2"/>
      <c r="B13" s="2"/>
      <c r="C13" s="23"/>
      <c r="D13" s="2"/>
      <c r="E13" s="2"/>
      <c r="F13" s="4"/>
      <c r="G13" s="4"/>
      <c r="H13" s="4"/>
      <c r="I13" s="4"/>
      <c r="J13" s="4" t="s">
        <v>22</v>
      </c>
      <c r="K13" s="4"/>
      <c r="L13" s="91" t="s">
        <v>15</v>
      </c>
      <c r="M13" s="86"/>
      <c r="N13" s="86"/>
      <c r="O13" s="86"/>
      <c r="P13" s="86"/>
      <c r="Q13" s="86"/>
      <c r="R13" s="87"/>
      <c r="S13" s="6" t="s">
        <v>16</v>
      </c>
      <c r="T13" s="91" t="s">
        <v>17</v>
      </c>
      <c r="U13" s="86"/>
      <c r="V13" s="86"/>
      <c r="W13" s="86"/>
      <c r="X13" s="86"/>
      <c r="Y13" s="86"/>
      <c r="Z13" s="87"/>
      <c r="AA13" s="91" t="s">
        <v>15</v>
      </c>
      <c r="AB13" s="86"/>
      <c r="AC13" s="86"/>
      <c r="AD13" s="86"/>
      <c r="AE13" s="86"/>
      <c r="AF13" s="86"/>
      <c r="AG13" s="87"/>
      <c r="AH13" s="91" t="s">
        <v>17</v>
      </c>
      <c r="AI13" s="86"/>
      <c r="AJ13" s="86"/>
      <c r="AK13" s="86"/>
      <c r="AL13" s="86"/>
      <c r="AM13" s="86"/>
      <c r="AN13" s="87"/>
      <c r="AO13" s="91" t="s">
        <v>15</v>
      </c>
      <c r="AP13" s="86"/>
      <c r="AQ13" s="86"/>
      <c r="AR13" s="86"/>
      <c r="AS13" s="86"/>
      <c r="AT13" s="86"/>
      <c r="AU13" s="87"/>
      <c r="AV13" s="91" t="s">
        <v>17</v>
      </c>
      <c r="AW13" s="86"/>
      <c r="AX13" s="86"/>
      <c r="AY13" s="86"/>
      <c r="AZ13" s="86"/>
      <c r="BA13" s="86"/>
      <c r="BB13" s="87"/>
      <c r="BC13" s="91" t="s">
        <v>15</v>
      </c>
      <c r="BD13" s="86"/>
      <c r="BE13" s="86"/>
      <c r="BF13" s="86"/>
      <c r="BG13" s="86"/>
      <c r="BH13" s="86"/>
      <c r="BI13" s="87"/>
      <c r="BJ13" s="11" t="s">
        <v>18</v>
      </c>
      <c r="BK13" s="91" t="s">
        <v>17</v>
      </c>
      <c r="BL13" s="86"/>
      <c r="BM13" s="86"/>
      <c r="BN13" s="86"/>
      <c r="BO13" s="86"/>
      <c r="BP13" s="86"/>
      <c r="BQ13" s="87"/>
      <c r="BR13" s="91" t="s">
        <v>15</v>
      </c>
      <c r="BS13" s="86"/>
      <c r="BT13" s="86"/>
      <c r="BU13" s="86"/>
      <c r="BV13" s="86"/>
      <c r="BW13" s="86"/>
      <c r="BX13" s="87"/>
      <c r="BY13" s="91" t="s">
        <v>17</v>
      </c>
      <c r="BZ13" s="86"/>
      <c r="CA13" s="86"/>
      <c r="CB13" s="86"/>
      <c r="CC13" s="86"/>
      <c r="CD13" s="86"/>
      <c r="CE13" s="87"/>
      <c r="CF13" s="91" t="s">
        <v>15</v>
      </c>
      <c r="CG13" s="86"/>
      <c r="CH13" s="86"/>
      <c r="CI13" s="86"/>
      <c r="CJ13" s="86"/>
      <c r="CK13" s="86"/>
      <c r="CL13" s="87"/>
      <c r="CM13" s="91" t="s">
        <v>17</v>
      </c>
      <c r="CN13" s="86"/>
      <c r="CO13" s="86"/>
      <c r="CP13" s="86"/>
      <c r="CQ13" s="86"/>
      <c r="CR13" s="86"/>
      <c r="CS13" s="87"/>
      <c r="CT13" s="12" t="s">
        <v>19</v>
      </c>
      <c r="CU13" s="91" t="s">
        <v>15</v>
      </c>
      <c r="CV13" s="86"/>
      <c r="CW13" s="86"/>
      <c r="CX13" s="86"/>
      <c r="CY13" s="86"/>
      <c r="CZ13" s="86"/>
      <c r="DA13" s="87"/>
      <c r="DB13" s="91" t="s">
        <v>17</v>
      </c>
      <c r="DC13" s="86"/>
      <c r="DD13" s="86"/>
      <c r="DE13" s="86"/>
      <c r="DF13" s="86"/>
      <c r="DG13" s="86"/>
      <c r="DH13" s="87"/>
      <c r="DI13" s="12" t="s">
        <v>19</v>
      </c>
      <c r="DJ13" s="91" t="s">
        <v>15</v>
      </c>
      <c r="DK13" s="86"/>
      <c r="DL13" s="86"/>
      <c r="DM13" s="86"/>
      <c r="DN13" s="86"/>
      <c r="DO13" s="86"/>
      <c r="DP13" s="87"/>
      <c r="DQ13" s="91" t="s">
        <v>17</v>
      </c>
      <c r="DR13" s="86"/>
      <c r="DS13" s="86"/>
      <c r="DT13" s="86"/>
      <c r="DU13" s="86"/>
      <c r="DV13" s="86"/>
      <c r="DW13" s="87"/>
      <c r="DX13" s="12" t="s">
        <v>19</v>
      </c>
      <c r="DY13" s="91" t="s">
        <v>15</v>
      </c>
      <c r="DZ13" s="86"/>
      <c r="EA13" s="86"/>
      <c r="EB13" s="86"/>
      <c r="EC13" s="86"/>
      <c r="ED13" s="86"/>
      <c r="EE13" s="87"/>
      <c r="EF13" s="91" t="s">
        <v>17</v>
      </c>
      <c r="EG13" s="86"/>
      <c r="EH13" s="86"/>
      <c r="EI13" s="86"/>
      <c r="EJ13" s="86"/>
      <c r="EK13" s="86"/>
      <c r="EL13" s="87"/>
      <c r="EM13" s="91" t="s">
        <v>15</v>
      </c>
      <c r="EN13" s="86"/>
      <c r="EO13" s="86"/>
      <c r="EP13" s="86"/>
      <c r="EQ13" s="86"/>
      <c r="ER13" s="86"/>
      <c r="ES13" s="87"/>
      <c r="ET13" s="91" t="s">
        <v>17</v>
      </c>
      <c r="EU13" s="86"/>
      <c r="EV13" s="86"/>
      <c r="EW13" s="86"/>
      <c r="EX13" s="86"/>
      <c r="EY13" s="86"/>
      <c r="EZ13" s="87"/>
    </row>
    <row r="14" spans="1:156" ht="15.75" customHeight="1" x14ac:dyDescent="0.25">
      <c r="A14" s="24"/>
      <c r="B14" s="24"/>
      <c r="C14" s="25"/>
      <c r="D14" s="24"/>
      <c r="E14" s="24"/>
      <c r="F14" s="26"/>
      <c r="G14" s="26"/>
      <c r="H14" s="4"/>
      <c r="I14" s="26"/>
      <c r="J14" s="26">
        <f>SUM(L14:EZ14)</f>
        <v>0</v>
      </c>
      <c r="K14" s="27" t="s">
        <v>25</v>
      </c>
      <c r="L14" s="28">
        <f>IFERROR(HLOOKUP(L15,'DIN SORTIM'!4:5,2,0),0)</f>
        <v>0</v>
      </c>
      <c r="M14" s="28">
        <f>IFERROR(HLOOKUP(M15,'DIN SORTIM'!$4:$5,2,0),0)</f>
        <v>0</v>
      </c>
      <c r="N14" s="28">
        <f>IFERROR(HLOOKUP(N15,'DIN SORTIM'!$4:$5,2,0),0)</f>
        <v>0</v>
      </c>
      <c r="O14" s="28">
        <f>IFERROR(HLOOKUP(O15,'DIN SORTIM'!$4:$5,2,0),0)</f>
        <v>0</v>
      </c>
      <c r="P14" s="28">
        <f>IFERROR(HLOOKUP(P15,'DIN SORTIM'!$4:$5,2,0),0)</f>
        <v>0</v>
      </c>
      <c r="Q14" s="28">
        <f>IFERROR(HLOOKUP(Q15,'DIN SORTIM'!$4:$5,2,0),0)</f>
        <v>0</v>
      </c>
      <c r="R14" s="28">
        <f>IFERROR(HLOOKUP(R15,'DIN SORTIM'!$4:$5,2,0),0)</f>
        <v>0</v>
      </c>
      <c r="S14" s="28">
        <f>IFERROR(HLOOKUP(S15,'DIN SORTIM'!$4:$5,2,0),0)</f>
        <v>0</v>
      </c>
      <c r="T14" s="28">
        <f>IFERROR(HLOOKUP(T15,'DIN SORTIM'!$4:$5,2,0),0)</f>
        <v>0</v>
      </c>
      <c r="U14" s="28">
        <f>IFERROR(HLOOKUP(U15,'DIN SORTIM'!$4:$5,2,0),0)</f>
        <v>0</v>
      </c>
      <c r="V14" s="28">
        <f>IFERROR(HLOOKUP(V15,'DIN SORTIM'!$4:$5,2,0),0)</f>
        <v>0</v>
      </c>
      <c r="W14" s="28">
        <f>IFERROR(HLOOKUP(W15,'DIN SORTIM'!$4:$5,2,0),0)</f>
        <v>0</v>
      </c>
      <c r="X14" s="28">
        <f>IFERROR(HLOOKUP(X15,'DIN SORTIM'!$4:$5,2,0),0)</f>
        <v>0</v>
      </c>
      <c r="Y14" s="28">
        <f>IFERROR(HLOOKUP(Y15,'DIN SORTIM'!$4:$5,2,0),0)</f>
        <v>0</v>
      </c>
      <c r="Z14" s="28">
        <f>IFERROR(HLOOKUP(Z15,'DIN SORTIM'!$4:$5,2,0),0)</f>
        <v>0</v>
      </c>
      <c r="AA14" s="28">
        <f>IFERROR(HLOOKUP(AA15,'DIN SORTIM'!$4:$5,2,0),0)</f>
        <v>0</v>
      </c>
      <c r="AB14" s="28">
        <f>IFERROR(HLOOKUP(AB15,'DIN SORTIM'!$4:$5,2,0),0)</f>
        <v>0</v>
      </c>
      <c r="AC14" s="28">
        <f>IFERROR(HLOOKUP(AC15,'DIN SORTIM'!$4:$5,2,0),0)</f>
        <v>0</v>
      </c>
      <c r="AD14" s="28">
        <f>IFERROR(HLOOKUP(AD15,'DIN SORTIM'!$4:$5,2,0),0)</f>
        <v>0</v>
      </c>
      <c r="AE14" s="28">
        <f>IFERROR(HLOOKUP(AE15,'DIN SORTIM'!$4:$5,2,0),0)</f>
        <v>0</v>
      </c>
      <c r="AF14" s="28">
        <f>IFERROR(HLOOKUP(AF15,'DIN SORTIM'!$4:$5,2,0),0)</f>
        <v>0</v>
      </c>
      <c r="AG14" s="28">
        <f>IFERROR(HLOOKUP(AG15,'DIN SORTIM'!$4:$5,2,0),0)</f>
        <v>0</v>
      </c>
      <c r="AH14" s="28">
        <f>IFERROR(HLOOKUP(AH15,'DIN SORTIM'!$4:$5,2,0),0)</f>
        <v>0</v>
      </c>
      <c r="AI14" s="28">
        <f>IFERROR(HLOOKUP(AI15,'DIN SORTIM'!$4:$5,2,0),0)</f>
        <v>0</v>
      </c>
      <c r="AJ14" s="28">
        <f>IFERROR(HLOOKUP(AJ15,'DIN SORTIM'!$4:$5,2,0),0)</f>
        <v>0</v>
      </c>
      <c r="AK14" s="28">
        <f>IFERROR(HLOOKUP(AK15,'DIN SORTIM'!$4:$5,2,0),0)</f>
        <v>0</v>
      </c>
      <c r="AL14" s="28">
        <f>IFERROR(HLOOKUP(AL15,'DIN SORTIM'!$4:$5,2,0),0)</f>
        <v>0</v>
      </c>
      <c r="AM14" s="28">
        <f>IFERROR(HLOOKUP(AM15,'DIN SORTIM'!$4:$5,2,0),0)</f>
        <v>0</v>
      </c>
      <c r="AN14" s="28">
        <f>IFERROR(HLOOKUP(AN15,'DIN SORTIM'!$4:$5,2,0),0)</f>
        <v>0</v>
      </c>
      <c r="AO14" s="28">
        <f>IFERROR(HLOOKUP(AO15,'DIN SORTIM'!$4:$5,2,0),0)</f>
        <v>0</v>
      </c>
      <c r="AP14" s="28">
        <f>IFERROR(HLOOKUP(AP15,'DIN SORTIM'!$4:$5,2,0),0)</f>
        <v>0</v>
      </c>
      <c r="AQ14" s="28">
        <f>IFERROR(HLOOKUP(AQ15,'DIN SORTIM'!$4:$5,2,0),0)</f>
        <v>0</v>
      </c>
      <c r="AR14" s="28">
        <f>IFERROR(HLOOKUP(AR15,'DIN SORTIM'!$4:$5,2,0),0)</f>
        <v>0</v>
      </c>
      <c r="AS14" s="28">
        <f>IFERROR(HLOOKUP(AS15,'DIN SORTIM'!$4:$5,2,0),0)</f>
        <v>0</v>
      </c>
      <c r="AT14" s="28">
        <f>IFERROR(HLOOKUP(AT15,'DIN SORTIM'!$4:$5,2,0),0)</f>
        <v>0</v>
      </c>
      <c r="AU14" s="28">
        <f>IFERROR(HLOOKUP(AU15,'DIN SORTIM'!$4:$5,2,0),0)</f>
        <v>0</v>
      </c>
      <c r="AV14" s="28">
        <f>IFERROR(HLOOKUP(AV15,'DIN SORTIM'!$4:$5,2,0),0)</f>
        <v>0</v>
      </c>
      <c r="AW14" s="28">
        <f>IFERROR(HLOOKUP(AW15,'DIN SORTIM'!$4:$5,2,0),0)</f>
        <v>0</v>
      </c>
      <c r="AX14" s="28">
        <f>IFERROR(HLOOKUP(AX15,'DIN SORTIM'!$4:$5,2,0),0)</f>
        <v>0</v>
      </c>
      <c r="AY14" s="28">
        <f>IFERROR(HLOOKUP(AY15,'DIN SORTIM'!$4:$5,2,0),0)</f>
        <v>0</v>
      </c>
      <c r="AZ14" s="28">
        <f>IFERROR(HLOOKUP(AZ15,'DIN SORTIM'!$4:$5,2,0),0)</f>
        <v>0</v>
      </c>
      <c r="BA14" s="28">
        <f>IFERROR(HLOOKUP(BA15,'DIN SORTIM'!$4:$5,2,0),0)</f>
        <v>0</v>
      </c>
      <c r="BB14" s="28">
        <f>IFERROR(HLOOKUP(BB15,'DIN SORTIM'!$4:$5,2,0),0)</f>
        <v>0</v>
      </c>
      <c r="BC14" s="28">
        <f>IFERROR(HLOOKUP(BC15,'DIN SORTIM'!$4:$5,2,0),0)</f>
        <v>0</v>
      </c>
      <c r="BD14" s="28">
        <f>IFERROR(HLOOKUP(BD15,'DIN SORTIM'!$4:$5,2,0),0)</f>
        <v>0</v>
      </c>
      <c r="BE14" s="28">
        <f>IFERROR(HLOOKUP(BE15,'DIN SORTIM'!$4:$5,2,0),0)</f>
        <v>0</v>
      </c>
      <c r="BF14" s="28">
        <f>IFERROR(HLOOKUP(BF15,'DIN SORTIM'!$4:$5,2,0),0)</f>
        <v>0</v>
      </c>
      <c r="BG14" s="28">
        <f>IFERROR(HLOOKUP(BG15,'DIN SORTIM'!$4:$5,2,0),0)</f>
        <v>0</v>
      </c>
      <c r="BH14" s="28">
        <f>IFERROR(HLOOKUP(BH15,'DIN SORTIM'!$4:$5,2,0),0)</f>
        <v>0</v>
      </c>
      <c r="BI14" s="28">
        <f>IFERROR(HLOOKUP(BI15,'DIN SORTIM'!$4:$5,2,0),0)</f>
        <v>0</v>
      </c>
      <c r="BJ14" s="28">
        <f>IFERROR(HLOOKUP(BJ15,'DIN SORTIM'!$4:$5,2,0),0)</f>
        <v>0</v>
      </c>
      <c r="BK14" s="28">
        <f>IFERROR(HLOOKUP(BK15,'DIN SORTIM'!$4:$5,2,0),0)</f>
        <v>0</v>
      </c>
      <c r="BL14" s="28">
        <f>IFERROR(HLOOKUP(BL15,'DIN SORTIM'!$4:$5,2,0),0)</f>
        <v>0</v>
      </c>
      <c r="BM14" s="28">
        <f>IFERROR(HLOOKUP(BM15,'DIN SORTIM'!$4:$5,2,0),0)</f>
        <v>0</v>
      </c>
      <c r="BN14" s="28">
        <f>IFERROR(HLOOKUP(BN15,'DIN SORTIM'!$4:$5,2,0),0)</f>
        <v>0</v>
      </c>
      <c r="BO14" s="28">
        <f>IFERROR(HLOOKUP(BO15,'DIN SORTIM'!$4:$5,2,0),0)</f>
        <v>0</v>
      </c>
      <c r="BP14" s="28">
        <f>IFERROR(HLOOKUP(BP15,'DIN SORTIM'!$4:$5,2,0),0)</f>
        <v>0</v>
      </c>
      <c r="BQ14" s="28">
        <f>IFERROR(HLOOKUP(BQ15,'DIN SORTIM'!$4:$5,2,0),0)</f>
        <v>0</v>
      </c>
      <c r="BR14" s="28">
        <f>IFERROR(HLOOKUP(BR15,'DIN SORTIM'!$4:$5,2,0),0)</f>
        <v>0</v>
      </c>
      <c r="BS14" s="28">
        <f>IFERROR(HLOOKUP(BS15,'DIN SORTIM'!$4:$5,2,0),0)</f>
        <v>0</v>
      </c>
      <c r="BT14" s="28">
        <f>IFERROR(HLOOKUP(BT15,'DIN SORTIM'!$4:$5,2,0),0)</f>
        <v>0</v>
      </c>
      <c r="BU14" s="28">
        <f>IFERROR(HLOOKUP(BU15,'DIN SORTIM'!$4:$5,2,0),0)</f>
        <v>0</v>
      </c>
      <c r="BV14" s="28">
        <f>IFERROR(HLOOKUP(BV15,'DIN SORTIM'!$4:$5,2,0),0)</f>
        <v>0</v>
      </c>
      <c r="BW14" s="28">
        <f>IFERROR(HLOOKUP(BW15,'DIN SORTIM'!$4:$5,2,0),0)</f>
        <v>0</v>
      </c>
      <c r="BX14" s="28">
        <f>IFERROR(HLOOKUP(BX15,'DIN SORTIM'!$4:$5,2,0),0)</f>
        <v>0</v>
      </c>
      <c r="BY14" s="28">
        <f>IFERROR(HLOOKUP(BY15,'DIN SORTIM'!$4:$5,2,0),0)</f>
        <v>0</v>
      </c>
      <c r="BZ14" s="28">
        <f>IFERROR(HLOOKUP(BZ15,'DIN SORTIM'!$4:$5,2,0),0)</f>
        <v>0</v>
      </c>
      <c r="CA14" s="28">
        <f>IFERROR(HLOOKUP(CA15,'DIN SORTIM'!$4:$5,2,0),0)</f>
        <v>0</v>
      </c>
      <c r="CB14" s="28">
        <f>IFERROR(HLOOKUP(CB15,'DIN SORTIM'!$4:$5,2,0),0)</f>
        <v>0</v>
      </c>
      <c r="CC14" s="28">
        <f>IFERROR(HLOOKUP(CC15,'DIN SORTIM'!$4:$5,2,0),0)</f>
        <v>0</v>
      </c>
      <c r="CD14" s="28">
        <f>IFERROR(HLOOKUP(CD15,'DIN SORTIM'!$4:$5,2,0),0)</f>
        <v>0</v>
      </c>
      <c r="CE14" s="28">
        <f>IFERROR(HLOOKUP(CE15,'DIN SORTIM'!$4:$5,2,0),0)</f>
        <v>0</v>
      </c>
      <c r="CF14" s="28">
        <f>IFERROR(HLOOKUP(CF15,'DIN SORTIM'!$4:$5,2,0),0)</f>
        <v>0</v>
      </c>
      <c r="CG14" s="28">
        <f>IFERROR(HLOOKUP(CG15,'DIN SORTIM'!$4:$5,2,0),0)</f>
        <v>0</v>
      </c>
      <c r="CH14" s="28">
        <f>IFERROR(HLOOKUP(CH15,'DIN SORTIM'!$4:$5,2,0),0)</f>
        <v>0</v>
      </c>
      <c r="CI14" s="28">
        <f>IFERROR(HLOOKUP(CI15,'DIN SORTIM'!$4:$5,2,0),0)</f>
        <v>0</v>
      </c>
      <c r="CJ14" s="28">
        <f>IFERROR(HLOOKUP(CJ15,'DIN SORTIM'!$4:$5,2,0),0)</f>
        <v>0</v>
      </c>
      <c r="CK14" s="28">
        <f>IFERROR(HLOOKUP(CK15,'DIN SORTIM'!$4:$5,2,0),0)</f>
        <v>0</v>
      </c>
      <c r="CL14" s="28">
        <f>IFERROR(HLOOKUP(CL15,'DIN SORTIM'!$4:$5,2,0),0)</f>
        <v>0</v>
      </c>
      <c r="CM14" s="28">
        <f>IFERROR(HLOOKUP(CM15,'DIN SORTIM'!$4:$5,2,0),0)</f>
        <v>0</v>
      </c>
      <c r="CN14" s="28">
        <f>IFERROR(HLOOKUP(CN15,'DIN SORTIM'!$4:$5,2,0),0)</f>
        <v>0</v>
      </c>
      <c r="CO14" s="28">
        <f>IFERROR(HLOOKUP(CO15,'DIN SORTIM'!$4:$5,2,0),0)</f>
        <v>0</v>
      </c>
      <c r="CP14" s="28">
        <f>IFERROR(HLOOKUP(CP15,'DIN SORTIM'!$4:$5,2,0),0)</f>
        <v>0</v>
      </c>
      <c r="CQ14" s="28">
        <f>IFERROR(HLOOKUP(CQ15,'DIN SORTIM'!$4:$5,2,0),0)</f>
        <v>0</v>
      </c>
      <c r="CR14" s="28">
        <f>IFERROR(HLOOKUP(CR15,'DIN SORTIM'!$4:$5,2,0),0)</f>
        <v>0</v>
      </c>
      <c r="CS14" s="28">
        <f>IFERROR(HLOOKUP(CS15,'DIN SORTIM'!$4:$5,2,0),0)</f>
        <v>0</v>
      </c>
      <c r="CT14" s="28">
        <f>IFERROR(HLOOKUP(CT15,'DIN SORTIM'!$4:$5,2,0),0)</f>
        <v>0</v>
      </c>
      <c r="CU14" s="28">
        <f>IFERROR(HLOOKUP(CU15,'DIN SORTIM'!$4:$5,2,0),0)</f>
        <v>0</v>
      </c>
      <c r="CV14" s="28">
        <f>IFERROR(HLOOKUP(CV15,'DIN SORTIM'!$4:$5,2,0),0)</f>
        <v>0</v>
      </c>
      <c r="CW14" s="28">
        <f>IFERROR(HLOOKUP(CW15,'DIN SORTIM'!$4:$5,2,0),0)</f>
        <v>0</v>
      </c>
      <c r="CX14" s="28">
        <f>IFERROR(HLOOKUP(CX15,'DIN SORTIM'!$4:$5,2,0),0)</f>
        <v>0</v>
      </c>
      <c r="CY14" s="28">
        <f>IFERROR(HLOOKUP(CY15,'DIN SORTIM'!$4:$5,2,0),0)</f>
        <v>0</v>
      </c>
      <c r="CZ14" s="28">
        <f>IFERROR(HLOOKUP(CZ15,'DIN SORTIM'!$4:$5,2,0),0)</f>
        <v>0</v>
      </c>
      <c r="DA14" s="28">
        <f>IFERROR(HLOOKUP(DA15,'DIN SORTIM'!$4:$5,2,0),0)</f>
        <v>0</v>
      </c>
      <c r="DB14" s="28">
        <f>IFERROR(HLOOKUP(DB15,'DIN SORTIM'!$4:$5,2,0),0)</f>
        <v>0</v>
      </c>
      <c r="DC14" s="28">
        <f>IFERROR(HLOOKUP(DC15,'DIN SORTIM'!$4:$5,2,0),0)</f>
        <v>0</v>
      </c>
      <c r="DD14" s="28">
        <f>IFERROR(HLOOKUP(DD15,'DIN SORTIM'!$4:$5,2,0),0)</f>
        <v>0</v>
      </c>
      <c r="DE14" s="28">
        <f>IFERROR(HLOOKUP(DE15,'DIN SORTIM'!$4:$5,2,0),0)</f>
        <v>0</v>
      </c>
      <c r="DF14" s="28">
        <f>IFERROR(HLOOKUP(DF15,'DIN SORTIM'!$4:$5,2,0),0)</f>
        <v>0</v>
      </c>
      <c r="DG14" s="28">
        <f>IFERROR(HLOOKUP(DG15,'DIN SORTIM'!$4:$5,2,0),0)</f>
        <v>0</v>
      </c>
      <c r="DH14" s="28">
        <f>IFERROR(HLOOKUP(DH15,'DIN SORTIM'!$4:$5,2,0),0)</f>
        <v>0</v>
      </c>
      <c r="DI14" s="28">
        <f>IFERROR(HLOOKUP(DI15,'DIN SORTIM'!$4:$5,2,0),0)</f>
        <v>0</v>
      </c>
      <c r="DJ14" s="28">
        <f>IFERROR(HLOOKUP(DJ15,'DIN SORTIM'!$4:$5,2,0),0)</f>
        <v>0</v>
      </c>
      <c r="DK14" s="28">
        <f>IFERROR(HLOOKUP(DK15,'DIN SORTIM'!$4:$5,2,0),0)</f>
        <v>0</v>
      </c>
      <c r="DL14" s="28">
        <f>IFERROR(HLOOKUP(DL15,'DIN SORTIM'!$4:$5,2,0),0)</f>
        <v>0</v>
      </c>
      <c r="DM14" s="28">
        <f>IFERROR(HLOOKUP(DM15,'DIN SORTIM'!$4:$5,2,0),0)</f>
        <v>0</v>
      </c>
      <c r="DN14" s="28">
        <f>IFERROR(HLOOKUP(DN15,'DIN SORTIM'!$4:$5,2,0),0)</f>
        <v>0</v>
      </c>
      <c r="DO14" s="28">
        <f>IFERROR(HLOOKUP(DO15,'DIN SORTIM'!$4:$5,2,0),0)</f>
        <v>0</v>
      </c>
      <c r="DP14" s="28">
        <f>IFERROR(HLOOKUP(DP15,'DIN SORTIM'!$4:$5,2,0),0)</f>
        <v>0</v>
      </c>
      <c r="DQ14" s="28">
        <f>IFERROR(HLOOKUP(DQ15,'DIN SORTIM'!$4:$5,2,0),0)</f>
        <v>0</v>
      </c>
      <c r="DR14" s="28">
        <f>IFERROR(HLOOKUP(DR15,'DIN SORTIM'!$4:$5,2,0),0)</f>
        <v>0</v>
      </c>
      <c r="DS14" s="28">
        <f>IFERROR(HLOOKUP(DS15,'DIN SORTIM'!$4:$5,2,0),0)</f>
        <v>0</v>
      </c>
      <c r="DT14" s="28">
        <f>IFERROR(HLOOKUP(DT15,'DIN SORTIM'!$4:$5,2,0),0)</f>
        <v>0</v>
      </c>
      <c r="DU14" s="28">
        <f>IFERROR(HLOOKUP(DU15,'DIN SORTIM'!$4:$5,2,0),0)</f>
        <v>0</v>
      </c>
      <c r="DV14" s="28">
        <f>IFERROR(HLOOKUP(DV15,'DIN SORTIM'!$4:$5,2,0),0)</f>
        <v>0</v>
      </c>
      <c r="DW14" s="28">
        <f>IFERROR(HLOOKUP(DW15,'DIN SORTIM'!$4:$5,2,0),0)</f>
        <v>0</v>
      </c>
      <c r="DX14" s="28">
        <f>IFERROR(HLOOKUP(DX15,'DIN SORTIM'!$4:$5,2,0),0)</f>
        <v>0</v>
      </c>
      <c r="DY14" s="28">
        <f>IFERROR(HLOOKUP(DY15,'DIN SORTIM'!$4:$5,2,0),0)</f>
        <v>0</v>
      </c>
      <c r="DZ14" s="28">
        <f>IFERROR(HLOOKUP(DZ15,'DIN SORTIM'!$4:$5,2,0),0)</f>
        <v>0</v>
      </c>
      <c r="EA14" s="28">
        <f>IFERROR(HLOOKUP(EA15,'DIN SORTIM'!$4:$5,2,0),0)</f>
        <v>0</v>
      </c>
      <c r="EB14" s="28">
        <f>IFERROR(HLOOKUP(EB15,'DIN SORTIM'!$4:$5,2,0),0)</f>
        <v>0</v>
      </c>
      <c r="EC14" s="28">
        <f>IFERROR(HLOOKUP(EC15,'DIN SORTIM'!$4:$5,2,0),0)</f>
        <v>0</v>
      </c>
      <c r="ED14" s="28">
        <f>IFERROR(HLOOKUP(ED15,'DIN SORTIM'!$4:$5,2,0),0)</f>
        <v>0</v>
      </c>
      <c r="EE14" s="28">
        <f>IFERROR(HLOOKUP(EE15,'DIN SORTIM'!$4:$5,2,0),0)</f>
        <v>0</v>
      </c>
      <c r="EF14" s="28">
        <f>IFERROR(HLOOKUP(EF15,'DIN SORTIM'!$4:$5,2,0),0)</f>
        <v>0</v>
      </c>
      <c r="EG14" s="28">
        <f>IFERROR(HLOOKUP(EG15,'DIN SORTIM'!$4:$5,2,0),0)</f>
        <v>0</v>
      </c>
      <c r="EH14" s="28">
        <f>IFERROR(HLOOKUP(EH15,'DIN SORTIM'!$4:$5,2,0),0)</f>
        <v>0</v>
      </c>
      <c r="EI14" s="28">
        <f>IFERROR(HLOOKUP(EI15,'DIN SORTIM'!$4:$5,2,0),0)</f>
        <v>0</v>
      </c>
      <c r="EJ14" s="28">
        <f>IFERROR(HLOOKUP(EJ15,'DIN SORTIM'!$4:$5,2,0),0)</f>
        <v>0</v>
      </c>
      <c r="EK14" s="28">
        <f>IFERROR(HLOOKUP(EK15,'DIN SORTIM'!$4:$5,2,0),0)</f>
        <v>0</v>
      </c>
      <c r="EL14" s="28">
        <f>IFERROR(HLOOKUP(EL15,'DIN SORTIM'!$4:$5,2,0),0)</f>
        <v>0</v>
      </c>
      <c r="EM14" s="28">
        <f>IFERROR(HLOOKUP(EM15,'DIN SORTIM'!$4:$5,2,0),0)</f>
        <v>0</v>
      </c>
      <c r="EN14" s="28">
        <f>IFERROR(HLOOKUP(EN15,'DIN SORTIM'!$4:$5,2,0),0)</f>
        <v>0</v>
      </c>
      <c r="EO14" s="28">
        <f>IFERROR(HLOOKUP(EO15,'DIN SORTIM'!$4:$5,2,0),0)</f>
        <v>0</v>
      </c>
      <c r="EP14" s="28">
        <f>IFERROR(HLOOKUP(EP15,'DIN SORTIM'!$4:$5,2,0),0)</f>
        <v>0</v>
      </c>
      <c r="EQ14" s="28">
        <f>IFERROR(HLOOKUP(EQ15,'DIN SORTIM'!$4:$5,2,0),0)</f>
        <v>0</v>
      </c>
      <c r="ER14" s="28">
        <f>IFERROR(HLOOKUP(ER15,'DIN SORTIM'!$4:$5,2,0),0)</f>
        <v>0</v>
      </c>
      <c r="ES14" s="28">
        <f>IFERROR(HLOOKUP(ES15,'DIN SORTIM'!$4:$5,2,0),0)</f>
        <v>0</v>
      </c>
      <c r="ET14" s="28">
        <f>IFERROR(HLOOKUP(ET15,'DIN SORTIM'!$4:$5,2,0),0)</f>
        <v>0</v>
      </c>
      <c r="EU14" s="28">
        <f>IFERROR(HLOOKUP(EU15,'DIN SORTIM'!$4:$5,2,0),0)</f>
        <v>0</v>
      </c>
      <c r="EV14" s="28">
        <f>IFERROR(HLOOKUP(EV15,'DIN SORTIM'!$4:$5,2,0),0)</f>
        <v>0</v>
      </c>
      <c r="EW14" s="28">
        <f>IFERROR(HLOOKUP(EW15,'DIN SORTIM'!$4:$5,2,0),0)</f>
        <v>0</v>
      </c>
      <c r="EX14" s="28">
        <f>IFERROR(HLOOKUP(EX15,'DIN SORTIM'!$4:$5,2,0),0)</f>
        <v>0</v>
      </c>
      <c r="EY14" s="28">
        <f>IFERROR(HLOOKUP(EY15,'DIN SORTIM'!$4:$5,2,0),0)</f>
        <v>0</v>
      </c>
      <c r="EZ14" s="28">
        <f>IFERROR(HLOOKUP(EZ15,'DIN SORTIM'!$4:$5,2,0),0)</f>
        <v>0</v>
      </c>
    </row>
    <row r="15" spans="1:156" ht="15.75" customHeight="1" x14ac:dyDescent="0.25">
      <c r="A15" s="29"/>
      <c r="B15" s="30">
        <f>SUBTOTAL(3,B17:B1390)</f>
        <v>0</v>
      </c>
      <c r="C15" s="31"/>
      <c r="D15" s="29"/>
      <c r="E15" s="29"/>
      <c r="F15" s="32"/>
      <c r="G15" s="32"/>
      <c r="H15" s="32"/>
      <c r="I15" s="32"/>
      <c r="J15" s="32"/>
      <c r="K15" s="32"/>
      <c r="L15" s="32" t="s">
        <v>26</v>
      </c>
      <c r="M15" s="32" t="s">
        <v>27</v>
      </c>
      <c r="N15" s="32" t="s">
        <v>28</v>
      </c>
      <c r="O15" s="32" t="s">
        <v>29</v>
      </c>
      <c r="P15" s="32" t="s">
        <v>30</v>
      </c>
      <c r="Q15" s="32" t="s">
        <v>31</v>
      </c>
      <c r="R15" s="32" t="s">
        <v>32</v>
      </c>
      <c r="S15" s="32" t="s">
        <v>33</v>
      </c>
      <c r="T15" s="32" t="s">
        <v>34</v>
      </c>
      <c r="U15" s="32" t="s">
        <v>35</v>
      </c>
      <c r="V15" s="32" t="s">
        <v>36</v>
      </c>
      <c r="W15" s="32" t="s">
        <v>37</v>
      </c>
      <c r="X15" s="32" t="s">
        <v>38</v>
      </c>
      <c r="Y15" s="32" t="s">
        <v>39</v>
      </c>
      <c r="Z15" s="32" t="s">
        <v>40</v>
      </c>
      <c r="AA15" s="32" t="s">
        <v>41</v>
      </c>
      <c r="AB15" s="32" t="s">
        <v>42</v>
      </c>
      <c r="AC15" s="32" t="s">
        <v>43</v>
      </c>
      <c r="AD15" s="32" t="s">
        <v>44</v>
      </c>
      <c r="AE15" s="32" t="s">
        <v>45</v>
      </c>
      <c r="AF15" s="32" t="s">
        <v>46</v>
      </c>
      <c r="AG15" s="32" t="s">
        <v>47</v>
      </c>
      <c r="AH15" s="32" t="s">
        <v>48</v>
      </c>
      <c r="AI15" s="32" t="s">
        <v>49</v>
      </c>
      <c r="AJ15" s="32" t="s">
        <v>50</v>
      </c>
      <c r="AK15" s="32" t="s">
        <v>51</v>
      </c>
      <c r="AL15" s="32" t="s">
        <v>52</v>
      </c>
      <c r="AM15" s="32" t="s">
        <v>53</v>
      </c>
      <c r="AN15" s="32" t="s">
        <v>54</v>
      </c>
      <c r="AO15" s="32" t="s">
        <v>55</v>
      </c>
      <c r="AP15" s="32" t="s">
        <v>56</v>
      </c>
      <c r="AQ15" s="32" t="s">
        <v>57</v>
      </c>
      <c r="AR15" s="32" t="s">
        <v>58</v>
      </c>
      <c r="AS15" s="32" t="s">
        <v>59</v>
      </c>
      <c r="AT15" s="32" t="s">
        <v>60</v>
      </c>
      <c r="AU15" s="32" t="s">
        <v>61</v>
      </c>
      <c r="AV15" s="32" t="s">
        <v>62</v>
      </c>
      <c r="AW15" s="32" t="s">
        <v>63</v>
      </c>
      <c r="AX15" s="32" t="s">
        <v>64</v>
      </c>
      <c r="AY15" s="32" t="s">
        <v>65</v>
      </c>
      <c r="AZ15" s="32" t="s">
        <v>66</v>
      </c>
      <c r="BA15" s="32" t="s">
        <v>67</v>
      </c>
      <c r="BB15" s="32" t="s">
        <v>68</v>
      </c>
      <c r="BC15" s="32" t="s">
        <v>69</v>
      </c>
      <c r="BD15" s="32" t="s">
        <v>70</v>
      </c>
      <c r="BE15" s="32" t="s">
        <v>71</v>
      </c>
      <c r="BF15" s="32" t="s">
        <v>72</v>
      </c>
      <c r="BG15" s="32" t="s">
        <v>73</v>
      </c>
      <c r="BH15" s="32" t="s">
        <v>74</v>
      </c>
      <c r="BI15" s="32" t="s">
        <v>75</v>
      </c>
      <c r="BJ15" s="32" t="s">
        <v>76</v>
      </c>
      <c r="BK15" s="32" t="s">
        <v>77</v>
      </c>
      <c r="BL15" s="32" t="s">
        <v>78</v>
      </c>
      <c r="BM15" s="32" t="s">
        <v>79</v>
      </c>
      <c r="BN15" s="32" t="s">
        <v>80</v>
      </c>
      <c r="BO15" s="32" t="s">
        <v>81</v>
      </c>
      <c r="BP15" s="32" t="s">
        <v>82</v>
      </c>
      <c r="BQ15" s="32" t="s">
        <v>83</v>
      </c>
      <c r="BR15" s="32" t="s">
        <v>84</v>
      </c>
      <c r="BS15" s="32" t="s">
        <v>85</v>
      </c>
      <c r="BT15" s="32" t="s">
        <v>86</v>
      </c>
      <c r="BU15" s="32" t="s">
        <v>87</v>
      </c>
      <c r="BV15" s="32" t="s">
        <v>88</v>
      </c>
      <c r="BW15" s="32" t="s">
        <v>89</v>
      </c>
      <c r="BX15" s="32" t="s">
        <v>90</v>
      </c>
      <c r="BY15" s="32" t="s">
        <v>91</v>
      </c>
      <c r="BZ15" s="32" t="s">
        <v>92</v>
      </c>
      <c r="CA15" s="32" t="s">
        <v>93</v>
      </c>
      <c r="CB15" s="32" t="s">
        <v>94</v>
      </c>
      <c r="CC15" s="32" t="s">
        <v>95</v>
      </c>
      <c r="CD15" s="32" t="s">
        <v>96</v>
      </c>
      <c r="CE15" s="32" t="s">
        <v>97</v>
      </c>
      <c r="CF15" s="32" t="s">
        <v>98</v>
      </c>
      <c r="CG15" s="32" t="s">
        <v>99</v>
      </c>
      <c r="CH15" s="32" t="s">
        <v>100</v>
      </c>
      <c r="CI15" s="32" t="s">
        <v>101</v>
      </c>
      <c r="CJ15" s="32" t="s">
        <v>102</v>
      </c>
      <c r="CK15" s="32" t="s">
        <v>103</v>
      </c>
      <c r="CL15" s="32" t="s">
        <v>104</v>
      </c>
      <c r="CM15" s="32" t="s">
        <v>105</v>
      </c>
      <c r="CN15" s="32" t="s">
        <v>106</v>
      </c>
      <c r="CO15" s="32" t="s">
        <v>107</v>
      </c>
      <c r="CP15" s="32" t="s">
        <v>108</v>
      </c>
      <c r="CQ15" s="32" t="s">
        <v>109</v>
      </c>
      <c r="CR15" s="32" t="s">
        <v>110</v>
      </c>
      <c r="CS15" s="32" t="s">
        <v>111</v>
      </c>
      <c r="CT15" s="32" t="s">
        <v>112</v>
      </c>
      <c r="CU15" s="32" t="s">
        <v>113</v>
      </c>
      <c r="CV15" s="32" t="s">
        <v>114</v>
      </c>
      <c r="CW15" s="32" t="s">
        <v>115</v>
      </c>
      <c r="CX15" s="32" t="s">
        <v>116</v>
      </c>
      <c r="CY15" s="32" t="s">
        <v>117</v>
      </c>
      <c r="CZ15" s="32" t="s">
        <v>118</v>
      </c>
      <c r="DA15" s="32" t="s">
        <v>119</v>
      </c>
      <c r="DB15" s="32" t="s">
        <v>120</v>
      </c>
      <c r="DC15" s="32" t="s">
        <v>121</v>
      </c>
      <c r="DD15" s="32" t="s">
        <v>122</v>
      </c>
      <c r="DE15" s="32" t="s">
        <v>123</v>
      </c>
      <c r="DF15" s="32" t="s">
        <v>124</v>
      </c>
      <c r="DG15" s="32" t="s">
        <v>125</v>
      </c>
      <c r="DH15" s="32" t="s">
        <v>126</v>
      </c>
      <c r="DI15" s="32" t="s">
        <v>127</v>
      </c>
      <c r="DJ15" s="32" t="s">
        <v>128</v>
      </c>
      <c r="DK15" s="32" t="s">
        <v>129</v>
      </c>
      <c r="DL15" s="32" t="s">
        <v>130</v>
      </c>
      <c r="DM15" s="32" t="s">
        <v>131</v>
      </c>
      <c r="DN15" s="32" t="s">
        <v>132</v>
      </c>
      <c r="DO15" s="32" t="s">
        <v>133</v>
      </c>
      <c r="DP15" s="32" t="s">
        <v>134</v>
      </c>
      <c r="DQ15" s="32" t="s">
        <v>135</v>
      </c>
      <c r="DR15" s="32" t="s">
        <v>136</v>
      </c>
      <c r="DS15" s="32" t="s">
        <v>137</v>
      </c>
      <c r="DT15" s="32" t="s">
        <v>138</v>
      </c>
      <c r="DU15" s="32" t="s">
        <v>139</v>
      </c>
      <c r="DV15" s="32" t="s">
        <v>140</v>
      </c>
      <c r="DW15" s="32" t="s">
        <v>141</v>
      </c>
      <c r="DX15" s="32" t="s">
        <v>142</v>
      </c>
      <c r="DY15" s="32" t="s">
        <v>143</v>
      </c>
      <c r="DZ15" s="32" t="s">
        <v>144</v>
      </c>
      <c r="EA15" s="32" t="s">
        <v>145</v>
      </c>
      <c r="EB15" s="32" t="s">
        <v>146</v>
      </c>
      <c r="EC15" s="32" t="s">
        <v>147</v>
      </c>
      <c r="ED15" s="32" t="s">
        <v>148</v>
      </c>
      <c r="EE15" s="32" t="s">
        <v>149</v>
      </c>
      <c r="EF15" s="32" t="s">
        <v>150</v>
      </c>
      <c r="EG15" s="32" t="s">
        <v>151</v>
      </c>
      <c r="EH15" s="32" t="s">
        <v>152</v>
      </c>
      <c r="EI15" s="32" t="s">
        <v>153</v>
      </c>
      <c r="EJ15" s="32" t="s">
        <v>154</v>
      </c>
      <c r="EK15" s="32" t="s">
        <v>155</v>
      </c>
      <c r="EL15" s="32" t="s">
        <v>156</v>
      </c>
      <c r="EM15" s="32" t="s">
        <v>157</v>
      </c>
      <c r="EN15" s="32" t="s">
        <v>158</v>
      </c>
      <c r="EO15" s="32" t="s">
        <v>159</v>
      </c>
      <c r="EP15" s="32" t="s">
        <v>160</v>
      </c>
      <c r="EQ15" s="32" t="s">
        <v>161</v>
      </c>
      <c r="ER15" s="32" t="s">
        <v>162</v>
      </c>
      <c r="ES15" s="32" t="s">
        <v>163</v>
      </c>
      <c r="ET15" s="32" t="s">
        <v>164</v>
      </c>
      <c r="EU15" s="32" t="s">
        <v>165</v>
      </c>
      <c r="EV15" s="32" t="s">
        <v>166</v>
      </c>
      <c r="EW15" s="32" t="s">
        <v>167</v>
      </c>
      <c r="EX15" s="32" t="s">
        <v>168</v>
      </c>
      <c r="EY15" s="32" t="s">
        <v>169</v>
      </c>
      <c r="EZ15" s="32" t="s">
        <v>170</v>
      </c>
    </row>
    <row r="16" spans="1:156" ht="20.25" customHeight="1" x14ac:dyDescent="0.25">
      <c r="A16" s="21" t="s">
        <v>171</v>
      </c>
      <c r="B16" s="21" t="s">
        <v>172</v>
      </c>
      <c r="C16" s="21" t="s">
        <v>173</v>
      </c>
      <c r="D16" s="21" t="s">
        <v>174</v>
      </c>
      <c r="E16" s="21" t="s">
        <v>175</v>
      </c>
      <c r="F16" s="21" t="s">
        <v>176</v>
      </c>
      <c r="G16" s="21" t="s">
        <v>177</v>
      </c>
      <c r="H16" s="21" t="s">
        <v>178</v>
      </c>
      <c r="I16" s="21" t="s">
        <v>179</v>
      </c>
      <c r="J16" s="21" t="s">
        <v>180</v>
      </c>
      <c r="K16" s="21" t="s">
        <v>22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4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5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6"/>
      <c r="EW16" s="36"/>
      <c r="EX16" s="36"/>
      <c r="EY16" s="36"/>
      <c r="EZ16" s="36"/>
    </row>
    <row r="17" spans="1:156" ht="20.25" customHeight="1" x14ac:dyDescent="0.25">
      <c r="A17" s="37"/>
      <c r="B17" s="37"/>
      <c r="C17" s="38"/>
      <c r="D17" s="37"/>
      <c r="E17" s="37"/>
      <c r="F17" s="37"/>
      <c r="G17" s="38"/>
      <c r="H17" s="20"/>
      <c r="I17" s="37"/>
      <c r="J17" s="37"/>
      <c r="K17" s="39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</row>
    <row r="18" spans="1:156" ht="20.25" customHeight="1" x14ac:dyDescent="0.25">
      <c r="A18" s="37"/>
      <c r="B18" s="37"/>
      <c r="C18" s="38"/>
      <c r="D18" s="37"/>
      <c r="E18" s="37"/>
      <c r="F18" s="37"/>
      <c r="G18" s="38"/>
      <c r="H18" s="20"/>
      <c r="I18" s="37"/>
      <c r="J18" s="37"/>
      <c r="K18" s="39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</row>
    <row r="19" spans="1:156" ht="20.25" customHeight="1" x14ac:dyDescent="0.25">
      <c r="A19" s="37"/>
      <c r="B19" s="37"/>
      <c r="C19" s="38"/>
      <c r="D19" s="37"/>
      <c r="E19" s="37"/>
      <c r="F19" s="37"/>
      <c r="G19" s="38"/>
      <c r="H19" s="20"/>
      <c r="I19" s="37"/>
      <c r="J19" s="37"/>
      <c r="K19" s="39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</row>
    <row r="20" spans="1:156" ht="20.25" customHeight="1" x14ac:dyDescent="0.25">
      <c r="A20" s="37"/>
      <c r="B20" s="37"/>
      <c r="C20" s="38"/>
      <c r="D20" s="37"/>
      <c r="E20" s="37"/>
      <c r="F20" s="37"/>
      <c r="G20" s="38"/>
      <c r="H20" s="20"/>
      <c r="I20" s="37"/>
      <c r="J20" s="37"/>
      <c r="K20" s="39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</row>
    <row r="21" spans="1:156" ht="20.25" customHeight="1" x14ac:dyDescent="0.25">
      <c r="A21" s="37"/>
      <c r="B21" s="37"/>
      <c r="C21" s="38"/>
      <c r="D21" s="37"/>
      <c r="E21" s="37"/>
      <c r="F21" s="37"/>
      <c r="G21" s="38"/>
      <c r="H21" s="20"/>
      <c r="I21" s="37"/>
      <c r="J21" s="37"/>
      <c r="K21" s="39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</row>
    <row r="22" spans="1:156" ht="20.25" customHeight="1" x14ac:dyDescent="0.25">
      <c r="A22" s="37"/>
      <c r="B22" s="37"/>
      <c r="C22" s="38"/>
      <c r="D22" s="37"/>
      <c r="E22" s="37"/>
      <c r="F22" s="37"/>
      <c r="G22" s="38"/>
      <c r="H22" s="20"/>
      <c r="I22" s="37"/>
      <c r="J22" s="37"/>
      <c r="K22" s="39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</row>
    <row r="23" spans="1:156" ht="20.25" customHeight="1" x14ac:dyDescent="0.25">
      <c r="A23" s="37"/>
      <c r="B23" s="37"/>
      <c r="C23" s="38"/>
      <c r="D23" s="37"/>
      <c r="E23" s="37"/>
      <c r="F23" s="37"/>
      <c r="G23" s="38"/>
      <c r="H23" s="20"/>
      <c r="I23" s="37"/>
      <c r="J23" s="37"/>
      <c r="K23" s="39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</row>
    <row r="24" spans="1:156" ht="20.25" customHeight="1" x14ac:dyDescent="0.25">
      <c r="A24" s="37"/>
      <c r="B24" s="37"/>
      <c r="C24" s="38"/>
      <c r="D24" s="37"/>
      <c r="E24" s="37"/>
      <c r="F24" s="37"/>
      <c r="G24" s="38"/>
      <c r="H24" s="20"/>
      <c r="I24" s="37"/>
      <c r="J24" s="37"/>
      <c r="K24" s="39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</row>
    <row r="25" spans="1:156" ht="20.25" customHeight="1" x14ac:dyDescent="0.25">
      <c r="A25" s="37"/>
      <c r="B25" s="37"/>
      <c r="C25" s="38"/>
      <c r="D25" s="37"/>
      <c r="E25" s="37"/>
      <c r="F25" s="37"/>
      <c r="G25" s="38"/>
      <c r="H25" s="20"/>
      <c r="I25" s="37"/>
      <c r="J25" s="37"/>
      <c r="K25" s="39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</row>
    <row r="26" spans="1:156" ht="20.25" customHeight="1" x14ac:dyDescent="0.25">
      <c r="A26" s="37"/>
      <c r="B26" s="37"/>
      <c r="C26" s="38"/>
      <c r="D26" s="37"/>
      <c r="E26" s="37"/>
      <c r="F26" s="37"/>
      <c r="G26" s="38"/>
      <c r="H26" s="20"/>
      <c r="I26" s="37"/>
      <c r="J26" s="37"/>
      <c r="K26" s="39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</row>
    <row r="27" spans="1:156" ht="20.25" customHeight="1" x14ac:dyDescent="0.25">
      <c r="A27" s="37"/>
      <c r="B27" s="37"/>
      <c r="C27" s="38"/>
      <c r="D27" s="37"/>
      <c r="E27" s="37"/>
      <c r="F27" s="37"/>
      <c r="G27" s="38"/>
      <c r="H27" s="20"/>
      <c r="I27" s="37"/>
      <c r="J27" s="37"/>
      <c r="K27" s="39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</row>
    <row r="28" spans="1:156" ht="20.25" customHeight="1" x14ac:dyDescent="0.25">
      <c r="A28" s="37"/>
      <c r="B28" s="37"/>
      <c r="C28" s="38"/>
      <c r="D28" s="37"/>
      <c r="E28" s="37"/>
      <c r="F28" s="37"/>
      <c r="G28" s="38"/>
      <c r="H28" s="20"/>
      <c r="I28" s="37"/>
      <c r="J28" s="37"/>
      <c r="K28" s="39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</row>
    <row r="29" spans="1:156" ht="20.25" customHeight="1" x14ac:dyDescent="0.25">
      <c r="A29" s="37"/>
      <c r="B29" s="37"/>
      <c r="C29" s="38"/>
      <c r="D29" s="37"/>
      <c r="E29" s="37"/>
      <c r="F29" s="37"/>
      <c r="G29" s="38"/>
      <c r="H29" s="20"/>
      <c r="I29" s="37"/>
      <c r="J29" s="37"/>
      <c r="K29" s="39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</row>
    <row r="30" spans="1:156" ht="20.25" customHeight="1" x14ac:dyDescent="0.25">
      <c r="A30" s="37"/>
      <c r="B30" s="37"/>
      <c r="C30" s="38"/>
      <c r="D30" s="37"/>
      <c r="E30" s="37"/>
      <c r="F30" s="37"/>
      <c r="G30" s="38"/>
      <c r="H30" s="20"/>
      <c r="I30" s="37"/>
      <c r="J30" s="37"/>
      <c r="K30" s="39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</row>
    <row r="31" spans="1:156" ht="20.25" customHeight="1" x14ac:dyDescent="0.25">
      <c r="A31" s="37"/>
      <c r="B31" s="37"/>
      <c r="C31" s="38"/>
      <c r="D31" s="37"/>
      <c r="E31" s="37"/>
      <c r="F31" s="37"/>
      <c r="G31" s="38"/>
      <c r="H31" s="20"/>
      <c r="I31" s="37"/>
      <c r="J31" s="37"/>
      <c r="K31" s="39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</row>
    <row r="32" spans="1:156" ht="20.25" customHeight="1" x14ac:dyDescent="0.25">
      <c r="A32" s="37"/>
      <c r="B32" s="37"/>
      <c r="C32" s="38"/>
      <c r="D32" s="37"/>
      <c r="E32" s="37"/>
      <c r="F32" s="37"/>
      <c r="G32" s="38"/>
      <c r="H32" s="20"/>
      <c r="I32" s="37"/>
      <c r="J32" s="37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</row>
    <row r="33" spans="1:156" ht="20.25" customHeight="1" x14ac:dyDescent="0.25">
      <c r="A33" s="37"/>
      <c r="B33" s="37"/>
      <c r="C33" s="38"/>
      <c r="D33" s="37"/>
      <c r="E33" s="37"/>
      <c r="F33" s="37"/>
      <c r="G33" s="38"/>
      <c r="H33" s="20"/>
      <c r="I33" s="37"/>
      <c r="J33" s="37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</row>
    <row r="34" spans="1:156" ht="20.25" customHeight="1" x14ac:dyDescent="0.25">
      <c r="A34" s="37"/>
      <c r="B34" s="37"/>
      <c r="C34" s="38"/>
      <c r="D34" s="37"/>
      <c r="E34" s="37"/>
      <c r="F34" s="37"/>
      <c r="G34" s="38"/>
      <c r="H34" s="20"/>
      <c r="I34" s="37"/>
      <c r="J34" s="37"/>
      <c r="K34" s="39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</row>
    <row r="35" spans="1:156" ht="20.25" customHeight="1" x14ac:dyDescent="0.25">
      <c r="A35" s="37"/>
      <c r="B35" s="37"/>
      <c r="C35" s="38"/>
      <c r="D35" s="37"/>
      <c r="E35" s="37"/>
      <c r="F35" s="37"/>
      <c r="G35" s="38"/>
      <c r="H35" s="20"/>
      <c r="I35" s="37"/>
      <c r="J35" s="37"/>
      <c r="K35" s="39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</row>
    <row r="36" spans="1:156" ht="20.25" customHeight="1" x14ac:dyDescent="0.25">
      <c r="A36" s="37"/>
      <c r="B36" s="37"/>
      <c r="C36" s="38"/>
      <c r="D36" s="37"/>
      <c r="E36" s="37"/>
      <c r="F36" s="37"/>
      <c r="G36" s="38"/>
      <c r="H36" s="20"/>
      <c r="I36" s="37"/>
      <c r="J36" s="37"/>
      <c r="K36" s="39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</row>
    <row r="37" spans="1:156" ht="20.25" customHeight="1" x14ac:dyDescent="0.25">
      <c r="A37" s="37"/>
      <c r="B37" s="37"/>
      <c r="C37" s="38"/>
      <c r="D37" s="37"/>
      <c r="E37" s="37"/>
      <c r="F37" s="37"/>
      <c r="G37" s="38"/>
      <c r="H37" s="20"/>
      <c r="I37" s="37"/>
      <c r="J37" s="37"/>
      <c r="K37" s="39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</row>
    <row r="38" spans="1:156" ht="20.25" customHeight="1" x14ac:dyDescent="0.25">
      <c r="A38" s="37"/>
      <c r="B38" s="37"/>
      <c r="C38" s="38"/>
      <c r="D38" s="37"/>
      <c r="E38" s="37"/>
      <c r="F38" s="37"/>
      <c r="G38" s="38"/>
      <c r="H38" s="20"/>
      <c r="I38" s="37"/>
      <c r="J38" s="37"/>
      <c r="K38" s="39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</row>
    <row r="39" spans="1:156" ht="20.25" customHeight="1" x14ac:dyDescent="0.25">
      <c r="A39" s="37"/>
      <c r="B39" s="37"/>
      <c r="C39" s="38"/>
      <c r="D39" s="37"/>
      <c r="E39" s="37"/>
      <c r="F39" s="37"/>
      <c r="G39" s="38"/>
      <c r="H39" s="20"/>
      <c r="I39" s="37"/>
      <c r="J39" s="37"/>
      <c r="K39" s="39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</row>
    <row r="40" spans="1:156" ht="20.25" customHeight="1" x14ac:dyDescent="0.25">
      <c r="A40" s="37"/>
      <c r="B40" s="37"/>
      <c r="C40" s="38"/>
      <c r="D40" s="37"/>
      <c r="E40" s="37"/>
      <c r="F40" s="37"/>
      <c r="G40" s="38"/>
      <c r="H40" s="20"/>
      <c r="I40" s="37"/>
      <c r="J40" s="37"/>
      <c r="K40" s="39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</row>
    <row r="41" spans="1:156" ht="20.25" customHeight="1" x14ac:dyDescent="0.25">
      <c r="A41" s="37"/>
      <c r="B41" s="37"/>
      <c r="C41" s="38"/>
      <c r="D41" s="37"/>
      <c r="E41" s="37"/>
      <c r="F41" s="37"/>
      <c r="G41" s="38"/>
      <c r="H41" s="20"/>
      <c r="I41" s="37"/>
      <c r="J41" s="37"/>
      <c r="K41" s="39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</row>
    <row r="42" spans="1:156" ht="20.25" customHeight="1" x14ac:dyDescent="0.25">
      <c r="A42" s="37"/>
      <c r="B42" s="37"/>
      <c r="C42" s="38"/>
      <c r="D42" s="37"/>
      <c r="E42" s="37"/>
      <c r="F42" s="37"/>
      <c r="G42" s="38"/>
      <c r="H42" s="20"/>
      <c r="I42" s="37"/>
      <c r="J42" s="37"/>
      <c r="K42" s="39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</row>
    <row r="43" spans="1:156" ht="20.25" customHeight="1" x14ac:dyDescent="0.25">
      <c r="A43" s="37"/>
      <c r="B43" s="37"/>
      <c r="C43" s="38"/>
      <c r="D43" s="37"/>
      <c r="E43" s="37"/>
      <c r="F43" s="37"/>
      <c r="G43" s="38"/>
      <c r="H43" s="20"/>
      <c r="I43" s="37"/>
      <c r="J43" s="37"/>
      <c r="K43" s="39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</row>
    <row r="44" spans="1:156" ht="20.25" customHeight="1" x14ac:dyDescent="0.25">
      <c r="A44" s="37"/>
      <c r="B44" s="37"/>
      <c r="C44" s="38"/>
      <c r="D44" s="37"/>
      <c r="E44" s="37"/>
      <c r="F44" s="37"/>
      <c r="G44" s="38"/>
      <c r="H44" s="20"/>
      <c r="I44" s="37"/>
      <c r="J44" s="37"/>
      <c r="K44" s="39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</row>
    <row r="45" spans="1:156" ht="20.25" customHeight="1" x14ac:dyDescent="0.25">
      <c r="A45" s="37"/>
      <c r="B45" s="37"/>
      <c r="C45" s="38"/>
      <c r="D45" s="37"/>
      <c r="E45" s="37"/>
      <c r="F45" s="37"/>
      <c r="G45" s="38"/>
      <c r="H45" s="20"/>
      <c r="I45" s="37"/>
      <c r="J45" s="37"/>
      <c r="K45" s="39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</row>
    <row r="46" spans="1:156" ht="20.25" customHeight="1" x14ac:dyDescent="0.25">
      <c r="A46" s="37"/>
      <c r="B46" s="37"/>
      <c r="C46" s="38"/>
      <c r="D46" s="37"/>
      <c r="E46" s="37"/>
      <c r="F46" s="37"/>
      <c r="G46" s="38"/>
      <c r="H46" s="20"/>
      <c r="I46" s="37"/>
      <c r="J46" s="37"/>
      <c r="K46" s="39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</row>
    <row r="47" spans="1:156" ht="20.25" customHeight="1" x14ac:dyDescent="0.25">
      <c r="A47" s="37"/>
      <c r="B47" s="37"/>
      <c r="C47" s="38"/>
      <c r="D47" s="37"/>
      <c r="E47" s="37"/>
      <c r="F47" s="37"/>
      <c r="G47" s="38"/>
      <c r="H47" s="20"/>
      <c r="I47" s="37"/>
      <c r="J47" s="37"/>
      <c r="K47" s="39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</row>
    <row r="48" spans="1:156" ht="20.25" customHeight="1" x14ac:dyDescent="0.25">
      <c r="A48" s="37"/>
      <c r="B48" s="37"/>
      <c r="C48" s="38"/>
      <c r="D48" s="37"/>
      <c r="E48" s="37"/>
      <c r="F48" s="37"/>
      <c r="G48" s="38"/>
      <c r="H48" s="20"/>
      <c r="I48" s="37"/>
      <c r="J48" s="37"/>
      <c r="K48" s="39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</row>
    <row r="49" spans="1:156" ht="20.25" customHeight="1" x14ac:dyDescent="0.25">
      <c r="A49" s="37"/>
      <c r="B49" s="37"/>
      <c r="C49" s="38"/>
      <c r="D49" s="37"/>
      <c r="E49" s="37"/>
      <c r="F49" s="37"/>
      <c r="G49" s="38"/>
      <c r="H49" s="20"/>
      <c r="I49" s="37"/>
      <c r="J49" s="37"/>
      <c r="K49" s="39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</row>
    <row r="50" spans="1:156" ht="20.25" customHeight="1" x14ac:dyDescent="0.25">
      <c r="A50" s="37"/>
      <c r="B50" s="37"/>
      <c r="C50" s="38"/>
      <c r="D50" s="37"/>
      <c r="E50" s="37"/>
      <c r="F50" s="37"/>
      <c r="G50" s="38"/>
      <c r="H50" s="20"/>
      <c r="I50" s="37"/>
      <c r="J50" s="37"/>
      <c r="K50" s="39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</row>
    <row r="51" spans="1:156" ht="20.25" customHeight="1" x14ac:dyDescent="0.25">
      <c r="A51" s="37"/>
      <c r="B51" s="37"/>
      <c r="C51" s="38"/>
      <c r="D51" s="37"/>
      <c r="E51" s="37"/>
      <c r="F51" s="37"/>
      <c r="G51" s="38"/>
      <c r="H51" s="20"/>
      <c r="I51" s="37"/>
      <c r="J51" s="37"/>
      <c r="K51" s="39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</row>
    <row r="52" spans="1:156" ht="20.25" customHeight="1" x14ac:dyDescent="0.25">
      <c r="A52" s="37"/>
      <c r="B52" s="37"/>
      <c r="C52" s="38"/>
      <c r="D52" s="37"/>
      <c r="E52" s="37"/>
      <c r="F52" s="37"/>
      <c r="G52" s="38"/>
      <c r="H52" s="20"/>
      <c r="I52" s="37"/>
      <c r="J52" s="37"/>
      <c r="K52" s="39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</row>
    <row r="53" spans="1:156" ht="20.25" customHeight="1" x14ac:dyDescent="0.25">
      <c r="A53" s="37"/>
      <c r="B53" s="37"/>
      <c r="C53" s="38"/>
      <c r="D53" s="37"/>
      <c r="E53" s="37"/>
      <c r="F53" s="37"/>
      <c r="G53" s="38"/>
      <c r="H53" s="20"/>
      <c r="I53" s="37"/>
      <c r="J53" s="37"/>
      <c r="K53" s="39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</row>
    <row r="54" spans="1:156" ht="20.25" customHeight="1" x14ac:dyDescent="0.25">
      <c r="A54" s="37"/>
      <c r="B54" s="37"/>
      <c r="C54" s="38"/>
      <c r="D54" s="37"/>
      <c r="E54" s="37"/>
      <c r="F54" s="37"/>
      <c r="G54" s="38"/>
      <c r="H54" s="20"/>
      <c r="I54" s="37"/>
      <c r="J54" s="37"/>
      <c r="K54" s="39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</row>
    <row r="55" spans="1:156" ht="20.25" customHeight="1" x14ac:dyDescent="0.25">
      <c r="A55" s="37"/>
      <c r="B55" s="37"/>
      <c r="C55" s="38"/>
      <c r="D55" s="37"/>
      <c r="E55" s="37"/>
      <c r="F55" s="37"/>
      <c r="G55" s="38"/>
      <c r="H55" s="20"/>
      <c r="I55" s="37"/>
      <c r="J55" s="37"/>
      <c r="K55" s="39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</row>
    <row r="56" spans="1:156" ht="20.25" customHeight="1" x14ac:dyDescent="0.25">
      <c r="A56" s="37"/>
      <c r="B56" s="37"/>
      <c r="C56" s="38"/>
      <c r="D56" s="37"/>
      <c r="E56" s="37"/>
      <c r="F56" s="37"/>
      <c r="G56" s="38"/>
      <c r="H56" s="20"/>
      <c r="I56" s="37"/>
      <c r="J56" s="37"/>
      <c r="K56" s="39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</row>
    <row r="57" spans="1:156" ht="20.25" customHeight="1" x14ac:dyDescent="0.25">
      <c r="A57" s="37"/>
      <c r="B57" s="37"/>
      <c r="C57" s="38"/>
      <c r="D57" s="37"/>
      <c r="E57" s="37"/>
      <c r="F57" s="37"/>
      <c r="G57" s="38"/>
      <c r="H57" s="20"/>
      <c r="I57" s="37"/>
      <c r="J57" s="37"/>
      <c r="K57" s="39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</row>
    <row r="58" spans="1:156" ht="20.25" customHeight="1" x14ac:dyDescent="0.25">
      <c r="A58" s="37"/>
      <c r="B58" s="37"/>
      <c r="C58" s="38"/>
      <c r="D58" s="37"/>
      <c r="E58" s="37"/>
      <c r="F58" s="37"/>
      <c r="G58" s="38"/>
      <c r="H58" s="20"/>
      <c r="I58" s="37"/>
      <c r="J58" s="37"/>
      <c r="K58" s="39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</row>
    <row r="59" spans="1:156" ht="20.25" customHeight="1" x14ac:dyDescent="0.25">
      <c r="A59" s="37"/>
      <c r="B59" s="37"/>
      <c r="C59" s="38"/>
      <c r="D59" s="37"/>
      <c r="E59" s="37"/>
      <c r="F59" s="37"/>
      <c r="G59" s="38"/>
      <c r="H59" s="20"/>
      <c r="I59" s="37"/>
      <c r="J59" s="37"/>
      <c r="K59" s="39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</row>
    <row r="60" spans="1:156" ht="20.25" customHeight="1" x14ac:dyDescent="0.25">
      <c r="A60" s="37"/>
      <c r="B60" s="37"/>
      <c r="C60" s="38"/>
      <c r="D60" s="37"/>
      <c r="E60" s="37"/>
      <c r="F60" s="37"/>
      <c r="G60" s="38"/>
      <c r="H60" s="20"/>
      <c r="I60" s="37"/>
      <c r="J60" s="37"/>
      <c r="K60" s="39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</row>
    <row r="61" spans="1:156" ht="20.25" customHeight="1" x14ac:dyDescent="0.25">
      <c r="A61" s="37"/>
      <c r="B61" s="37"/>
      <c r="C61" s="38"/>
      <c r="D61" s="37"/>
      <c r="E61" s="37"/>
      <c r="F61" s="37"/>
      <c r="G61" s="38"/>
      <c r="H61" s="20"/>
      <c r="I61" s="37"/>
      <c r="J61" s="37"/>
      <c r="K61" s="39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</row>
    <row r="62" spans="1:156" ht="20.25" customHeight="1" x14ac:dyDescent="0.25">
      <c r="A62" s="37"/>
      <c r="B62" s="37"/>
      <c r="C62" s="38"/>
      <c r="D62" s="37"/>
      <c r="E62" s="37"/>
      <c r="F62" s="37"/>
      <c r="G62" s="38"/>
      <c r="H62" s="20"/>
      <c r="I62" s="37"/>
      <c r="J62" s="37"/>
      <c r="K62" s="39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</row>
    <row r="63" spans="1:156" ht="20.25" customHeight="1" x14ac:dyDescent="0.25">
      <c r="A63" s="37"/>
      <c r="B63" s="37"/>
      <c r="C63" s="38"/>
      <c r="D63" s="37"/>
      <c r="E63" s="37"/>
      <c r="F63" s="37"/>
      <c r="G63" s="38"/>
      <c r="H63" s="20"/>
      <c r="I63" s="37"/>
      <c r="J63" s="37"/>
      <c r="K63" s="39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</row>
    <row r="64" spans="1:156" ht="20.25" customHeight="1" x14ac:dyDescent="0.25">
      <c r="A64" s="37"/>
      <c r="B64" s="37"/>
      <c r="C64" s="38"/>
      <c r="D64" s="37"/>
      <c r="E64" s="37"/>
      <c r="F64" s="37"/>
      <c r="G64" s="38"/>
      <c r="H64" s="20"/>
      <c r="I64" s="37"/>
      <c r="J64" s="37"/>
      <c r="K64" s="39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</row>
    <row r="65" spans="1:156" ht="20.25" customHeight="1" x14ac:dyDescent="0.25">
      <c r="A65" s="37"/>
      <c r="B65" s="37"/>
      <c r="C65" s="38"/>
      <c r="D65" s="37"/>
      <c r="E65" s="37"/>
      <c r="F65" s="37"/>
      <c r="G65" s="38"/>
      <c r="H65" s="20"/>
      <c r="I65" s="37"/>
      <c r="J65" s="37"/>
      <c r="K65" s="39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</row>
    <row r="66" spans="1:156" ht="20.25" customHeight="1" x14ac:dyDescent="0.25">
      <c r="A66" s="37"/>
      <c r="B66" s="37"/>
      <c r="C66" s="38"/>
      <c r="D66" s="37"/>
      <c r="E66" s="37"/>
      <c r="F66" s="37"/>
      <c r="G66" s="38"/>
      <c r="H66" s="20"/>
      <c r="I66" s="37"/>
      <c r="J66" s="37"/>
      <c r="K66" s="39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</row>
    <row r="67" spans="1:156" ht="20.25" customHeight="1" x14ac:dyDescent="0.25">
      <c r="A67" s="37"/>
      <c r="B67" s="37"/>
      <c r="C67" s="38"/>
      <c r="D67" s="37"/>
      <c r="E67" s="37"/>
      <c r="F67" s="37"/>
      <c r="G67" s="38"/>
      <c r="H67" s="20"/>
      <c r="I67" s="37"/>
      <c r="J67" s="37"/>
      <c r="K67" s="39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</row>
    <row r="68" spans="1:156" ht="20.25" customHeight="1" x14ac:dyDescent="0.25">
      <c r="A68" s="37"/>
      <c r="B68" s="37"/>
      <c r="C68" s="38"/>
      <c r="D68" s="37"/>
      <c r="E68" s="37"/>
      <c r="F68" s="37"/>
      <c r="G68" s="38"/>
      <c r="H68" s="20"/>
      <c r="I68" s="37"/>
      <c r="J68" s="37"/>
      <c r="K68" s="39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</row>
    <row r="69" spans="1:156" ht="20.25" customHeight="1" x14ac:dyDescent="0.25">
      <c r="A69" s="37"/>
      <c r="B69" s="37"/>
      <c r="C69" s="38"/>
      <c r="D69" s="37"/>
      <c r="E69" s="37"/>
      <c r="F69" s="37"/>
      <c r="G69" s="38"/>
      <c r="H69" s="20"/>
      <c r="I69" s="37"/>
      <c r="J69" s="37"/>
      <c r="K69" s="39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</row>
    <row r="70" spans="1:156" ht="20.25" customHeight="1" x14ac:dyDescent="0.25">
      <c r="A70" s="37"/>
      <c r="B70" s="37"/>
      <c r="C70" s="38"/>
      <c r="D70" s="37"/>
      <c r="E70" s="37"/>
      <c r="F70" s="37"/>
      <c r="G70" s="38"/>
      <c r="H70" s="20"/>
      <c r="I70" s="37"/>
      <c r="J70" s="37"/>
      <c r="K70" s="39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</row>
    <row r="71" spans="1:156" ht="20.25" customHeight="1" x14ac:dyDescent="0.25">
      <c r="A71" s="37"/>
      <c r="B71" s="37"/>
      <c r="C71" s="38"/>
      <c r="D71" s="37"/>
      <c r="E71" s="37"/>
      <c r="F71" s="37"/>
      <c r="G71" s="38"/>
      <c r="H71" s="20"/>
      <c r="I71" s="37"/>
      <c r="J71" s="37"/>
      <c r="K71" s="39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</row>
    <row r="72" spans="1:156" ht="20.25" customHeight="1" x14ac:dyDescent="0.25">
      <c r="A72" s="37"/>
      <c r="B72" s="37"/>
      <c r="C72" s="38"/>
      <c r="D72" s="37"/>
      <c r="E72" s="37"/>
      <c r="F72" s="37"/>
      <c r="G72" s="38"/>
      <c r="H72" s="20"/>
      <c r="I72" s="37"/>
      <c r="J72" s="37"/>
      <c r="K72" s="39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</row>
    <row r="73" spans="1:156" ht="20.25" customHeight="1" x14ac:dyDescent="0.25">
      <c r="A73" s="37"/>
      <c r="B73" s="37"/>
      <c r="C73" s="38"/>
      <c r="D73" s="37"/>
      <c r="E73" s="37"/>
      <c r="F73" s="37"/>
      <c r="G73" s="38"/>
      <c r="H73" s="20"/>
      <c r="I73" s="37"/>
      <c r="J73" s="37"/>
      <c r="K73" s="39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</row>
    <row r="74" spans="1:156" ht="20.25" customHeight="1" x14ac:dyDescent="0.25">
      <c r="A74" s="37"/>
      <c r="B74" s="37"/>
      <c r="C74" s="38"/>
      <c r="D74" s="37"/>
      <c r="E74" s="37"/>
      <c r="F74" s="37"/>
      <c r="G74" s="38"/>
      <c r="H74" s="20"/>
      <c r="I74" s="37"/>
      <c r="J74" s="37"/>
      <c r="K74" s="39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</row>
    <row r="75" spans="1:156" ht="20.25" customHeight="1" x14ac:dyDescent="0.25">
      <c r="A75" s="37"/>
      <c r="B75" s="37"/>
      <c r="C75" s="38"/>
      <c r="D75" s="37"/>
      <c r="E75" s="37"/>
      <c r="F75" s="37"/>
      <c r="G75" s="38"/>
      <c r="H75" s="20"/>
      <c r="I75" s="37"/>
      <c r="J75" s="37"/>
      <c r="K75" s="39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</row>
    <row r="76" spans="1:156" ht="20.25" customHeight="1" x14ac:dyDescent="0.25">
      <c r="A76" s="37"/>
      <c r="B76" s="37"/>
      <c r="C76" s="38"/>
      <c r="D76" s="37"/>
      <c r="E76" s="37"/>
      <c r="F76" s="37"/>
      <c r="G76" s="38"/>
      <c r="H76" s="20"/>
      <c r="I76" s="37"/>
      <c r="J76" s="37"/>
      <c r="K76" s="39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</row>
    <row r="77" spans="1:156" ht="20.25" customHeight="1" x14ac:dyDescent="0.25">
      <c r="A77" s="37"/>
      <c r="B77" s="37"/>
      <c r="C77" s="38"/>
      <c r="D77" s="37"/>
      <c r="E77" s="37"/>
      <c r="F77" s="37"/>
      <c r="G77" s="38"/>
      <c r="H77" s="20"/>
      <c r="I77" s="37"/>
      <c r="J77" s="37"/>
      <c r="K77" s="39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</row>
    <row r="78" spans="1:156" ht="20.25" customHeight="1" x14ac:dyDescent="0.25">
      <c r="A78" s="37"/>
      <c r="B78" s="37"/>
      <c r="C78" s="38"/>
      <c r="D78" s="37"/>
      <c r="E78" s="37"/>
      <c r="F78" s="37"/>
      <c r="G78" s="38"/>
      <c r="H78" s="20"/>
      <c r="I78" s="37"/>
      <c r="J78" s="37"/>
      <c r="K78" s="39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</row>
    <row r="79" spans="1:156" ht="20.25" customHeight="1" x14ac:dyDescent="0.25">
      <c r="A79" s="37"/>
      <c r="B79" s="37"/>
      <c r="C79" s="38"/>
      <c r="D79" s="37"/>
      <c r="E79" s="37"/>
      <c r="F79" s="37"/>
      <c r="G79" s="38"/>
      <c r="H79" s="20"/>
      <c r="I79" s="37"/>
      <c r="J79" s="37"/>
      <c r="K79" s="39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</row>
    <row r="80" spans="1:156" ht="20.25" customHeight="1" x14ac:dyDescent="0.25">
      <c r="A80" s="37"/>
      <c r="B80" s="37"/>
      <c r="C80" s="38"/>
      <c r="D80" s="37"/>
      <c r="E80" s="37"/>
      <c r="F80" s="37"/>
      <c r="G80" s="38"/>
      <c r="H80" s="20"/>
      <c r="I80" s="37"/>
      <c r="J80" s="37"/>
      <c r="K80" s="39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</row>
    <row r="81" spans="1:156" ht="20.25" customHeight="1" x14ac:dyDescent="0.25">
      <c r="A81" s="37"/>
      <c r="B81" s="37"/>
      <c r="C81" s="38"/>
      <c r="D81" s="37"/>
      <c r="E81" s="37"/>
      <c r="F81" s="37"/>
      <c r="G81" s="38"/>
      <c r="H81" s="20"/>
      <c r="I81" s="37"/>
      <c r="J81" s="37"/>
      <c r="K81" s="39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</row>
    <row r="82" spans="1:156" ht="20.25" customHeight="1" x14ac:dyDescent="0.25">
      <c r="A82" s="37"/>
      <c r="B82" s="37"/>
      <c r="C82" s="38"/>
      <c r="D82" s="37"/>
      <c r="E82" s="37"/>
      <c r="F82" s="37"/>
      <c r="G82" s="38"/>
      <c r="H82" s="20"/>
      <c r="I82" s="37"/>
      <c r="J82" s="37"/>
      <c r="K82" s="39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</row>
    <row r="83" spans="1:156" ht="20.25" customHeight="1" x14ac:dyDescent="0.25">
      <c r="A83" s="37"/>
      <c r="B83" s="37"/>
      <c r="C83" s="38"/>
      <c r="D83" s="37"/>
      <c r="E83" s="37"/>
      <c r="F83" s="37"/>
      <c r="G83" s="38"/>
      <c r="H83" s="20"/>
      <c r="I83" s="37"/>
      <c r="J83" s="37"/>
      <c r="K83" s="39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</row>
    <row r="84" spans="1:156" ht="20.25" customHeight="1" x14ac:dyDescent="0.25">
      <c r="A84" s="37"/>
      <c r="B84" s="37"/>
      <c r="C84" s="38"/>
      <c r="D84" s="37"/>
      <c r="E84" s="37"/>
      <c r="F84" s="37"/>
      <c r="G84" s="38"/>
      <c r="H84" s="20"/>
      <c r="I84" s="37"/>
      <c r="J84" s="37"/>
      <c r="K84" s="39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</row>
    <row r="85" spans="1:156" ht="20.25" customHeight="1" x14ac:dyDescent="0.25">
      <c r="A85" s="37"/>
      <c r="B85" s="37"/>
      <c r="C85" s="38"/>
      <c r="D85" s="37"/>
      <c r="E85" s="37"/>
      <c r="F85" s="37"/>
      <c r="G85" s="38"/>
      <c r="H85" s="20"/>
      <c r="I85" s="37"/>
      <c r="J85" s="37"/>
      <c r="K85" s="39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</row>
    <row r="86" spans="1:156" ht="20.25" customHeight="1" x14ac:dyDescent="0.25">
      <c r="A86" s="37"/>
      <c r="B86" s="37"/>
      <c r="C86" s="38"/>
      <c r="D86" s="37"/>
      <c r="E86" s="37"/>
      <c r="F86" s="37"/>
      <c r="G86" s="38"/>
      <c r="H86" s="20"/>
      <c r="I86" s="37"/>
      <c r="J86" s="37"/>
      <c r="K86" s="39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</row>
    <row r="87" spans="1:156" ht="20.25" customHeight="1" x14ac:dyDescent="0.25">
      <c r="A87" s="37"/>
      <c r="B87" s="37"/>
      <c r="C87" s="38"/>
      <c r="D87" s="37"/>
      <c r="E87" s="37"/>
      <c r="F87" s="37"/>
      <c r="G87" s="38"/>
      <c r="H87" s="20"/>
      <c r="I87" s="37"/>
      <c r="J87" s="37"/>
      <c r="K87" s="39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</row>
    <row r="88" spans="1:156" ht="20.25" customHeight="1" x14ac:dyDescent="0.25">
      <c r="A88" s="37"/>
      <c r="B88" s="37"/>
      <c r="C88" s="38"/>
      <c r="D88" s="37"/>
      <c r="E88" s="37"/>
      <c r="F88" s="37"/>
      <c r="G88" s="38"/>
      <c r="H88" s="20"/>
      <c r="I88" s="37"/>
      <c r="J88" s="37"/>
      <c r="K88" s="39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</row>
    <row r="89" spans="1:156" ht="20.25" customHeight="1" x14ac:dyDescent="0.25">
      <c r="A89" s="37"/>
      <c r="B89" s="37"/>
      <c r="C89" s="38"/>
      <c r="D89" s="37"/>
      <c r="E89" s="37"/>
      <c r="F89" s="37"/>
      <c r="G89" s="38"/>
      <c r="H89" s="20"/>
      <c r="I89" s="37"/>
      <c r="J89" s="37"/>
      <c r="K89" s="39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</row>
    <row r="90" spans="1:156" ht="20.25" customHeight="1" x14ac:dyDescent="0.25">
      <c r="A90" s="37"/>
      <c r="B90" s="37"/>
      <c r="C90" s="38"/>
      <c r="D90" s="37"/>
      <c r="E90" s="37"/>
      <c r="F90" s="37"/>
      <c r="G90" s="38"/>
      <c r="H90" s="20"/>
      <c r="I90" s="37"/>
      <c r="J90" s="37"/>
      <c r="K90" s="39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</row>
    <row r="91" spans="1:156" ht="20.25" customHeight="1" x14ac:dyDescent="0.25">
      <c r="A91" s="37"/>
      <c r="B91" s="37"/>
      <c r="C91" s="38"/>
      <c r="D91" s="37"/>
      <c r="E91" s="37"/>
      <c r="F91" s="37"/>
      <c r="G91" s="38"/>
      <c r="H91" s="20"/>
      <c r="I91" s="37"/>
      <c r="J91" s="37"/>
      <c r="K91" s="39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</row>
    <row r="92" spans="1:156" ht="20.25" customHeight="1" x14ac:dyDescent="0.25">
      <c r="A92" s="37"/>
      <c r="B92" s="37"/>
      <c r="C92" s="38"/>
      <c r="D92" s="37"/>
      <c r="E92" s="37"/>
      <c r="F92" s="37"/>
      <c r="G92" s="38"/>
      <c r="H92" s="20"/>
      <c r="I92" s="37"/>
      <c r="J92" s="37"/>
      <c r="K92" s="39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</row>
    <row r="93" spans="1:156" ht="20.25" customHeight="1" x14ac:dyDescent="0.25">
      <c r="A93" s="37"/>
      <c r="B93" s="37"/>
      <c r="C93" s="38"/>
      <c r="D93" s="37"/>
      <c r="E93" s="37"/>
      <c r="F93" s="37"/>
      <c r="G93" s="38"/>
      <c r="H93" s="20"/>
      <c r="I93" s="37"/>
      <c r="J93" s="37"/>
      <c r="K93" s="39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</row>
    <row r="94" spans="1:156" ht="20.25" customHeight="1" x14ac:dyDescent="0.25">
      <c r="A94" s="37"/>
      <c r="B94" s="37"/>
      <c r="C94" s="38"/>
      <c r="D94" s="37"/>
      <c r="E94" s="37"/>
      <c r="F94" s="37"/>
      <c r="G94" s="38"/>
      <c r="H94" s="20"/>
      <c r="I94" s="37"/>
      <c r="J94" s="37"/>
      <c r="K94" s="39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</row>
    <row r="95" spans="1:156" ht="20.25" customHeight="1" x14ac:dyDescent="0.25">
      <c r="A95" s="37"/>
      <c r="B95" s="37"/>
      <c r="C95" s="38"/>
      <c r="D95" s="37"/>
      <c r="E95" s="37"/>
      <c r="F95" s="37"/>
      <c r="G95" s="38"/>
      <c r="H95" s="20"/>
      <c r="I95" s="37"/>
      <c r="J95" s="37"/>
      <c r="K95" s="39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</row>
    <row r="96" spans="1:156" ht="20.25" customHeight="1" x14ac:dyDescent="0.25">
      <c r="A96" s="37"/>
      <c r="B96" s="37"/>
      <c r="C96" s="38"/>
      <c r="D96" s="37"/>
      <c r="E96" s="37"/>
      <c r="F96" s="37"/>
      <c r="G96" s="38"/>
      <c r="H96" s="20"/>
      <c r="I96" s="37"/>
      <c r="J96" s="37"/>
      <c r="K96" s="39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</row>
    <row r="97" spans="1:156" ht="20.25" customHeight="1" x14ac:dyDescent="0.25">
      <c r="A97" s="37"/>
      <c r="B97" s="37"/>
      <c r="C97" s="38"/>
      <c r="D97" s="37"/>
      <c r="E97" s="37"/>
      <c r="F97" s="37"/>
      <c r="G97" s="38"/>
      <c r="H97" s="20"/>
      <c r="I97" s="37"/>
      <c r="J97" s="37"/>
      <c r="K97" s="39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</row>
    <row r="98" spans="1:156" ht="20.25" customHeight="1" x14ac:dyDescent="0.25">
      <c r="A98" s="37"/>
      <c r="B98" s="37"/>
      <c r="C98" s="38"/>
      <c r="D98" s="37"/>
      <c r="E98" s="37"/>
      <c r="F98" s="37"/>
      <c r="G98" s="38"/>
      <c r="H98" s="20"/>
      <c r="I98" s="37"/>
      <c r="J98" s="37"/>
      <c r="K98" s="39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</row>
    <row r="99" spans="1:156" ht="20.25" customHeight="1" x14ac:dyDescent="0.25">
      <c r="A99" s="37"/>
      <c r="B99" s="37"/>
      <c r="C99" s="38"/>
      <c r="D99" s="37"/>
      <c r="E99" s="37"/>
      <c r="F99" s="37"/>
      <c r="G99" s="38"/>
      <c r="H99" s="20"/>
      <c r="I99" s="37"/>
      <c r="J99" s="37"/>
      <c r="K99" s="39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</row>
    <row r="100" spans="1:156" ht="20.25" customHeight="1" x14ac:dyDescent="0.25">
      <c r="A100" s="37"/>
      <c r="B100" s="37"/>
      <c r="C100" s="38"/>
      <c r="D100" s="37"/>
      <c r="E100" s="37"/>
      <c r="F100" s="37"/>
      <c r="G100" s="38"/>
      <c r="H100" s="20"/>
      <c r="I100" s="37"/>
      <c r="J100" s="37"/>
      <c r="K100" s="39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</row>
    <row r="101" spans="1:156" ht="20.25" customHeight="1" x14ac:dyDescent="0.25">
      <c r="A101" s="37"/>
      <c r="B101" s="37"/>
      <c r="C101" s="38"/>
      <c r="D101" s="37"/>
      <c r="E101" s="37"/>
      <c r="F101" s="37"/>
      <c r="G101" s="38"/>
      <c r="H101" s="20"/>
      <c r="I101" s="37"/>
      <c r="J101" s="37"/>
      <c r="K101" s="39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</row>
    <row r="102" spans="1:156" ht="20.25" customHeight="1" x14ac:dyDescent="0.25">
      <c r="A102" s="37"/>
      <c r="B102" s="37"/>
      <c r="C102" s="38"/>
      <c r="D102" s="37"/>
      <c r="E102" s="37"/>
      <c r="F102" s="37"/>
      <c r="G102" s="38"/>
      <c r="H102" s="20"/>
      <c r="I102" s="37"/>
      <c r="J102" s="37"/>
      <c r="K102" s="39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</row>
    <row r="103" spans="1:156" ht="20.25" customHeight="1" x14ac:dyDescent="0.25">
      <c r="A103" s="37"/>
      <c r="B103" s="37"/>
      <c r="C103" s="38"/>
      <c r="D103" s="37"/>
      <c r="E103" s="37"/>
      <c r="F103" s="37"/>
      <c r="G103" s="38"/>
      <c r="H103" s="20"/>
      <c r="I103" s="37"/>
      <c r="J103" s="37"/>
      <c r="K103" s="39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</row>
    <row r="104" spans="1:156" ht="20.25" customHeight="1" x14ac:dyDescent="0.25">
      <c r="A104" s="37"/>
      <c r="B104" s="37"/>
      <c r="C104" s="38"/>
      <c r="D104" s="37"/>
      <c r="E104" s="37"/>
      <c r="F104" s="37"/>
      <c r="G104" s="38"/>
      <c r="H104" s="20"/>
      <c r="I104" s="37"/>
      <c r="J104" s="37"/>
      <c r="K104" s="39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</row>
    <row r="105" spans="1:156" ht="20.25" customHeight="1" x14ac:dyDescent="0.25">
      <c r="A105" s="37"/>
      <c r="B105" s="37"/>
      <c r="C105" s="38"/>
      <c r="D105" s="37"/>
      <c r="E105" s="37"/>
      <c r="F105" s="37"/>
      <c r="G105" s="38"/>
      <c r="H105" s="20"/>
      <c r="I105" s="37"/>
      <c r="J105" s="37"/>
      <c r="K105" s="39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</row>
    <row r="106" spans="1:156" ht="20.25" customHeight="1" x14ac:dyDescent="0.25">
      <c r="A106" s="37"/>
      <c r="B106" s="37"/>
      <c r="C106" s="38"/>
      <c r="D106" s="37"/>
      <c r="E106" s="37"/>
      <c r="F106" s="37"/>
      <c r="G106" s="38"/>
      <c r="H106" s="20"/>
      <c r="I106" s="37"/>
      <c r="J106" s="37"/>
      <c r="K106" s="39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</row>
    <row r="107" spans="1:156" ht="20.25" customHeight="1" x14ac:dyDescent="0.25">
      <c r="A107" s="37"/>
      <c r="B107" s="37"/>
      <c r="C107" s="38"/>
      <c r="D107" s="37"/>
      <c r="E107" s="37"/>
      <c r="F107" s="37"/>
      <c r="G107" s="38"/>
      <c r="H107" s="20"/>
      <c r="I107" s="37"/>
      <c r="J107" s="37"/>
      <c r="K107" s="39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</row>
    <row r="108" spans="1:156" ht="20.25" customHeight="1" x14ac:dyDescent="0.25">
      <c r="A108" s="37"/>
      <c r="B108" s="37"/>
      <c r="C108" s="38"/>
      <c r="D108" s="37"/>
      <c r="E108" s="37"/>
      <c r="F108" s="37"/>
      <c r="G108" s="38"/>
      <c r="H108" s="20"/>
      <c r="I108" s="37"/>
      <c r="J108" s="37"/>
      <c r="K108" s="39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</row>
    <row r="109" spans="1:156" ht="20.25" customHeight="1" x14ac:dyDescent="0.25">
      <c r="A109" s="37"/>
      <c r="B109" s="37"/>
      <c r="C109" s="38"/>
      <c r="D109" s="37"/>
      <c r="E109" s="37"/>
      <c r="F109" s="37"/>
      <c r="G109" s="38"/>
      <c r="H109" s="20"/>
      <c r="I109" s="37"/>
      <c r="J109" s="37"/>
      <c r="K109" s="39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</row>
    <row r="110" spans="1:156" ht="20.25" customHeight="1" x14ac:dyDescent="0.25">
      <c r="A110" s="37"/>
      <c r="B110" s="37"/>
      <c r="C110" s="38"/>
      <c r="D110" s="37"/>
      <c r="E110" s="37"/>
      <c r="F110" s="37"/>
      <c r="G110" s="38"/>
      <c r="H110" s="20"/>
      <c r="I110" s="37"/>
      <c r="J110" s="37"/>
      <c r="K110" s="39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</row>
    <row r="111" spans="1:156" ht="20.25" customHeight="1" x14ac:dyDescent="0.25">
      <c r="A111" s="37"/>
      <c r="B111" s="37"/>
      <c r="C111" s="38"/>
      <c r="D111" s="37"/>
      <c r="E111" s="37"/>
      <c r="F111" s="37"/>
      <c r="G111" s="38"/>
      <c r="H111" s="20"/>
      <c r="I111" s="37"/>
      <c r="J111" s="37"/>
      <c r="K111" s="39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</row>
    <row r="112" spans="1:156" ht="20.25" customHeight="1" x14ac:dyDescent="0.25">
      <c r="A112" s="37"/>
      <c r="B112" s="37"/>
      <c r="C112" s="38"/>
      <c r="D112" s="37"/>
      <c r="E112" s="37"/>
      <c r="F112" s="37"/>
      <c r="G112" s="38"/>
      <c r="H112" s="20"/>
      <c r="I112" s="37"/>
      <c r="J112" s="37"/>
      <c r="K112" s="39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</row>
    <row r="113" spans="1:156" ht="20.25" customHeight="1" x14ac:dyDescent="0.25">
      <c r="A113" s="37"/>
      <c r="B113" s="37"/>
      <c r="C113" s="38"/>
      <c r="D113" s="37"/>
      <c r="E113" s="37"/>
      <c r="F113" s="37"/>
      <c r="G113" s="38"/>
      <c r="H113" s="20"/>
      <c r="I113" s="37"/>
      <c r="J113" s="37"/>
      <c r="K113" s="39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</row>
    <row r="114" spans="1:156" ht="20.25" customHeight="1" x14ac:dyDescent="0.25">
      <c r="A114" s="37"/>
      <c r="B114" s="37"/>
      <c r="C114" s="38"/>
      <c r="D114" s="37"/>
      <c r="E114" s="37"/>
      <c r="F114" s="37"/>
      <c r="G114" s="38"/>
      <c r="H114" s="20"/>
      <c r="I114" s="37"/>
      <c r="J114" s="37"/>
      <c r="K114" s="39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</row>
    <row r="115" spans="1:156" ht="20.25" customHeight="1" x14ac:dyDescent="0.25">
      <c r="A115" s="37"/>
      <c r="B115" s="37"/>
      <c r="C115" s="38"/>
      <c r="D115" s="37"/>
      <c r="E115" s="37"/>
      <c r="F115" s="37"/>
      <c r="G115" s="38"/>
      <c r="H115" s="20"/>
      <c r="I115" s="37"/>
      <c r="J115" s="37"/>
      <c r="K115" s="39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</row>
    <row r="116" spans="1:156" ht="20.25" customHeight="1" x14ac:dyDescent="0.25">
      <c r="A116" s="37"/>
      <c r="B116" s="37"/>
      <c r="C116" s="38"/>
      <c r="D116" s="37"/>
      <c r="E116" s="37"/>
      <c r="F116" s="37"/>
      <c r="G116" s="38"/>
      <c r="H116" s="20"/>
      <c r="I116" s="37"/>
      <c r="J116" s="37"/>
      <c r="K116" s="39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</row>
    <row r="117" spans="1:156" ht="20.25" customHeight="1" x14ac:dyDescent="0.25">
      <c r="A117" s="37"/>
      <c r="B117" s="37"/>
      <c r="C117" s="38"/>
      <c r="D117" s="37"/>
      <c r="E117" s="37"/>
      <c r="F117" s="37"/>
      <c r="G117" s="38"/>
      <c r="H117" s="20"/>
      <c r="I117" s="37"/>
      <c r="J117" s="37"/>
      <c r="K117" s="39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</row>
    <row r="118" spans="1:156" ht="20.25" customHeight="1" x14ac:dyDescent="0.25">
      <c r="A118" s="37"/>
      <c r="B118" s="37"/>
      <c r="C118" s="38"/>
      <c r="D118" s="37"/>
      <c r="E118" s="37"/>
      <c r="F118" s="37"/>
      <c r="G118" s="38"/>
      <c r="H118" s="20"/>
      <c r="I118" s="37"/>
      <c r="J118" s="37"/>
      <c r="K118" s="39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</row>
    <row r="119" spans="1:156" ht="20.25" customHeight="1" x14ac:dyDescent="0.25">
      <c r="A119" s="37"/>
      <c r="B119" s="37"/>
      <c r="C119" s="38"/>
      <c r="D119" s="37"/>
      <c r="E119" s="37"/>
      <c r="F119" s="37"/>
      <c r="G119" s="38"/>
      <c r="H119" s="20"/>
      <c r="I119" s="37"/>
      <c r="J119" s="37"/>
      <c r="K119" s="39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</row>
    <row r="120" spans="1:156" ht="20.25" customHeight="1" x14ac:dyDescent="0.25">
      <c r="A120" s="37"/>
      <c r="B120" s="37"/>
      <c r="C120" s="38"/>
      <c r="D120" s="37"/>
      <c r="E120" s="37"/>
      <c r="F120" s="37"/>
      <c r="G120" s="38"/>
      <c r="H120" s="20"/>
      <c r="I120" s="37"/>
      <c r="J120" s="37"/>
      <c r="K120" s="39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</row>
    <row r="121" spans="1:156" ht="20.25" customHeight="1" x14ac:dyDescent="0.25">
      <c r="A121" s="37"/>
      <c r="B121" s="37"/>
      <c r="C121" s="38"/>
      <c r="D121" s="37"/>
      <c r="E121" s="37"/>
      <c r="F121" s="37"/>
      <c r="G121" s="38"/>
      <c r="H121" s="20"/>
      <c r="I121" s="37"/>
      <c r="J121" s="37"/>
      <c r="K121" s="39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</row>
    <row r="122" spans="1:156" ht="20.25" customHeight="1" x14ac:dyDescent="0.25">
      <c r="A122" s="37"/>
      <c r="B122" s="37"/>
      <c r="C122" s="38"/>
      <c r="D122" s="37"/>
      <c r="E122" s="37"/>
      <c r="F122" s="37"/>
      <c r="G122" s="38"/>
      <c r="H122" s="20"/>
      <c r="I122" s="37"/>
      <c r="J122" s="37"/>
      <c r="K122" s="39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</row>
    <row r="123" spans="1:156" ht="20.25" customHeight="1" x14ac:dyDescent="0.25">
      <c r="A123" s="37"/>
      <c r="B123" s="37"/>
      <c r="C123" s="38"/>
      <c r="D123" s="37"/>
      <c r="E123" s="37"/>
      <c r="F123" s="37"/>
      <c r="G123" s="38"/>
      <c r="H123" s="20"/>
      <c r="I123" s="37"/>
      <c r="J123" s="37"/>
      <c r="K123" s="39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</row>
    <row r="124" spans="1:156" ht="20.25" customHeight="1" x14ac:dyDescent="0.25">
      <c r="A124" s="37"/>
      <c r="B124" s="37"/>
      <c r="C124" s="38"/>
      <c r="D124" s="37"/>
      <c r="E124" s="37"/>
      <c r="F124" s="37"/>
      <c r="G124" s="38"/>
      <c r="H124" s="20"/>
      <c r="I124" s="37"/>
      <c r="J124" s="37"/>
      <c r="K124" s="39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</row>
    <row r="125" spans="1:156" ht="20.25" customHeight="1" x14ac:dyDescent="0.25">
      <c r="A125" s="37"/>
      <c r="B125" s="37"/>
      <c r="C125" s="38"/>
      <c r="D125" s="37"/>
      <c r="E125" s="37"/>
      <c r="F125" s="37"/>
      <c r="G125" s="38"/>
      <c r="H125" s="20"/>
      <c r="I125" s="37"/>
      <c r="J125" s="37"/>
      <c r="K125" s="39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</row>
    <row r="126" spans="1:156" ht="20.25" customHeight="1" x14ac:dyDescent="0.25">
      <c r="A126" s="37"/>
      <c r="B126" s="37"/>
      <c r="C126" s="38"/>
      <c r="D126" s="37"/>
      <c r="E126" s="37"/>
      <c r="F126" s="37"/>
      <c r="G126" s="38"/>
      <c r="H126" s="20"/>
      <c r="I126" s="37"/>
      <c r="J126" s="37"/>
      <c r="K126" s="39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</row>
    <row r="127" spans="1:156" ht="20.25" customHeight="1" x14ac:dyDescent="0.25">
      <c r="A127" s="37"/>
      <c r="B127" s="37"/>
      <c r="C127" s="38"/>
      <c r="D127" s="37"/>
      <c r="E127" s="37"/>
      <c r="F127" s="37"/>
      <c r="G127" s="38"/>
      <c r="H127" s="20"/>
      <c r="I127" s="37"/>
      <c r="J127" s="37"/>
      <c r="K127" s="39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</row>
    <row r="128" spans="1:156" ht="20.25" customHeight="1" x14ac:dyDescent="0.25">
      <c r="A128" s="37"/>
      <c r="B128" s="37"/>
      <c r="C128" s="38"/>
      <c r="D128" s="37"/>
      <c r="E128" s="37"/>
      <c r="F128" s="37"/>
      <c r="G128" s="38"/>
      <c r="H128" s="20"/>
      <c r="I128" s="37"/>
      <c r="J128" s="37"/>
      <c r="K128" s="39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</row>
    <row r="129" spans="1:156" ht="20.25" customHeight="1" x14ac:dyDescent="0.25">
      <c r="A129" s="37"/>
      <c r="B129" s="37"/>
      <c r="C129" s="38"/>
      <c r="D129" s="37"/>
      <c r="E129" s="37"/>
      <c r="F129" s="37"/>
      <c r="G129" s="38"/>
      <c r="H129" s="20"/>
      <c r="I129" s="37"/>
      <c r="J129" s="37"/>
      <c r="K129" s="39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</row>
    <row r="130" spans="1:156" ht="20.25" customHeight="1" x14ac:dyDescent="0.25">
      <c r="A130" s="37"/>
      <c r="B130" s="37"/>
      <c r="C130" s="38"/>
      <c r="D130" s="37"/>
      <c r="E130" s="37"/>
      <c r="F130" s="37"/>
      <c r="G130" s="38"/>
      <c r="H130" s="20"/>
      <c r="I130" s="37"/>
      <c r="J130" s="37"/>
      <c r="K130" s="39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</row>
    <row r="131" spans="1:156" ht="20.25" customHeight="1" x14ac:dyDescent="0.25">
      <c r="A131" s="37"/>
      <c r="B131" s="37"/>
      <c r="C131" s="38"/>
      <c r="D131" s="37"/>
      <c r="E131" s="37"/>
      <c r="F131" s="37"/>
      <c r="G131" s="38"/>
      <c r="H131" s="20"/>
      <c r="I131" s="37"/>
      <c r="J131" s="37"/>
      <c r="K131" s="39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</row>
    <row r="132" spans="1:156" ht="20.25" customHeight="1" x14ac:dyDescent="0.25">
      <c r="A132" s="37"/>
      <c r="B132" s="37"/>
      <c r="C132" s="38"/>
      <c r="D132" s="37"/>
      <c r="E132" s="37"/>
      <c r="F132" s="37"/>
      <c r="G132" s="38"/>
      <c r="H132" s="20"/>
      <c r="I132" s="37"/>
      <c r="J132" s="37"/>
      <c r="K132" s="39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</row>
    <row r="133" spans="1:156" ht="20.25" customHeight="1" x14ac:dyDescent="0.25">
      <c r="A133" s="37"/>
      <c r="B133" s="37"/>
      <c r="C133" s="38"/>
      <c r="D133" s="37"/>
      <c r="E133" s="37"/>
      <c r="F133" s="37"/>
      <c r="G133" s="38"/>
      <c r="H133" s="20"/>
      <c r="I133" s="37"/>
      <c r="J133" s="37"/>
      <c r="K133" s="39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</row>
    <row r="134" spans="1:156" ht="20.25" customHeight="1" x14ac:dyDescent="0.25">
      <c r="A134" s="37"/>
      <c r="B134" s="37"/>
      <c r="C134" s="38"/>
      <c r="D134" s="37"/>
      <c r="E134" s="37"/>
      <c r="F134" s="37"/>
      <c r="G134" s="38"/>
      <c r="H134" s="20"/>
      <c r="I134" s="37"/>
      <c r="J134" s="37"/>
      <c r="K134" s="39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</row>
    <row r="135" spans="1:156" ht="20.25" customHeight="1" x14ac:dyDescent="0.25">
      <c r="A135" s="37"/>
      <c r="B135" s="37"/>
      <c r="C135" s="38"/>
      <c r="D135" s="37"/>
      <c r="E135" s="37"/>
      <c r="F135" s="37"/>
      <c r="G135" s="38"/>
      <c r="H135" s="20"/>
      <c r="I135" s="37"/>
      <c r="J135" s="37"/>
      <c r="K135" s="39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</row>
    <row r="136" spans="1:156" ht="20.25" customHeight="1" x14ac:dyDescent="0.25">
      <c r="A136" s="37"/>
      <c r="B136" s="37"/>
      <c r="C136" s="38"/>
      <c r="D136" s="37"/>
      <c r="E136" s="37"/>
      <c r="F136" s="37"/>
      <c r="G136" s="38"/>
      <c r="H136" s="20"/>
      <c r="I136" s="37"/>
      <c r="J136" s="37"/>
      <c r="K136" s="39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</row>
    <row r="137" spans="1:156" ht="20.25" customHeight="1" x14ac:dyDescent="0.25">
      <c r="A137" s="37"/>
      <c r="B137" s="37"/>
      <c r="C137" s="38"/>
      <c r="D137" s="37"/>
      <c r="E137" s="37"/>
      <c r="F137" s="37"/>
      <c r="G137" s="38"/>
      <c r="H137" s="20"/>
      <c r="I137" s="37"/>
      <c r="J137" s="37"/>
      <c r="K137" s="39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</row>
    <row r="138" spans="1:156" ht="20.25" customHeight="1" x14ac:dyDescent="0.25">
      <c r="A138" s="37"/>
      <c r="B138" s="37"/>
      <c r="C138" s="38"/>
      <c r="D138" s="37"/>
      <c r="E138" s="37"/>
      <c r="F138" s="37"/>
      <c r="G138" s="38"/>
      <c r="H138" s="20"/>
      <c r="I138" s="37"/>
      <c r="J138" s="37"/>
      <c r="K138" s="39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</row>
    <row r="139" spans="1:156" ht="20.25" customHeight="1" x14ac:dyDescent="0.25">
      <c r="A139" s="37"/>
      <c r="B139" s="37"/>
      <c r="C139" s="38"/>
      <c r="D139" s="37"/>
      <c r="E139" s="37"/>
      <c r="F139" s="37"/>
      <c r="G139" s="38"/>
      <c r="H139" s="20"/>
      <c r="I139" s="37"/>
      <c r="J139" s="37"/>
      <c r="K139" s="39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</row>
    <row r="140" spans="1:156" ht="20.25" customHeight="1" x14ac:dyDescent="0.25">
      <c r="A140" s="37"/>
      <c r="B140" s="37"/>
      <c r="C140" s="38"/>
      <c r="D140" s="37"/>
      <c r="E140" s="37"/>
      <c r="F140" s="37"/>
      <c r="G140" s="38"/>
      <c r="H140" s="20"/>
      <c r="I140" s="37"/>
      <c r="J140" s="37"/>
      <c r="K140" s="39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</row>
    <row r="141" spans="1:156" ht="20.25" customHeight="1" x14ac:dyDescent="0.25">
      <c r="A141" s="37"/>
      <c r="B141" s="37"/>
      <c r="C141" s="38"/>
      <c r="D141" s="37"/>
      <c r="E141" s="37"/>
      <c r="F141" s="37"/>
      <c r="G141" s="38"/>
      <c r="H141" s="20"/>
      <c r="I141" s="37"/>
      <c r="J141" s="37"/>
      <c r="K141" s="39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</row>
    <row r="142" spans="1:156" ht="20.25" customHeight="1" x14ac:dyDescent="0.25">
      <c r="A142" s="37"/>
      <c r="B142" s="37"/>
      <c r="C142" s="38"/>
      <c r="D142" s="37"/>
      <c r="E142" s="37"/>
      <c r="F142" s="37"/>
      <c r="G142" s="38"/>
      <c r="H142" s="20"/>
      <c r="I142" s="37"/>
      <c r="J142" s="37"/>
      <c r="K142" s="39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</row>
    <row r="143" spans="1:156" ht="20.25" customHeight="1" x14ac:dyDescent="0.25">
      <c r="A143" s="37"/>
      <c r="B143" s="37"/>
      <c r="C143" s="38"/>
      <c r="D143" s="37"/>
      <c r="E143" s="37"/>
      <c r="F143" s="37"/>
      <c r="G143" s="38"/>
      <c r="H143" s="20"/>
      <c r="I143" s="37"/>
      <c r="J143" s="37"/>
      <c r="K143" s="39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</row>
    <row r="144" spans="1:156" ht="20.25" customHeight="1" x14ac:dyDescent="0.25">
      <c r="A144" s="37"/>
      <c r="B144" s="37"/>
      <c r="C144" s="38"/>
      <c r="D144" s="37"/>
      <c r="E144" s="37"/>
      <c r="F144" s="37"/>
      <c r="G144" s="38"/>
      <c r="H144" s="20"/>
      <c r="I144" s="37"/>
      <c r="J144" s="37"/>
      <c r="K144" s="39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</row>
    <row r="145" spans="1:156" ht="20.25" customHeight="1" x14ac:dyDescent="0.25">
      <c r="A145" s="37"/>
      <c r="B145" s="37"/>
      <c r="C145" s="38"/>
      <c r="D145" s="37"/>
      <c r="E145" s="37"/>
      <c r="F145" s="37"/>
      <c r="G145" s="38"/>
      <c r="H145" s="20"/>
      <c r="I145" s="37"/>
      <c r="J145" s="37"/>
      <c r="K145" s="39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</row>
    <row r="146" spans="1:156" ht="20.25" customHeight="1" x14ac:dyDescent="0.25">
      <c r="A146" s="37"/>
      <c r="B146" s="37"/>
      <c r="C146" s="38"/>
      <c r="D146" s="37"/>
      <c r="E146" s="37"/>
      <c r="F146" s="37"/>
      <c r="G146" s="38"/>
      <c r="H146" s="20"/>
      <c r="I146" s="37"/>
      <c r="J146" s="37"/>
      <c r="K146" s="39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</row>
    <row r="147" spans="1:156" ht="20.25" customHeight="1" x14ac:dyDescent="0.25">
      <c r="A147" s="37"/>
      <c r="B147" s="37"/>
      <c r="C147" s="38"/>
      <c r="D147" s="37"/>
      <c r="E147" s="37"/>
      <c r="F147" s="37"/>
      <c r="G147" s="38"/>
      <c r="H147" s="20"/>
      <c r="I147" s="37"/>
      <c r="J147" s="37"/>
      <c r="K147" s="39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</row>
    <row r="148" spans="1:156" ht="20.25" customHeight="1" x14ac:dyDescent="0.25">
      <c r="A148" s="37"/>
      <c r="B148" s="37"/>
      <c r="C148" s="38"/>
      <c r="D148" s="37"/>
      <c r="E148" s="37"/>
      <c r="F148" s="37"/>
      <c r="G148" s="38"/>
      <c r="H148" s="20"/>
      <c r="I148" s="37"/>
      <c r="J148" s="37"/>
      <c r="K148" s="39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</row>
    <row r="149" spans="1:156" ht="20.25" customHeight="1" x14ac:dyDescent="0.25">
      <c r="A149" s="37"/>
      <c r="B149" s="37"/>
      <c r="C149" s="38"/>
      <c r="D149" s="37"/>
      <c r="E149" s="37"/>
      <c r="F149" s="37"/>
      <c r="G149" s="38"/>
      <c r="H149" s="20"/>
      <c r="I149" s="37"/>
      <c r="J149" s="37"/>
      <c r="K149" s="39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</row>
    <row r="150" spans="1:156" ht="20.25" customHeight="1" x14ac:dyDescent="0.25">
      <c r="A150" s="37"/>
      <c r="B150" s="37"/>
      <c r="C150" s="38"/>
      <c r="D150" s="37"/>
      <c r="E150" s="37"/>
      <c r="F150" s="37"/>
      <c r="G150" s="38"/>
      <c r="H150" s="20"/>
      <c r="I150" s="37"/>
      <c r="J150" s="37"/>
      <c r="K150" s="39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</row>
    <row r="151" spans="1:156" ht="20.25" customHeight="1" x14ac:dyDescent="0.25">
      <c r="A151" s="37"/>
      <c r="B151" s="37"/>
      <c r="C151" s="38"/>
      <c r="D151" s="37"/>
      <c r="E151" s="37"/>
      <c r="F151" s="37"/>
      <c r="G151" s="38"/>
      <c r="H151" s="20"/>
      <c r="I151" s="37"/>
      <c r="J151" s="37"/>
      <c r="K151" s="39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</row>
    <row r="152" spans="1:156" ht="20.25" customHeight="1" x14ac:dyDescent="0.25">
      <c r="A152" s="37"/>
      <c r="B152" s="37"/>
      <c r="C152" s="38"/>
      <c r="D152" s="37"/>
      <c r="E152" s="37"/>
      <c r="F152" s="37"/>
      <c r="G152" s="38"/>
      <c r="H152" s="20"/>
      <c r="I152" s="37"/>
      <c r="J152" s="37"/>
      <c r="K152" s="39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</row>
    <row r="153" spans="1:156" ht="20.25" customHeight="1" x14ac:dyDescent="0.25">
      <c r="A153" s="37"/>
      <c r="B153" s="37"/>
      <c r="C153" s="38"/>
      <c r="D153" s="37"/>
      <c r="E153" s="37"/>
      <c r="F153" s="37"/>
      <c r="G153" s="38"/>
      <c r="H153" s="20"/>
      <c r="I153" s="37"/>
      <c r="J153" s="37"/>
      <c r="K153" s="39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</row>
    <row r="154" spans="1:156" ht="20.25" customHeight="1" x14ac:dyDescent="0.25">
      <c r="A154" s="37"/>
      <c r="B154" s="37"/>
      <c r="C154" s="38"/>
      <c r="D154" s="37"/>
      <c r="E154" s="37"/>
      <c r="F154" s="37"/>
      <c r="G154" s="38"/>
      <c r="H154" s="20"/>
      <c r="I154" s="37"/>
      <c r="J154" s="37"/>
      <c r="K154" s="39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</row>
    <row r="155" spans="1:156" ht="20.25" customHeight="1" x14ac:dyDescent="0.25">
      <c r="A155" s="37"/>
      <c r="B155" s="37"/>
      <c r="C155" s="38"/>
      <c r="D155" s="37"/>
      <c r="E155" s="37"/>
      <c r="F155" s="37"/>
      <c r="G155" s="38"/>
      <c r="H155" s="20"/>
      <c r="I155" s="37"/>
      <c r="J155" s="37"/>
      <c r="K155" s="39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</row>
    <row r="156" spans="1:156" ht="20.25" customHeight="1" x14ac:dyDescent="0.25">
      <c r="A156" s="37"/>
      <c r="B156" s="37"/>
      <c r="C156" s="38"/>
      <c r="D156" s="37"/>
      <c r="E156" s="37"/>
      <c r="F156" s="37"/>
      <c r="G156" s="38"/>
      <c r="H156" s="20"/>
      <c r="I156" s="37"/>
      <c r="J156" s="37"/>
      <c r="K156" s="39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</row>
    <row r="157" spans="1:156" ht="20.25" customHeight="1" x14ac:dyDescent="0.25">
      <c r="A157" s="37"/>
      <c r="B157" s="37"/>
      <c r="C157" s="38"/>
      <c r="D157" s="37"/>
      <c r="E157" s="37"/>
      <c r="F157" s="37"/>
      <c r="G157" s="38"/>
      <c r="H157" s="20"/>
      <c r="I157" s="37"/>
      <c r="J157" s="37"/>
      <c r="K157" s="39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</row>
    <row r="158" spans="1:156" ht="20.25" customHeight="1" x14ac:dyDescent="0.25">
      <c r="A158" s="37"/>
      <c r="B158" s="37"/>
      <c r="C158" s="38"/>
      <c r="D158" s="37"/>
      <c r="E158" s="37"/>
      <c r="F158" s="37"/>
      <c r="G158" s="38"/>
      <c r="H158" s="20"/>
      <c r="I158" s="37"/>
      <c r="J158" s="37"/>
      <c r="K158" s="39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</row>
    <row r="159" spans="1:156" ht="20.25" customHeight="1" x14ac:dyDescent="0.25">
      <c r="A159" s="37"/>
      <c r="B159" s="37"/>
      <c r="C159" s="38"/>
      <c r="D159" s="37"/>
      <c r="E159" s="37"/>
      <c r="F159" s="37"/>
      <c r="G159" s="38"/>
      <c r="H159" s="20"/>
      <c r="I159" s="37"/>
      <c r="J159" s="37"/>
      <c r="K159" s="39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</row>
    <row r="160" spans="1:156" ht="20.25" customHeight="1" x14ac:dyDescent="0.25">
      <c r="A160" s="37"/>
      <c r="B160" s="37"/>
      <c r="C160" s="38"/>
      <c r="D160" s="37"/>
      <c r="E160" s="37"/>
      <c r="F160" s="37"/>
      <c r="G160" s="38"/>
      <c r="H160" s="20"/>
      <c r="I160" s="37"/>
      <c r="J160" s="37"/>
      <c r="K160" s="39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</row>
    <row r="161" spans="1:156" ht="20.25" customHeight="1" x14ac:dyDescent="0.25">
      <c r="A161" s="37"/>
      <c r="B161" s="37"/>
      <c r="C161" s="38"/>
      <c r="D161" s="37"/>
      <c r="E161" s="37"/>
      <c r="F161" s="37"/>
      <c r="G161" s="38"/>
      <c r="H161" s="20"/>
      <c r="I161" s="37"/>
      <c r="J161" s="37"/>
      <c r="K161" s="39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</row>
    <row r="162" spans="1:156" ht="20.25" customHeight="1" x14ac:dyDescent="0.25">
      <c r="A162" s="37"/>
      <c r="B162" s="37"/>
      <c r="C162" s="38"/>
      <c r="D162" s="37"/>
      <c r="E162" s="37"/>
      <c r="F162" s="37"/>
      <c r="G162" s="38"/>
      <c r="H162" s="20"/>
      <c r="I162" s="37"/>
      <c r="J162" s="37"/>
      <c r="K162" s="39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</row>
    <row r="163" spans="1:156" ht="20.25" customHeight="1" x14ac:dyDescent="0.25">
      <c r="A163" s="37"/>
      <c r="B163" s="37"/>
      <c r="C163" s="38"/>
      <c r="D163" s="37"/>
      <c r="E163" s="37"/>
      <c r="F163" s="37"/>
      <c r="G163" s="38"/>
      <c r="H163" s="20"/>
      <c r="I163" s="37"/>
      <c r="J163" s="37"/>
      <c r="K163" s="39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</row>
    <row r="164" spans="1:156" ht="20.25" customHeight="1" x14ac:dyDescent="0.25">
      <c r="A164" s="37"/>
      <c r="B164" s="37"/>
      <c r="C164" s="38"/>
      <c r="D164" s="37"/>
      <c r="E164" s="37"/>
      <c r="F164" s="37"/>
      <c r="G164" s="38"/>
      <c r="H164" s="20"/>
      <c r="I164" s="37"/>
      <c r="J164" s="37"/>
      <c r="K164" s="39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</row>
    <row r="165" spans="1:156" ht="20.25" customHeight="1" x14ac:dyDescent="0.25">
      <c r="A165" s="37"/>
      <c r="B165" s="37"/>
      <c r="C165" s="38"/>
      <c r="D165" s="37"/>
      <c r="E165" s="37"/>
      <c r="F165" s="37"/>
      <c r="G165" s="38"/>
      <c r="H165" s="20"/>
      <c r="I165" s="37"/>
      <c r="J165" s="37"/>
      <c r="K165" s="39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</row>
    <row r="166" spans="1:156" ht="20.25" customHeight="1" x14ac:dyDescent="0.25">
      <c r="A166" s="37"/>
      <c r="B166" s="37"/>
      <c r="C166" s="38"/>
      <c r="D166" s="37"/>
      <c r="E166" s="37"/>
      <c r="F166" s="37"/>
      <c r="G166" s="38"/>
      <c r="H166" s="20"/>
      <c r="I166" s="37"/>
      <c r="J166" s="37"/>
      <c r="K166" s="39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</row>
    <row r="167" spans="1:156" ht="20.25" customHeight="1" x14ac:dyDescent="0.25">
      <c r="A167" s="37"/>
      <c r="B167" s="37"/>
      <c r="C167" s="38"/>
      <c r="D167" s="37"/>
      <c r="E167" s="37"/>
      <c r="F167" s="37"/>
      <c r="G167" s="38"/>
      <c r="H167" s="20"/>
      <c r="I167" s="37"/>
      <c r="J167" s="37"/>
      <c r="K167" s="39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</row>
    <row r="168" spans="1:156" ht="20.25" customHeight="1" x14ac:dyDescent="0.25">
      <c r="A168" s="37"/>
      <c r="B168" s="37"/>
      <c r="C168" s="38"/>
      <c r="D168" s="37"/>
      <c r="E168" s="37"/>
      <c r="F168" s="37"/>
      <c r="G168" s="38"/>
      <c r="H168" s="20"/>
      <c r="I168" s="37"/>
      <c r="J168" s="37"/>
      <c r="K168" s="39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</row>
    <row r="169" spans="1:156" ht="20.25" customHeight="1" x14ac:dyDescent="0.25">
      <c r="A169" s="37"/>
      <c r="B169" s="37"/>
      <c r="C169" s="38"/>
      <c r="D169" s="37"/>
      <c r="E169" s="37"/>
      <c r="F169" s="37"/>
      <c r="G169" s="38"/>
      <c r="H169" s="20"/>
      <c r="I169" s="37"/>
      <c r="J169" s="37"/>
      <c r="K169" s="39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</row>
    <row r="170" spans="1:156" ht="20.25" customHeight="1" x14ac:dyDescent="0.25">
      <c r="A170" s="37"/>
      <c r="B170" s="37"/>
      <c r="C170" s="38"/>
      <c r="D170" s="37"/>
      <c r="E170" s="37"/>
      <c r="F170" s="37"/>
      <c r="G170" s="38"/>
      <c r="H170" s="20"/>
      <c r="I170" s="37"/>
      <c r="J170" s="37"/>
      <c r="K170" s="39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</row>
    <row r="171" spans="1:156" ht="20.25" customHeight="1" x14ac:dyDescent="0.25">
      <c r="A171" s="37"/>
      <c r="B171" s="37"/>
      <c r="C171" s="38"/>
      <c r="D171" s="37"/>
      <c r="E171" s="37"/>
      <c r="F171" s="37"/>
      <c r="G171" s="38"/>
      <c r="H171" s="20"/>
      <c r="I171" s="37"/>
      <c r="J171" s="37"/>
      <c r="K171" s="39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</row>
    <row r="172" spans="1:156" ht="20.25" customHeight="1" x14ac:dyDescent="0.25">
      <c r="A172" s="37"/>
      <c r="B172" s="37"/>
      <c r="C172" s="38"/>
      <c r="D172" s="37"/>
      <c r="E172" s="37"/>
      <c r="F172" s="37"/>
      <c r="G172" s="38"/>
      <c r="H172" s="20"/>
      <c r="I172" s="37"/>
      <c r="J172" s="37"/>
      <c r="K172" s="39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</row>
    <row r="173" spans="1:156" ht="20.25" customHeight="1" x14ac:dyDescent="0.25">
      <c r="A173" s="37"/>
      <c r="B173" s="37"/>
      <c r="C173" s="38"/>
      <c r="D173" s="37"/>
      <c r="E173" s="37"/>
      <c r="F173" s="37"/>
      <c r="G173" s="38"/>
      <c r="H173" s="20"/>
      <c r="I173" s="37"/>
      <c r="J173" s="37"/>
      <c r="K173" s="39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</row>
    <row r="174" spans="1:156" ht="20.25" customHeight="1" x14ac:dyDescent="0.25">
      <c r="A174" s="37"/>
      <c r="B174" s="37"/>
      <c r="C174" s="38"/>
      <c r="D174" s="37"/>
      <c r="E174" s="37"/>
      <c r="F174" s="37"/>
      <c r="G174" s="38"/>
      <c r="H174" s="20"/>
      <c r="I174" s="37"/>
      <c r="J174" s="37"/>
      <c r="K174" s="39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</row>
    <row r="175" spans="1:156" ht="20.25" customHeight="1" x14ac:dyDescent="0.25">
      <c r="A175" s="37"/>
      <c r="B175" s="37"/>
      <c r="C175" s="38"/>
      <c r="D175" s="37"/>
      <c r="E175" s="37"/>
      <c r="F175" s="37"/>
      <c r="G175" s="38"/>
      <c r="H175" s="20"/>
      <c r="I175" s="37"/>
      <c r="J175" s="37"/>
      <c r="K175" s="39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</row>
    <row r="176" spans="1:156" ht="20.25" customHeight="1" x14ac:dyDescent="0.25">
      <c r="A176" s="37"/>
      <c r="B176" s="37"/>
      <c r="C176" s="38"/>
      <c r="D176" s="37"/>
      <c r="E176" s="37"/>
      <c r="F176" s="37"/>
      <c r="G176" s="38"/>
      <c r="H176" s="20"/>
      <c r="I176" s="37"/>
      <c r="J176" s="37"/>
      <c r="K176" s="39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</row>
    <row r="177" spans="1:156" ht="20.25" customHeight="1" x14ac:dyDescent="0.25">
      <c r="A177" s="37"/>
      <c r="B177" s="37"/>
      <c r="C177" s="38"/>
      <c r="D177" s="37"/>
      <c r="E177" s="37"/>
      <c r="F177" s="37"/>
      <c r="G177" s="38"/>
      <c r="H177" s="20"/>
      <c r="I177" s="37"/>
      <c r="J177" s="37"/>
      <c r="K177" s="39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</row>
    <row r="178" spans="1:156" ht="20.25" customHeight="1" x14ac:dyDescent="0.25">
      <c r="A178" s="37"/>
      <c r="B178" s="37"/>
      <c r="C178" s="38"/>
      <c r="D178" s="37"/>
      <c r="E178" s="37"/>
      <c r="F178" s="37"/>
      <c r="G178" s="38"/>
      <c r="H178" s="20"/>
      <c r="I178" s="37"/>
      <c r="J178" s="37"/>
      <c r="K178" s="39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</row>
    <row r="179" spans="1:156" ht="20.25" customHeight="1" x14ac:dyDescent="0.25">
      <c r="A179" s="37"/>
      <c r="B179" s="37"/>
      <c r="C179" s="38"/>
      <c r="D179" s="37"/>
      <c r="E179" s="37"/>
      <c r="F179" s="37"/>
      <c r="G179" s="38"/>
      <c r="H179" s="20"/>
      <c r="I179" s="37"/>
      <c r="J179" s="37"/>
      <c r="K179" s="39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</row>
    <row r="180" spans="1:156" ht="20.25" customHeight="1" x14ac:dyDescent="0.25">
      <c r="A180" s="37"/>
      <c r="B180" s="37"/>
      <c r="C180" s="38"/>
      <c r="D180" s="37"/>
      <c r="E180" s="37"/>
      <c r="F180" s="37"/>
      <c r="G180" s="38"/>
      <c r="H180" s="20"/>
      <c r="I180" s="37"/>
      <c r="J180" s="37"/>
      <c r="K180" s="39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</row>
    <row r="181" spans="1:156" ht="20.25" customHeight="1" x14ac:dyDescent="0.25">
      <c r="A181" s="37"/>
      <c r="B181" s="37"/>
      <c r="C181" s="38"/>
      <c r="D181" s="37"/>
      <c r="E181" s="37"/>
      <c r="F181" s="37"/>
      <c r="G181" s="38"/>
      <c r="H181" s="20"/>
      <c r="I181" s="37"/>
      <c r="J181" s="37"/>
      <c r="K181" s="39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</row>
    <row r="182" spans="1:156" ht="20.25" customHeight="1" x14ac:dyDescent="0.25">
      <c r="A182" s="37"/>
      <c r="B182" s="37"/>
      <c r="C182" s="38"/>
      <c r="D182" s="37"/>
      <c r="E182" s="37"/>
      <c r="F182" s="37"/>
      <c r="G182" s="38"/>
      <c r="H182" s="20"/>
      <c r="I182" s="37"/>
      <c r="J182" s="37"/>
      <c r="K182" s="39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</row>
    <row r="183" spans="1:156" ht="20.25" customHeight="1" x14ac:dyDescent="0.25">
      <c r="A183" s="37"/>
      <c r="B183" s="37"/>
      <c r="C183" s="38"/>
      <c r="D183" s="37"/>
      <c r="E183" s="37"/>
      <c r="F183" s="37"/>
      <c r="G183" s="38"/>
      <c r="H183" s="20"/>
      <c r="I183" s="37"/>
      <c r="J183" s="37"/>
      <c r="K183" s="39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</row>
    <row r="184" spans="1:156" ht="20.25" customHeight="1" x14ac:dyDescent="0.25">
      <c r="A184" s="37"/>
      <c r="B184" s="37"/>
      <c r="C184" s="38"/>
      <c r="D184" s="37"/>
      <c r="E184" s="37"/>
      <c r="F184" s="37"/>
      <c r="G184" s="38"/>
      <c r="H184" s="20"/>
      <c r="I184" s="37"/>
      <c r="J184" s="37"/>
      <c r="K184" s="39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</row>
    <row r="185" spans="1:156" ht="20.25" customHeight="1" x14ac:dyDescent="0.25">
      <c r="A185" s="37"/>
      <c r="B185" s="37"/>
      <c r="C185" s="38"/>
      <c r="D185" s="37"/>
      <c r="E185" s="37"/>
      <c r="F185" s="37"/>
      <c r="G185" s="38"/>
      <c r="H185" s="20"/>
      <c r="I185" s="37"/>
      <c r="J185" s="37"/>
      <c r="K185" s="39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</row>
    <row r="186" spans="1:156" ht="20.25" customHeight="1" x14ac:dyDescent="0.25">
      <c r="A186" s="37"/>
      <c r="B186" s="37"/>
      <c r="C186" s="38"/>
      <c r="D186" s="37"/>
      <c r="E186" s="37"/>
      <c r="F186" s="37"/>
      <c r="G186" s="38"/>
      <c r="H186" s="20"/>
      <c r="I186" s="37"/>
      <c r="J186" s="37"/>
      <c r="K186" s="39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</row>
    <row r="187" spans="1:156" ht="20.25" customHeight="1" x14ac:dyDescent="0.25">
      <c r="A187" s="37"/>
      <c r="B187" s="37"/>
      <c r="C187" s="38"/>
      <c r="D187" s="37"/>
      <c r="E187" s="37"/>
      <c r="F187" s="37"/>
      <c r="G187" s="38"/>
      <c r="H187" s="20"/>
      <c r="I187" s="37"/>
      <c r="J187" s="37"/>
      <c r="K187" s="39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</row>
    <row r="188" spans="1:156" ht="20.25" customHeight="1" x14ac:dyDescent="0.25">
      <c r="A188" s="37"/>
      <c r="B188" s="37"/>
      <c r="C188" s="38"/>
      <c r="D188" s="37"/>
      <c r="E188" s="37"/>
      <c r="F188" s="37"/>
      <c r="G188" s="38"/>
      <c r="H188" s="20"/>
      <c r="I188" s="37"/>
      <c r="J188" s="37"/>
      <c r="K188" s="39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</row>
    <row r="189" spans="1:156" ht="20.25" customHeight="1" x14ac:dyDescent="0.25">
      <c r="A189" s="37"/>
      <c r="B189" s="37"/>
      <c r="C189" s="38"/>
      <c r="D189" s="37"/>
      <c r="E189" s="37"/>
      <c r="F189" s="37"/>
      <c r="G189" s="38"/>
      <c r="H189" s="20"/>
      <c r="I189" s="37"/>
      <c r="J189" s="37"/>
      <c r="K189" s="39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</row>
    <row r="190" spans="1:156" ht="20.25" customHeight="1" x14ac:dyDescent="0.25">
      <c r="A190" s="37"/>
      <c r="B190" s="37"/>
      <c r="C190" s="38"/>
      <c r="D190" s="37"/>
      <c r="E190" s="37"/>
      <c r="F190" s="37"/>
      <c r="G190" s="38"/>
      <c r="H190" s="20"/>
      <c r="I190" s="37"/>
      <c r="J190" s="37"/>
      <c r="K190" s="39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</row>
    <row r="191" spans="1:156" ht="20.25" customHeight="1" x14ac:dyDescent="0.25">
      <c r="A191" s="37"/>
      <c r="B191" s="37"/>
      <c r="C191" s="38"/>
      <c r="D191" s="37"/>
      <c r="E191" s="37"/>
      <c r="F191" s="37"/>
      <c r="G191" s="38"/>
      <c r="H191" s="20"/>
      <c r="I191" s="37"/>
      <c r="J191" s="37"/>
      <c r="K191" s="39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</row>
    <row r="192" spans="1:156" ht="20.25" customHeight="1" x14ac:dyDescent="0.25">
      <c r="A192" s="37"/>
      <c r="B192" s="37"/>
      <c r="C192" s="38"/>
      <c r="D192" s="37"/>
      <c r="E192" s="37"/>
      <c r="F192" s="37"/>
      <c r="G192" s="38"/>
      <c r="H192" s="20"/>
      <c r="I192" s="37"/>
      <c r="J192" s="37"/>
      <c r="K192" s="39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</row>
    <row r="193" spans="1:156" ht="20.25" customHeight="1" x14ac:dyDescent="0.25">
      <c r="A193" s="37"/>
      <c r="B193" s="37"/>
      <c r="C193" s="38"/>
      <c r="D193" s="37"/>
      <c r="E193" s="37"/>
      <c r="F193" s="37"/>
      <c r="G193" s="38"/>
      <c r="H193" s="20"/>
      <c r="I193" s="37"/>
      <c r="J193" s="37"/>
      <c r="K193" s="39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</row>
    <row r="194" spans="1:156" ht="20.25" customHeight="1" x14ac:dyDescent="0.25">
      <c r="A194" s="37"/>
      <c r="B194" s="37"/>
      <c r="C194" s="38"/>
      <c r="D194" s="37"/>
      <c r="E194" s="37"/>
      <c r="F194" s="37"/>
      <c r="G194" s="38"/>
      <c r="H194" s="20"/>
      <c r="I194" s="37"/>
      <c r="J194" s="37"/>
      <c r="K194" s="39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</row>
    <row r="195" spans="1:156" ht="20.25" customHeight="1" x14ac:dyDescent="0.25">
      <c r="A195" s="37"/>
      <c r="B195" s="37"/>
      <c r="C195" s="38"/>
      <c r="D195" s="37"/>
      <c r="E195" s="37"/>
      <c r="F195" s="37"/>
      <c r="G195" s="38"/>
      <c r="H195" s="20"/>
      <c r="I195" s="37"/>
      <c r="J195" s="37"/>
      <c r="K195" s="39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</row>
    <row r="196" spans="1:156" ht="20.25" customHeight="1" x14ac:dyDescent="0.25">
      <c r="A196" s="37"/>
      <c r="B196" s="37"/>
      <c r="C196" s="38"/>
      <c r="D196" s="37"/>
      <c r="E196" s="37"/>
      <c r="F196" s="37"/>
      <c r="G196" s="38"/>
      <c r="H196" s="20"/>
      <c r="I196" s="37"/>
      <c r="J196" s="37"/>
      <c r="K196" s="39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</row>
    <row r="197" spans="1:156" ht="20.25" customHeight="1" x14ac:dyDescent="0.25">
      <c r="A197" s="37"/>
      <c r="B197" s="37"/>
      <c r="C197" s="38"/>
      <c r="D197" s="37"/>
      <c r="E197" s="37"/>
      <c r="F197" s="37"/>
      <c r="G197" s="38"/>
      <c r="H197" s="20"/>
      <c r="I197" s="37"/>
      <c r="J197" s="37"/>
      <c r="K197" s="39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</row>
    <row r="198" spans="1:156" ht="20.25" customHeight="1" x14ac:dyDescent="0.25">
      <c r="A198" s="37"/>
      <c r="B198" s="37"/>
      <c r="C198" s="38"/>
      <c r="D198" s="37"/>
      <c r="E198" s="37"/>
      <c r="F198" s="37"/>
      <c r="G198" s="38"/>
      <c r="H198" s="20"/>
      <c r="I198" s="37"/>
      <c r="J198" s="37"/>
      <c r="K198" s="39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</row>
    <row r="199" spans="1:156" ht="20.25" customHeight="1" x14ac:dyDescent="0.25">
      <c r="A199" s="37"/>
      <c r="B199" s="37"/>
      <c r="C199" s="38"/>
      <c r="D199" s="37"/>
      <c r="E199" s="37"/>
      <c r="F199" s="37"/>
      <c r="G199" s="38"/>
      <c r="H199" s="20"/>
      <c r="I199" s="37"/>
      <c r="J199" s="37"/>
      <c r="K199" s="39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</row>
    <row r="200" spans="1:156" ht="20.25" customHeight="1" x14ac:dyDescent="0.25">
      <c r="A200" s="37"/>
      <c r="B200" s="37"/>
      <c r="C200" s="38"/>
      <c r="D200" s="37"/>
      <c r="E200" s="37"/>
      <c r="F200" s="37"/>
      <c r="G200" s="38"/>
      <c r="H200" s="20"/>
      <c r="I200" s="37"/>
      <c r="J200" s="37"/>
      <c r="K200" s="39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</row>
    <row r="201" spans="1:156" ht="20.25" customHeight="1" x14ac:dyDescent="0.25">
      <c r="A201" s="37"/>
      <c r="B201" s="37"/>
      <c r="C201" s="38"/>
      <c r="D201" s="37"/>
      <c r="E201" s="37"/>
      <c r="F201" s="37"/>
      <c r="G201" s="38"/>
      <c r="H201" s="20"/>
      <c r="I201" s="37"/>
      <c r="J201" s="37"/>
      <c r="K201" s="39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</row>
    <row r="202" spans="1:156" ht="20.25" customHeight="1" x14ac:dyDescent="0.25">
      <c r="A202" s="37"/>
      <c r="B202" s="37"/>
      <c r="C202" s="38"/>
      <c r="D202" s="37"/>
      <c r="E202" s="37"/>
      <c r="F202" s="37"/>
      <c r="G202" s="38"/>
      <c r="H202" s="20"/>
      <c r="I202" s="37"/>
      <c r="J202" s="37"/>
      <c r="K202" s="39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</row>
    <row r="203" spans="1:156" ht="20.25" customHeight="1" x14ac:dyDescent="0.25">
      <c r="A203" s="37"/>
      <c r="B203" s="37"/>
      <c r="C203" s="38"/>
      <c r="D203" s="37"/>
      <c r="E203" s="37"/>
      <c r="F203" s="37"/>
      <c r="G203" s="38"/>
      <c r="H203" s="20"/>
      <c r="I203" s="37"/>
      <c r="J203" s="37"/>
      <c r="K203" s="39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</row>
    <row r="204" spans="1:156" ht="20.25" customHeight="1" x14ac:dyDescent="0.25">
      <c r="A204" s="37"/>
      <c r="B204" s="37"/>
      <c r="C204" s="38"/>
      <c r="D204" s="37"/>
      <c r="E204" s="37"/>
      <c r="F204" s="37"/>
      <c r="G204" s="38"/>
      <c r="H204" s="20"/>
      <c r="I204" s="37"/>
      <c r="J204" s="37"/>
      <c r="K204" s="39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</row>
    <row r="205" spans="1:156" ht="20.25" customHeight="1" x14ac:dyDescent="0.25">
      <c r="A205" s="37"/>
      <c r="B205" s="37"/>
      <c r="C205" s="38"/>
      <c r="D205" s="37"/>
      <c r="E205" s="37"/>
      <c r="F205" s="37"/>
      <c r="G205" s="38"/>
      <c r="H205" s="20"/>
      <c r="I205" s="37"/>
      <c r="J205" s="37"/>
      <c r="K205" s="39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</row>
    <row r="206" spans="1:156" ht="20.25" customHeight="1" x14ac:dyDescent="0.25">
      <c r="A206" s="37"/>
      <c r="B206" s="37"/>
      <c r="C206" s="38"/>
      <c r="D206" s="37"/>
      <c r="E206" s="37"/>
      <c r="F206" s="37"/>
      <c r="G206" s="38"/>
      <c r="H206" s="20"/>
      <c r="I206" s="37"/>
      <c r="J206" s="37"/>
      <c r="K206" s="39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</row>
    <row r="207" spans="1:156" ht="20.25" customHeight="1" x14ac:dyDescent="0.25">
      <c r="A207" s="37"/>
      <c r="B207" s="37"/>
      <c r="C207" s="38"/>
      <c r="D207" s="37"/>
      <c r="E207" s="37"/>
      <c r="F207" s="37"/>
      <c r="G207" s="38"/>
      <c r="H207" s="20"/>
      <c r="I207" s="37"/>
      <c r="J207" s="37"/>
      <c r="K207" s="39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</row>
    <row r="208" spans="1:156" ht="20.25" customHeight="1" x14ac:dyDescent="0.25">
      <c r="A208" s="37"/>
      <c r="B208" s="37"/>
      <c r="C208" s="38"/>
      <c r="D208" s="37"/>
      <c r="E208" s="37"/>
      <c r="F208" s="37"/>
      <c r="G208" s="38"/>
      <c r="H208" s="20"/>
      <c r="I208" s="37"/>
      <c r="J208" s="37"/>
      <c r="K208" s="39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</row>
    <row r="209" spans="1:156" ht="20.25" customHeight="1" x14ac:dyDescent="0.25">
      <c r="A209" s="37"/>
      <c r="B209" s="37"/>
      <c r="C209" s="38"/>
      <c r="D209" s="37"/>
      <c r="E209" s="37"/>
      <c r="F209" s="37"/>
      <c r="G209" s="38"/>
      <c r="H209" s="20"/>
      <c r="I209" s="37"/>
      <c r="J209" s="37"/>
      <c r="K209" s="39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</row>
    <row r="210" spans="1:156" ht="20.25" customHeight="1" x14ac:dyDescent="0.25">
      <c r="A210" s="37"/>
      <c r="B210" s="37"/>
      <c r="C210" s="38"/>
      <c r="D210" s="37"/>
      <c r="E210" s="37"/>
      <c r="F210" s="37"/>
      <c r="G210" s="38"/>
      <c r="H210" s="20"/>
      <c r="I210" s="37"/>
      <c r="J210" s="37"/>
      <c r="K210" s="39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</row>
    <row r="211" spans="1:156" ht="20.25" customHeight="1" x14ac:dyDescent="0.25">
      <c r="A211" s="37"/>
      <c r="B211" s="37"/>
      <c r="C211" s="38"/>
      <c r="D211" s="37"/>
      <c r="E211" s="37"/>
      <c r="F211" s="37"/>
      <c r="G211" s="38"/>
      <c r="H211" s="20"/>
      <c r="I211" s="37"/>
      <c r="J211" s="37"/>
      <c r="K211" s="39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</row>
    <row r="212" spans="1:156" ht="20.25" customHeight="1" x14ac:dyDescent="0.25">
      <c r="A212" s="37"/>
      <c r="B212" s="37"/>
      <c r="C212" s="38"/>
      <c r="D212" s="37"/>
      <c r="E212" s="37"/>
      <c r="F212" s="37"/>
      <c r="G212" s="38"/>
      <c r="H212" s="20"/>
      <c r="I212" s="37"/>
      <c r="J212" s="37"/>
      <c r="K212" s="39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</row>
    <row r="213" spans="1:156" ht="20.25" customHeight="1" x14ac:dyDescent="0.25">
      <c r="A213" s="37"/>
      <c r="B213" s="37"/>
      <c r="C213" s="38"/>
      <c r="D213" s="37"/>
      <c r="E213" s="37"/>
      <c r="F213" s="37"/>
      <c r="G213" s="38"/>
      <c r="H213" s="20"/>
      <c r="I213" s="37"/>
      <c r="J213" s="37"/>
      <c r="K213" s="39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</row>
    <row r="214" spans="1:156" ht="20.25" customHeight="1" x14ac:dyDescent="0.25">
      <c r="A214" s="37"/>
      <c r="B214" s="37"/>
      <c r="C214" s="38"/>
      <c r="D214" s="37"/>
      <c r="E214" s="37"/>
      <c r="F214" s="37"/>
      <c r="G214" s="38"/>
      <c r="H214" s="20"/>
      <c r="I214" s="37"/>
      <c r="J214" s="37"/>
      <c r="K214" s="39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</row>
    <row r="215" spans="1:156" ht="20.25" customHeight="1" x14ac:dyDescent="0.25">
      <c r="A215" s="37"/>
      <c r="B215" s="37"/>
      <c r="C215" s="38"/>
      <c r="D215" s="37"/>
      <c r="E215" s="37"/>
      <c r="F215" s="37"/>
      <c r="G215" s="38"/>
      <c r="H215" s="20"/>
      <c r="I215" s="37"/>
      <c r="J215" s="37"/>
      <c r="K215" s="39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</row>
    <row r="216" spans="1:156" ht="20.25" customHeight="1" x14ac:dyDescent="0.25">
      <c r="A216" s="37"/>
      <c r="B216" s="37"/>
      <c r="C216" s="38"/>
      <c r="D216" s="37"/>
      <c r="E216" s="37"/>
      <c r="F216" s="37"/>
      <c r="G216" s="38"/>
      <c r="H216" s="20"/>
      <c r="I216" s="37"/>
      <c r="J216" s="37"/>
      <c r="K216" s="39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</row>
    <row r="217" spans="1:156" ht="20.25" customHeight="1" x14ac:dyDescent="0.25">
      <c r="A217" s="37"/>
      <c r="B217" s="37"/>
      <c r="C217" s="38"/>
      <c r="D217" s="37"/>
      <c r="E217" s="37"/>
      <c r="F217" s="37"/>
      <c r="G217" s="38"/>
      <c r="H217" s="20"/>
      <c r="I217" s="37"/>
      <c r="J217" s="37"/>
      <c r="K217" s="39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</row>
    <row r="218" spans="1:156" ht="20.25" customHeight="1" x14ac:dyDescent="0.25">
      <c r="A218" s="37"/>
      <c r="B218" s="37"/>
      <c r="C218" s="38"/>
      <c r="D218" s="37"/>
      <c r="E218" s="37"/>
      <c r="F218" s="37"/>
      <c r="G218" s="38"/>
      <c r="H218" s="20"/>
      <c r="I218" s="37"/>
      <c r="J218" s="37"/>
      <c r="K218" s="39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</row>
    <row r="219" spans="1:156" ht="20.25" customHeight="1" x14ac:dyDescent="0.25">
      <c r="A219" s="37"/>
      <c r="B219" s="37"/>
      <c r="C219" s="38"/>
      <c r="D219" s="37"/>
      <c r="E219" s="37"/>
      <c r="F219" s="37"/>
      <c r="G219" s="38"/>
      <c r="H219" s="20"/>
      <c r="I219" s="37"/>
      <c r="J219" s="37"/>
      <c r="K219" s="39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</row>
    <row r="220" spans="1:156" ht="20.25" customHeight="1" x14ac:dyDescent="0.25">
      <c r="A220" s="37"/>
      <c r="B220" s="37"/>
      <c r="C220" s="38"/>
      <c r="D220" s="37"/>
      <c r="E220" s="37"/>
      <c r="F220" s="37"/>
      <c r="G220" s="38"/>
      <c r="H220" s="20"/>
      <c r="I220" s="37"/>
      <c r="J220" s="37"/>
      <c r="K220" s="39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</row>
  </sheetData>
  <autoFilter ref="A16:EZ220" xr:uid="{00000000-0009-0000-0000-000000000000}"/>
  <mergeCells count="80">
    <mergeCell ref="AV4:BB4"/>
    <mergeCell ref="BC4:BI4"/>
    <mergeCell ref="L4:R4"/>
    <mergeCell ref="T4:Z4"/>
    <mergeCell ref="AA4:AG4"/>
    <mergeCell ref="AH4:AN4"/>
    <mergeCell ref="AO4:AU4"/>
    <mergeCell ref="ET4:EZ4"/>
    <mergeCell ref="BK4:BQ4"/>
    <mergeCell ref="BR4:BX4"/>
    <mergeCell ref="BY4:CE4"/>
    <mergeCell ref="CF4:CL4"/>
    <mergeCell ref="CM4:CS4"/>
    <mergeCell ref="CU4:DA4"/>
    <mergeCell ref="DB4:DH4"/>
    <mergeCell ref="DJ4:DP4"/>
    <mergeCell ref="DQ4:DW4"/>
    <mergeCell ref="DY4:EE4"/>
    <mergeCell ref="EF4:EL4"/>
    <mergeCell ref="EM4:ES4"/>
    <mergeCell ref="DJ2:DX2"/>
    <mergeCell ref="DY2:EL2"/>
    <mergeCell ref="EM2:EZ2"/>
    <mergeCell ref="L2:Z2"/>
    <mergeCell ref="AA2:AN2"/>
    <mergeCell ref="AO2:BB2"/>
    <mergeCell ref="BC2:BQ2"/>
    <mergeCell ref="BR2:CE2"/>
    <mergeCell ref="CF2:CT2"/>
    <mergeCell ref="CU2:DI2"/>
    <mergeCell ref="DJ1:DX1"/>
    <mergeCell ref="DY1:EL1"/>
    <mergeCell ref="EM1:EZ1"/>
    <mergeCell ref="L1:Z1"/>
    <mergeCell ref="AA1:AN1"/>
    <mergeCell ref="AO1:BB1"/>
    <mergeCell ref="BC1:BQ1"/>
    <mergeCell ref="BR1:CE1"/>
    <mergeCell ref="CF1:CT1"/>
    <mergeCell ref="CU1:DI1"/>
    <mergeCell ref="EF13:EL13"/>
    <mergeCell ref="EM13:ES13"/>
    <mergeCell ref="ET13:EZ13"/>
    <mergeCell ref="BK13:BQ13"/>
    <mergeCell ref="BR13:BX13"/>
    <mergeCell ref="BY13:CE13"/>
    <mergeCell ref="CF13:CL13"/>
    <mergeCell ref="CM13:CS13"/>
    <mergeCell ref="CU13:DA13"/>
    <mergeCell ref="DB13:DH13"/>
    <mergeCell ref="AV13:BB13"/>
    <mergeCell ref="BC13:BI13"/>
    <mergeCell ref="DJ13:DP13"/>
    <mergeCell ref="DQ13:DW13"/>
    <mergeCell ref="DY13:EE13"/>
    <mergeCell ref="L13:R13"/>
    <mergeCell ref="T13:Z13"/>
    <mergeCell ref="AA13:AG13"/>
    <mergeCell ref="AH13:AN13"/>
    <mergeCell ref="AO13:AU13"/>
    <mergeCell ref="DJ11:DX11"/>
    <mergeCell ref="DY11:EL11"/>
    <mergeCell ref="EM11:EZ11"/>
    <mergeCell ref="L11:Z11"/>
    <mergeCell ref="AA11:AN11"/>
    <mergeCell ref="AO11:BB11"/>
    <mergeCell ref="BC11:BQ11"/>
    <mergeCell ref="BR11:CE11"/>
    <mergeCell ref="CF11:CT11"/>
    <mergeCell ref="CU11:DI11"/>
    <mergeCell ref="DJ10:DX10"/>
    <mergeCell ref="DY10:EL10"/>
    <mergeCell ref="EM10:EZ10"/>
    <mergeCell ref="L10:Z10"/>
    <mergeCell ref="AA10:AN10"/>
    <mergeCell ref="AO10:BB10"/>
    <mergeCell ref="BC10:BQ10"/>
    <mergeCell ref="BR10:CE10"/>
    <mergeCell ref="CF10:CT10"/>
    <mergeCell ref="CU10:DI10"/>
  </mergeCells>
  <conditionalFormatting sqref="A17:A22">
    <cfRule type="cellIs" dxfId="27" priority="1" operator="equal">
      <formula>"Sim"</formula>
    </cfRule>
  </conditionalFormatting>
  <conditionalFormatting sqref="L17:EX22">
    <cfRule type="cellIs" dxfId="26" priority="2" operator="equal">
      <formula>3</formula>
    </cfRule>
  </conditionalFormatting>
  <conditionalFormatting sqref="L17:EX22">
    <cfRule type="cellIs" dxfId="25" priority="3" operator="equal">
      <formula>1</formula>
    </cfRule>
  </conditionalFormatting>
  <conditionalFormatting sqref="EY17:EY22">
    <cfRule type="cellIs" dxfId="24" priority="4" operator="equal">
      <formula>3</formula>
    </cfRule>
  </conditionalFormatting>
  <conditionalFormatting sqref="EY17:EY22">
    <cfRule type="cellIs" dxfId="23" priority="5" operator="equal">
      <formula>1</formula>
    </cfRule>
  </conditionalFormatting>
  <conditionalFormatting sqref="EZ17:EZ22">
    <cfRule type="cellIs" dxfId="22" priority="6" operator="equal">
      <formula>3</formula>
    </cfRule>
  </conditionalFormatting>
  <conditionalFormatting sqref="EZ17:EZ22">
    <cfRule type="cellIs" dxfId="21" priority="7" operator="equal">
      <formula>1</formula>
    </cfRule>
  </conditionalFormatting>
  <conditionalFormatting sqref="A23:A220">
    <cfRule type="cellIs" dxfId="20" priority="8" operator="equal">
      <formula>"Sim"</formula>
    </cfRule>
  </conditionalFormatting>
  <conditionalFormatting sqref="L23:EX220">
    <cfRule type="cellIs" dxfId="19" priority="9" operator="equal">
      <formula>3</formula>
    </cfRule>
  </conditionalFormatting>
  <conditionalFormatting sqref="L23:EX220">
    <cfRule type="cellIs" dxfId="18" priority="10" operator="equal">
      <formula>1</formula>
    </cfRule>
  </conditionalFormatting>
  <conditionalFormatting sqref="EY23:EY220">
    <cfRule type="cellIs" dxfId="17" priority="11" operator="equal">
      <formula>3</formula>
    </cfRule>
  </conditionalFormatting>
  <conditionalFormatting sqref="EY23:EY220">
    <cfRule type="cellIs" dxfId="16" priority="12" operator="equal">
      <formula>1</formula>
    </cfRule>
  </conditionalFormatting>
  <conditionalFormatting sqref="EZ23:EZ220">
    <cfRule type="cellIs" dxfId="15" priority="13" operator="equal">
      <formula>3</formula>
    </cfRule>
  </conditionalFormatting>
  <conditionalFormatting sqref="EZ23:EZ220">
    <cfRule type="cellIs" dxfId="14" priority="14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1</xdr:col>
                    <xdr:colOff>123825</xdr:colOff>
                    <xdr:row>4</xdr:row>
                    <xdr:rowOff>171450</xdr:rowOff>
                  </from>
                  <to>
                    <xdr:col>2</xdr:col>
                    <xdr:colOff>1009650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2</xdr:col>
                    <xdr:colOff>1838325</xdr:colOff>
                    <xdr:row>4</xdr:row>
                    <xdr:rowOff>171450</xdr:rowOff>
                  </from>
                  <to>
                    <xdr:col>2</xdr:col>
                    <xdr:colOff>3705225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3D2F-1636-4FD5-9372-9ADCEFA4068C}">
  <sheetPr codeName="cm_check"/>
  <dimension ref="A1:EZ220"/>
  <sheetViews>
    <sheetView showGridLines="0" zoomScale="55" zoomScaleNormal="55" workbookViewId="0">
      <selection activeCell="C5" sqref="C5"/>
    </sheetView>
  </sheetViews>
  <sheetFormatPr defaultColWidth="12.625" defaultRowHeight="15" customHeight="1" x14ac:dyDescent="0.2"/>
  <cols>
    <col min="1" max="1" width="7.375" customWidth="1"/>
    <col min="2" max="2" width="13" customWidth="1"/>
    <col min="3" max="3" width="61.375" customWidth="1"/>
    <col min="4" max="4" width="18.625" customWidth="1"/>
    <col min="5" max="5" width="21.25" customWidth="1"/>
    <col min="6" max="7" width="39.5" customWidth="1"/>
    <col min="8" max="8" width="3.75" customWidth="1"/>
    <col min="9" max="11" width="14.25" customWidth="1"/>
    <col min="12" max="61" width="8.625" customWidth="1"/>
    <col min="62" max="62" width="15" customWidth="1"/>
    <col min="63" max="96" width="8.625" customWidth="1"/>
    <col min="97" max="97" width="12" customWidth="1"/>
    <col min="98" max="98" width="11.125" customWidth="1"/>
    <col min="99" max="111" width="9.5" customWidth="1"/>
    <col min="112" max="112" width="13.625" customWidth="1"/>
    <col min="113" max="113" width="9.75" customWidth="1"/>
    <col min="114" max="115" width="8.125" customWidth="1"/>
    <col min="116" max="116" width="10.125" customWidth="1"/>
    <col min="117" max="122" width="8.125" customWidth="1"/>
    <col min="123" max="123" width="10" customWidth="1"/>
    <col min="124" max="126" width="8.125" customWidth="1"/>
    <col min="127" max="127" width="12.875" customWidth="1"/>
    <col min="128" max="128" width="10.625" customWidth="1"/>
    <col min="129" max="141" width="9.25" customWidth="1"/>
    <col min="142" max="156" width="8.375" customWidth="1"/>
  </cols>
  <sheetData>
    <row r="1" spans="1:156" ht="15.75" customHeight="1" x14ac:dyDescent="0.25">
      <c r="A1" s="1"/>
      <c r="B1" s="2"/>
      <c r="C1" s="3"/>
      <c r="D1" s="2"/>
      <c r="E1" s="2"/>
      <c r="F1" s="2"/>
      <c r="G1" s="2"/>
      <c r="H1" s="2"/>
      <c r="I1" s="2"/>
      <c r="J1" s="2"/>
      <c r="K1" s="2"/>
      <c r="L1" s="88" t="s">
        <v>0</v>
      </c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7"/>
      <c r="AA1" s="89" t="s">
        <v>0</v>
      </c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7"/>
      <c r="AO1" s="89" t="s">
        <v>0</v>
      </c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7"/>
      <c r="BC1" s="89" t="s">
        <v>0</v>
      </c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7"/>
      <c r="BR1" s="89" t="s">
        <v>0</v>
      </c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90"/>
      <c r="CF1" s="85" t="s">
        <v>1</v>
      </c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7"/>
      <c r="CU1" s="85" t="s">
        <v>1</v>
      </c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7"/>
      <c r="DJ1" s="85" t="s">
        <v>1</v>
      </c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7"/>
      <c r="DY1" s="85" t="s">
        <v>1</v>
      </c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7"/>
      <c r="EM1" s="85" t="s">
        <v>1</v>
      </c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7"/>
    </row>
    <row r="2" spans="1:156" ht="15.75" customHeight="1" x14ac:dyDescent="0.25">
      <c r="A2" s="1"/>
      <c r="B2" s="2"/>
      <c r="C2" s="3"/>
      <c r="D2" s="2"/>
      <c r="E2" s="2"/>
      <c r="F2" s="2"/>
      <c r="G2" s="4"/>
      <c r="H2" s="4"/>
      <c r="I2" s="4"/>
      <c r="J2" s="4"/>
      <c r="K2" s="4"/>
      <c r="L2" s="91" t="s">
        <v>2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7"/>
      <c r="AA2" s="91" t="s">
        <v>3</v>
      </c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7"/>
      <c r="AO2" s="91" t="s">
        <v>4</v>
      </c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7"/>
      <c r="BC2" s="91" t="s">
        <v>5</v>
      </c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7"/>
      <c r="BR2" s="91" t="s">
        <v>6</v>
      </c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  <c r="CD2" s="86"/>
      <c r="CE2" s="90"/>
      <c r="CF2" s="91" t="s">
        <v>2</v>
      </c>
      <c r="CG2" s="86"/>
      <c r="CH2" s="86"/>
      <c r="CI2" s="86"/>
      <c r="CJ2" s="86"/>
      <c r="CK2" s="86"/>
      <c r="CL2" s="86"/>
      <c r="CM2" s="86"/>
      <c r="CN2" s="86"/>
      <c r="CO2" s="86"/>
      <c r="CP2" s="86"/>
      <c r="CQ2" s="86"/>
      <c r="CR2" s="86"/>
      <c r="CS2" s="86"/>
      <c r="CT2" s="87"/>
      <c r="CU2" s="91" t="s">
        <v>3</v>
      </c>
      <c r="CV2" s="86"/>
      <c r="CW2" s="86"/>
      <c r="CX2" s="86"/>
      <c r="CY2" s="86"/>
      <c r="CZ2" s="86"/>
      <c r="DA2" s="86"/>
      <c r="DB2" s="86"/>
      <c r="DC2" s="86"/>
      <c r="DD2" s="86"/>
      <c r="DE2" s="86"/>
      <c r="DF2" s="86"/>
      <c r="DG2" s="86"/>
      <c r="DH2" s="86"/>
      <c r="DI2" s="87"/>
      <c r="DJ2" s="91" t="s">
        <v>4</v>
      </c>
      <c r="DK2" s="86"/>
      <c r="DL2" s="86"/>
      <c r="DM2" s="86"/>
      <c r="DN2" s="86"/>
      <c r="DO2" s="86"/>
      <c r="DP2" s="86"/>
      <c r="DQ2" s="86"/>
      <c r="DR2" s="86"/>
      <c r="DS2" s="86"/>
      <c r="DT2" s="86"/>
      <c r="DU2" s="86"/>
      <c r="DV2" s="86"/>
      <c r="DW2" s="86"/>
      <c r="DX2" s="87"/>
      <c r="DY2" s="91" t="s">
        <v>5</v>
      </c>
      <c r="DZ2" s="86"/>
      <c r="EA2" s="86"/>
      <c r="EB2" s="86"/>
      <c r="EC2" s="86"/>
      <c r="ED2" s="86"/>
      <c r="EE2" s="86"/>
      <c r="EF2" s="86"/>
      <c r="EG2" s="86"/>
      <c r="EH2" s="86"/>
      <c r="EI2" s="86"/>
      <c r="EJ2" s="86"/>
      <c r="EK2" s="86"/>
      <c r="EL2" s="87"/>
      <c r="EM2" s="91" t="s">
        <v>6</v>
      </c>
      <c r="EN2" s="86"/>
      <c r="EO2" s="86"/>
      <c r="EP2" s="86"/>
      <c r="EQ2" s="86"/>
      <c r="ER2" s="86"/>
      <c r="ES2" s="86"/>
      <c r="ET2" s="86"/>
      <c r="EU2" s="86"/>
      <c r="EV2" s="86"/>
      <c r="EW2" s="86"/>
      <c r="EX2" s="86"/>
      <c r="EY2" s="86"/>
      <c r="EZ2" s="87"/>
    </row>
    <row r="3" spans="1:156" ht="15.75" customHeight="1" x14ac:dyDescent="0.25">
      <c r="A3" s="1"/>
      <c r="B3" s="2"/>
      <c r="C3" s="3"/>
      <c r="D3" s="2"/>
      <c r="E3" s="2"/>
      <c r="F3" s="4"/>
      <c r="G3" s="2"/>
      <c r="H3" s="2"/>
      <c r="I3" s="2"/>
      <c r="J3" s="2"/>
      <c r="K3" s="2"/>
      <c r="L3" s="5" t="s">
        <v>7</v>
      </c>
      <c r="M3" s="5" t="s">
        <v>8</v>
      </c>
      <c r="N3" s="5" t="s">
        <v>9</v>
      </c>
      <c r="O3" s="5" t="s">
        <v>10</v>
      </c>
      <c r="P3" s="5" t="s">
        <v>11</v>
      </c>
      <c r="Q3" s="5" t="s">
        <v>12</v>
      </c>
      <c r="R3" s="5" t="s">
        <v>13</v>
      </c>
      <c r="S3" s="5" t="s">
        <v>10</v>
      </c>
      <c r="T3" s="5" t="s">
        <v>7</v>
      </c>
      <c r="U3" s="5" t="s">
        <v>8</v>
      </c>
      <c r="V3" s="5" t="s">
        <v>9</v>
      </c>
      <c r="W3" s="5" t="s">
        <v>10</v>
      </c>
      <c r="X3" s="5" t="s">
        <v>11</v>
      </c>
      <c r="Y3" s="5" t="s">
        <v>12</v>
      </c>
      <c r="Z3" s="5" t="s">
        <v>13</v>
      </c>
      <c r="AA3" s="5" t="s">
        <v>7</v>
      </c>
      <c r="AB3" s="5" t="s">
        <v>8</v>
      </c>
      <c r="AC3" s="5" t="s">
        <v>9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7</v>
      </c>
      <c r="AI3" s="5" t="s">
        <v>8</v>
      </c>
      <c r="AJ3" s="5" t="s">
        <v>9</v>
      </c>
      <c r="AK3" s="5" t="s">
        <v>10</v>
      </c>
      <c r="AL3" s="5" t="s">
        <v>11</v>
      </c>
      <c r="AM3" s="5" t="s">
        <v>12</v>
      </c>
      <c r="AN3" s="5" t="s">
        <v>13</v>
      </c>
      <c r="AO3" s="5" t="s">
        <v>7</v>
      </c>
      <c r="AP3" s="5" t="s">
        <v>8</v>
      </c>
      <c r="AQ3" s="5" t="s">
        <v>9</v>
      </c>
      <c r="AR3" s="5" t="s">
        <v>10</v>
      </c>
      <c r="AS3" s="5" t="s">
        <v>11</v>
      </c>
      <c r="AT3" s="5" t="s">
        <v>12</v>
      </c>
      <c r="AU3" s="6" t="s">
        <v>13</v>
      </c>
      <c r="AV3" s="5" t="s">
        <v>7</v>
      </c>
      <c r="AW3" s="5" t="s">
        <v>8</v>
      </c>
      <c r="AX3" s="5" t="s">
        <v>9</v>
      </c>
      <c r="AY3" s="5" t="s">
        <v>10</v>
      </c>
      <c r="AZ3" s="5" t="s">
        <v>11</v>
      </c>
      <c r="BA3" s="5" t="s">
        <v>12</v>
      </c>
      <c r="BB3" s="5" t="s">
        <v>13</v>
      </c>
      <c r="BC3" s="5" t="s">
        <v>7</v>
      </c>
      <c r="BD3" s="5" t="s">
        <v>8</v>
      </c>
      <c r="BE3" s="5" t="s">
        <v>9</v>
      </c>
      <c r="BF3" s="5" t="s">
        <v>10</v>
      </c>
      <c r="BG3" s="5" t="s">
        <v>11</v>
      </c>
      <c r="BH3" s="5" t="s">
        <v>12</v>
      </c>
      <c r="BI3" s="5" t="s">
        <v>13</v>
      </c>
      <c r="BJ3" s="5" t="s">
        <v>7</v>
      </c>
      <c r="BK3" s="5" t="s">
        <v>7</v>
      </c>
      <c r="BL3" s="5" t="s">
        <v>8</v>
      </c>
      <c r="BM3" s="5" t="s">
        <v>9</v>
      </c>
      <c r="BN3" s="5" t="s">
        <v>10</v>
      </c>
      <c r="BO3" s="5" t="s">
        <v>11</v>
      </c>
      <c r="BP3" s="5" t="s">
        <v>12</v>
      </c>
      <c r="BQ3" s="5" t="s">
        <v>13</v>
      </c>
      <c r="BR3" s="5" t="s">
        <v>7</v>
      </c>
      <c r="BS3" s="5" t="s">
        <v>8</v>
      </c>
      <c r="BT3" s="5" t="s">
        <v>9</v>
      </c>
      <c r="BU3" s="5" t="s">
        <v>10</v>
      </c>
      <c r="BV3" s="5" t="s">
        <v>11</v>
      </c>
      <c r="BW3" s="5" t="s">
        <v>12</v>
      </c>
      <c r="BX3" s="5" t="s">
        <v>13</v>
      </c>
      <c r="BY3" s="5" t="s">
        <v>7</v>
      </c>
      <c r="BZ3" s="5" t="s">
        <v>8</v>
      </c>
      <c r="CA3" s="5" t="s">
        <v>9</v>
      </c>
      <c r="CB3" s="5" t="s">
        <v>10</v>
      </c>
      <c r="CC3" s="5" t="s">
        <v>11</v>
      </c>
      <c r="CD3" s="5" t="s">
        <v>12</v>
      </c>
      <c r="CE3" s="5" t="s">
        <v>13</v>
      </c>
      <c r="CF3" s="5" t="s">
        <v>7</v>
      </c>
      <c r="CG3" s="5" t="s">
        <v>8</v>
      </c>
      <c r="CH3" s="5" t="s">
        <v>9</v>
      </c>
      <c r="CI3" s="5" t="s">
        <v>10</v>
      </c>
      <c r="CJ3" s="5" t="s">
        <v>11</v>
      </c>
      <c r="CK3" s="5" t="s">
        <v>12</v>
      </c>
      <c r="CL3" s="5" t="s">
        <v>13</v>
      </c>
      <c r="CM3" s="5" t="s">
        <v>7</v>
      </c>
      <c r="CN3" s="5" t="s">
        <v>8</v>
      </c>
      <c r="CO3" s="5" t="s">
        <v>9</v>
      </c>
      <c r="CP3" s="5" t="s">
        <v>10</v>
      </c>
      <c r="CQ3" s="5" t="s">
        <v>11</v>
      </c>
      <c r="CR3" s="5" t="s">
        <v>12</v>
      </c>
      <c r="CS3" s="5" t="s">
        <v>13</v>
      </c>
      <c r="CT3" s="5" t="s">
        <v>10</v>
      </c>
      <c r="CU3" s="5" t="s">
        <v>7</v>
      </c>
      <c r="CV3" s="5" t="s">
        <v>8</v>
      </c>
      <c r="CW3" s="5" t="s">
        <v>9</v>
      </c>
      <c r="CX3" s="5" t="s">
        <v>10</v>
      </c>
      <c r="CY3" s="5" t="s">
        <v>11</v>
      </c>
      <c r="CZ3" s="5" t="s">
        <v>12</v>
      </c>
      <c r="DA3" s="5" t="s">
        <v>13</v>
      </c>
      <c r="DB3" s="5" t="s">
        <v>7</v>
      </c>
      <c r="DC3" s="5" t="s">
        <v>8</v>
      </c>
      <c r="DD3" s="5" t="s">
        <v>9</v>
      </c>
      <c r="DE3" s="5" t="s">
        <v>10</v>
      </c>
      <c r="DF3" s="5" t="s">
        <v>11</v>
      </c>
      <c r="DG3" s="5" t="s">
        <v>12</v>
      </c>
      <c r="DH3" s="5" t="s">
        <v>13</v>
      </c>
      <c r="DI3" s="5" t="s">
        <v>10</v>
      </c>
      <c r="DJ3" s="5" t="s">
        <v>7</v>
      </c>
      <c r="DK3" s="5" t="s">
        <v>8</v>
      </c>
      <c r="DL3" s="5" t="s">
        <v>9</v>
      </c>
      <c r="DM3" s="5" t="s">
        <v>10</v>
      </c>
      <c r="DN3" s="5" t="s">
        <v>11</v>
      </c>
      <c r="DO3" s="5" t="s">
        <v>12</v>
      </c>
      <c r="DP3" s="5" t="s">
        <v>13</v>
      </c>
      <c r="DQ3" s="5" t="s">
        <v>7</v>
      </c>
      <c r="DR3" s="5" t="s">
        <v>8</v>
      </c>
      <c r="DS3" s="5" t="s">
        <v>9</v>
      </c>
      <c r="DT3" s="5" t="s">
        <v>10</v>
      </c>
      <c r="DU3" s="5" t="s">
        <v>11</v>
      </c>
      <c r="DV3" s="5" t="s">
        <v>12</v>
      </c>
      <c r="DW3" s="5" t="s">
        <v>13</v>
      </c>
      <c r="DX3" s="5" t="s">
        <v>10</v>
      </c>
      <c r="DY3" s="5" t="s">
        <v>7</v>
      </c>
      <c r="DZ3" s="5" t="s">
        <v>8</v>
      </c>
      <c r="EA3" s="5" t="s">
        <v>9</v>
      </c>
      <c r="EB3" s="5" t="s">
        <v>10</v>
      </c>
      <c r="EC3" s="5" t="s">
        <v>11</v>
      </c>
      <c r="ED3" s="5" t="s">
        <v>12</v>
      </c>
      <c r="EE3" s="5" t="s">
        <v>13</v>
      </c>
      <c r="EF3" s="5" t="s">
        <v>7</v>
      </c>
      <c r="EG3" s="5" t="s">
        <v>8</v>
      </c>
      <c r="EH3" s="5" t="s">
        <v>9</v>
      </c>
      <c r="EI3" s="5" t="s">
        <v>10</v>
      </c>
      <c r="EJ3" s="5" t="s">
        <v>11</v>
      </c>
      <c r="EK3" s="5" t="s">
        <v>12</v>
      </c>
      <c r="EL3" s="5" t="s">
        <v>13</v>
      </c>
      <c r="EM3" s="5" t="s">
        <v>7</v>
      </c>
      <c r="EN3" s="5" t="s">
        <v>8</v>
      </c>
      <c r="EO3" s="5" t="s">
        <v>9</v>
      </c>
      <c r="EP3" s="5" t="s">
        <v>10</v>
      </c>
      <c r="EQ3" s="5" t="s">
        <v>11</v>
      </c>
      <c r="ER3" s="5" t="s">
        <v>12</v>
      </c>
      <c r="ES3" s="5" t="s">
        <v>13</v>
      </c>
      <c r="ET3" s="5" t="s">
        <v>7</v>
      </c>
      <c r="EU3" s="5" t="s">
        <v>8</v>
      </c>
      <c r="EV3" s="5" t="s">
        <v>9</v>
      </c>
      <c r="EW3" s="5" t="s">
        <v>10</v>
      </c>
      <c r="EX3" s="5" t="s">
        <v>11</v>
      </c>
      <c r="EY3" s="5" t="s">
        <v>12</v>
      </c>
      <c r="EZ3" s="5" t="s">
        <v>13</v>
      </c>
    </row>
    <row r="4" spans="1:156" ht="15.75" customHeight="1" x14ac:dyDescent="0.25">
      <c r="A4" s="7"/>
      <c r="B4" s="8"/>
      <c r="C4" s="9"/>
      <c r="D4" s="2"/>
      <c r="E4" s="2"/>
      <c r="F4" s="2"/>
      <c r="G4" s="4"/>
      <c r="H4" s="4"/>
      <c r="I4" s="4"/>
      <c r="J4" s="4"/>
      <c r="K4" s="10" t="s">
        <v>14</v>
      </c>
      <c r="L4" s="91" t="s">
        <v>15</v>
      </c>
      <c r="M4" s="86"/>
      <c r="N4" s="86"/>
      <c r="O4" s="86"/>
      <c r="P4" s="86"/>
      <c r="Q4" s="86"/>
      <c r="R4" s="87"/>
      <c r="S4" s="6" t="s">
        <v>16</v>
      </c>
      <c r="T4" s="91" t="s">
        <v>17</v>
      </c>
      <c r="U4" s="86"/>
      <c r="V4" s="86"/>
      <c r="W4" s="86"/>
      <c r="X4" s="86"/>
      <c r="Y4" s="86"/>
      <c r="Z4" s="87"/>
      <c r="AA4" s="91" t="s">
        <v>15</v>
      </c>
      <c r="AB4" s="86"/>
      <c r="AC4" s="86"/>
      <c r="AD4" s="86"/>
      <c r="AE4" s="86"/>
      <c r="AF4" s="86"/>
      <c r="AG4" s="87"/>
      <c r="AH4" s="91" t="s">
        <v>17</v>
      </c>
      <c r="AI4" s="86"/>
      <c r="AJ4" s="86"/>
      <c r="AK4" s="86"/>
      <c r="AL4" s="86"/>
      <c r="AM4" s="86"/>
      <c r="AN4" s="87"/>
      <c r="AO4" s="91" t="s">
        <v>15</v>
      </c>
      <c r="AP4" s="86"/>
      <c r="AQ4" s="86"/>
      <c r="AR4" s="86"/>
      <c r="AS4" s="86"/>
      <c r="AT4" s="86"/>
      <c r="AU4" s="87"/>
      <c r="AV4" s="91" t="s">
        <v>17</v>
      </c>
      <c r="AW4" s="86"/>
      <c r="AX4" s="86"/>
      <c r="AY4" s="86"/>
      <c r="AZ4" s="86"/>
      <c r="BA4" s="86"/>
      <c r="BB4" s="87"/>
      <c r="BC4" s="91" t="s">
        <v>15</v>
      </c>
      <c r="BD4" s="86"/>
      <c r="BE4" s="86"/>
      <c r="BF4" s="86"/>
      <c r="BG4" s="86"/>
      <c r="BH4" s="86"/>
      <c r="BI4" s="87"/>
      <c r="BJ4" s="11" t="s">
        <v>18</v>
      </c>
      <c r="BK4" s="91" t="s">
        <v>17</v>
      </c>
      <c r="BL4" s="86"/>
      <c r="BM4" s="86"/>
      <c r="BN4" s="86"/>
      <c r="BO4" s="86"/>
      <c r="BP4" s="86"/>
      <c r="BQ4" s="87"/>
      <c r="BR4" s="91" t="s">
        <v>15</v>
      </c>
      <c r="BS4" s="86"/>
      <c r="BT4" s="86"/>
      <c r="BU4" s="86"/>
      <c r="BV4" s="86"/>
      <c r="BW4" s="86"/>
      <c r="BX4" s="87"/>
      <c r="BY4" s="91" t="s">
        <v>17</v>
      </c>
      <c r="BZ4" s="86"/>
      <c r="CA4" s="86"/>
      <c r="CB4" s="86"/>
      <c r="CC4" s="86"/>
      <c r="CD4" s="86"/>
      <c r="CE4" s="87"/>
      <c r="CF4" s="91" t="s">
        <v>15</v>
      </c>
      <c r="CG4" s="86"/>
      <c r="CH4" s="86"/>
      <c r="CI4" s="86"/>
      <c r="CJ4" s="86"/>
      <c r="CK4" s="86"/>
      <c r="CL4" s="87"/>
      <c r="CM4" s="91" t="s">
        <v>17</v>
      </c>
      <c r="CN4" s="86"/>
      <c r="CO4" s="86"/>
      <c r="CP4" s="86"/>
      <c r="CQ4" s="86"/>
      <c r="CR4" s="86"/>
      <c r="CS4" s="87"/>
      <c r="CT4" s="12" t="s">
        <v>19</v>
      </c>
      <c r="CU4" s="91" t="s">
        <v>15</v>
      </c>
      <c r="CV4" s="86"/>
      <c r="CW4" s="86"/>
      <c r="CX4" s="86"/>
      <c r="CY4" s="86"/>
      <c r="CZ4" s="86"/>
      <c r="DA4" s="87"/>
      <c r="DB4" s="91" t="s">
        <v>17</v>
      </c>
      <c r="DC4" s="86"/>
      <c r="DD4" s="86"/>
      <c r="DE4" s="86"/>
      <c r="DF4" s="86"/>
      <c r="DG4" s="86"/>
      <c r="DH4" s="87"/>
      <c r="DI4" s="12" t="s">
        <v>19</v>
      </c>
      <c r="DJ4" s="91" t="s">
        <v>15</v>
      </c>
      <c r="DK4" s="86"/>
      <c r="DL4" s="86"/>
      <c r="DM4" s="86"/>
      <c r="DN4" s="86"/>
      <c r="DO4" s="86"/>
      <c r="DP4" s="87"/>
      <c r="DQ4" s="91" t="s">
        <v>17</v>
      </c>
      <c r="DR4" s="86"/>
      <c r="DS4" s="86"/>
      <c r="DT4" s="86"/>
      <c r="DU4" s="86"/>
      <c r="DV4" s="86"/>
      <c r="DW4" s="87"/>
      <c r="DX4" s="12" t="s">
        <v>19</v>
      </c>
      <c r="DY4" s="91" t="s">
        <v>15</v>
      </c>
      <c r="DZ4" s="86"/>
      <c r="EA4" s="86"/>
      <c r="EB4" s="86"/>
      <c r="EC4" s="86"/>
      <c r="ED4" s="86"/>
      <c r="EE4" s="87"/>
      <c r="EF4" s="91" t="s">
        <v>17</v>
      </c>
      <c r="EG4" s="86"/>
      <c r="EH4" s="86"/>
      <c r="EI4" s="86"/>
      <c r="EJ4" s="86"/>
      <c r="EK4" s="86"/>
      <c r="EL4" s="87"/>
      <c r="EM4" s="91" t="s">
        <v>15</v>
      </c>
      <c r="EN4" s="86"/>
      <c r="EO4" s="86"/>
      <c r="EP4" s="86"/>
      <c r="EQ4" s="86"/>
      <c r="ER4" s="86"/>
      <c r="ES4" s="87"/>
      <c r="ET4" s="91" t="s">
        <v>17</v>
      </c>
      <c r="EU4" s="86"/>
      <c r="EV4" s="86"/>
      <c r="EW4" s="86"/>
      <c r="EX4" s="86"/>
      <c r="EY4" s="86"/>
      <c r="EZ4" s="87"/>
    </row>
    <row r="5" spans="1:156" ht="15.75" customHeight="1" x14ac:dyDescent="0.25">
      <c r="A5" s="1"/>
      <c r="B5" s="9"/>
      <c r="C5" s="9" t="str">
        <f>IF(OR(L5&gt;L8,M5&gt;M8,N5&gt;N8,O5&gt;O8,P5&gt;P8,AU5&gt;AU8,Q5&gt;Q8,R5&gt;R8,S5&gt;S8,T5&gt;T8,U5&gt;U8,V5&gt;V8,W5&gt;W8,X5&gt;X8,Y5&gt;Y8,Z5&gt;Z8,AA5&gt;AA8,AB5&gt;AB8,AC5&gt;AC8,AD5&gt;AD8,AE5&gt;AE8,AF5&gt;AF8,AG5&gt;AG8,AH5&gt;AH8,AI5&gt;AI8),"Os itens obrigatórios seperam o número 'ideal' em algum(ns) tamanhos ----&gt;","")</f>
        <v/>
      </c>
      <c r="D5" s="2"/>
      <c r="E5" s="2"/>
      <c r="F5" s="2"/>
      <c r="G5" s="4"/>
      <c r="H5" s="4"/>
      <c r="I5" s="4"/>
      <c r="J5" s="4"/>
      <c r="K5" s="13" t="s">
        <v>20</v>
      </c>
      <c r="L5" s="14">
        <f>COUNTIF(L17:L439,1)</f>
        <v>0</v>
      </c>
      <c r="M5" s="14">
        <f t="shared" ref="M5:BX5" si="0">COUNTIF(M17:M439,1)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  <c r="BT5" s="14">
        <f t="shared" si="0"/>
        <v>0</v>
      </c>
      <c r="BU5" s="14">
        <f t="shared" si="0"/>
        <v>0</v>
      </c>
      <c r="BV5" s="14">
        <f t="shared" si="0"/>
        <v>0</v>
      </c>
      <c r="BW5" s="14">
        <f t="shared" si="0"/>
        <v>0</v>
      </c>
      <c r="BX5" s="14">
        <f t="shared" si="0"/>
        <v>0</v>
      </c>
      <c r="BY5" s="14">
        <f t="shared" ref="BY5:EJ5" si="1">COUNTIF(BY17:BY439,1)</f>
        <v>0</v>
      </c>
      <c r="BZ5" s="14">
        <f t="shared" si="1"/>
        <v>0</v>
      </c>
      <c r="CA5" s="14">
        <f t="shared" si="1"/>
        <v>0</v>
      </c>
      <c r="CB5" s="14">
        <f t="shared" si="1"/>
        <v>0</v>
      </c>
      <c r="CC5" s="14">
        <f t="shared" si="1"/>
        <v>0</v>
      </c>
      <c r="CD5" s="14">
        <f t="shared" si="1"/>
        <v>0</v>
      </c>
      <c r="CE5" s="14">
        <f t="shared" si="1"/>
        <v>0</v>
      </c>
      <c r="CF5" s="14">
        <f t="shared" si="1"/>
        <v>0</v>
      </c>
      <c r="CG5" s="14">
        <f t="shared" si="1"/>
        <v>0</v>
      </c>
      <c r="CH5" s="14">
        <f t="shared" si="1"/>
        <v>0</v>
      </c>
      <c r="CI5" s="14">
        <f t="shared" si="1"/>
        <v>0</v>
      </c>
      <c r="CJ5" s="14">
        <f t="shared" si="1"/>
        <v>0</v>
      </c>
      <c r="CK5" s="14">
        <f t="shared" si="1"/>
        <v>0</v>
      </c>
      <c r="CL5" s="14">
        <f t="shared" si="1"/>
        <v>0</v>
      </c>
      <c r="CM5" s="14">
        <f t="shared" si="1"/>
        <v>0</v>
      </c>
      <c r="CN5" s="14">
        <f t="shared" si="1"/>
        <v>0</v>
      </c>
      <c r="CO5" s="14">
        <f t="shared" si="1"/>
        <v>0</v>
      </c>
      <c r="CP5" s="14">
        <f t="shared" si="1"/>
        <v>0</v>
      </c>
      <c r="CQ5" s="14">
        <f t="shared" si="1"/>
        <v>0</v>
      </c>
      <c r="CR5" s="14">
        <f t="shared" si="1"/>
        <v>0</v>
      </c>
      <c r="CS5" s="14">
        <f t="shared" si="1"/>
        <v>0</v>
      </c>
      <c r="CT5" s="14">
        <f t="shared" si="1"/>
        <v>0</v>
      </c>
      <c r="CU5" s="14">
        <f t="shared" si="1"/>
        <v>0</v>
      </c>
      <c r="CV5" s="14">
        <f t="shared" si="1"/>
        <v>0</v>
      </c>
      <c r="CW5" s="14">
        <f t="shared" si="1"/>
        <v>0</v>
      </c>
      <c r="CX5" s="14">
        <f t="shared" si="1"/>
        <v>0</v>
      </c>
      <c r="CY5" s="14">
        <f t="shared" si="1"/>
        <v>0</v>
      </c>
      <c r="CZ5" s="14">
        <f t="shared" si="1"/>
        <v>0</v>
      </c>
      <c r="DA5" s="14">
        <f t="shared" si="1"/>
        <v>0</v>
      </c>
      <c r="DB5" s="14">
        <f t="shared" si="1"/>
        <v>0</v>
      </c>
      <c r="DC5" s="14">
        <f t="shared" si="1"/>
        <v>0</v>
      </c>
      <c r="DD5" s="14">
        <f t="shared" si="1"/>
        <v>0</v>
      </c>
      <c r="DE5" s="14">
        <f t="shared" si="1"/>
        <v>0</v>
      </c>
      <c r="DF5" s="14">
        <f t="shared" si="1"/>
        <v>0</v>
      </c>
      <c r="DG5" s="14">
        <f t="shared" si="1"/>
        <v>0</v>
      </c>
      <c r="DH5" s="14">
        <f t="shared" si="1"/>
        <v>0</v>
      </c>
      <c r="DI5" s="14">
        <f t="shared" si="1"/>
        <v>0</v>
      </c>
      <c r="DJ5" s="14">
        <f t="shared" si="1"/>
        <v>0</v>
      </c>
      <c r="DK5" s="14">
        <f t="shared" si="1"/>
        <v>0</v>
      </c>
      <c r="DL5" s="14">
        <f t="shared" si="1"/>
        <v>0</v>
      </c>
      <c r="DM5" s="14">
        <f t="shared" si="1"/>
        <v>0</v>
      </c>
      <c r="DN5" s="14">
        <f t="shared" si="1"/>
        <v>0</v>
      </c>
      <c r="DO5" s="14">
        <f t="shared" si="1"/>
        <v>0</v>
      </c>
      <c r="DP5" s="14">
        <f t="shared" si="1"/>
        <v>0</v>
      </c>
      <c r="DQ5" s="14">
        <f t="shared" si="1"/>
        <v>0</v>
      </c>
      <c r="DR5" s="14">
        <f t="shared" si="1"/>
        <v>0</v>
      </c>
      <c r="DS5" s="14">
        <f t="shared" si="1"/>
        <v>0</v>
      </c>
      <c r="DT5" s="14">
        <f t="shared" si="1"/>
        <v>0</v>
      </c>
      <c r="DU5" s="14">
        <f t="shared" si="1"/>
        <v>0</v>
      </c>
      <c r="DV5" s="14">
        <f t="shared" si="1"/>
        <v>0</v>
      </c>
      <c r="DW5" s="14">
        <f t="shared" si="1"/>
        <v>0</v>
      </c>
      <c r="DX5" s="14">
        <f t="shared" si="1"/>
        <v>0</v>
      </c>
      <c r="DY5" s="14">
        <f t="shared" si="1"/>
        <v>0</v>
      </c>
      <c r="DZ5" s="14">
        <f t="shared" si="1"/>
        <v>0</v>
      </c>
      <c r="EA5" s="14">
        <f t="shared" si="1"/>
        <v>0</v>
      </c>
      <c r="EB5" s="14">
        <f t="shared" si="1"/>
        <v>0</v>
      </c>
      <c r="EC5" s="14">
        <f t="shared" si="1"/>
        <v>0</v>
      </c>
      <c r="ED5" s="14">
        <f t="shared" si="1"/>
        <v>0</v>
      </c>
      <c r="EE5" s="14">
        <f t="shared" si="1"/>
        <v>0</v>
      </c>
      <c r="EF5" s="14">
        <f t="shared" si="1"/>
        <v>0</v>
      </c>
      <c r="EG5" s="14">
        <f t="shared" si="1"/>
        <v>0</v>
      </c>
      <c r="EH5" s="14">
        <f t="shared" si="1"/>
        <v>0</v>
      </c>
      <c r="EI5" s="14">
        <f t="shared" si="1"/>
        <v>0</v>
      </c>
      <c r="EJ5" s="14">
        <f t="shared" si="1"/>
        <v>0</v>
      </c>
      <c r="EK5" s="14">
        <f t="shared" ref="EK5:EZ5" si="2">COUNTIF(EK17:EK439,1)</f>
        <v>0</v>
      </c>
      <c r="EL5" s="14">
        <f t="shared" si="2"/>
        <v>0</v>
      </c>
      <c r="EM5" s="14">
        <f t="shared" si="2"/>
        <v>0</v>
      </c>
      <c r="EN5" s="14">
        <f t="shared" si="2"/>
        <v>0</v>
      </c>
      <c r="EO5" s="14">
        <f t="shared" si="2"/>
        <v>0</v>
      </c>
      <c r="EP5" s="14">
        <f t="shared" si="2"/>
        <v>0</v>
      </c>
      <c r="EQ5" s="14">
        <f t="shared" si="2"/>
        <v>0</v>
      </c>
      <c r="ER5" s="14">
        <f t="shared" si="2"/>
        <v>0</v>
      </c>
      <c r="ES5" s="14">
        <f t="shared" si="2"/>
        <v>0</v>
      </c>
      <c r="ET5" s="14">
        <f t="shared" si="2"/>
        <v>0</v>
      </c>
      <c r="EU5" s="14">
        <f t="shared" si="2"/>
        <v>0</v>
      </c>
      <c r="EV5" s="14">
        <f t="shared" si="2"/>
        <v>0</v>
      </c>
      <c r="EW5" s="14">
        <f t="shared" si="2"/>
        <v>0</v>
      </c>
      <c r="EX5" s="14">
        <f t="shared" si="2"/>
        <v>0</v>
      </c>
      <c r="EY5" s="14">
        <f t="shared" si="2"/>
        <v>0</v>
      </c>
      <c r="EZ5" s="14">
        <f t="shared" si="2"/>
        <v>0</v>
      </c>
    </row>
    <row r="6" spans="1:156" ht="15.75" customHeight="1" x14ac:dyDescent="0.25">
      <c r="A6" s="1"/>
      <c r="B6" s="2"/>
      <c r="C6" s="3"/>
      <c r="D6" s="2"/>
      <c r="E6" s="2"/>
      <c r="F6" s="2"/>
      <c r="G6" s="4"/>
      <c r="H6" s="4"/>
      <c r="I6" s="4"/>
      <c r="J6" s="4"/>
      <c r="K6" s="13" t="s">
        <v>21</v>
      </c>
      <c r="L6" s="15">
        <f>COUNTIF(L17:L411,3)</f>
        <v>0</v>
      </c>
      <c r="M6" s="15">
        <f t="shared" ref="M6:BX6" si="3">COUNTIF(M17:M411,3)</f>
        <v>0</v>
      </c>
      <c r="N6" s="15">
        <f t="shared" si="3"/>
        <v>0</v>
      </c>
      <c r="O6" s="15">
        <f t="shared" si="3"/>
        <v>0</v>
      </c>
      <c r="P6" s="15">
        <f t="shared" si="3"/>
        <v>0</v>
      </c>
      <c r="Q6" s="15">
        <f t="shared" si="3"/>
        <v>0</v>
      </c>
      <c r="R6" s="15">
        <f t="shared" si="3"/>
        <v>0</v>
      </c>
      <c r="S6" s="15">
        <f t="shared" si="3"/>
        <v>0</v>
      </c>
      <c r="T6" s="15">
        <f t="shared" si="3"/>
        <v>0</v>
      </c>
      <c r="U6" s="15">
        <f t="shared" si="3"/>
        <v>0</v>
      </c>
      <c r="V6" s="15">
        <f t="shared" si="3"/>
        <v>0</v>
      </c>
      <c r="W6" s="15">
        <f t="shared" si="3"/>
        <v>0</v>
      </c>
      <c r="X6" s="15">
        <f t="shared" si="3"/>
        <v>0</v>
      </c>
      <c r="Y6" s="15">
        <f t="shared" si="3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3"/>
        <v>0</v>
      </c>
      <c r="AK6" s="15">
        <f t="shared" si="3"/>
        <v>0</v>
      </c>
      <c r="AL6" s="15">
        <f t="shared" si="3"/>
        <v>0</v>
      </c>
      <c r="AM6" s="15">
        <f t="shared" si="3"/>
        <v>0</v>
      </c>
      <c r="AN6" s="15">
        <f t="shared" si="3"/>
        <v>0</v>
      </c>
      <c r="AO6" s="15">
        <f t="shared" si="3"/>
        <v>0</v>
      </c>
      <c r="AP6" s="15">
        <f t="shared" si="3"/>
        <v>0</v>
      </c>
      <c r="AQ6" s="15">
        <f t="shared" si="3"/>
        <v>0</v>
      </c>
      <c r="AR6" s="15">
        <f t="shared" si="3"/>
        <v>0</v>
      </c>
      <c r="AS6" s="15">
        <f t="shared" si="3"/>
        <v>0</v>
      </c>
      <c r="AT6" s="15">
        <f t="shared" si="3"/>
        <v>0</v>
      </c>
      <c r="AU6" s="15">
        <f t="shared" si="3"/>
        <v>0</v>
      </c>
      <c r="AV6" s="15">
        <f t="shared" si="3"/>
        <v>0</v>
      </c>
      <c r="AW6" s="15">
        <f t="shared" si="3"/>
        <v>0</v>
      </c>
      <c r="AX6" s="15">
        <f t="shared" si="3"/>
        <v>0</v>
      </c>
      <c r="AY6" s="15">
        <f t="shared" si="3"/>
        <v>0</v>
      </c>
      <c r="AZ6" s="15">
        <f t="shared" si="3"/>
        <v>0</v>
      </c>
      <c r="BA6" s="15">
        <f t="shared" si="3"/>
        <v>0</v>
      </c>
      <c r="BB6" s="15">
        <f t="shared" si="3"/>
        <v>0</v>
      </c>
      <c r="BC6" s="15">
        <f t="shared" si="3"/>
        <v>0</v>
      </c>
      <c r="BD6" s="15">
        <f t="shared" si="3"/>
        <v>0</v>
      </c>
      <c r="BE6" s="15">
        <f t="shared" si="3"/>
        <v>0</v>
      </c>
      <c r="BF6" s="15">
        <f t="shared" si="3"/>
        <v>0</v>
      </c>
      <c r="BG6" s="15">
        <f t="shared" si="3"/>
        <v>0</v>
      </c>
      <c r="BH6" s="15">
        <f t="shared" si="3"/>
        <v>0</v>
      </c>
      <c r="BI6" s="15">
        <f t="shared" si="3"/>
        <v>0</v>
      </c>
      <c r="BJ6" s="15">
        <f t="shared" si="3"/>
        <v>0</v>
      </c>
      <c r="BK6" s="15">
        <f t="shared" si="3"/>
        <v>0</v>
      </c>
      <c r="BL6" s="15">
        <f t="shared" si="3"/>
        <v>0</v>
      </c>
      <c r="BM6" s="15">
        <f t="shared" si="3"/>
        <v>0</v>
      </c>
      <c r="BN6" s="15">
        <f t="shared" si="3"/>
        <v>0</v>
      </c>
      <c r="BO6" s="15">
        <f t="shared" si="3"/>
        <v>0</v>
      </c>
      <c r="BP6" s="15">
        <f t="shared" si="3"/>
        <v>0</v>
      </c>
      <c r="BQ6" s="15">
        <f t="shared" si="3"/>
        <v>0</v>
      </c>
      <c r="BR6" s="15">
        <f t="shared" si="3"/>
        <v>0</v>
      </c>
      <c r="BS6" s="15">
        <f t="shared" si="3"/>
        <v>0</v>
      </c>
      <c r="BT6" s="15">
        <f t="shared" si="3"/>
        <v>0</v>
      </c>
      <c r="BU6" s="15">
        <f t="shared" si="3"/>
        <v>0</v>
      </c>
      <c r="BV6" s="15">
        <f t="shared" si="3"/>
        <v>0</v>
      </c>
      <c r="BW6" s="15">
        <f t="shared" si="3"/>
        <v>0</v>
      </c>
      <c r="BX6" s="15">
        <f t="shared" si="3"/>
        <v>0</v>
      </c>
      <c r="BY6" s="15">
        <f t="shared" ref="BY6:EJ6" si="4">COUNTIF(BY17:BY411,3)</f>
        <v>0</v>
      </c>
      <c r="BZ6" s="15">
        <f t="shared" si="4"/>
        <v>0</v>
      </c>
      <c r="CA6" s="15">
        <f t="shared" si="4"/>
        <v>0</v>
      </c>
      <c r="CB6" s="15">
        <f t="shared" si="4"/>
        <v>0</v>
      </c>
      <c r="CC6" s="15">
        <f t="shared" si="4"/>
        <v>0</v>
      </c>
      <c r="CD6" s="15">
        <f t="shared" si="4"/>
        <v>0</v>
      </c>
      <c r="CE6" s="15">
        <f t="shared" si="4"/>
        <v>0</v>
      </c>
      <c r="CF6" s="15">
        <f t="shared" si="4"/>
        <v>0</v>
      </c>
      <c r="CG6" s="15">
        <f t="shared" si="4"/>
        <v>0</v>
      </c>
      <c r="CH6" s="15">
        <f t="shared" si="4"/>
        <v>0</v>
      </c>
      <c r="CI6" s="15">
        <f t="shared" si="4"/>
        <v>0</v>
      </c>
      <c r="CJ6" s="15">
        <f t="shared" si="4"/>
        <v>0</v>
      </c>
      <c r="CK6" s="15">
        <f t="shared" si="4"/>
        <v>0</v>
      </c>
      <c r="CL6" s="15">
        <f t="shared" si="4"/>
        <v>0</v>
      </c>
      <c r="CM6" s="15">
        <f t="shared" si="4"/>
        <v>0</v>
      </c>
      <c r="CN6" s="15">
        <f t="shared" si="4"/>
        <v>0</v>
      </c>
      <c r="CO6" s="15">
        <f t="shared" si="4"/>
        <v>0</v>
      </c>
      <c r="CP6" s="15">
        <f t="shared" si="4"/>
        <v>0</v>
      </c>
      <c r="CQ6" s="15">
        <f t="shared" si="4"/>
        <v>0</v>
      </c>
      <c r="CR6" s="15">
        <f t="shared" si="4"/>
        <v>0</v>
      </c>
      <c r="CS6" s="15">
        <f t="shared" si="4"/>
        <v>0</v>
      </c>
      <c r="CT6" s="15">
        <f t="shared" si="4"/>
        <v>0</v>
      </c>
      <c r="CU6" s="15">
        <f t="shared" si="4"/>
        <v>0</v>
      </c>
      <c r="CV6" s="15">
        <f t="shared" si="4"/>
        <v>0</v>
      </c>
      <c r="CW6" s="15">
        <f t="shared" si="4"/>
        <v>0</v>
      </c>
      <c r="CX6" s="15">
        <f t="shared" si="4"/>
        <v>0</v>
      </c>
      <c r="CY6" s="15">
        <f t="shared" si="4"/>
        <v>0</v>
      </c>
      <c r="CZ6" s="15">
        <f t="shared" si="4"/>
        <v>0</v>
      </c>
      <c r="DA6" s="15">
        <f t="shared" si="4"/>
        <v>0</v>
      </c>
      <c r="DB6" s="15">
        <f t="shared" si="4"/>
        <v>0</v>
      </c>
      <c r="DC6" s="15">
        <f t="shared" si="4"/>
        <v>0</v>
      </c>
      <c r="DD6" s="15">
        <f t="shared" si="4"/>
        <v>0</v>
      </c>
      <c r="DE6" s="15">
        <f t="shared" si="4"/>
        <v>0</v>
      </c>
      <c r="DF6" s="15">
        <f t="shared" si="4"/>
        <v>0</v>
      </c>
      <c r="DG6" s="15">
        <f t="shared" si="4"/>
        <v>0</v>
      </c>
      <c r="DH6" s="15">
        <f t="shared" si="4"/>
        <v>0</v>
      </c>
      <c r="DI6" s="15">
        <f t="shared" si="4"/>
        <v>0</v>
      </c>
      <c r="DJ6" s="15">
        <f t="shared" si="4"/>
        <v>0</v>
      </c>
      <c r="DK6" s="15">
        <f t="shared" si="4"/>
        <v>0</v>
      </c>
      <c r="DL6" s="15">
        <f t="shared" si="4"/>
        <v>0</v>
      </c>
      <c r="DM6" s="15">
        <f t="shared" si="4"/>
        <v>0</v>
      </c>
      <c r="DN6" s="15">
        <f t="shared" si="4"/>
        <v>0</v>
      </c>
      <c r="DO6" s="15">
        <f t="shared" si="4"/>
        <v>0</v>
      </c>
      <c r="DP6" s="15">
        <f t="shared" si="4"/>
        <v>0</v>
      </c>
      <c r="DQ6" s="15">
        <f t="shared" si="4"/>
        <v>0</v>
      </c>
      <c r="DR6" s="15">
        <f t="shared" si="4"/>
        <v>0</v>
      </c>
      <c r="DS6" s="15">
        <f t="shared" si="4"/>
        <v>0</v>
      </c>
      <c r="DT6" s="15">
        <f t="shared" si="4"/>
        <v>0</v>
      </c>
      <c r="DU6" s="15">
        <f t="shared" si="4"/>
        <v>0</v>
      </c>
      <c r="DV6" s="15">
        <f t="shared" si="4"/>
        <v>0</v>
      </c>
      <c r="DW6" s="15">
        <f t="shared" si="4"/>
        <v>0</v>
      </c>
      <c r="DX6" s="15">
        <f t="shared" si="4"/>
        <v>0</v>
      </c>
      <c r="DY6" s="15">
        <f t="shared" si="4"/>
        <v>0</v>
      </c>
      <c r="DZ6" s="15">
        <f t="shared" si="4"/>
        <v>0</v>
      </c>
      <c r="EA6" s="15">
        <f t="shared" si="4"/>
        <v>0</v>
      </c>
      <c r="EB6" s="15">
        <f t="shared" si="4"/>
        <v>0</v>
      </c>
      <c r="EC6" s="15">
        <f t="shared" si="4"/>
        <v>0</v>
      </c>
      <c r="ED6" s="15">
        <f t="shared" si="4"/>
        <v>0</v>
      </c>
      <c r="EE6" s="15">
        <f t="shared" si="4"/>
        <v>0</v>
      </c>
      <c r="EF6" s="15">
        <f t="shared" si="4"/>
        <v>0</v>
      </c>
      <c r="EG6" s="15">
        <f t="shared" si="4"/>
        <v>0</v>
      </c>
      <c r="EH6" s="15">
        <f t="shared" si="4"/>
        <v>0</v>
      </c>
      <c r="EI6" s="15">
        <f t="shared" si="4"/>
        <v>0</v>
      </c>
      <c r="EJ6" s="15">
        <f t="shared" si="4"/>
        <v>0</v>
      </c>
      <c r="EK6" s="15">
        <f t="shared" ref="EK6:EZ6" si="5">COUNTIF(EK17:EK411,3)</f>
        <v>0</v>
      </c>
      <c r="EL6" s="15">
        <f t="shared" si="5"/>
        <v>0</v>
      </c>
      <c r="EM6" s="15">
        <f t="shared" si="5"/>
        <v>0</v>
      </c>
      <c r="EN6" s="15">
        <f t="shared" si="5"/>
        <v>0</v>
      </c>
      <c r="EO6" s="15">
        <f t="shared" si="5"/>
        <v>0</v>
      </c>
      <c r="EP6" s="15">
        <f t="shared" si="5"/>
        <v>0</v>
      </c>
      <c r="EQ6" s="15">
        <f t="shared" si="5"/>
        <v>0</v>
      </c>
      <c r="ER6" s="15">
        <f t="shared" si="5"/>
        <v>0</v>
      </c>
      <c r="ES6" s="15">
        <f t="shared" si="5"/>
        <v>0</v>
      </c>
      <c r="ET6" s="15">
        <f t="shared" si="5"/>
        <v>0</v>
      </c>
      <c r="EU6" s="15">
        <f t="shared" si="5"/>
        <v>0</v>
      </c>
      <c r="EV6" s="15">
        <f t="shared" si="5"/>
        <v>0</v>
      </c>
      <c r="EW6" s="15">
        <f t="shared" si="5"/>
        <v>0</v>
      </c>
      <c r="EX6" s="15">
        <f t="shared" si="5"/>
        <v>0</v>
      </c>
      <c r="EY6" s="15">
        <f t="shared" si="5"/>
        <v>0</v>
      </c>
      <c r="EZ6" s="15">
        <f t="shared" si="5"/>
        <v>0</v>
      </c>
    </row>
    <row r="7" spans="1:156" ht="15.75" customHeight="1" x14ac:dyDescent="0.25">
      <c r="A7" s="2"/>
      <c r="B7" s="2"/>
      <c r="C7" s="2"/>
      <c r="D7" s="2"/>
      <c r="E7" s="2"/>
      <c r="F7" s="2"/>
      <c r="G7" s="4"/>
      <c r="H7" s="4"/>
      <c r="I7" s="4"/>
      <c r="J7" s="4"/>
      <c r="K7" s="13" t="s">
        <v>22</v>
      </c>
      <c r="L7" s="16">
        <f t="shared" ref="L7:EY7" si="6">(L5+L6)</f>
        <v>0</v>
      </c>
      <c r="M7" s="16">
        <f t="shared" si="6"/>
        <v>0</v>
      </c>
      <c r="N7" s="16">
        <f t="shared" si="6"/>
        <v>0</v>
      </c>
      <c r="O7" s="16">
        <f t="shared" si="6"/>
        <v>0</v>
      </c>
      <c r="P7" s="16">
        <f t="shared" si="6"/>
        <v>0</v>
      </c>
      <c r="Q7" s="16">
        <f t="shared" si="6"/>
        <v>0</v>
      </c>
      <c r="R7" s="16">
        <f t="shared" si="6"/>
        <v>0</v>
      </c>
      <c r="S7" s="16">
        <f t="shared" si="6"/>
        <v>0</v>
      </c>
      <c r="T7" s="16">
        <f t="shared" si="6"/>
        <v>0</v>
      </c>
      <c r="U7" s="16">
        <f t="shared" si="6"/>
        <v>0</v>
      </c>
      <c r="V7" s="16">
        <f t="shared" si="6"/>
        <v>0</v>
      </c>
      <c r="W7" s="16">
        <f t="shared" si="6"/>
        <v>0</v>
      </c>
      <c r="X7" s="16">
        <f t="shared" si="6"/>
        <v>0</v>
      </c>
      <c r="Y7" s="16">
        <f t="shared" si="6"/>
        <v>0</v>
      </c>
      <c r="Z7" s="16">
        <f t="shared" si="6"/>
        <v>0</v>
      </c>
      <c r="AA7" s="16">
        <f t="shared" si="6"/>
        <v>0</v>
      </c>
      <c r="AB7" s="16">
        <f t="shared" si="6"/>
        <v>0</v>
      </c>
      <c r="AC7" s="16">
        <f t="shared" si="6"/>
        <v>0</v>
      </c>
      <c r="AD7" s="16">
        <f t="shared" si="6"/>
        <v>0</v>
      </c>
      <c r="AE7" s="16">
        <f t="shared" si="6"/>
        <v>0</v>
      </c>
      <c r="AF7" s="16">
        <f t="shared" si="6"/>
        <v>0</v>
      </c>
      <c r="AG7" s="16">
        <f t="shared" si="6"/>
        <v>0</v>
      </c>
      <c r="AH7" s="16">
        <f t="shared" si="6"/>
        <v>0</v>
      </c>
      <c r="AI7" s="16">
        <f t="shared" si="6"/>
        <v>0</v>
      </c>
      <c r="AJ7" s="16">
        <f t="shared" si="6"/>
        <v>0</v>
      </c>
      <c r="AK7" s="16">
        <f t="shared" si="6"/>
        <v>0</v>
      </c>
      <c r="AL7" s="16">
        <f t="shared" si="6"/>
        <v>0</v>
      </c>
      <c r="AM7" s="16">
        <f t="shared" si="6"/>
        <v>0</v>
      </c>
      <c r="AN7" s="16">
        <f t="shared" si="6"/>
        <v>0</v>
      </c>
      <c r="AO7" s="16">
        <f t="shared" si="6"/>
        <v>0</v>
      </c>
      <c r="AP7" s="16">
        <f t="shared" si="6"/>
        <v>0</v>
      </c>
      <c r="AQ7" s="16">
        <f t="shared" si="6"/>
        <v>0</v>
      </c>
      <c r="AR7" s="16">
        <f t="shared" si="6"/>
        <v>0</v>
      </c>
      <c r="AS7" s="16">
        <f t="shared" si="6"/>
        <v>0</v>
      </c>
      <c r="AT7" s="16">
        <f t="shared" si="6"/>
        <v>0</v>
      </c>
      <c r="AU7" s="16">
        <f t="shared" si="6"/>
        <v>0</v>
      </c>
      <c r="AV7" s="16">
        <f t="shared" si="6"/>
        <v>0</v>
      </c>
      <c r="AW7" s="16">
        <f t="shared" si="6"/>
        <v>0</v>
      </c>
      <c r="AX7" s="16">
        <f t="shared" si="6"/>
        <v>0</v>
      </c>
      <c r="AY7" s="16">
        <f t="shared" si="6"/>
        <v>0</v>
      </c>
      <c r="AZ7" s="16">
        <f t="shared" si="6"/>
        <v>0</v>
      </c>
      <c r="BA7" s="16">
        <f t="shared" si="6"/>
        <v>0</v>
      </c>
      <c r="BB7" s="16">
        <f t="shared" si="6"/>
        <v>0</v>
      </c>
      <c r="BC7" s="16">
        <f t="shared" si="6"/>
        <v>0</v>
      </c>
      <c r="BD7" s="16">
        <f t="shared" si="6"/>
        <v>0</v>
      </c>
      <c r="BE7" s="16">
        <f t="shared" si="6"/>
        <v>0</v>
      </c>
      <c r="BF7" s="16">
        <f t="shared" si="6"/>
        <v>0</v>
      </c>
      <c r="BG7" s="16">
        <f t="shared" si="6"/>
        <v>0</v>
      </c>
      <c r="BH7" s="16">
        <f t="shared" si="6"/>
        <v>0</v>
      </c>
      <c r="BI7" s="16">
        <f t="shared" si="6"/>
        <v>0</v>
      </c>
      <c r="BJ7" s="16">
        <f t="shared" si="6"/>
        <v>0</v>
      </c>
      <c r="BK7" s="16">
        <f t="shared" si="6"/>
        <v>0</v>
      </c>
      <c r="BL7" s="16">
        <f t="shared" si="6"/>
        <v>0</v>
      </c>
      <c r="BM7" s="16">
        <f t="shared" si="6"/>
        <v>0</v>
      </c>
      <c r="BN7" s="16">
        <f t="shared" si="6"/>
        <v>0</v>
      </c>
      <c r="BO7" s="16">
        <f t="shared" si="6"/>
        <v>0</v>
      </c>
      <c r="BP7" s="16">
        <f t="shared" si="6"/>
        <v>0</v>
      </c>
      <c r="BQ7" s="16">
        <f t="shared" si="6"/>
        <v>0</v>
      </c>
      <c r="BR7" s="16">
        <f t="shared" si="6"/>
        <v>0</v>
      </c>
      <c r="BS7" s="16">
        <f t="shared" si="6"/>
        <v>0</v>
      </c>
      <c r="BT7" s="16">
        <f t="shared" si="6"/>
        <v>0</v>
      </c>
      <c r="BU7" s="16">
        <f t="shared" si="6"/>
        <v>0</v>
      </c>
      <c r="BV7" s="16">
        <f t="shared" si="6"/>
        <v>0</v>
      </c>
      <c r="BW7" s="16">
        <f t="shared" si="6"/>
        <v>0</v>
      </c>
      <c r="BX7" s="16">
        <f t="shared" si="6"/>
        <v>0</v>
      </c>
      <c r="BY7" s="16">
        <f t="shared" si="6"/>
        <v>0</v>
      </c>
      <c r="BZ7" s="16">
        <f t="shared" si="6"/>
        <v>0</v>
      </c>
      <c r="CA7" s="16">
        <f t="shared" si="6"/>
        <v>0</v>
      </c>
      <c r="CB7" s="16">
        <f t="shared" si="6"/>
        <v>0</v>
      </c>
      <c r="CC7" s="16">
        <f t="shared" si="6"/>
        <v>0</v>
      </c>
      <c r="CD7" s="16">
        <f t="shared" si="6"/>
        <v>0</v>
      </c>
      <c r="CE7" s="16">
        <f t="shared" si="6"/>
        <v>0</v>
      </c>
      <c r="CF7" s="16">
        <f t="shared" si="6"/>
        <v>0</v>
      </c>
      <c r="CG7" s="16">
        <f t="shared" si="6"/>
        <v>0</v>
      </c>
      <c r="CH7" s="16">
        <f t="shared" si="6"/>
        <v>0</v>
      </c>
      <c r="CI7" s="16">
        <f t="shared" si="6"/>
        <v>0</v>
      </c>
      <c r="CJ7" s="16">
        <f t="shared" si="6"/>
        <v>0</v>
      </c>
      <c r="CK7" s="16">
        <f t="shared" si="6"/>
        <v>0</v>
      </c>
      <c r="CL7" s="16">
        <f t="shared" si="6"/>
        <v>0</v>
      </c>
      <c r="CM7" s="16">
        <f t="shared" si="6"/>
        <v>0</v>
      </c>
      <c r="CN7" s="16">
        <f t="shared" si="6"/>
        <v>0</v>
      </c>
      <c r="CO7" s="16">
        <f t="shared" si="6"/>
        <v>0</v>
      </c>
      <c r="CP7" s="16">
        <f t="shared" si="6"/>
        <v>0</v>
      </c>
      <c r="CQ7" s="16">
        <f t="shared" si="6"/>
        <v>0</v>
      </c>
      <c r="CR7" s="16">
        <f t="shared" si="6"/>
        <v>0</v>
      </c>
      <c r="CS7" s="16">
        <f t="shared" si="6"/>
        <v>0</v>
      </c>
      <c r="CT7" s="16">
        <f t="shared" si="6"/>
        <v>0</v>
      </c>
      <c r="CU7" s="16">
        <f t="shared" si="6"/>
        <v>0</v>
      </c>
      <c r="CV7" s="16">
        <f t="shared" si="6"/>
        <v>0</v>
      </c>
      <c r="CW7" s="16">
        <f t="shared" si="6"/>
        <v>0</v>
      </c>
      <c r="CX7" s="16">
        <f t="shared" si="6"/>
        <v>0</v>
      </c>
      <c r="CY7" s="16">
        <f t="shared" si="6"/>
        <v>0</v>
      </c>
      <c r="CZ7" s="16">
        <f t="shared" si="6"/>
        <v>0</v>
      </c>
      <c r="DA7" s="16">
        <f t="shared" si="6"/>
        <v>0</v>
      </c>
      <c r="DB7" s="16">
        <f t="shared" si="6"/>
        <v>0</v>
      </c>
      <c r="DC7" s="16">
        <f t="shared" si="6"/>
        <v>0</v>
      </c>
      <c r="DD7" s="16">
        <f t="shared" si="6"/>
        <v>0</v>
      </c>
      <c r="DE7" s="16">
        <f t="shared" si="6"/>
        <v>0</v>
      </c>
      <c r="DF7" s="16">
        <f t="shared" si="6"/>
        <v>0</v>
      </c>
      <c r="DG7" s="16">
        <f t="shared" si="6"/>
        <v>0</v>
      </c>
      <c r="DH7" s="16">
        <f t="shared" si="6"/>
        <v>0</v>
      </c>
      <c r="DI7" s="16">
        <f t="shared" si="6"/>
        <v>0</v>
      </c>
      <c r="DJ7" s="16">
        <f t="shared" si="6"/>
        <v>0</v>
      </c>
      <c r="DK7" s="16">
        <f t="shared" si="6"/>
        <v>0</v>
      </c>
      <c r="DL7" s="16">
        <f t="shared" si="6"/>
        <v>0</v>
      </c>
      <c r="DM7" s="16">
        <f t="shared" si="6"/>
        <v>0</v>
      </c>
      <c r="DN7" s="16">
        <f t="shared" si="6"/>
        <v>0</v>
      </c>
      <c r="DO7" s="16">
        <f t="shared" si="6"/>
        <v>0</v>
      </c>
      <c r="DP7" s="16">
        <f t="shared" si="6"/>
        <v>0</v>
      </c>
      <c r="DQ7" s="16">
        <f t="shared" si="6"/>
        <v>0</v>
      </c>
      <c r="DR7" s="16">
        <f t="shared" si="6"/>
        <v>0</v>
      </c>
      <c r="DS7" s="16">
        <f t="shared" si="6"/>
        <v>0</v>
      </c>
      <c r="DT7" s="16">
        <f t="shared" si="6"/>
        <v>0</v>
      </c>
      <c r="DU7" s="16">
        <f t="shared" si="6"/>
        <v>0</v>
      </c>
      <c r="DV7" s="16">
        <f t="shared" si="6"/>
        <v>0</v>
      </c>
      <c r="DW7" s="16">
        <f t="shared" si="6"/>
        <v>0</v>
      </c>
      <c r="DX7" s="16">
        <f t="shared" si="6"/>
        <v>0</v>
      </c>
      <c r="DY7" s="16">
        <f t="shared" si="6"/>
        <v>0</v>
      </c>
      <c r="DZ7" s="16">
        <f t="shared" si="6"/>
        <v>0</v>
      </c>
      <c r="EA7" s="16">
        <f t="shared" si="6"/>
        <v>0</v>
      </c>
      <c r="EB7" s="16">
        <f t="shared" si="6"/>
        <v>0</v>
      </c>
      <c r="EC7" s="16">
        <f t="shared" si="6"/>
        <v>0</v>
      </c>
      <c r="ED7" s="16">
        <f t="shared" si="6"/>
        <v>0</v>
      </c>
      <c r="EE7" s="16">
        <f t="shared" si="6"/>
        <v>0</v>
      </c>
      <c r="EF7" s="16">
        <f t="shared" si="6"/>
        <v>0</v>
      </c>
      <c r="EG7" s="16">
        <f t="shared" si="6"/>
        <v>0</v>
      </c>
      <c r="EH7" s="16">
        <f t="shared" si="6"/>
        <v>0</v>
      </c>
      <c r="EI7" s="16">
        <f t="shared" si="6"/>
        <v>0</v>
      </c>
      <c r="EJ7" s="16">
        <f t="shared" si="6"/>
        <v>0</v>
      </c>
      <c r="EK7" s="16">
        <f t="shared" si="6"/>
        <v>0</v>
      </c>
      <c r="EL7" s="16">
        <f t="shared" si="6"/>
        <v>0</v>
      </c>
      <c r="EM7" s="16">
        <f t="shared" si="6"/>
        <v>0</v>
      </c>
      <c r="EN7" s="16">
        <f t="shared" si="6"/>
        <v>0</v>
      </c>
      <c r="EO7" s="16">
        <f t="shared" si="6"/>
        <v>0</v>
      </c>
      <c r="EP7" s="16">
        <f t="shared" si="6"/>
        <v>0</v>
      </c>
      <c r="EQ7" s="16">
        <f t="shared" si="6"/>
        <v>0</v>
      </c>
      <c r="ER7" s="16">
        <f t="shared" si="6"/>
        <v>0</v>
      </c>
      <c r="ES7" s="16">
        <f t="shared" si="6"/>
        <v>0</v>
      </c>
      <c r="ET7" s="16">
        <f t="shared" si="6"/>
        <v>0</v>
      </c>
      <c r="EU7" s="16">
        <f t="shared" si="6"/>
        <v>0</v>
      </c>
      <c r="EV7" s="16">
        <f t="shared" si="6"/>
        <v>0</v>
      </c>
      <c r="EW7" s="16">
        <f t="shared" si="6"/>
        <v>0</v>
      </c>
      <c r="EX7" s="16">
        <f t="shared" si="6"/>
        <v>0</v>
      </c>
      <c r="EY7" s="16">
        <f t="shared" si="6"/>
        <v>0</v>
      </c>
      <c r="EZ7" s="16">
        <f t="shared" ref="EZ7" si="7">(EZ5+EZ6)</f>
        <v>0</v>
      </c>
    </row>
    <row r="8" spans="1:156" ht="21" customHeight="1" x14ac:dyDescent="0.25">
      <c r="A8" s="2"/>
      <c r="B8" s="2"/>
      <c r="C8" s="3"/>
      <c r="D8" s="2"/>
      <c r="E8" s="2"/>
      <c r="F8" s="2"/>
      <c r="G8" s="17"/>
      <c r="H8" s="17"/>
      <c r="I8" s="17"/>
      <c r="J8" s="17"/>
      <c r="K8" s="17" t="s">
        <v>23</v>
      </c>
      <c r="L8" s="18">
        <v>21</v>
      </c>
      <c r="M8" s="18">
        <v>112</v>
      </c>
      <c r="N8" s="18">
        <v>5</v>
      </c>
      <c r="O8" s="18">
        <v>147</v>
      </c>
      <c r="P8" s="18">
        <v>147</v>
      </c>
      <c r="Q8" s="18">
        <v>147</v>
      </c>
      <c r="R8" s="18">
        <v>132</v>
      </c>
      <c r="S8" s="18">
        <v>132</v>
      </c>
      <c r="T8" s="18">
        <v>0</v>
      </c>
      <c r="U8" s="18">
        <v>147</v>
      </c>
      <c r="V8" s="18">
        <v>147</v>
      </c>
      <c r="W8" s="18">
        <v>92</v>
      </c>
      <c r="X8" s="18">
        <v>106</v>
      </c>
      <c r="Y8" s="18">
        <v>8</v>
      </c>
      <c r="Z8" s="18">
        <v>143</v>
      </c>
      <c r="AA8" s="18">
        <v>140</v>
      </c>
      <c r="AB8" s="18">
        <v>9</v>
      </c>
      <c r="AC8" s="18">
        <v>144</v>
      </c>
      <c r="AD8" s="18">
        <v>152</v>
      </c>
      <c r="AE8" s="18">
        <v>6</v>
      </c>
      <c r="AF8" s="18">
        <v>131</v>
      </c>
      <c r="AG8" s="18">
        <v>131</v>
      </c>
      <c r="AH8" s="18">
        <v>151</v>
      </c>
      <c r="AI8" s="18">
        <v>151</v>
      </c>
      <c r="AJ8" s="18">
        <v>151</v>
      </c>
      <c r="AK8" s="18">
        <v>151</v>
      </c>
      <c r="AL8" s="18">
        <v>151</v>
      </c>
      <c r="AM8" s="18">
        <v>151</v>
      </c>
      <c r="AN8" s="18">
        <v>151</v>
      </c>
      <c r="AO8" s="18">
        <v>151</v>
      </c>
      <c r="AP8" s="18">
        <v>151</v>
      </c>
      <c r="AQ8" s="18">
        <v>151</v>
      </c>
      <c r="AR8" s="18">
        <v>151</v>
      </c>
      <c r="AS8" s="18">
        <v>151</v>
      </c>
      <c r="AT8" s="18">
        <v>151</v>
      </c>
      <c r="AU8" s="18">
        <v>152</v>
      </c>
      <c r="AV8" s="18">
        <v>151</v>
      </c>
      <c r="AW8" s="18">
        <v>151</v>
      </c>
      <c r="AX8" s="18">
        <v>151</v>
      </c>
      <c r="AY8" s="18">
        <v>151</v>
      </c>
      <c r="AZ8" s="18">
        <v>151</v>
      </c>
      <c r="BA8" s="18">
        <v>151</v>
      </c>
      <c r="BB8" s="18">
        <v>151</v>
      </c>
      <c r="BC8" s="18">
        <v>151</v>
      </c>
      <c r="BD8" s="18">
        <v>151</v>
      </c>
      <c r="BE8" s="18">
        <v>151</v>
      </c>
      <c r="BF8" s="18">
        <v>151</v>
      </c>
      <c r="BG8" s="18">
        <v>151</v>
      </c>
      <c r="BH8" s="18">
        <v>151</v>
      </c>
      <c r="BI8" s="18">
        <v>151</v>
      </c>
      <c r="BJ8" s="18">
        <v>151</v>
      </c>
      <c r="BK8" s="18">
        <v>151</v>
      </c>
      <c r="BL8" s="18">
        <v>151</v>
      </c>
      <c r="BM8" s="18">
        <v>151</v>
      </c>
      <c r="BN8" s="18">
        <v>151</v>
      </c>
      <c r="BO8" s="18">
        <v>151</v>
      </c>
      <c r="BP8" s="18">
        <v>151</v>
      </c>
      <c r="BQ8" s="18">
        <v>151</v>
      </c>
      <c r="BR8" s="18">
        <v>151</v>
      </c>
      <c r="BS8" s="18">
        <v>151</v>
      </c>
      <c r="BT8" s="18">
        <v>151</v>
      </c>
      <c r="BU8" s="18">
        <v>151</v>
      </c>
      <c r="BV8" s="18">
        <v>151</v>
      </c>
      <c r="BW8" s="18">
        <v>151</v>
      </c>
      <c r="BX8" s="18">
        <v>151</v>
      </c>
      <c r="BY8" s="18">
        <v>151</v>
      </c>
      <c r="BZ8" s="18">
        <v>151</v>
      </c>
      <c r="CA8" s="18">
        <v>151</v>
      </c>
      <c r="CB8" s="18">
        <v>151</v>
      </c>
      <c r="CC8" s="18">
        <v>151</v>
      </c>
      <c r="CD8" s="18">
        <v>151</v>
      </c>
      <c r="CE8" s="18">
        <v>151</v>
      </c>
      <c r="CF8" s="18">
        <v>151</v>
      </c>
      <c r="CG8" s="18">
        <v>151</v>
      </c>
      <c r="CH8" s="18">
        <v>151</v>
      </c>
      <c r="CI8" s="18">
        <v>151</v>
      </c>
      <c r="CJ8" s="18">
        <v>151</v>
      </c>
      <c r="CK8" s="18">
        <v>151</v>
      </c>
      <c r="CL8" s="18">
        <v>151</v>
      </c>
      <c r="CM8" s="18">
        <v>151</v>
      </c>
      <c r="CN8" s="18">
        <v>151</v>
      </c>
      <c r="CO8" s="18">
        <v>151</v>
      </c>
      <c r="CP8" s="18">
        <v>151</v>
      </c>
      <c r="CQ8" s="18">
        <v>151</v>
      </c>
      <c r="CR8" s="18">
        <v>151</v>
      </c>
      <c r="CS8" s="18">
        <v>151</v>
      </c>
      <c r="CT8" s="18">
        <v>151</v>
      </c>
      <c r="CU8" s="18">
        <v>151</v>
      </c>
      <c r="CV8" s="18">
        <v>151</v>
      </c>
      <c r="CW8" s="18">
        <v>151</v>
      </c>
      <c r="CX8" s="18">
        <v>151</v>
      </c>
      <c r="CY8" s="18">
        <v>151</v>
      </c>
      <c r="CZ8" s="18">
        <v>151</v>
      </c>
      <c r="DA8" s="18">
        <v>151</v>
      </c>
      <c r="DB8" s="18">
        <v>151</v>
      </c>
      <c r="DC8" s="18">
        <v>151</v>
      </c>
      <c r="DD8" s="18">
        <v>151</v>
      </c>
      <c r="DE8" s="18">
        <v>151</v>
      </c>
      <c r="DF8" s="18">
        <v>151</v>
      </c>
      <c r="DG8" s="18">
        <v>151</v>
      </c>
      <c r="DH8" s="18">
        <v>151</v>
      </c>
      <c r="DI8" s="18">
        <v>151</v>
      </c>
      <c r="DJ8" s="18">
        <v>151</v>
      </c>
      <c r="DK8" s="18">
        <v>151</v>
      </c>
      <c r="DL8" s="18">
        <v>151</v>
      </c>
      <c r="DM8" s="18">
        <v>151</v>
      </c>
      <c r="DN8" s="18">
        <v>151</v>
      </c>
      <c r="DO8" s="18">
        <v>151</v>
      </c>
      <c r="DP8" s="18">
        <v>151</v>
      </c>
      <c r="DQ8" s="18">
        <v>151</v>
      </c>
      <c r="DR8" s="18">
        <v>151</v>
      </c>
      <c r="DS8" s="18">
        <v>151</v>
      </c>
      <c r="DT8" s="18">
        <v>151</v>
      </c>
      <c r="DU8" s="18">
        <v>151</v>
      </c>
      <c r="DV8" s="18">
        <v>151</v>
      </c>
      <c r="DW8" s="18">
        <v>151</v>
      </c>
      <c r="DX8" s="18">
        <v>151</v>
      </c>
      <c r="DY8" s="18">
        <v>151</v>
      </c>
      <c r="DZ8" s="18">
        <v>151</v>
      </c>
      <c r="EA8" s="18">
        <v>151</v>
      </c>
      <c r="EB8" s="18">
        <v>151</v>
      </c>
      <c r="EC8" s="18">
        <v>151</v>
      </c>
      <c r="ED8" s="18">
        <v>151</v>
      </c>
      <c r="EE8" s="18">
        <v>151</v>
      </c>
      <c r="EF8" s="18">
        <v>151</v>
      </c>
      <c r="EG8" s="18">
        <v>151</v>
      </c>
      <c r="EH8" s="18">
        <v>151</v>
      </c>
      <c r="EI8" s="18">
        <v>151</v>
      </c>
      <c r="EJ8" s="18">
        <v>151</v>
      </c>
      <c r="EK8" s="18">
        <v>151</v>
      </c>
      <c r="EL8" s="18">
        <v>151</v>
      </c>
      <c r="EM8" s="18">
        <v>151</v>
      </c>
      <c r="EN8" s="18">
        <v>151</v>
      </c>
      <c r="EO8" s="18">
        <v>151</v>
      </c>
      <c r="EP8" s="18">
        <v>151</v>
      </c>
      <c r="EQ8" s="18">
        <v>151</v>
      </c>
      <c r="ER8" s="18">
        <v>151</v>
      </c>
      <c r="ES8" s="18">
        <v>151</v>
      </c>
      <c r="ET8" s="18">
        <v>151</v>
      </c>
      <c r="EU8" s="18">
        <v>151</v>
      </c>
      <c r="EV8" s="18">
        <v>151</v>
      </c>
      <c r="EW8" s="18">
        <v>151</v>
      </c>
      <c r="EX8" s="18">
        <v>151</v>
      </c>
      <c r="EY8" s="18">
        <v>151</v>
      </c>
      <c r="EZ8" s="18">
        <v>151</v>
      </c>
    </row>
    <row r="9" spans="1:156" ht="15.75" customHeight="1" x14ac:dyDescent="0.25">
      <c r="A9" s="19"/>
      <c r="B9" s="19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</row>
    <row r="10" spans="1:156" ht="21" customHeight="1" x14ac:dyDescent="0.25">
      <c r="A10" s="2"/>
      <c r="B10" s="21" t="s">
        <v>24</v>
      </c>
      <c r="C10" s="22">
        <f>SORTEMP!B2</f>
        <v>0</v>
      </c>
      <c r="D10" s="2"/>
      <c r="E10" s="2"/>
      <c r="F10" s="4"/>
      <c r="G10" s="4"/>
      <c r="H10" s="4"/>
      <c r="I10" s="4"/>
      <c r="J10" s="4"/>
      <c r="K10" s="4"/>
      <c r="L10" s="88" t="s">
        <v>0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7"/>
      <c r="AA10" s="89" t="s">
        <v>0</v>
      </c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7"/>
      <c r="AO10" s="89" t="s">
        <v>0</v>
      </c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7"/>
      <c r="BC10" s="89" t="s">
        <v>0</v>
      </c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7"/>
      <c r="BR10" s="89" t="s">
        <v>0</v>
      </c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90"/>
      <c r="CF10" s="85" t="s">
        <v>1</v>
      </c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6"/>
      <c r="CT10" s="87"/>
      <c r="CU10" s="85" t="s">
        <v>1</v>
      </c>
      <c r="CV10" s="86"/>
      <c r="CW10" s="86"/>
      <c r="CX10" s="86"/>
      <c r="CY10" s="86"/>
      <c r="CZ10" s="86"/>
      <c r="DA10" s="86"/>
      <c r="DB10" s="86"/>
      <c r="DC10" s="86"/>
      <c r="DD10" s="86"/>
      <c r="DE10" s="86"/>
      <c r="DF10" s="86"/>
      <c r="DG10" s="86"/>
      <c r="DH10" s="86"/>
      <c r="DI10" s="87"/>
      <c r="DJ10" s="85" t="s">
        <v>1</v>
      </c>
      <c r="DK10" s="86"/>
      <c r="DL10" s="86"/>
      <c r="DM10" s="86"/>
      <c r="DN10" s="86"/>
      <c r="DO10" s="86"/>
      <c r="DP10" s="86"/>
      <c r="DQ10" s="86"/>
      <c r="DR10" s="86"/>
      <c r="DS10" s="86"/>
      <c r="DT10" s="86"/>
      <c r="DU10" s="86"/>
      <c r="DV10" s="86"/>
      <c r="DW10" s="86"/>
      <c r="DX10" s="87"/>
      <c r="DY10" s="85" t="s">
        <v>1</v>
      </c>
      <c r="DZ10" s="86"/>
      <c r="EA10" s="86"/>
      <c r="EB10" s="86"/>
      <c r="EC10" s="86"/>
      <c r="ED10" s="86"/>
      <c r="EE10" s="86"/>
      <c r="EF10" s="86"/>
      <c r="EG10" s="86"/>
      <c r="EH10" s="86"/>
      <c r="EI10" s="86"/>
      <c r="EJ10" s="86"/>
      <c r="EK10" s="86"/>
      <c r="EL10" s="87"/>
      <c r="EM10" s="85" t="s">
        <v>1</v>
      </c>
      <c r="EN10" s="86"/>
      <c r="EO10" s="86"/>
      <c r="EP10" s="86"/>
      <c r="EQ10" s="86"/>
      <c r="ER10" s="86"/>
      <c r="ES10" s="86"/>
      <c r="ET10" s="86"/>
      <c r="EU10" s="86"/>
      <c r="EV10" s="86"/>
      <c r="EW10" s="86"/>
      <c r="EX10" s="86"/>
      <c r="EY10" s="86"/>
      <c r="EZ10" s="87"/>
    </row>
    <row r="11" spans="1:156" ht="21" customHeight="1" x14ac:dyDescent="0.25">
      <c r="A11" s="2"/>
      <c r="B11" s="2"/>
      <c r="C11" s="23"/>
      <c r="D11" s="2"/>
      <c r="E11" s="2"/>
      <c r="F11" s="4"/>
      <c r="G11" s="4"/>
      <c r="H11" s="4"/>
      <c r="I11" s="4"/>
      <c r="J11" s="4"/>
      <c r="K11" s="4"/>
      <c r="L11" s="91" t="s">
        <v>2</v>
      </c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7"/>
      <c r="AA11" s="91" t="s">
        <v>3</v>
      </c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7"/>
      <c r="AO11" s="91" t="s">
        <v>4</v>
      </c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7"/>
      <c r="BC11" s="91" t="s">
        <v>5</v>
      </c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7"/>
      <c r="BR11" s="91" t="s">
        <v>6</v>
      </c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90"/>
      <c r="CF11" s="91" t="s">
        <v>2</v>
      </c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7"/>
      <c r="CU11" s="91" t="s">
        <v>3</v>
      </c>
      <c r="CV11" s="86"/>
      <c r="CW11" s="86"/>
      <c r="CX11" s="86"/>
      <c r="CY11" s="86"/>
      <c r="CZ11" s="86"/>
      <c r="DA11" s="86"/>
      <c r="DB11" s="86"/>
      <c r="DC11" s="86"/>
      <c r="DD11" s="86"/>
      <c r="DE11" s="86"/>
      <c r="DF11" s="86"/>
      <c r="DG11" s="86"/>
      <c r="DH11" s="86"/>
      <c r="DI11" s="87"/>
      <c r="DJ11" s="91" t="s">
        <v>4</v>
      </c>
      <c r="DK11" s="86"/>
      <c r="DL11" s="86"/>
      <c r="DM11" s="86"/>
      <c r="DN11" s="86"/>
      <c r="DO11" s="86"/>
      <c r="DP11" s="86"/>
      <c r="DQ11" s="86"/>
      <c r="DR11" s="86"/>
      <c r="DS11" s="86"/>
      <c r="DT11" s="86"/>
      <c r="DU11" s="86"/>
      <c r="DV11" s="86"/>
      <c r="DW11" s="86"/>
      <c r="DX11" s="87"/>
      <c r="DY11" s="91" t="s">
        <v>5</v>
      </c>
      <c r="DZ11" s="86"/>
      <c r="EA11" s="86"/>
      <c r="EB11" s="86"/>
      <c r="EC11" s="86"/>
      <c r="ED11" s="86"/>
      <c r="EE11" s="86"/>
      <c r="EF11" s="86"/>
      <c r="EG11" s="86"/>
      <c r="EH11" s="86"/>
      <c r="EI11" s="86"/>
      <c r="EJ11" s="86"/>
      <c r="EK11" s="86"/>
      <c r="EL11" s="87"/>
      <c r="EM11" s="91" t="s">
        <v>6</v>
      </c>
      <c r="EN11" s="86"/>
      <c r="EO11" s="86"/>
      <c r="EP11" s="86"/>
      <c r="EQ11" s="86"/>
      <c r="ER11" s="86"/>
      <c r="ES11" s="86"/>
      <c r="ET11" s="86"/>
      <c r="EU11" s="86"/>
      <c r="EV11" s="86"/>
      <c r="EW11" s="86"/>
      <c r="EX11" s="86"/>
      <c r="EY11" s="86"/>
      <c r="EZ11" s="87"/>
    </row>
    <row r="12" spans="1:156" ht="15.75" customHeight="1" x14ac:dyDescent="0.25">
      <c r="A12" s="24"/>
      <c r="B12" s="24"/>
      <c r="C12" s="25"/>
      <c r="D12" s="24"/>
      <c r="E12" s="24"/>
      <c r="F12" s="26"/>
      <c r="G12" s="26"/>
      <c r="H12" s="4"/>
      <c r="I12" s="24"/>
      <c r="J12" s="26"/>
      <c r="K12" s="26"/>
      <c r="L12" s="5" t="s">
        <v>7</v>
      </c>
      <c r="M12" s="5" t="s">
        <v>8</v>
      </c>
      <c r="N12" s="5" t="s">
        <v>9</v>
      </c>
      <c r="O12" s="5" t="s">
        <v>10</v>
      </c>
      <c r="P12" s="5" t="s">
        <v>11</v>
      </c>
      <c r="Q12" s="5" t="s">
        <v>12</v>
      </c>
      <c r="R12" s="5" t="s">
        <v>13</v>
      </c>
      <c r="S12" s="5" t="s">
        <v>10</v>
      </c>
      <c r="T12" s="5" t="s">
        <v>7</v>
      </c>
      <c r="U12" s="5" t="s">
        <v>8</v>
      </c>
      <c r="V12" s="5" t="s">
        <v>9</v>
      </c>
      <c r="W12" s="5" t="s">
        <v>10</v>
      </c>
      <c r="X12" s="5" t="s">
        <v>11</v>
      </c>
      <c r="Y12" s="5" t="s">
        <v>12</v>
      </c>
      <c r="Z12" s="5" t="s">
        <v>13</v>
      </c>
      <c r="AA12" s="5" t="s">
        <v>7</v>
      </c>
      <c r="AB12" s="5" t="s">
        <v>8</v>
      </c>
      <c r="AC12" s="5" t="s">
        <v>9</v>
      </c>
      <c r="AD12" s="5" t="s">
        <v>10</v>
      </c>
      <c r="AE12" s="5" t="s">
        <v>11</v>
      </c>
      <c r="AF12" s="5" t="s">
        <v>12</v>
      </c>
      <c r="AG12" s="5" t="s">
        <v>13</v>
      </c>
      <c r="AH12" s="5" t="s">
        <v>7</v>
      </c>
      <c r="AI12" s="5" t="s">
        <v>8</v>
      </c>
      <c r="AJ12" s="5" t="s">
        <v>9</v>
      </c>
      <c r="AK12" s="5" t="s">
        <v>10</v>
      </c>
      <c r="AL12" s="5" t="s">
        <v>11</v>
      </c>
      <c r="AM12" s="5" t="s">
        <v>12</v>
      </c>
      <c r="AN12" s="5" t="s">
        <v>13</v>
      </c>
      <c r="AO12" s="5" t="s">
        <v>7</v>
      </c>
      <c r="AP12" s="5" t="s">
        <v>8</v>
      </c>
      <c r="AQ12" s="5" t="s">
        <v>9</v>
      </c>
      <c r="AR12" s="5" t="s">
        <v>10</v>
      </c>
      <c r="AS12" s="5" t="s">
        <v>11</v>
      </c>
      <c r="AT12" s="5" t="s">
        <v>12</v>
      </c>
      <c r="AU12" s="6" t="s">
        <v>13</v>
      </c>
      <c r="AV12" s="5" t="s">
        <v>7</v>
      </c>
      <c r="AW12" s="5" t="s">
        <v>8</v>
      </c>
      <c r="AX12" s="5" t="s">
        <v>9</v>
      </c>
      <c r="AY12" s="5" t="s">
        <v>10</v>
      </c>
      <c r="AZ12" s="5" t="s">
        <v>11</v>
      </c>
      <c r="BA12" s="5" t="s">
        <v>12</v>
      </c>
      <c r="BB12" s="5" t="s">
        <v>13</v>
      </c>
      <c r="BC12" s="5" t="s">
        <v>7</v>
      </c>
      <c r="BD12" s="5" t="s">
        <v>8</v>
      </c>
      <c r="BE12" s="5" t="s">
        <v>9</v>
      </c>
      <c r="BF12" s="5" t="s">
        <v>10</v>
      </c>
      <c r="BG12" s="5" t="s">
        <v>11</v>
      </c>
      <c r="BH12" s="5" t="s">
        <v>12</v>
      </c>
      <c r="BI12" s="5" t="s">
        <v>13</v>
      </c>
      <c r="BJ12" s="5" t="s">
        <v>7</v>
      </c>
      <c r="BK12" s="5" t="s">
        <v>7</v>
      </c>
      <c r="BL12" s="5" t="s">
        <v>8</v>
      </c>
      <c r="BM12" s="5" t="s">
        <v>9</v>
      </c>
      <c r="BN12" s="5" t="s">
        <v>10</v>
      </c>
      <c r="BO12" s="5" t="s">
        <v>11</v>
      </c>
      <c r="BP12" s="5" t="s">
        <v>12</v>
      </c>
      <c r="BQ12" s="5" t="s">
        <v>13</v>
      </c>
      <c r="BR12" s="5" t="s">
        <v>7</v>
      </c>
      <c r="BS12" s="5" t="s">
        <v>8</v>
      </c>
      <c r="BT12" s="5" t="s">
        <v>9</v>
      </c>
      <c r="BU12" s="5" t="s">
        <v>10</v>
      </c>
      <c r="BV12" s="5" t="s">
        <v>11</v>
      </c>
      <c r="BW12" s="5" t="s">
        <v>12</v>
      </c>
      <c r="BX12" s="5" t="s">
        <v>13</v>
      </c>
      <c r="BY12" s="5" t="s">
        <v>7</v>
      </c>
      <c r="BZ12" s="5" t="s">
        <v>8</v>
      </c>
      <c r="CA12" s="5" t="s">
        <v>9</v>
      </c>
      <c r="CB12" s="5" t="s">
        <v>10</v>
      </c>
      <c r="CC12" s="5" t="s">
        <v>11</v>
      </c>
      <c r="CD12" s="5" t="s">
        <v>12</v>
      </c>
      <c r="CE12" s="5" t="s">
        <v>13</v>
      </c>
      <c r="CF12" s="5" t="s">
        <v>7</v>
      </c>
      <c r="CG12" s="5" t="s">
        <v>8</v>
      </c>
      <c r="CH12" s="5" t="s">
        <v>9</v>
      </c>
      <c r="CI12" s="5" t="s">
        <v>10</v>
      </c>
      <c r="CJ12" s="5" t="s">
        <v>11</v>
      </c>
      <c r="CK12" s="5" t="s">
        <v>12</v>
      </c>
      <c r="CL12" s="5" t="s">
        <v>13</v>
      </c>
      <c r="CM12" s="5" t="s">
        <v>7</v>
      </c>
      <c r="CN12" s="5" t="s">
        <v>8</v>
      </c>
      <c r="CO12" s="5" t="s">
        <v>9</v>
      </c>
      <c r="CP12" s="5" t="s">
        <v>10</v>
      </c>
      <c r="CQ12" s="5" t="s">
        <v>11</v>
      </c>
      <c r="CR12" s="5" t="s">
        <v>12</v>
      </c>
      <c r="CS12" s="5" t="s">
        <v>13</v>
      </c>
      <c r="CT12" s="5" t="s">
        <v>10</v>
      </c>
      <c r="CU12" s="5" t="s">
        <v>7</v>
      </c>
      <c r="CV12" s="5" t="s">
        <v>8</v>
      </c>
      <c r="CW12" s="5" t="s">
        <v>9</v>
      </c>
      <c r="CX12" s="5" t="s">
        <v>10</v>
      </c>
      <c r="CY12" s="5" t="s">
        <v>11</v>
      </c>
      <c r="CZ12" s="5" t="s">
        <v>12</v>
      </c>
      <c r="DA12" s="5" t="s">
        <v>13</v>
      </c>
      <c r="DB12" s="5" t="s">
        <v>7</v>
      </c>
      <c r="DC12" s="5" t="s">
        <v>8</v>
      </c>
      <c r="DD12" s="5" t="s">
        <v>9</v>
      </c>
      <c r="DE12" s="5" t="s">
        <v>10</v>
      </c>
      <c r="DF12" s="5" t="s">
        <v>11</v>
      </c>
      <c r="DG12" s="5" t="s">
        <v>12</v>
      </c>
      <c r="DH12" s="5" t="s">
        <v>13</v>
      </c>
      <c r="DI12" s="5" t="s">
        <v>10</v>
      </c>
      <c r="DJ12" s="5" t="s">
        <v>7</v>
      </c>
      <c r="DK12" s="5" t="s">
        <v>8</v>
      </c>
      <c r="DL12" s="5" t="s">
        <v>9</v>
      </c>
      <c r="DM12" s="5" t="s">
        <v>10</v>
      </c>
      <c r="DN12" s="5" t="s">
        <v>11</v>
      </c>
      <c r="DO12" s="5" t="s">
        <v>12</v>
      </c>
      <c r="DP12" s="5" t="s">
        <v>13</v>
      </c>
      <c r="DQ12" s="5" t="s">
        <v>7</v>
      </c>
      <c r="DR12" s="5" t="s">
        <v>8</v>
      </c>
      <c r="DS12" s="5" t="s">
        <v>9</v>
      </c>
      <c r="DT12" s="5" t="s">
        <v>10</v>
      </c>
      <c r="DU12" s="5" t="s">
        <v>11</v>
      </c>
      <c r="DV12" s="5" t="s">
        <v>12</v>
      </c>
      <c r="DW12" s="5" t="s">
        <v>13</v>
      </c>
      <c r="DX12" s="5" t="s">
        <v>10</v>
      </c>
      <c r="DY12" s="5" t="s">
        <v>7</v>
      </c>
      <c r="DZ12" s="5" t="s">
        <v>8</v>
      </c>
      <c r="EA12" s="5" t="s">
        <v>9</v>
      </c>
      <c r="EB12" s="5" t="s">
        <v>10</v>
      </c>
      <c r="EC12" s="5" t="s">
        <v>11</v>
      </c>
      <c r="ED12" s="5" t="s">
        <v>12</v>
      </c>
      <c r="EE12" s="5" t="s">
        <v>13</v>
      </c>
      <c r="EF12" s="5" t="s">
        <v>7</v>
      </c>
      <c r="EG12" s="5" t="s">
        <v>8</v>
      </c>
      <c r="EH12" s="5" t="s">
        <v>9</v>
      </c>
      <c r="EI12" s="5" t="s">
        <v>10</v>
      </c>
      <c r="EJ12" s="5" t="s">
        <v>11</v>
      </c>
      <c r="EK12" s="5" t="s">
        <v>12</v>
      </c>
      <c r="EL12" s="5" t="s">
        <v>13</v>
      </c>
      <c r="EM12" s="5" t="s">
        <v>7</v>
      </c>
      <c r="EN12" s="5" t="s">
        <v>8</v>
      </c>
      <c r="EO12" s="5" t="s">
        <v>9</v>
      </c>
      <c r="EP12" s="5" t="s">
        <v>10</v>
      </c>
      <c r="EQ12" s="5" t="s">
        <v>11</v>
      </c>
      <c r="ER12" s="5" t="s">
        <v>12</v>
      </c>
      <c r="ES12" s="5" t="s">
        <v>13</v>
      </c>
      <c r="ET12" s="5" t="s">
        <v>7</v>
      </c>
      <c r="EU12" s="5" t="s">
        <v>8</v>
      </c>
      <c r="EV12" s="5" t="s">
        <v>9</v>
      </c>
      <c r="EW12" s="5" t="s">
        <v>10</v>
      </c>
      <c r="EX12" s="5" t="s">
        <v>11</v>
      </c>
      <c r="EY12" s="5" t="s">
        <v>12</v>
      </c>
      <c r="EZ12" s="5" t="s">
        <v>13</v>
      </c>
    </row>
    <row r="13" spans="1:156" ht="15.75" customHeight="1" x14ac:dyDescent="0.25">
      <c r="A13" s="2"/>
      <c r="B13" s="2"/>
      <c r="C13" s="23"/>
      <c r="D13" s="2"/>
      <c r="E13" s="2"/>
      <c r="F13" s="4"/>
      <c r="G13" s="4"/>
      <c r="H13" s="4"/>
      <c r="I13" s="4"/>
      <c r="J13" s="4" t="s">
        <v>22</v>
      </c>
      <c r="K13" s="4"/>
      <c r="L13" s="91" t="s">
        <v>15</v>
      </c>
      <c r="M13" s="86"/>
      <c r="N13" s="86"/>
      <c r="O13" s="86"/>
      <c r="P13" s="86"/>
      <c r="Q13" s="86"/>
      <c r="R13" s="87"/>
      <c r="S13" s="6" t="s">
        <v>16</v>
      </c>
      <c r="T13" s="91" t="s">
        <v>17</v>
      </c>
      <c r="U13" s="86"/>
      <c r="V13" s="86"/>
      <c r="W13" s="86"/>
      <c r="X13" s="86"/>
      <c r="Y13" s="86"/>
      <c r="Z13" s="87"/>
      <c r="AA13" s="91" t="s">
        <v>15</v>
      </c>
      <c r="AB13" s="86"/>
      <c r="AC13" s="86"/>
      <c r="AD13" s="86"/>
      <c r="AE13" s="86"/>
      <c r="AF13" s="86"/>
      <c r="AG13" s="87"/>
      <c r="AH13" s="91" t="s">
        <v>17</v>
      </c>
      <c r="AI13" s="86"/>
      <c r="AJ13" s="86"/>
      <c r="AK13" s="86"/>
      <c r="AL13" s="86"/>
      <c r="AM13" s="86"/>
      <c r="AN13" s="87"/>
      <c r="AO13" s="91" t="s">
        <v>15</v>
      </c>
      <c r="AP13" s="86"/>
      <c r="AQ13" s="86"/>
      <c r="AR13" s="86"/>
      <c r="AS13" s="86"/>
      <c r="AT13" s="86"/>
      <c r="AU13" s="87"/>
      <c r="AV13" s="91" t="s">
        <v>17</v>
      </c>
      <c r="AW13" s="86"/>
      <c r="AX13" s="86"/>
      <c r="AY13" s="86"/>
      <c r="AZ13" s="86"/>
      <c r="BA13" s="86"/>
      <c r="BB13" s="87"/>
      <c r="BC13" s="91" t="s">
        <v>15</v>
      </c>
      <c r="BD13" s="86"/>
      <c r="BE13" s="86"/>
      <c r="BF13" s="86"/>
      <c r="BG13" s="86"/>
      <c r="BH13" s="86"/>
      <c r="BI13" s="87"/>
      <c r="BJ13" s="11" t="s">
        <v>18</v>
      </c>
      <c r="BK13" s="91" t="s">
        <v>17</v>
      </c>
      <c r="BL13" s="86"/>
      <c r="BM13" s="86"/>
      <c r="BN13" s="86"/>
      <c r="BO13" s="86"/>
      <c r="BP13" s="86"/>
      <c r="BQ13" s="87"/>
      <c r="BR13" s="91" t="s">
        <v>15</v>
      </c>
      <c r="BS13" s="86"/>
      <c r="BT13" s="86"/>
      <c r="BU13" s="86"/>
      <c r="BV13" s="86"/>
      <c r="BW13" s="86"/>
      <c r="BX13" s="87"/>
      <c r="BY13" s="91" t="s">
        <v>17</v>
      </c>
      <c r="BZ13" s="86"/>
      <c r="CA13" s="86"/>
      <c r="CB13" s="86"/>
      <c r="CC13" s="86"/>
      <c r="CD13" s="86"/>
      <c r="CE13" s="87"/>
      <c r="CF13" s="91" t="s">
        <v>15</v>
      </c>
      <c r="CG13" s="86"/>
      <c r="CH13" s="86"/>
      <c r="CI13" s="86"/>
      <c r="CJ13" s="86"/>
      <c r="CK13" s="86"/>
      <c r="CL13" s="87"/>
      <c r="CM13" s="91" t="s">
        <v>17</v>
      </c>
      <c r="CN13" s="86"/>
      <c r="CO13" s="86"/>
      <c r="CP13" s="86"/>
      <c r="CQ13" s="86"/>
      <c r="CR13" s="86"/>
      <c r="CS13" s="87"/>
      <c r="CT13" s="12" t="s">
        <v>19</v>
      </c>
      <c r="CU13" s="91" t="s">
        <v>15</v>
      </c>
      <c r="CV13" s="86"/>
      <c r="CW13" s="86"/>
      <c r="CX13" s="86"/>
      <c r="CY13" s="86"/>
      <c r="CZ13" s="86"/>
      <c r="DA13" s="87"/>
      <c r="DB13" s="91" t="s">
        <v>17</v>
      </c>
      <c r="DC13" s="86"/>
      <c r="DD13" s="86"/>
      <c r="DE13" s="86"/>
      <c r="DF13" s="86"/>
      <c r="DG13" s="86"/>
      <c r="DH13" s="87"/>
      <c r="DI13" s="12" t="s">
        <v>19</v>
      </c>
      <c r="DJ13" s="91" t="s">
        <v>15</v>
      </c>
      <c r="DK13" s="86"/>
      <c r="DL13" s="86"/>
      <c r="DM13" s="86"/>
      <c r="DN13" s="86"/>
      <c r="DO13" s="86"/>
      <c r="DP13" s="87"/>
      <c r="DQ13" s="91" t="s">
        <v>17</v>
      </c>
      <c r="DR13" s="86"/>
      <c r="DS13" s="86"/>
      <c r="DT13" s="86"/>
      <c r="DU13" s="86"/>
      <c r="DV13" s="86"/>
      <c r="DW13" s="87"/>
      <c r="DX13" s="12" t="s">
        <v>19</v>
      </c>
      <c r="DY13" s="91" t="s">
        <v>15</v>
      </c>
      <c r="DZ13" s="86"/>
      <c r="EA13" s="86"/>
      <c r="EB13" s="86"/>
      <c r="EC13" s="86"/>
      <c r="ED13" s="86"/>
      <c r="EE13" s="87"/>
      <c r="EF13" s="91" t="s">
        <v>17</v>
      </c>
      <c r="EG13" s="86"/>
      <c r="EH13" s="86"/>
      <c r="EI13" s="86"/>
      <c r="EJ13" s="86"/>
      <c r="EK13" s="86"/>
      <c r="EL13" s="87"/>
      <c r="EM13" s="91" t="s">
        <v>15</v>
      </c>
      <c r="EN13" s="86"/>
      <c r="EO13" s="86"/>
      <c r="EP13" s="86"/>
      <c r="EQ13" s="86"/>
      <c r="ER13" s="86"/>
      <c r="ES13" s="87"/>
      <c r="ET13" s="91" t="s">
        <v>17</v>
      </c>
      <c r="EU13" s="86"/>
      <c r="EV13" s="86"/>
      <c r="EW13" s="86"/>
      <c r="EX13" s="86"/>
      <c r="EY13" s="86"/>
      <c r="EZ13" s="87"/>
    </row>
    <row r="14" spans="1:156" ht="15.75" customHeight="1" x14ac:dyDescent="0.25">
      <c r="A14" s="24"/>
      <c r="B14" s="24"/>
      <c r="C14" s="25"/>
      <c r="D14" s="24"/>
      <c r="E14" s="24"/>
      <c r="F14" s="26"/>
      <c r="G14" s="26"/>
      <c r="H14" s="4"/>
      <c r="I14" s="26"/>
      <c r="J14" s="26">
        <f>SUM(L14:EZ14)</f>
        <v>0</v>
      </c>
      <c r="K14" s="27" t="s">
        <v>25</v>
      </c>
      <c r="L14" s="28">
        <f>IFERROR(HLOOKUP(L15,'DIN SORTIM'!4:5,2,0),0)</f>
        <v>0</v>
      </c>
      <c r="M14" s="28">
        <f>IFERROR(HLOOKUP(M15,'DIN SORTIM'!$4:$5,2,0),0)</f>
        <v>0</v>
      </c>
      <c r="N14" s="28">
        <f>IFERROR(HLOOKUP(N15,'DIN SORTIM'!$4:$5,2,0),0)</f>
        <v>0</v>
      </c>
      <c r="O14" s="28">
        <f>IFERROR(HLOOKUP(O15,'DIN SORTIM'!$4:$5,2,0),0)</f>
        <v>0</v>
      </c>
      <c r="P14" s="28">
        <f>IFERROR(HLOOKUP(P15,'DIN SORTIM'!$4:$5,2,0),0)</f>
        <v>0</v>
      </c>
      <c r="Q14" s="28">
        <f>IFERROR(HLOOKUP(Q15,'DIN SORTIM'!$4:$5,2,0),0)</f>
        <v>0</v>
      </c>
      <c r="R14" s="28">
        <f>IFERROR(HLOOKUP(R15,'DIN SORTIM'!$4:$5,2,0),0)</f>
        <v>0</v>
      </c>
      <c r="S14" s="28">
        <f>IFERROR(HLOOKUP(S15,'DIN SORTIM'!$4:$5,2,0),0)</f>
        <v>0</v>
      </c>
      <c r="T14" s="28">
        <f>IFERROR(HLOOKUP(T15,'DIN SORTIM'!$4:$5,2,0),0)</f>
        <v>0</v>
      </c>
      <c r="U14" s="28">
        <f>IFERROR(HLOOKUP(U15,'DIN SORTIM'!$4:$5,2,0),0)</f>
        <v>0</v>
      </c>
      <c r="V14" s="28">
        <f>IFERROR(HLOOKUP(V15,'DIN SORTIM'!$4:$5,2,0),0)</f>
        <v>0</v>
      </c>
      <c r="W14" s="28">
        <f>IFERROR(HLOOKUP(W15,'DIN SORTIM'!$4:$5,2,0),0)</f>
        <v>0</v>
      </c>
      <c r="X14" s="28">
        <f>IFERROR(HLOOKUP(X15,'DIN SORTIM'!$4:$5,2,0),0)</f>
        <v>0</v>
      </c>
      <c r="Y14" s="28">
        <f>IFERROR(HLOOKUP(Y15,'DIN SORTIM'!$4:$5,2,0),0)</f>
        <v>0</v>
      </c>
      <c r="Z14" s="28">
        <f>IFERROR(HLOOKUP(Z15,'DIN SORTIM'!$4:$5,2,0),0)</f>
        <v>0</v>
      </c>
      <c r="AA14" s="28">
        <f>IFERROR(HLOOKUP(AA15,'DIN SORTIM'!$4:$5,2,0),0)</f>
        <v>0</v>
      </c>
      <c r="AB14" s="28">
        <f>IFERROR(HLOOKUP(AB15,'DIN SORTIM'!$4:$5,2,0),0)</f>
        <v>0</v>
      </c>
      <c r="AC14" s="28">
        <f>IFERROR(HLOOKUP(AC15,'DIN SORTIM'!$4:$5,2,0),0)</f>
        <v>0</v>
      </c>
      <c r="AD14" s="28">
        <f>IFERROR(HLOOKUP(AD15,'DIN SORTIM'!$4:$5,2,0),0)</f>
        <v>0</v>
      </c>
      <c r="AE14" s="28">
        <f>IFERROR(HLOOKUP(AE15,'DIN SORTIM'!$4:$5,2,0),0)</f>
        <v>0</v>
      </c>
      <c r="AF14" s="28">
        <f>IFERROR(HLOOKUP(AF15,'DIN SORTIM'!$4:$5,2,0),0)</f>
        <v>0</v>
      </c>
      <c r="AG14" s="28">
        <f>IFERROR(HLOOKUP(AG15,'DIN SORTIM'!$4:$5,2,0),0)</f>
        <v>0</v>
      </c>
      <c r="AH14" s="28">
        <f>IFERROR(HLOOKUP(AH15,'DIN SORTIM'!$4:$5,2,0),0)</f>
        <v>0</v>
      </c>
      <c r="AI14" s="28">
        <f>IFERROR(HLOOKUP(AI15,'DIN SORTIM'!$4:$5,2,0),0)</f>
        <v>0</v>
      </c>
      <c r="AJ14" s="28">
        <f>IFERROR(HLOOKUP(AJ15,'DIN SORTIM'!$4:$5,2,0),0)</f>
        <v>0</v>
      </c>
      <c r="AK14" s="28">
        <f>IFERROR(HLOOKUP(AK15,'DIN SORTIM'!$4:$5,2,0),0)</f>
        <v>0</v>
      </c>
      <c r="AL14" s="28">
        <f>IFERROR(HLOOKUP(AL15,'DIN SORTIM'!$4:$5,2,0),0)</f>
        <v>0</v>
      </c>
      <c r="AM14" s="28">
        <f>IFERROR(HLOOKUP(AM15,'DIN SORTIM'!$4:$5,2,0),0)</f>
        <v>0</v>
      </c>
      <c r="AN14" s="28">
        <f>IFERROR(HLOOKUP(AN15,'DIN SORTIM'!$4:$5,2,0),0)</f>
        <v>0</v>
      </c>
      <c r="AO14" s="28">
        <f>IFERROR(HLOOKUP(AO15,'DIN SORTIM'!$4:$5,2,0),0)</f>
        <v>0</v>
      </c>
      <c r="AP14" s="28">
        <f>IFERROR(HLOOKUP(AP15,'DIN SORTIM'!$4:$5,2,0),0)</f>
        <v>0</v>
      </c>
      <c r="AQ14" s="28">
        <f>IFERROR(HLOOKUP(AQ15,'DIN SORTIM'!$4:$5,2,0),0)</f>
        <v>0</v>
      </c>
      <c r="AR14" s="28">
        <f>IFERROR(HLOOKUP(AR15,'DIN SORTIM'!$4:$5,2,0),0)</f>
        <v>0</v>
      </c>
      <c r="AS14" s="28">
        <f>IFERROR(HLOOKUP(AS15,'DIN SORTIM'!$4:$5,2,0),0)</f>
        <v>0</v>
      </c>
      <c r="AT14" s="28">
        <f>IFERROR(HLOOKUP(AT15,'DIN SORTIM'!$4:$5,2,0),0)</f>
        <v>0</v>
      </c>
      <c r="AU14" s="28">
        <f>IFERROR(HLOOKUP(AU15,'DIN SORTIM'!$4:$5,2,0),0)</f>
        <v>0</v>
      </c>
      <c r="AV14" s="28">
        <f>IFERROR(HLOOKUP(AV15,'DIN SORTIM'!$4:$5,2,0),0)</f>
        <v>0</v>
      </c>
      <c r="AW14" s="28">
        <f>IFERROR(HLOOKUP(AW15,'DIN SORTIM'!$4:$5,2,0),0)</f>
        <v>0</v>
      </c>
      <c r="AX14" s="28">
        <f>IFERROR(HLOOKUP(AX15,'DIN SORTIM'!$4:$5,2,0),0)</f>
        <v>0</v>
      </c>
      <c r="AY14" s="28">
        <f>IFERROR(HLOOKUP(AY15,'DIN SORTIM'!$4:$5,2,0),0)</f>
        <v>0</v>
      </c>
      <c r="AZ14" s="28">
        <f>IFERROR(HLOOKUP(AZ15,'DIN SORTIM'!$4:$5,2,0),0)</f>
        <v>0</v>
      </c>
      <c r="BA14" s="28">
        <f>IFERROR(HLOOKUP(BA15,'DIN SORTIM'!$4:$5,2,0),0)</f>
        <v>0</v>
      </c>
      <c r="BB14" s="28">
        <f>IFERROR(HLOOKUP(BB15,'DIN SORTIM'!$4:$5,2,0),0)</f>
        <v>0</v>
      </c>
      <c r="BC14" s="28">
        <f>IFERROR(HLOOKUP(BC15,'DIN SORTIM'!$4:$5,2,0),0)</f>
        <v>0</v>
      </c>
      <c r="BD14" s="28">
        <f>IFERROR(HLOOKUP(BD15,'DIN SORTIM'!$4:$5,2,0),0)</f>
        <v>0</v>
      </c>
      <c r="BE14" s="28">
        <f>IFERROR(HLOOKUP(BE15,'DIN SORTIM'!$4:$5,2,0),0)</f>
        <v>0</v>
      </c>
      <c r="BF14" s="28">
        <f>IFERROR(HLOOKUP(BF15,'DIN SORTIM'!$4:$5,2,0),0)</f>
        <v>0</v>
      </c>
      <c r="BG14" s="28">
        <f>IFERROR(HLOOKUP(BG15,'DIN SORTIM'!$4:$5,2,0),0)</f>
        <v>0</v>
      </c>
      <c r="BH14" s="28">
        <f>IFERROR(HLOOKUP(BH15,'DIN SORTIM'!$4:$5,2,0),0)</f>
        <v>0</v>
      </c>
      <c r="BI14" s="28">
        <f>IFERROR(HLOOKUP(BI15,'DIN SORTIM'!$4:$5,2,0),0)</f>
        <v>0</v>
      </c>
      <c r="BJ14" s="28">
        <f>IFERROR(HLOOKUP(BJ15,'DIN SORTIM'!$4:$5,2,0),0)</f>
        <v>0</v>
      </c>
      <c r="BK14" s="28">
        <f>IFERROR(HLOOKUP(BK15,'DIN SORTIM'!$4:$5,2,0),0)</f>
        <v>0</v>
      </c>
      <c r="BL14" s="28">
        <f>IFERROR(HLOOKUP(BL15,'DIN SORTIM'!$4:$5,2,0),0)</f>
        <v>0</v>
      </c>
      <c r="BM14" s="28">
        <f>IFERROR(HLOOKUP(BM15,'DIN SORTIM'!$4:$5,2,0),0)</f>
        <v>0</v>
      </c>
      <c r="BN14" s="28">
        <f>IFERROR(HLOOKUP(BN15,'DIN SORTIM'!$4:$5,2,0),0)</f>
        <v>0</v>
      </c>
      <c r="BO14" s="28">
        <f>IFERROR(HLOOKUP(BO15,'DIN SORTIM'!$4:$5,2,0),0)</f>
        <v>0</v>
      </c>
      <c r="BP14" s="28">
        <f>IFERROR(HLOOKUP(BP15,'DIN SORTIM'!$4:$5,2,0),0)</f>
        <v>0</v>
      </c>
      <c r="BQ14" s="28">
        <f>IFERROR(HLOOKUP(BQ15,'DIN SORTIM'!$4:$5,2,0),0)</f>
        <v>0</v>
      </c>
      <c r="BR14" s="28">
        <f>IFERROR(HLOOKUP(BR15,'DIN SORTIM'!$4:$5,2,0),0)</f>
        <v>0</v>
      </c>
      <c r="BS14" s="28">
        <f>IFERROR(HLOOKUP(BS15,'DIN SORTIM'!$4:$5,2,0),0)</f>
        <v>0</v>
      </c>
      <c r="BT14" s="28">
        <f>IFERROR(HLOOKUP(BT15,'DIN SORTIM'!$4:$5,2,0),0)</f>
        <v>0</v>
      </c>
      <c r="BU14" s="28">
        <f>IFERROR(HLOOKUP(BU15,'DIN SORTIM'!$4:$5,2,0),0)</f>
        <v>0</v>
      </c>
      <c r="BV14" s="28">
        <f>IFERROR(HLOOKUP(BV15,'DIN SORTIM'!$4:$5,2,0),0)</f>
        <v>0</v>
      </c>
      <c r="BW14" s="28">
        <f>IFERROR(HLOOKUP(BW15,'DIN SORTIM'!$4:$5,2,0),0)</f>
        <v>0</v>
      </c>
      <c r="BX14" s="28">
        <f>IFERROR(HLOOKUP(BX15,'DIN SORTIM'!$4:$5,2,0),0)</f>
        <v>0</v>
      </c>
      <c r="BY14" s="28">
        <f>IFERROR(HLOOKUP(BY15,'DIN SORTIM'!$4:$5,2,0),0)</f>
        <v>0</v>
      </c>
      <c r="BZ14" s="28">
        <f>IFERROR(HLOOKUP(BZ15,'DIN SORTIM'!$4:$5,2,0),0)</f>
        <v>0</v>
      </c>
      <c r="CA14" s="28">
        <f>IFERROR(HLOOKUP(CA15,'DIN SORTIM'!$4:$5,2,0),0)</f>
        <v>0</v>
      </c>
      <c r="CB14" s="28">
        <f>IFERROR(HLOOKUP(CB15,'DIN SORTIM'!$4:$5,2,0),0)</f>
        <v>0</v>
      </c>
      <c r="CC14" s="28">
        <f>IFERROR(HLOOKUP(CC15,'DIN SORTIM'!$4:$5,2,0),0)</f>
        <v>0</v>
      </c>
      <c r="CD14" s="28">
        <f>IFERROR(HLOOKUP(CD15,'DIN SORTIM'!$4:$5,2,0),0)</f>
        <v>0</v>
      </c>
      <c r="CE14" s="28">
        <f>IFERROR(HLOOKUP(CE15,'DIN SORTIM'!$4:$5,2,0),0)</f>
        <v>0</v>
      </c>
      <c r="CF14" s="28">
        <f>IFERROR(HLOOKUP(CF15,'DIN SORTIM'!$4:$5,2,0),0)</f>
        <v>0</v>
      </c>
      <c r="CG14" s="28">
        <f>IFERROR(HLOOKUP(CG15,'DIN SORTIM'!$4:$5,2,0),0)</f>
        <v>0</v>
      </c>
      <c r="CH14" s="28">
        <f>IFERROR(HLOOKUP(CH15,'DIN SORTIM'!$4:$5,2,0),0)</f>
        <v>0</v>
      </c>
      <c r="CI14" s="28">
        <f>IFERROR(HLOOKUP(CI15,'DIN SORTIM'!$4:$5,2,0),0)</f>
        <v>0</v>
      </c>
      <c r="CJ14" s="28">
        <f>IFERROR(HLOOKUP(CJ15,'DIN SORTIM'!$4:$5,2,0),0)</f>
        <v>0</v>
      </c>
      <c r="CK14" s="28">
        <f>IFERROR(HLOOKUP(CK15,'DIN SORTIM'!$4:$5,2,0),0)</f>
        <v>0</v>
      </c>
      <c r="CL14" s="28">
        <f>IFERROR(HLOOKUP(CL15,'DIN SORTIM'!$4:$5,2,0),0)</f>
        <v>0</v>
      </c>
      <c r="CM14" s="28">
        <f>IFERROR(HLOOKUP(CM15,'DIN SORTIM'!$4:$5,2,0),0)</f>
        <v>0</v>
      </c>
      <c r="CN14" s="28">
        <f>IFERROR(HLOOKUP(CN15,'DIN SORTIM'!$4:$5,2,0),0)</f>
        <v>0</v>
      </c>
      <c r="CO14" s="28">
        <f>IFERROR(HLOOKUP(CO15,'DIN SORTIM'!$4:$5,2,0),0)</f>
        <v>0</v>
      </c>
      <c r="CP14" s="28">
        <f>IFERROR(HLOOKUP(CP15,'DIN SORTIM'!$4:$5,2,0),0)</f>
        <v>0</v>
      </c>
      <c r="CQ14" s="28">
        <f>IFERROR(HLOOKUP(CQ15,'DIN SORTIM'!$4:$5,2,0),0)</f>
        <v>0</v>
      </c>
      <c r="CR14" s="28">
        <f>IFERROR(HLOOKUP(CR15,'DIN SORTIM'!$4:$5,2,0),0)</f>
        <v>0</v>
      </c>
      <c r="CS14" s="28">
        <f>IFERROR(HLOOKUP(CS15,'DIN SORTIM'!$4:$5,2,0),0)</f>
        <v>0</v>
      </c>
      <c r="CT14" s="28">
        <f>IFERROR(HLOOKUP(CT15,'DIN SORTIM'!$4:$5,2,0),0)</f>
        <v>0</v>
      </c>
      <c r="CU14" s="28">
        <f>IFERROR(HLOOKUP(CU15,'DIN SORTIM'!$4:$5,2,0),0)</f>
        <v>0</v>
      </c>
      <c r="CV14" s="28">
        <f>IFERROR(HLOOKUP(CV15,'DIN SORTIM'!$4:$5,2,0),0)</f>
        <v>0</v>
      </c>
      <c r="CW14" s="28">
        <f>IFERROR(HLOOKUP(CW15,'DIN SORTIM'!$4:$5,2,0),0)</f>
        <v>0</v>
      </c>
      <c r="CX14" s="28">
        <f>IFERROR(HLOOKUP(CX15,'DIN SORTIM'!$4:$5,2,0),0)</f>
        <v>0</v>
      </c>
      <c r="CY14" s="28">
        <f>IFERROR(HLOOKUP(CY15,'DIN SORTIM'!$4:$5,2,0),0)</f>
        <v>0</v>
      </c>
      <c r="CZ14" s="28">
        <f>IFERROR(HLOOKUP(CZ15,'DIN SORTIM'!$4:$5,2,0),0)</f>
        <v>0</v>
      </c>
      <c r="DA14" s="28">
        <f>IFERROR(HLOOKUP(DA15,'DIN SORTIM'!$4:$5,2,0),0)</f>
        <v>0</v>
      </c>
      <c r="DB14" s="28">
        <f>IFERROR(HLOOKUP(DB15,'DIN SORTIM'!$4:$5,2,0),0)</f>
        <v>0</v>
      </c>
      <c r="DC14" s="28">
        <f>IFERROR(HLOOKUP(DC15,'DIN SORTIM'!$4:$5,2,0),0)</f>
        <v>0</v>
      </c>
      <c r="DD14" s="28">
        <f>IFERROR(HLOOKUP(DD15,'DIN SORTIM'!$4:$5,2,0),0)</f>
        <v>0</v>
      </c>
      <c r="DE14" s="28">
        <f>IFERROR(HLOOKUP(DE15,'DIN SORTIM'!$4:$5,2,0),0)</f>
        <v>0</v>
      </c>
      <c r="DF14" s="28">
        <f>IFERROR(HLOOKUP(DF15,'DIN SORTIM'!$4:$5,2,0),0)</f>
        <v>0</v>
      </c>
      <c r="DG14" s="28">
        <f>IFERROR(HLOOKUP(DG15,'DIN SORTIM'!$4:$5,2,0),0)</f>
        <v>0</v>
      </c>
      <c r="DH14" s="28">
        <f>IFERROR(HLOOKUP(DH15,'DIN SORTIM'!$4:$5,2,0),0)</f>
        <v>0</v>
      </c>
      <c r="DI14" s="28">
        <f>IFERROR(HLOOKUP(DI15,'DIN SORTIM'!$4:$5,2,0),0)</f>
        <v>0</v>
      </c>
      <c r="DJ14" s="28">
        <f>IFERROR(HLOOKUP(DJ15,'DIN SORTIM'!$4:$5,2,0),0)</f>
        <v>0</v>
      </c>
      <c r="DK14" s="28">
        <f>IFERROR(HLOOKUP(DK15,'DIN SORTIM'!$4:$5,2,0),0)</f>
        <v>0</v>
      </c>
      <c r="DL14" s="28">
        <f>IFERROR(HLOOKUP(DL15,'DIN SORTIM'!$4:$5,2,0),0)</f>
        <v>0</v>
      </c>
      <c r="DM14" s="28">
        <f>IFERROR(HLOOKUP(DM15,'DIN SORTIM'!$4:$5,2,0),0)</f>
        <v>0</v>
      </c>
      <c r="DN14" s="28">
        <f>IFERROR(HLOOKUP(DN15,'DIN SORTIM'!$4:$5,2,0),0)</f>
        <v>0</v>
      </c>
      <c r="DO14" s="28">
        <f>IFERROR(HLOOKUP(DO15,'DIN SORTIM'!$4:$5,2,0),0)</f>
        <v>0</v>
      </c>
      <c r="DP14" s="28">
        <f>IFERROR(HLOOKUP(DP15,'DIN SORTIM'!$4:$5,2,0),0)</f>
        <v>0</v>
      </c>
      <c r="DQ14" s="28">
        <f>IFERROR(HLOOKUP(DQ15,'DIN SORTIM'!$4:$5,2,0),0)</f>
        <v>0</v>
      </c>
      <c r="DR14" s="28">
        <f>IFERROR(HLOOKUP(DR15,'DIN SORTIM'!$4:$5,2,0),0)</f>
        <v>0</v>
      </c>
      <c r="DS14" s="28">
        <f>IFERROR(HLOOKUP(DS15,'DIN SORTIM'!$4:$5,2,0),0)</f>
        <v>0</v>
      </c>
      <c r="DT14" s="28">
        <f>IFERROR(HLOOKUP(DT15,'DIN SORTIM'!$4:$5,2,0),0)</f>
        <v>0</v>
      </c>
      <c r="DU14" s="28">
        <f>IFERROR(HLOOKUP(DU15,'DIN SORTIM'!$4:$5,2,0),0)</f>
        <v>0</v>
      </c>
      <c r="DV14" s="28">
        <f>IFERROR(HLOOKUP(DV15,'DIN SORTIM'!$4:$5,2,0),0)</f>
        <v>0</v>
      </c>
      <c r="DW14" s="28">
        <f>IFERROR(HLOOKUP(DW15,'DIN SORTIM'!$4:$5,2,0),0)</f>
        <v>0</v>
      </c>
      <c r="DX14" s="28">
        <f>IFERROR(HLOOKUP(DX15,'DIN SORTIM'!$4:$5,2,0),0)</f>
        <v>0</v>
      </c>
      <c r="DY14" s="28">
        <f>IFERROR(HLOOKUP(DY15,'DIN SORTIM'!$4:$5,2,0),0)</f>
        <v>0</v>
      </c>
      <c r="DZ14" s="28">
        <f>IFERROR(HLOOKUP(DZ15,'DIN SORTIM'!$4:$5,2,0),0)</f>
        <v>0</v>
      </c>
      <c r="EA14" s="28">
        <f>IFERROR(HLOOKUP(EA15,'DIN SORTIM'!$4:$5,2,0),0)</f>
        <v>0</v>
      </c>
      <c r="EB14" s="28">
        <f>IFERROR(HLOOKUP(EB15,'DIN SORTIM'!$4:$5,2,0),0)</f>
        <v>0</v>
      </c>
      <c r="EC14" s="28">
        <f>IFERROR(HLOOKUP(EC15,'DIN SORTIM'!$4:$5,2,0),0)</f>
        <v>0</v>
      </c>
      <c r="ED14" s="28">
        <f>IFERROR(HLOOKUP(ED15,'DIN SORTIM'!$4:$5,2,0),0)</f>
        <v>0</v>
      </c>
      <c r="EE14" s="28">
        <f>IFERROR(HLOOKUP(EE15,'DIN SORTIM'!$4:$5,2,0),0)</f>
        <v>0</v>
      </c>
      <c r="EF14" s="28">
        <f>IFERROR(HLOOKUP(EF15,'DIN SORTIM'!$4:$5,2,0),0)</f>
        <v>0</v>
      </c>
      <c r="EG14" s="28">
        <f>IFERROR(HLOOKUP(EG15,'DIN SORTIM'!$4:$5,2,0),0)</f>
        <v>0</v>
      </c>
      <c r="EH14" s="28">
        <f>IFERROR(HLOOKUP(EH15,'DIN SORTIM'!$4:$5,2,0),0)</f>
        <v>0</v>
      </c>
      <c r="EI14" s="28">
        <f>IFERROR(HLOOKUP(EI15,'DIN SORTIM'!$4:$5,2,0),0)</f>
        <v>0</v>
      </c>
      <c r="EJ14" s="28">
        <f>IFERROR(HLOOKUP(EJ15,'DIN SORTIM'!$4:$5,2,0),0)</f>
        <v>0</v>
      </c>
      <c r="EK14" s="28">
        <f>IFERROR(HLOOKUP(EK15,'DIN SORTIM'!$4:$5,2,0),0)</f>
        <v>0</v>
      </c>
      <c r="EL14" s="28">
        <f>IFERROR(HLOOKUP(EL15,'DIN SORTIM'!$4:$5,2,0),0)</f>
        <v>0</v>
      </c>
      <c r="EM14" s="28">
        <f>IFERROR(HLOOKUP(EM15,'DIN SORTIM'!$4:$5,2,0),0)</f>
        <v>0</v>
      </c>
      <c r="EN14" s="28">
        <f>IFERROR(HLOOKUP(EN15,'DIN SORTIM'!$4:$5,2,0),0)</f>
        <v>0</v>
      </c>
      <c r="EO14" s="28">
        <f>IFERROR(HLOOKUP(EO15,'DIN SORTIM'!$4:$5,2,0),0)</f>
        <v>0</v>
      </c>
      <c r="EP14" s="28">
        <f>IFERROR(HLOOKUP(EP15,'DIN SORTIM'!$4:$5,2,0),0)</f>
        <v>0</v>
      </c>
      <c r="EQ14" s="28">
        <f>IFERROR(HLOOKUP(EQ15,'DIN SORTIM'!$4:$5,2,0),0)</f>
        <v>0</v>
      </c>
      <c r="ER14" s="28">
        <f>IFERROR(HLOOKUP(ER15,'DIN SORTIM'!$4:$5,2,0),0)</f>
        <v>0</v>
      </c>
      <c r="ES14" s="28">
        <f>IFERROR(HLOOKUP(ES15,'DIN SORTIM'!$4:$5,2,0),0)</f>
        <v>0</v>
      </c>
      <c r="ET14" s="28">
        <f>IFERROR(HLOOKUP(ET15,'DIN SORTIM'!$4:$5,2,0),0)</f>
        <v>0</v>
      </c>
      <c r="EU14" s="28">
        <f>IFERROR(HLOOKUP(EU15,'DIN SORTIM'!$4:$5,2,0),0)</f>
        <v>0</v>
      </c>
      <c r="EV14" s="28">
        <f>IFERROR(HLOOKUP(EV15,'DIN SORTIM'!$4:$5,2,0),0)</f>
        <v>0</v>
      </c>
      <c r="EW14" s="28">
        <f>IFERROR(HLOOKUP(EW15,'DIN SORTIM'!$4:$5,2,0),0)</f>
        <v>0</v>
      </c>
      <c r="EX14" s="28">
        <f>IFERROR(HLOOKUP(EX15,'DIN SORTIM'!$4:$5,2,0),0)</f>
        <v>0</v>
      </c>
      <c r="EY14" s="28">
        <f>IFERROR(HLOOKUP(EY15,'DIN SORTIM'!$4:$5,2,0),0)</f>
        <v>0</v>
      </c>
      <c r="EZ14" s="28">
        <f>IFERROR(HLOOKUP(EZ15,'DIN SORTIM'!$4:$5,2,0),0)</f>
        <v>0</v>
      </c>
    </row>
    <row r="15" spans="1:156" ht="15.75" customHeight="1" x14ac:dyDescent="0.25">
      <c r="A15" s="29"/>
      <c r="B15" s="30">
        <f>SUBTOTAL(3,B17:B1390)</f>
        <v>0</v>
      </c>
      <c r="C15" s="31"/>
      <c r="D15" s="29"/>
      <c r="E15" s="29"/>
      <c r="F15" s="32"/>
      <c r="G15" s="32"/>
      <c r="H15" s="32"/>
      <c r="I15" s="32"/>
      <c r="J15" s="32"/>
      <c r="K15" s="32"/>
      <c r="L15" s="32" t="s">
        <v>26</v>
      </c>
      <c r="M15" s="32" t="s">
        <v>27</v>
      </c>
      <c r="N15" s="32" t="s">
        <v>28</v>
      </c>
      <c r="O15" s="32" t="s">
        <v>29</v>
      </c>
      <c r="P15" s="32" t="s">
        <v>30</v>
      </c>
      <c r="Q15" s="32" t="s">
        <v>31</v>
      </c>
      <c r="R15" s="32" t="s">
        <v>32</v>
      </c>
      <c r="S15" s="32" t="s">
        <v>33</v>
      </c>
      <c r="T15" s="32" t="s">
        <v>34</v>
      </c>
      <c r="U15" s="32" t="s">
        <v>35</v>
      </c>
      <c r="V15" s="32" t="s">
        <v>36</v>
      </c>
      <c r="W15" s="32" t="s">
        <v>37</v>
      </c>
      <c r="X15" s="32" t="s">
        <v>38</v>
      </c>
      <c r="Y15" s="32" t="s">
        <v>39</v>
      </c>
      <c r="Z15" s="32" t="s">
        <v>40</v>
      </c>
      <c r="AA15" s="32" t="s">
        <v>41</v>
      </c>
      <c r="AB15" s="32" t="s">
        <v>42</v>
      </c>
      <c r="AC15" s="32" t="s">
        <v>43</v>
      </c>
      <c r="AD15" s="32" t="s">
        <v>44</v>
      </c>
      <c r="AE15" s="32" t="s">
        <v>45</v>
      </c>
      <c r="AF15" s="32" t="s">
        <v>46</v>
      </c>
      <c r="AG15" s="32" t="s">
        <v>47</v>
      </c>
      <c r="AH15" s="32" t="s">
        <v>48</v>
      </c>
      <c r="AI15" s="32" t="s">
        <v>49</v>
      </c>
      <c r="AJ15" s="32" t="s">
        <v>50</v>
      </c>
      <c r="AK15" s="32" t="s">
        <v>51</v>
      </c>
      <c r="AL15" s="32" t="s">
        <v>52</v>
      </c>
      <c r="AM15" s="32" t="s">
        <v>53</v>
      </c>
      <c r="AN15" s="32" t="s">
        <v>54</v>
      </c>
      <c r="AO15" s="32" t="s">
        <v>55</v>
      </c>
      <c r="AP15" s="32" t="s">
        <v>56</v>
      </c>
      <c r="AQ15" s="32" t="s">
        <v>57</v>
      </c>
      <c r="AR15" s="32" t="s">
        <v>58</v>
      </c>
      <c r="AS15" s="32" t="s">
        <v>59</v>
      </c>
      <c r="AT15" s="32" t="s">
        <v>60</v>
      </c>
      <c r="AU15" s="32" t="s">
        <v>61</v>
      </c>
      <c r="AV15" s="32" t="s">
        <v>62</v>
      </c>
      <c r="AW15" s="32" t="s">
        <v>63</v>
      </c>
      <c r="AX15" s="32" t="s">
        <v>64</v>
      </c>
      <c r="AY15" s="32" t="s">
        <v>65</v>
      </c>
      <c r="AZ15" s="32" t="s">
        <v>66</v>
      </c>
      <c r="BA15" s="32" t="s">
        <v>67</v>
      </c>
      <c r="BB15" s="32" t="s">
        <v>68</v>
      </c>
      <c r="BC15" s="32" t="s">
        <v>69</v>
      </c>
      <c r="BD15" s="32" t="s">
        <v>70</v>
      </c>
      <c r="BE15" s="32" t="s">
        <v>71</v>
      </c>
      <c r="BF15" s="32" t="s">
        <v>72</v>
      </c>
      <c r="BG15" s="32" t="s">
        <v>73</v>
      </c>
      <c r="BH15" s="32" t="s">
        <v>74</v>
      </c>
      <c r="BI15" s="32" t="s">
        <v>75</v>
      </c>
      <c r="BJ15" s="32" t="s">
        <v>76</v>
      </c>
      <c r="BK15" s="32" t="s">
        <v>77</v>
      </c>
      <c r="BL15" s="32" t="s">
        <v>78</v>
      </c>
      <c r="BM15" s="32" t="s">
        <v>79</v>
      </c>
      <c r="BN15" s="32" t="s">
        <v>80</v>
      </c>
      <c r="BO15" s="32" t="s">
        <v>81</v>
      </c>
      <c r="BP15" s="32" t="s">
        <v>82</v>
      </c>
      <c r="BQ15" s="32" t="s">
        <v>83</v>
      </c>
      <c r="BR15" s="32" t="s">
        <v>84</v>
      </c>
      <c r="BS15" s="32" t="s">
        <v>85</v>
      </c>
      <c r="BT15" s="32" t="s">
        <v>86</v>
      </c>
      <c r="BU15" s="32" t="s">
        <v>87</v>
      </c>
      <c r="BV15" s="32" t="s">
        <v>88</v>
      </c>
      <c r="BW15" s="32" t="s">
        <v>89</v>
      </c>
      <c r="BX15" s="32" t="s">
        <v>90</v>
      </c>
      <c r="BY15" s="32" t="s">
        <v>91</v>
      </c>
      <c r="BZ15" s="32" t="s">
        <v>92</v>
      </c>
      <c r="CA15" s="32" t="s">
        <v>93</v>
      </c>
      <c r="CB15" s="32" t="s">
        <v>94</v>
      </c>
      <c r="CC15" s="32" t="s">
        <v>95</v>
      </c>
      <c r="CD15" s="32" t="s">
        <v>96</v>
      </c>
      <c r="CE15" s="32" t="s">
        <v>97</v>
      </c>
      <c r="CF15" s="32" t="s">
        <v>98</v>
      </c>
      <c r="CG15" s="32" t="s">
        <v>99</v>
      </c>
      <c r="CH15" s="32" t="s">
        <v>100</v>
      </c>
      <c r="CI15" s="32" t="s">
        <v>101</v>
      </c>
      <c r="CJ15" s="32" t="s">
        <v>102</v>
      </c>
      <c r="CK15" s="32" t="s">
        <v>103</v>
      </c>
      <c r="CL15" s="32" t="s">
        <v>104</v>
      </c>
      <c r="CM15" s="32" t="s">
        <v>105</v>
      </c>
      <c r="CN15" s="32" t="s">
        <v>106</v>
      </c>
      <c r="CO15" s="32" t="s">
        <v>107</v>
      </c>
      <c r="CP15" s="32" t="s">
        <v>108</v>
      </c>
      <c r="CQ15" s="32" t="s">
        <v>109</v>
      </c>
      <c r="CR15" s="32" t="s">
        <v>110</v>
      </c>
      <c r="CS15" s="32" t="s">
        <v>111</v>
      </c>
      <c r="CT15" s="32" t="s">
        <v>112</v>
      </c>
      <c r="CU15" s="32" t="s">
        <v>113</v>
      </c>
      <c r="CV15" s="32" t="s">
        <v>114</v>
      </c>
      <c r="CW15" s="32" t="s">
        <v>115</v>
      </c>
      <c r="CX15" s="32" t="s">
        <v>116</v>
      </c>
      <c r="CY15" s="32" t="s">
        <v>117</v>
      </c>
      <c r="CZ15" s="32" t="s">
        <v>118</v>
      </c>
      <c r="DA15" s="32" t="s">
        <v>119</v>
      </c>
      <c r="DB15" s="32" t="s">
        <v>120</v>
      </c>
      <c r="DC15" s="32" t="s">
        <v>121</v>
      </c>
      <c r="DD15" s="32" t="s">
        <v>122</v>
      </c>
      <c r="DE15" s="32" t="s">
        <v>123</v>
      </c>
      <c r="DF15" s="32" t="s">
        <v>124</v>
      </c>
      <c r="DG15" s="32" t="s">
        <v>125</v>
      </c>
      <c r="DH15" s="32" t="s">
        <v>126</v>
      </c>
      <c r="DI15" s="32" t="s">
        <v>127</v>
      </c>
      <c r="DJ15" s="32" t="s">
        <v>128</v>
      </c>
      <c r="DK15" s="32" t="s">
        <v>129</v>
      </c>
      <c r="DL15" s="32" t="s">
        <v>130</v>
      </c>
      <c r="DM15" s="32" t="s">
        <v>131</v>
      </c>
      <c r="DN15" s="32" t="s">
        <v>132</v>
      </c>
      <c r="DO15" s="32" t="s">
        <v>133</v>
      </c>
      <c r="DP15" s="32" t="s">
        <v>134</v>
      </c>
      <c r="DQ15" s="32" t="s">
        <v>135</v>
      </c>
      <c r="DR15" s="32" t="s">
        <v>136</v>
      </c>
      <c r="DS15" s="32" t="s">
        <v>137</v>
      </c>
      <c r="DT15" s="32" t="s">
        <v>138</v>
      </c>
      <c r="DU15" s="32" t="s">
        <v>139</v>
      </c>
      <c r="DV15" s="32" t="s">
        <v>140</v>
      </c>
      <c r="DW15" s="32" t="s">
        <v>141</v>
      </c>
      <c r="DX15" s="32" t="s">
        <v>142</v>
      </c>
      <c r="DY15" s="32" t="s">
        <v>143</v>
      </c>
      <c r="DZ15" s="32" t="s">
        <v>144</v>
      </c>
      <c r="EA15" s="32" t="s">
        <v>145</v>
      </c>
      <c r="EB15" s="32" t="s">
        <v>146</v>
      </c>
      <c r="EC15" s="32" t="s">
        <v>147</v>
      </c>
      <c r="ED15" s="32" t="s">
        <v>148</v>
      </c>
      <c r="EE15" s="32" t="s">
        <v>149</v>
      </c>
      <c r="EF15" s="32" t="s">
        <v>150</v>
      </c>
      <c r="EG15" s="32" t="s">
        <v>151</v>
      </c>
      <c r="EH15" s="32" t="s">
        <v>152</v>
      </c>
      <c r="EI15" s="32" t="s">
        <v>153</v>
      </c>
      <c r="EJ15" s="32" t="s">
        <v>154</v>
      </c>
      <c r="EK15" s="32" t="s">
        <v>155</v>
      </c>
      <c r="EL15" s="32" t="s">
        <v>156</v>
      </c>
      <c r="EM15" s="32" t="s">
        <v>157</v>
      </c>
      <c r="EN15" s="32" t="s">
        <v>158</v>
      </c>
      <c r="EO15" s="32" t="s">
        <v>159</v>
      </c>
      <c r="EP15" s="32" t="s">
        <v>160</v>
      </c>
      <c r="EQ15" s="32" t="s">
        <v>161</v>
      </c>
      <c r="ER15" s="32" t="s">
        <v>162</v>
      </c>
      <c r="ES15" s="32" t="s">
        <v>163</v>
      </c>
      <c r="ET15" s="32" t="s">
        <v>164</v>
      </c>
      <c r="EU15" s="32" t="s">
        <v>165</v>
      </c>
      <c r="EV15" s="32" t="s">
        <v>166</v>
      </c>
      <c r="EW15" s="32" t="s">
        <v>167</v>
      </c>
      <c r="EX15" s="32" t="s">
        <v>168</v>
      </c>
      <c r="EY15" s="32" t="s">
        <v>169</v>
      </c>
      <c r="EZ15" s="32" t="s">
        <v>170</v>
      </c>
    </row>
    <row r="16" spans="1:156" ht="20.25" customHeight="1" x14ac:dyDescent="0.25">
      <c r="A16" s="21" t="s">
        <v>171</v>
      </c>
      <c r="B16" s="21" t="s">
        <v>172</v>
      </c>
      <c r="C16" s="21" t="s">
        <v>173</v>
      </c>
      <c r="D16" s="21" t="s">
        <v>174</v>
      </c>
      <c r="E16" s="21" t="s">
        <v>175</v>
      </c>
      <c r="F16" s="21" t="s">
        <v>176</v>
      </c>
      <c r="G16" s="21" t="s">
        <v>177</v>
      </c>
      <c r="H16" s="21" t="s">
        <v>178</v>
      </c>
      <c r="I16" s="21" t="s">
        <v>179</v>
      </c>
      <c r="J16" s="21" t="s">
        <v>180</v>
      </c>
      <c r="K16" s="21" t="s">
        <v>22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4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5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  <c r="DW16" s="33"/>
      <c r="DX16" s="33"/>
      <c r="DY16" s="33"/>
      <c r="DZ16" s="33"/>
      <c r="EA16" s="33"/>
      <c r="EB16" s="33"/>
      <c r="EC16" s="33"/>
      <c r="ED16" s="33"/>
      <c r="EE16" s="33"/>
      <c r="EF16" s="33"/>
      <c r="EG16" s="33"/>
      <c r="EH16" s="33"/>
      <c r="EI16" s="33"/>
      <c r="EJ16" s="33"/>
      <c r="EK16" s="33"/>
      <c r="EL16" s="33"/>
      <c r="EM16" s="33"/>
      <c r="EN16" s="33"/>
      <c r="EO16" s="33"/>
      <c r="EP16" s="33"/>
      <c r="EQ16" s="33"/>
      <c r="ER16" s="33"/>
      <c r="ES16" s="33"/>
      <c r="ET16" s="33"/>
      <c r="EU16" s="33"/>
      <c r="EV16" s="36"/>
      <c r="EW16" s="36"/>
      <c r="EX16" s="36"/>
      <c r="EY16" s="36"/>
      <c r="EZ16" s="36"/>
    </row>
    <row r="17" spans="1:156" ht="20.25" customHeight="1" x14ac:dyDescent="0.25">
      <c r="A17" s="37"/>
      <c r="B17" s="37"/>
      <c r="C17" s="38"/>
      <c r="D17" s="37"/>
      <c r="E17" s="37"/>
      <c r="F17" s="37"/>
      <c r="G17" s="38"/>
      <c r="H17" s="20"/>
      <c r="I17" s="37"/>
      <c r="J17" s="37"/>
      <c r="K17" s="39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</row>
    <row r="18" spans="1:156" ht="20.25" customHeight="1" x14ac:dyDescent="0.25">
      <c r="A18" s="37"/>
      <c r="B18" s="37"/>
      <c r="C18" s="38"/>
      <c r="D18" s="37"/>
      <c r="E18" s="37"/>
      <c r="F18" s="37"/>
      <c r="G18" s="38"/>
      <c r="H18" s="20"/>
      <c r="I18" s="37"/>
      <c r="J18" s="37"/>
      <c r="K18" s="39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</row>
    <row r="19" spans="1:156" ht="20.25" customHeight="1" x14ac:dyDescent="0.25">
      <c r="A19" s="37"/>
      <c r="B19" s="37"/>
      <c r="C19" s="38"/>
      <c r="D19" s="37"/>
      <c r="E19" s="37"/>
      <c r="F19" s="37"/>
      <c r="G19" s="38"/>
      <c r="H19" s="20"/>
      <c r="I19" s="37"/>
      <c r="J19" s="37"/>
      <c r="K19" s="39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</row>
    <row r="20" spans="1:156" ht="20.25" customHeight="1" x14ac:dyDescent="0.25">
      <c r="A20" s="37"/>
      <c r="B20" s="37"/>
      <c r="C20" s="38"/>
      <c r="D20" s="37"/>
      <c r="E20" s="37"/>
      <c r="F20" s="37"/>
      <c r="G20" s="38"/>
      <c r="H20" s="20"/>
      <c r="I20" s="37"/>
      <c r="J20" s="37"/>
      <c r="K20" s="39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</row>
    <row r="21" spans="1:156" ht="20.25" customHeight="1" x14ac:dyDescent="0.25">
      <c r="A21" s="37"/>
      <c r="B21" s="37"/>
      <c r="C21" s="38"/>
      <c r="D21" s="37"/>
      <c r="E21" s="37"/>
      <c r="F21" s="37"/>
      <c r="G21" s="38"/>
      <c r="H21" s="20"/>
      <c r="I21" s="37"/>
      <c r="J21" s="37"/>
      <c r="K21" s="39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</row>
    <row r="22" spans="1:156" ht="20.25" customHeight="1" x14ac:dyDescent="0.25">
      <c r="A22" s="37"/>
      <c r="B22" s="37"/>
      <c r="C22" s="38"/>
      <c r="D22" s="37"/>
      <c r="E22" s="37"/>
      <c r="F22" s="37"/>
      <c r="G22" s="38"/>
      <c r="H22" s="20"/>
      <c r="I22" s="37"/>
      <c r="J22" s="37"/>
      <c r="K22" s="39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</row>
    <row r="23" spans="1:156" ht="20.25" customHeight="1" x14ac:dyDescent="0.25">
      <c r="A23" s="37"/>
      <c r="B23" s="37"/>
      <c r="C23" s="38"/>
      <c r="D23" s="37"/>
      <c r="E23" s="37"/>
      <c r="F23" s="37"/>
      <c r="G23" s="38"/>
      <c r="H23" s="20"/>
      <c r="I23" s="37"/>
      <c r="J23" s="37"/>
      <c r="K23" s="39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</row>
    <row r="24" spans="1:156" ht="20.25" customHeight="1" x14ac:dyDescent="0.25">
      <c r="A24" s="37"/>
      <c r="B24" s="37"/>
      <c r="C24" s="38"/>
      <c r="D24" s="37"/>
      <c r="E24" s="37"/>
      <c r="F24" s="37"/>
      <c r="G24" s="38"/>
      <c r="H24" s="20"/>
      <c r="I24" s="37"/>
      <c r="J24" s="37"/>
      <c r="K24" s="39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</row>
    <row r="25" spans="1:156" ht="20.25" customHeight="1" x14ac:dyDescent="0.25">
      <c r="A25" s="37"/>
      <c r="B25" s="37"/>
      <c r="C25" s="38"/>
      <c r="D25" s="37"/>
      <c r="E25" s="37"/>
      <c r="F25" s="37"/>
      <c r="G25" s="38"/>
      <c r="H25" s="20"/>
      <c r="I25" s="37"/>
      <c r="J25" s="37"/>
      <c r="K25" s="39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</row>
    <row r="26" spans="1:156" ht="20.25" customHeight="1" x14ac:dyDescent="0.25">
      <c r="A26" s="37"/>
      <c r="B26" s="37"/>
      <c r="C26" s="38"/>
      <c r="D26" s="37"/>
      <c r="E26" s="37"/>
      <c r="F26" s="37"/>
      <c r="G26" s="38"/>
      <c r="H26" s="20"/>
      <c r="I26" s="37"/>
      <c r="J26" s="37"/>
      <c r="K26" s="39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</row>
    <row r="27" spans="1:156" ht="20.25" customHeight="1" x14ac:dyDescent="0.25">
      <c r="A27" s="37"/>
      <c r="B27" s="37"/>
      <c r="C27" s="38"/>
      <c r="D27" s="37"/>
      <c r="E27" s="37"/>
      <c r="F27" s="37"/>
      <c r="G27" s="38"/>
      <c r="H27" s="20"/>
      <c r="I27" s="37"/>
      <c r="J27" s="37"/>
      <c r="K27" s="39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</row>
    <row r="28" spans="1:156" ht="20.25" customHeight="1" x14ac:dyDescent="0.25">
      <c r="A28" s="37"/>
      <c r="B28" s="37"/>
      <c r="C28" s="38"/>
      <c r="D28" s="37"/>
      <c r="E28" s="37"/>
      <c r="F28" s="37"/>
      <c r="G28" s="38"/>
      <c r="H28" s="20"/>
      <c r="I28" s="37"/>
      <c r="J28" s="37"/>
      <c r="K28" s="39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</row>
    <row r="29" spans="1:156" ht="20.25" customHeight="1" x14ac:dyDescent="0.25">
      <c r="A29" s="37"/>
      <c r="B29" s="37"/>
      <c r="C29" s="38"/>
      <c r="D29" s="37"/>
      <c r="E29" s="37"/>
      <c r="F29" s="37"/>
      <c r="G29" s="38"/>
      <c r="H29" s="20"/>
      <c r="I29" s="37"/>
      <c r="J29" s="37"/>
      <c r="K29" s="39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</row>
    <row r="30" spans="1:156" ht="20.25" customHeight="1" x14ac:dyDescent="0.25">
      <c r="A30" s="37"/>
      <c r="B30" s="37"/>
      <c r="C30" s="38"/>
      <c r="D30" s="37"/>
      <c r="E30" s="37"/>
      <c r="F30" s="37"/>
      <c r="G30" s="38"/>
      <c r="H30" s="20"/>
      <c r="I30" s="37"/>
      <c r="J30" s="37"/>
      <c r="K30" s="39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</row>
    <row r="31" spans="1:156" ht="20.25" customHeight="1" x14ac:dyDescent="0.25">
      <c r="A31" s="37"/>
      <c r="B31" s="37"/>
      <c r="C31" s="38"/>
      <c r="D31" s="37"/>
      <c r="E31" s="37"/>
      <c r="F31" s="37"/>
      <c r="G31" s="38"/>
      <c r="H31" s="20"/>
      <c r="I31" s="37"/>
      <c r="J31" s="37"/>
      <c r="K31" s="39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</row>
    <row r="32" spans="1:156" ht="20.25" customHeight="1" x14ac:dyDescent="0.25">
      <c r="A32" s="37"/>
      <c r="B32" s="37"/>
      <c r="C32" s="38"/>
      <c r="D32" s="37"/>
      <c r="E32" s="37"/>
      <c r="F32" s="37"/>
      <c r="G32" s="38"/>
      <c r="H32" s="20"/>
      <c r="I32" s="37"/>
      <c r="J32" s="37"/>
      <c r="K32" s="39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</row>
    <row r="33" spans="1:156" ht="20.25" customHeight="1" x14ac:dyDescent="0.25">
      <c r="A33" s="37"/>
      <c r="B33" s="37"/>
      <c r="C33" s="38"/>
      <c r="D33" s="37"/>
      <c r="E33" s="37"/>
      <c r="F33" s="37"/>
      <c r="G33" s="38"/>
      <c r="H33" s="20"/>
      <c r="I33" s="37"/>
      <c r="J33" s="37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</row>
    <row r="34" spans="1:156" ht="20.25" customHeight="1" x14ac:dyDescent="0.25">
      <c r="A34" s="37"/>
      <c r="B34" s="37"/>
      <c r="C34" s="38"/>
      <c r="D34" s="37"/>
      <c r="E34" s="37"/>
      <c r="F34" s="37"/>
      <c r="G34" s="38"/>
      <c r="H34" s="20"/>
      <c r="I34" s="37"/>
      <c r="J34" s="37"/>
      <c r="K34" s="39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</row>
    <row r="35" spans="1:156" ht="20.25" customHeight="1" x14ac:dyDescent="0.25">
      <c r="A35" s="37"/>
      <c r="B35" s="37"/>
      <c r="C35" s="38"/>
      <c r="D35" s="37"/>
      <c r="E35" s="37"/>
      <c r="F35" s="37"/>
      <c r="G35" s="38"/>
      <c r="H35" s="20"/>
      <c r="I35" s="37"/>
      <c r="J35" s="37"/>
      <c r="K35" s="39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</row>
    <row r="36" spans="1:156" ht="20.25" customHeight="1" x14ac:dyDescent="0.25">
      <c r="A36" s="37"/>
      <c r="B36" s="37"/>
      <c r="C36" s="38"/>
      <c r="D36" s="37"/>
      <c r="E36" s="37"/>
      <c r="F36" s="37"/>
      <c r="G36" s="38"/>
      <c r="H36" s="20"/>
      <c r="I36" s="37"/>
      <c r="J36" s="37"/>
      <c r="K36" s="39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</row>
    <row r="37" spans="1:156" ht="20.25" customHeight="1" x14ac:dyDescent="0.25">
      <c r="A37" s="37"/>
      <c r="B37" s="37"/>
      <c r="C37" s="38"/>
      <c r="D37" s="37"/>
      <c r="E37" s="37"/>
      <c r="F37" s="37"/>
      <c r="G37" s="38"/>
      <c r="H37" s="20"/>
      <c r="I37" s="37"/>
      <c r="J37" s="37"/>
      <c r="K37" s="39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</row>
    <row r="38" spans="1:156" ht="20.25" customHeight="1" x14ac:dyDescent="0.25">
      <c r="A38" s="37"/>
      <c r="B38" s="37"/>
      <c r="C38" s="38"/>
      <c r="D38" s="37"/>
      <c r="E38" s="37"/>
      <c r="F38" s="37"/>
      <c r="G38" s="38"/>
      <c r="H38" s="20"/>
      <c r="I38" s="37"/>
      <c r="J38" s="37"/>
      <c r="K38" s="39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</row>
    <row r="39" spans="1:156" ht="20.25" customHeight="1" x14ac:dyDescent="0.25">
      <c r="A39" s="37"/>
      <c r="B39" s="37"/>
      <c r="C39" s="38"/>
      <c r="D39" s="37"/>
      <c r="E39" s="37"/>
      <c r="F39" s="37"/>
      <c r="G39" s="38"/>
      <c r="H39" s="20"/>
      <c r="I39" s="37"/>
      <c r="J39" s="37"/>
      <c r="K39" s="39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</row>
    <row r="40" spans="1:156" ht="20.25" customHeight="1" x14ac:dyDescent="0.25">
      <c r="A40" s="37"/>
      <c r="B40" s="37"/>
      <c r="C40" s="38"/>
      <c r="D40" s="37"/>
      <c r="E40" s="37"/>
      <c r="F40" s="37"/>
      <c r="G40" s="38"/>
      <c r="H40" s="20"/>
      <c r="I40" s="37"/>
      <c r="J40" s="37"/>
      <c r="K40" s="39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</row>
    <row r="41" spans="1:156" ht="20.25" customHeight="1" x14ac:dyDescent="0.25">
      <c r="A41" s="37"/>
      <c r="B41" s="37"/>
      <c r="C41" s="38"/>
      <c r="D41" s="37"/>
      <c r="E41" s="37"/>
      <c r="F41" s="37"/>
      <c r="G41" s="38"/>
      <c r="H41" s="20"/>
      <c r="I41" s="37"/>
      <c r="J41" s="37"/>
      <c r="K41" s="39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</row>
    <row r="42" spans="1:156" ht="20.25" customHeight="1" x14ac:dyDescent="0.25">
      <c r="A42" s="37"/>
      <c r="B42" s="37"/>
      <c r="C42" s="38"/>
      <c r="D42" s="37"/>
      <c r="E42" s="37"/>
      <c r="F42" s="37"/>
      <c r="G42" s="38"/>
      <c r="H42" s="20"/>
      <c r="I42" s="37"/>
      <c r="J42" s="37"/>
      <c r="K42" s="39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</row>
    <row r="43" spans="1:156" ht="20.25" customHeight="1" x14ac:dyDescent="0.25">
      <c r="A43" s="37"/>
      <c r="B43" s="37"/>
      <c r="C43" s="38"/>
      <c r="D43" s="37"/>
      <c r="E43" s="37"/>
      <c r="F43" s="37"/>
      <c r="G43" s="38"/>
      <c r="H43" s="20"/>
      <c r="I43" s="37"/>
      <c r="J43" s="37"/>
      <c r="K43" s="39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</row>
    <row r="44" spans="1:156" ht="20.25" customHeight="1" x14ac:dyDescent="0.25">
      <c r="A44" s="37"/>
      <c r="B44" s="37"/>
      <c r="C44" s="38"/>
      <c r="D44" s="37"/>
      <c r="E44" s="37"/>
      <c r="F44" s="37"/>
      <c r="G44" s="38"/>
      <c r="H44" s="20"/>
      <c r="I44" s="37"/>
      <c r="J44" s="37"/>
      <c r="K44" s="39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</row>
    <row r="45" spans="1:156" ht="20.25" customHeight="1" x14ac:dyDescent="0.25">
      <c r="A45" s="37"/>
      <c r="B45" s="37"/>
      <c r="C45" s="38"/>
      <c r="D45" s="37"/>
      <c r="E45" s="37"/>
      <c r="F45" s="37"/>
      <c r="G45" s="38"/>
      <c r="H45" s="20"/>
      <c r="I45" s="37"/>
      <c r="J45" s="37"/>
      <c r="K45" s="39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</row>
    <row r="46" spans="1:156" ht="20.25" customHeight="1" x14ac:dyDescent="0.25">
      <c r="A46" s="37"/>
      <c r="B46" s="37"/>
      <c r="C46" s="38"/>
      <c r="D46" s="37"/>
      <c r="E46" s="37"/>
      <c r="F46" s="37"/>
      <c r="G46" s="38"/>
      <c r="H46" s="20"/>
      <c r="I46" s="37"/>
      <c r="J46" s="37"/>
      <c r="K46" s="39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</row>
    <row r="47" spans="1:156" ht="20.25" customHeight="1" x14ac:dyDescent="0.25">
      <c r="A47" s="37"/>
      <c r="B47" s="37"/>
      <c r="C47" s="38"/>
      <c r="D47" s="37"/>
      <c r="E47" s="37"/>
      <c r="F47" s="37"/>
      <c r="G47" s="38"/>
      <c r="H47" s="20"/>
      <c r="I47" s="37"/>
      <c r="J47" s="37"/>
      <c r="K47" s="39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</row>
    <row r="48" spans="1:156" ht="20.25" customHeight="1" x14ac:dyDescent="0.25">
      <c r="A48" s="37"/>
      <c r="B48" s="37"/>
      <c r="C48" s="38"/>
      <c r="D48" s="37"/>
      <c r="E48" s="37"/>
      <c r="F48" s="37"/>
      <c r="G48" s="38"/>
      <c r="H48" s="20"/>
      <c r="I48" s="37"/>
      <c r="J48" s="37"/>
      <c r="K48" s="39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</row>
    <row r="49" spans="1:156" ht="20.25" customHeight="1" x14ac:dyDescent="0.25">
      <c r="A49" s="37"/>
      <c r="B49" s="37"/>
      <c r="C49" s="38"/>
      <c r="D49" s="37"/>
      <c r="E49" s="37"/>
      <c r="F49" s="37"/>
      <c r="G49" s="38"/>
      <c r="H49" s="20"/>
      <c r="I49" s="37"/>
      <c r="J49" s="37"/>
      <c r="K49" s="39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</row>
    <row r="50" spans="1:156" ht="20.25" customHeight="1" x14ac:dyDescent="0.25">
      <c r="A50" s="37"/>
      <c r="B50" s="37"/>
      <c r="C50" s="38"/>
      <c r="D50" s="37"/>
      <c r="E50" s="37"/>
      <c r="F50" s="37"/>
      <c r="G50" s="38"/>
      <c r="H50" s="20"/>
      <c r="I50" s="37"/>
      <c r="J50" s="37"/>
      <c r="K50" s="39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</row>
    <row r="51" spans="1:156" ht="20.25" customHeight="1" x14ac:dyDescent="0.25">
      <c r="A51" s="37"/>
      <c r="B51" s="37"/>
      <c r="C51" s="38"/>
      <c r="D51" s="37"/>
      <c r="E51" s="37"/>
      <c r="F51" s="37"/>
      <c r="G51" s="38"/>
      <c r="H51" s="20"/>
      <c r="I51" s="37"/>
      <c r="J51" s="37"/>
      <c r="K51" s="39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</row>
    <row r="52" spans="1:156" ht="20.25" customHeight="1" x14ac:dyDescent="0.25">
      <c r="A52" s="37"/>
      <c r="B52" s="37"/>
      <c r="C52" s="38"/>
      <c r="D52" s="37"/>
      <c r="E52" s="37"/>
      <c r="F52" s="37"/>
      <c r="G52" s="38"/>
      <c r="H52" s="20"/>
      <c r="I52" s="37"/>
      <c r="J52" s="37"/>
      <c r="K52" s="39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</row>
    <row r="53" spans="1:156" ht="20.25" customHeight="1" x14ac:dyDescent="0.25">
      <c r="A53" s="37"/>
      <c r="B53" s="37"/>
      <c r="C53" s="38"/>
      <c r="D53" s="37"/>
      <c r="E53" s="37"/>
      <c r="F53" s="37"/>
      <c r="G53" s="38"/>
      <c r="H53" s="20"/>
      <c r="I53" s="37"/>
      <c r="J53" s="37"/>
      <c r="K53" s="39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</row>
    <row r="54" spans="1:156" ht="20.25" customHeight="1" x14ac:dyDescent="0.25">
      <c r="A54" s="37"/>
      <c r="B54" s="37"/>
      <c r="C54" s="38"/>
      <c r="D54" s="37"/>
      <c r="E54" s="37"/>
      <c r="F54" s="37"/>
      <c r="G54" s="38"/>
      <c r="H54" s="20"/>
      <c r="I54" s="37"/>
      <c r="J54" s="37"/>
      <c r="K54" s="39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</row>
    <row r="55" spans="1:156" ht="20.25" customHeight="1" x14ac:dyDescent="0.25">
      <c r="A55" s="37"/>
      <c r="B55" s="37"/>
      <c r="C55" s="38"/>
      <c r="D55" s="37"/>
      <c r="E55" s="37"/>
      <c r="F55" s="37"/>
      <c r="G55" s="38"/>
      <c r="H55" s="20"/>
      <c r="I55" s="37"/>
      <c r="J55" s="37"/>
      <c r="K55" s="39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</row>
    <row r="56" spans="1:156" ht="20.25" customHeight="1" x14ac:dyDescent="0.25">
      <c r="A56" s="37"/>
      <c r="B56" s="37"/>
      <c r="C56" s="38"/>
      <c r="D56" s="37"/>
      <c r="E56" s="37"/>
      <c r="F56" s="37"/>
      <c r="G56" s="38"/>
      <c r="H56" s="20"/>
      <c r="I56" s="37"/>
      <c r="J56" s="37"/>
      <c r="K56" s="39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</row>
    <row r="57" spans="1:156" ht="20.25" customHeight="1" x14ac:dyDescent="0.25">
      <c r="A57" s="37"/>
      <c r="B57" s="37"/>
      <c r="C57" s="38"/>
      <c r="D57" s="37"/>
      <c r="E57" s="37"/>
      <c r="F57" s="37"/>
      <c r="G57" s="38"/>
      <c r="H57" s="20"/>
      <c r="I57" s="37"/>
      <c r="J57" s="37"/>
      <c r="K57" s="39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</row>
    <row r="58" spans="1:156" ht="20.25" customHeight="1" x14ac:dyDescent="0.25">
      <c r="A58" s="37"/>
      <c r="B58" s="37"/>
      <c r="C58" s="38"/>
      <c r="D58" s="37"/>
      <c r="E58" s="37"/>
      <c r="F58" s="37"/>
      <c r="G58" s="38"/>
      <c r="H58" s="20"/>
      <c r="I58" s="37"/>
      <c r="J58" s="37"/>
      <c r="K58" s="39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</row>
    <row r="59" spans="1:156" ht="20.25" customHeight="1" x14ac:dyDescent="0.25">
      <c r="A59" s="37"/>
      <c r="B59" s="37"/>
      <c r="C59" s="38"/>
      <c r="D59" s="37"/>
      <c r="E59" s="37"/>
      <c r="F59" s="37"/>
      <c r="G59" s="38"/>
      <c r="H59" s="20"/>
      <c r="I59" s="37"/>
      <c r="J59" s="37"/>
      <c r="K59" s="39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</row>
    <row r="60" spans="1:156" ht="20.25" customHeight="1" x14ac:dyDescent="0.25">
      <c r="A60" s="37"/>
      <c r="B60" s="37"/>
      <c r="C60" s="38"/>
      <c r="D60" s="37"/>
      <c r="E60" s="37"/>
      <c r="F60" s="37"/>
      <c r="G60" s="38"/>
      <c r="H60" s="20"/>
      <c r="I60" s="37"/>
      <c r="J60" s="37"/>
      <c r="K60" s="39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</row>
    <row r="61" spans="1:156" ht="20.25" customHeight="1" x14ac:dyDescent="0.25">
      <c r="A61" s="37"/>
      <c r="B61" s="37"/>
      <c r="C61" s="38"/>
      <c r="D61" s="37"/>
      <c r="E61" s="37"/>
      <c r="F61" s="37"/>
      <c r="G61" s="38"/>
      <c r="H61" s="20"/>
      <c r="I61" s="37"/>
      <c r="J61" s="37"/>
      <c r="K61" s="39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</row>
    <row r="62" spans="1:156" ht="20.25" customHeight="1" x14ac:dyDescent="0.25">
      <c r="A62" s="37"/>
      <c r="B62" s="37"/>
      <c r="C62" s="38"/>
      <c r="D62" s="37"/>
      <c r="E62" s="37"/>
      <c r="F62" s="37"/>
      <c r="G62" s="38"/>
      <c r="H62" s="20"/>
      <c r="I62" s="37"/>
      <c r="J62" s="37"/>
      <c r="K62" s="39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</row>
    <row r="63" spans="1:156" ht="20.25" customHeight="1" x14ac:dyDescent="0.25">
      <c r="A63" s="37"/>
      <c r="B63" s="37"/>
      <c r="C63" s="38"/>
      <c r="D63" s="37"/>
      <c r="E63" s="37"/>
      <c r="F63" s="37"/>
      <c r="G63" s="38"/>
      <c r="H63" s="20"/>
      <c r="I63" s="37"/>
      <c r="J63" s="37"/>
      <c r="K63" s="39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</row>
    <row r="64" spans="1:156" ht="20.25" customHeight="1" x14ac:dyDescent="0.25">
      <c r="A64" s="37"/>
      <c r="B64" s="37"/>
      <c r="C64" s="38"/>
      <c r="D64" s="37"/>
      <c r="E64" s="37"/>
      <c r="F64" s="37"/>
      <c r="G64" s="38"/>
      <c r="H64" s="20"/>
      <c r="I64" s="37"/>
      <c r="J64" s="37"/>
      <c r="K64" s="39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</row>
    <row r="65" spans="1:156" ht="20.25" customHeight="1" x14ac:dyDescent="0.25">
      <c r="A65" s="37"/>
      <c r="B65" s="37"/>
      <c r="C65" s="38"/>
      <c r="D65" s="37"/>
      <c r="E65" s="37"/>
      <c r="F65" s="37"/>
      <c r="G65" s="38"/>
      <c r="H65" s="20"/>
      <c r="I65" s="37"/>
      <c r="J65" s="37"/>
      <c r="K65" s="39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</row>
    <row r="66" spans="1:156" ht="20.25" customHeight="1" x14ac:dyDescent="0.25">
      <c r="A66" s="37"/>
      <c r="B66" s="37"/>
      <c r="C66" s="38"/>
      <c r="D66" s="37"/>
      <c r="E66" s="37"/>
      <c r="F66" s="37"/>
      <c r="G66" s="38"/>
      <c r="H66" s="20"/>
      <c r="I66" s="37"/>
      <c r="J66" s="37"/>
      <c r="K66" s="39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</row>
    <row r="67" spans="1:156" ht="20.25" customHeight="1" x14ac:dyDescent="0.25">
      <c r="A67" s="37"/>
      <c r="B67" s="37"/>
      <c r="C67" s="38"/>
      <c r="D67" s="37"/>
      <c r="E67" s="37"/>
      <c r="F67" s="37"/>
      <c r="G67" s="38"/>
      <c r="H67" s="20"/>
      <c r="I67" s="37"/>
      <c r="J67" s="37"/>
      <c r="K67" s="39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</row>
    <row r="68" spans="1:156" ht="20.25" customHeight="1" x14ac:dyDescent="0.25">
      <c r="A68" s="37"/>
      <c r="B68" s="37"/>
      <c r="C68" s="38"/>
      <c r="D68" s="37"/>
      <c r="E68" s="37"/>
      <c r="F68" s="37"/>
      <c r="G68" s="38"/>
      <c r="H68" s="20"/>
      <c r="I68" s="37"/>
      <c r="J68" s="37"/>
      <c r="K68" s="39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</row>
    <row r="69" spans="1:156" ht="20.25" customHeight="1" x14ac:dyDescent="0.25">
      <c r="A69" s="37"/>
      <c r="B69" s="37"/>
      <c r="C69" s="38"/>
      <c r="D69" s="37"/>
      <c r="E69" s="37"/>
      <c r="F69" s="37"/>
      <c r="G69" s="38"/>
      <c r="H69" s="20"/>
      <c r="I69" s="37"/>
      <c r="J69" s="37"/>
      <c r="K69" s="39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</row>
    <row r="70" spans="1:156" ht="20.25" customHeight="1" x14ac:dyDescent="0.25">
      <c r="A70" s="37"/>
      <c r="B70" s="37"/>
      <c r="C70" s="38"/>
      <c r="D70" s="37"/>
      <c r="E70" s="37"/>
      <c r="F70" s="37"/>
      <c r="G70" s="38"/>
      <c r="H70" s="20"/>
      <c r="I70" s="37"/>
      <c r="J70" s="37"/>
      <c r="K70" s="39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</row>
    <row r="71" spans="1:156" ht="20.25" customHeight="1" x14ac:dyDescent="0.25">
      <c r="A71" s="37"/>
      <c r="B71" s="37"/>
      <c r="C71" s="38"/>
      <c r="D71" s="37"/>
      <c r="E71" s="37"/>
      <c r="F71" s="37"/>
      <c r="G71" s="38"/>
      <c r="H71" s="20"/>
      <c r="I71" s="37"/>
      <c r="J71" s="37"/>
      <c r="K71" s="39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</row>
    <row r="72" spans="1:156" ht="20.25" customHeight="1" x14ac:dyDescent="0.25">
      <c r="A72" s="37"/>
      <c r="B72" s="37"/>
      <c r="C72" s="38"/>
      <c r="D72" s="37"/>
      <c r="E72" s="37"/>
      <c r="F72" s="37"/>
      <c r="G72" s="38"/>
      <c r="H72" s="20"/>
      <c r="I72" s="37"/>
      <c r="J72" s="37"/>
      <c r="K72" s="39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</row>
    <row r="73" spans="1:156" ht="20.25" customHeight="1" x14ac:dyDescent="0.25">
      <c r="A73" s="37"/>
      <c r="B73" s="37"/>
      <c r="C73" s="38"/>
      <c r="D73" s="37"/>
      <c r="E73" s="37"/>
      <c r="F73" s="37"/>
      <c r="G73" s="38"/>
      <c r="H73" s="20"/>
      <c r="I73" s="37"/>
      <c r="J73" s="37"/>
      <c r="K73" s="39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</row>
    <row r="74" spans="1:156" ht="20.25" customHeight="1" x14ac:dyDescent="0.25">
      <c r="A74" s="37"/>
      <c r="B74" s="37"/>
      <c r="C74" s="38"/>
      <c r="D74" s="37"/>
      <c r="E74" s="37"/>
      <c r="F74" s="37"/>
      <c r="G74" s="38"/>
      <c r="H74" s="20"/>
      <c r="I74" s="37"/>
      <c r="J74" s="37"/>
      <c r="K74" s="39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</row>
    <row r="75" spans="1:156" ht="20.25" customHeight="1" x14ac:dyDescent="0.25">
      <c r="A75" s="37"/>
      <c r="B75" s="37"/>
      <c r="C75" s="38"/>
      <c r="D75" s="37"/>
      <c r="E75" s="37"/>
      <c r="F75" s="37"/>
      <c r="G75" s="38"/>
      <c r="H75" s="20"/>
      <c r="I75" s="37"/>
      <c r="J75" s="37"/>
      <c r="K75" s="39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</row>
    <row r="76" spans="1:156" ht="20.25" customHeight="1" x14ac:dyDescent="0.25">
      <c r="A76" s="37"/>
      <c r="B76" s="37"/>
      <c r="C76" s="38"/>
      <c r="D76" s="37"/>
      <c r="E76" s="37"/>
      <c r="F76" s="37"/>
      <c r="G76" s="38"/>
      <c r="H76" s="20"/>
      <c r="I76" s="37"/>
      <c r="J76" s="37"/>
      <c r="K76" s="39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</row>
    <row r="77" spans="1:156" ht="20.25" customHeight="1" x14ac:dyDescent="0.25">
      <c r="A77" s="37"/>
      <c r="B77" s="37"/>
      <c r="C77" s="38"/>
      <c r="D77" s="37"/>
      <c r="E77" s="37"/>
      <c r="F77" s="37"/>
      <c r="G77" s="38"/>
      <c r="H77" s="20"/>
      <c r="I77" s="37"/>
      <c r="J77" s="37"/>
      <c r="K77" s="39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</row>
    <row r="78" spans="1:156" ht="20.25" customHeight="1" x14ac:dyDescent="0.25">
      <c r="A78" s="37"/>
      <c r="B78" s="37"/>
      <c r="C78" s="38"/>
      <c r="D78" s="37"/>
      <c r="E78" s="37"/>
      <c r="F78" s="37"/>
      <c r="G78" s="38"/>
      <c r="H78" s="20"/>
      <c r="I78" s="37"/>
      <c r="J78" s="37"/>
      <c r="K78" s="39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</row>
    <row r="79" spans="1:156" ht="20.25" customHeight="1" x14ac:dyDescent="0.25">
      <c r="A79" s="37"/>
      <c r="B79" s="37"/>
      <c r="C79" s="38"/>
      <c r="D79" s="37"/>
      <c r="E79" s="37"/>
      <c r="F79" s="37"/>
      <c r="G79" s="38"/>
      <c r="H79" s="20"/>
      <c r="I79" s="37"/>
      <c r="J79" s="37"/>
      <c r="K79" s="39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</row>
    <row r="80" spans="1:156" ht="20.25" customHeight="1" x14ac:dyDescent="0.25">
      <c r="A80" s="37"/>
      <c r="B80" s="37"/>
      <c r="C80" s="38"/>
      <c r="D80" s="37"/>
      <c r="E80" s="37"/>
      <c r="F80" s="37"/>
      <c r="G80" s="38"/>
      <c r="H80" s="20"/>
      <c r="I80" s="37"/>
      <c r="J80" s="37"/>
      <c r="K80" s="39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</row>
    <row r="81" spans="1:156" ht="20.25" customHeight="1" x14ac:dyDescent="0.25">
      <c r="A81" s="37"/>
      <c r="B81" s="37"/>
      <c r="C81" s="38"/>
      <c r="D81" s="37"/>
      <c r="E81" s="37"/>
      <c r="F81" s="37"/>
      <c r="G81" s="38"/>
      <c r="H81" s="20"/>
      <c r="I81" s="37"/>
      <c r="J81" s="37"/>
      <c r="K81" s="39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</row>
    <row r="82" spans="1:156" ht="20.25" customHeight="1" x14ac:dyDescent="0.25">
      <c r="A82" s="37"/>
      <c r="B82" s="37"/>
      <c r="C82" s="38"/>
      <c r="D82" s="37"/>
      <c r="E82" s="37"/>
      <c r="F82" s="37"/>
      <c r="G82" s="38"/>
      <c r="H82" s="20"/>
      <c r="I82" s="37"/>
      <c r="J82" s="37"/>
      <c r="K82" s="39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</row>
    <row r="83" spans="1:156" ht="20.25" customHeight="1" x14ac:dyDescent="0.25">
      <c r="A83" s="37"/>
      <c r="B83" s="37"/>
      <c r="C83" s="38"/>
      <c r="D83" s="37"/>
      <c r="E83" s="37"/>
      <c r="F83" s="37"/>
      <c r="G83" s="38"/>
      <c r="H83" s="20"/>
      <c r="I83" s="37"/>
      <c r="J83" s="37"/>
      <c r="K83" s="39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</row>
    <row r="84" spans="1:156" ht="20.25" customHeight="1" x14ac:dyDescent="0.25">
      <c r="A84" s="37"/>
      <c r="B84" s="37"/>
      <c r="C84" s="38"/>
      <c r="D84" s="37"/>
      <c r="E84" s="37"/>
      <c r="F84" s="37"/>
      <c r="G84" s="38"/>
      <c r="H84" s="20"/>
      <c r="I84" s="37"/>
      <c r="J84" s="37"/>
      <c r="K84" s="39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</row>
    <row r="85" spans="1:156" ht="20.25" customHeight="1" x14ac:dyDescent="0.25">
      <c r="A85" s="37"/>
      <c r="B85" s="37"/>
      <c r="C85" s="38"/>
      <c r="D85" s="37"/>
      <c r="E85" s="37"/>
      <c r="F85" s="37"/>
      <c r="G85" s="38"/>
      <c r="H85" s="20"/>
      <c r="I85" s="37"/>
      <c r="J85" s="37"/>
      <c r="K85" s="39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</row>
    <row r="86" spans="1:156" ht="20.25" customHeight="1" x14ac:dyDescent="0.25">
      <c r="A86" s="37"/>
      <c r="B86" s="37"/>
      <c r="C86" s="38"/>
      <c r="D86" s="37"/>
      <c r="E86" s="37"/>
      <c r="F86" s="37"/>
      <c r="G86" s="38"/>
      <c r="H86" s="20"/>
      <c r="I86" s="37"/>
      <c r="J86" s="37"/>
      <c r="K86" s="39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</row>
    <row r="87" spans="1:156" ht="20.25" customHeight="1" x14ac:dyDescent="0.25">
      <c r="A87" s="37"/>
      <c r="B87" s="37"/>
      <c r="C87" s="38"/>
      <c r="D87" s="37"/>
      <c r="E87" s="37"/>
      <c r="F87" s="37"/>
      <c r="G87" s="38"/>
      <c r="H87" s="20"/>
      <c r="I87" s="37"/>
      <c r="J87" s="37"/>
      <c r="K87" s="39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</row>
    <row r="88" spans="1:156" ht="20.25" customHeight="1" x14ac:dyDescent="0.25">
      <c r="A88" s="37"/>
      <c r="B88" s="37"/>
      <c r="C88" s="38"/>
      <c r="D88" s="37"/>
      <c r="E88" s="37"/>
      <c r="F88" s="37"/>
      <c r="G88" s="38"/>
      <c r="H88" s="20"/>
      <c r="I88" s="37"/>
      <c r="J88" s="37"/>
      <c r="K88" s="39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</row>
    <row r="89" spans="1:156" ht="20.25" customHeight="1" x14ac:dyDescent="0.25">
      <c r="A89" s="37"/>
      <c r="B89" s="37"/>
      <c r="C89" s="38"/>
      <c r="D89" s="37"/>
      <c r="E89" s="37"/>
      <c r="F89" s="37"/>
      <c r="G89" s="38"/>
      <c r="H89" s="20"/>
      <c r="I89" s="37"/>
      <c r="J89" s="37"/>
      <c r="K89" s="39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</row>
    <row r="90" spans="1:156" ht="20.25" customHeight="1" x14ac:dyDescent="0.25">
      <c r="A90" s="37"/>
      <c r="B90" s="37"/>
      <c r="C90" s="38"/>
      <c r="D90" s="37"/>
      <c r="E90" s="37"/>
      <c r="F90" s="37"/>
      <c r="G90" s="38"/>
      <c r="H90" s="20"/>
      <c r="I90" s="37"/>
      <c r="J90" s="37"/>
      <c r="K90" s="39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</row>
    <row r="91" spans="1:156" ht="20.25" customHeight="1" x14ac:dyDescent="0.25">
      <c r="A91" s="37"/>
      <c r="B91" s="37"/>
      <c r="C91" s="38"/>
      <c r="D91" s="37"/>
      <c r="E91" s="37"/>
      <c r="F91" s="37"/>
      <c r="G91" s="38"/>
      <c r="H91" s="20"/>
      <c r="I91" s="37"/>
      <c r="J91" s="37"/>
      <c r="K91" s="39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</row>
    <row r="92" spans="1:156" ht="20.25" customHeight="1" x14ac:dyDescent="0.25">
      <c r="A92" s="37"/>
      <c r="B92" s="37"/>
      <c r="C92" s="38"/>
      <c r="D92" s="37"/>
      <c r="E92" s="37"/>
      <c r="F92" s="37"/>
      <c r="G92" s="38"/>
      <c r="H92" s="20"/>
      <c r="I92" s="37"/>
      <c r="J92" s="37"/>
      <c r="K92" s="39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</row>
    <row r="93" spans="1:156" ht="20.25" customHeight="1" x14ac:dyDescent="0.25">
      <c r="A93" s="37"/>
      <c r="B93" s="37"/>
      <c r="C93" s="38"/>
      <c r="D93" s="37"/>
      <c r="E93" s="37"/>
      <c r="F93" s="37"/>
      <c r="G93" s="38"/>
      <c r="H93" s="20"/>
      <c r="I93" s="37"/>
      <c r="J93" s="37"/>
      <c r="K93" s="39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</row>
    <row r="94" spans="1:156" ht="20.25" customHeight="1" x14ac:dyDescent="0.25">
      <c r="A94" s="37"/>
      <c r="B94" s="37"/>
      <c r="C94" s="38"/>
      <c r="D94" s="37"/>
      <c r="E94" s="37"/>
      <c r="F94" s="37"/>
      <c r="G94" s="38"/>
      <c r="H94" s="20"/>
      <c r="I94" s="37"/>
      <c r="J94" s="37"/>
      <c r="K94" s="39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</row>
    <row r="95" spans="1:156" ht="20.25" customHeight="1" x14ac:dyDescent="0.25">
      <c r="A95" s="37"/>
      <c r="B95" s="37"/>
      <c r="C95" s="38"/>
      <c r="D95" s="37"/>
      <c r="E95" s="37"/>
      <c r="F95" s="37"/>
      <c r="G95" s="38"/>
      <c r="H95" s="20"/>
      <c r="I95" s="37"/>
      <c r="J95" s="37"/>
      <c r="K95" s="39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</row>
    <row r="96" spans="1:156" ht="20.25" customHeight="1" x14ac:dyDescent="0.25">
      <c r="A96" s="37"/>
      <c r="B96" s="37"/>
      <c r="C96" s="38"/>
      <c r="D96" s="37"/>
      <c r="E96" s="37"/>
      <c r="F96" s="37"/>
      <c r="G96" s="38"/>
      <c r="H96" s="20"/>
      <c r="I96" s="37"/>
      <c r="J96" s="37"/>
      <c r="K96" s="39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</row>
    <row r="97" spans="1:156" ht="20.25" customHeight="1" x14ac:dyDescent="0.25">
      <c r="A97" s="37"/>
      <c r="B97" s="37"/>
      <c r="C97" s="38"/>
      <c r="D97" s="37"/>
      <c r="E97" s="37"/>
      <c r="F97" s="37"/>
      <c r="G97" s="38"/>
      <c r="H97" s="20"/>
      <c r="I97" s="37"/>
      <c r="J97" s="37"/>
      <c r="K97" s="39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</row>
    <row r="98" spans="1:156" ht="20.25" customHeight="1" x14ac:dyDescent="0.25">
      <c r="A98" s="37"/>
      <c r="B98" s="37"/>
      <c r="C98" s="38"/>
      <c r="D98" s="37"/>
      <c r="E98" s="37"/>
      <c r="F98" s="37"/>
      <c r="G98" s="38"/>
      <c r="H98" s="20"/>
      <c r="I98" s="37"/>
      <c r="J98" s="37"/>
      <c r="K98" s="39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</row>
    <row r="99" spans="1:156" ht="20.25" customHeight="1" x14ac:dyDescent="0.25">
      <c r="A99" s="37"/>
      <c r="B99" s="37"/>
      <c r="C99" s="38"/>
      <c r="D99" s="37"/>
      <c r="E99" s="37"/>
      <c r="F99" s="37"/>
      <c r="G99" s="38"/>
      <c r="H99" s="20"/>
      <c r="I99" s="37"/>
      <c r="J99" s="37"/>
      <c r="K99" s="39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</row>
    <row r="100" spans="1:156" ht="20.25" customHeight="1" x14ac:dyDescent="0.25">
      <c r="A100" s="37"/>
      <c r="B100" s="37"/>
      <c r="C100" s="38"/>
      <c r="D100" s="37"/>
      <c r="E100" s="37"/>
      <c r="F100" s="37"/>
      <c r="G100" s="38"/>
      <c r="H100" s="20"/>
      <c r="I100" s="37"/>
      <c r="J100" s="37"/>
      <c r="K100" s="39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</row>
    <row r="101" spans="1:156" ht="20.25" customHeight="1" x14ac:dyDescent="0.25">
      <c r="A101" s="37"/>
      <c r="B101" s="37"/>
      <c r="C101" s="38"/>
      <c r="D101" s="37"/>
      <c r="E101" s="37"/>
      <c r="F101" s="37"/>
      <c r="G101" s="38"/>
      <c r="H101" s="20"/>
      <c r="I101" s="37"/>
      <c r="J101" s="37"/>
      <c r="K101" s="39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</row>
    <row r="102" spans="1:156" ht="20.25" customHeight="1" x14ac:dyDescent="0.25">
      <c r="A102" s="37"/>
      <c r="B102" s="37"/>
      <c r="C102" s="38"/>
      <c r="D102" s="37"/>
      <c r="E102" s="37"/>
      <c r="F102" s="37"/>
      <c r="G102" s="38"/>
      <c r="H102" s="20"/>
      <c r="I102" s="37"/>
      <c r="J102" s="37"/>
      <c r="K102" s="39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</row>
    <row r="103" spans="1:156" ht="20.25" customHeight="1" x14ac:dyDescent="0.25">
      <c r="A103" s="37"/>
      <c r="B103" s="37"/>
      <c r="C103" s="38"/>
      <c r="D103" s="37"/>
      <c r="E103" s="37"/>
      <c r="F103" s="37"/>
      <c r="G103" s="38"/>
      <c r="H103" s="20"/>
      <c r="I103" s="37"/>
      <c r="J103" s="37"/>
      <c r="K103" s="39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</row>
    <row r="104" spans="1:156" ht="20.25" customHeight="1" x14ac:dyDescent="0.25">
      <c r="A104" s="37"/>
      <c r="B104" s="37"/>
      <c r="C104" s="38"/>
      <c r="D104" s="37"/>
      <c r="E104" s="37"/>
      <c r="F104" s="37"/>
      <c r="G104" s="38"/>
      <c r="H104" s="20"/>
      <c r="I104" s="37"/>
      <c r="J104" s="37"/>
      <c r="K104" s="39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</row>
    <row r="105" spans="1:156" ht="20.25" customHeight="1" x14ac:dyDescent="0.25">
      <c r="A105" s="37"/>
      <c r="B105" s="37"/>
      <c r="C105" s="38"/>
      <c r="D105" s="37"/>
      <c r="E105" s="37"/>
      <c r="F105" s="37"/>
      <c r="G105" s="38"/>
      <c r="H105" s="20"/>
      <c r="I105" s="37"/>
      <c r="J105" s="37"/>
      <c r="K105" s="39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</row>
    <row r="106" spans="1:156" ht="20.25" customHeight="1" x14ac:dyDescent="0.25">
      <c r="A106" s="37"/>
      <c r="B106" s="37"/>
      <c r="C106" s="38"/>
      <c r="D106" s="37"/>
      <c r="E106" s="37"/>
      <c r="F106" s="37"/>
      <c r="G106" s="38"/>
      <c r="H106" s="20"/>
      <c r="I106" s="37"/>
      <c r="J106" s="37"/>
      <c r="K106" s="39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</row>
    <row r="107" spans="1:156" ht="20.25" customHeight="1" x14ac:dyDescent="0.25">
      <c r="A107" s="37"/>
      <c r="B107" s="37"/>
      <c r="C107" s="38"/>
      <c r="D107" s="37"/>
      <c r="E107" s="37"/>
      <c r="F107" s="37"/>
      <c r="G107" s="38"/>
      <c r="H107" s="20"/>
      <c r="I107" s="37"/>
      <c r="J107" s="37"/>
      <c r="K107" s="39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</row>
    <row r="108" spans="1:156" ht="20.25" customHeight="1" x14ac:dyDescent="0.25">
      <c r="A108" s="37"/>
      <c r="B108" s="37"/>
      <c r="C108" s="38"/>
      <c r="D108" s="37"/>
      <c r="E108" s="37"/>
      <c r="F108" s="37"/>
      <c r="G108" s="38"/>
      <c r="H108" s="20"/>
      <c r="I108" s="37"/>
      <c r="J108" s="37"/>
      <c r="K108" s="39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</row>
    <row r="109" spans="1:156" ht="20.25" customHeight="1" x14ac:dyDescent="0.25">
      <c r="A109" s="37"/>
      <c r="B109" s="37"/>
      <c r="C109" s="38"/>
      <c r="D109" s="37"/>
      <c r="E109" s="37"/>
      <c r="F109" s="37"/>
      <c r="G109" s="38"/>
      <c r="H109" s="20"/>
      <c r="I109" s="37"/>
      <c r="J109" s="37"/>
      <c r="K109" s="39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</row>
    <row r="110" spans="1:156" ht="20.25" customHeight="1" x14ac:dyDescent="0.25">
      <c r="A110" s="37"/>
      <c r="B110" s="37"/>
      <c r="C110" s="38"/>
      <c r="D110" s="37"/>
      <c r="E110" s="37"/>
      <c r="F110" s="37"/>
      <c r="G110" s="38"/>
      <c r="H110" s="20"/>
      <c r="I110" s="37"/>
      <c r="J110" s="37"/>
      <c r="K110" s="39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</row>
    <row r="111" spans="1:156" ht="20.25" customHeight="1" x14ac:dyDescent="0.25">
      <c r="A111" s="37"/>
      <c r="B111" s="37"/>
      <c r="C111" s="38"/>
      <c r="D111" s="37"/>
      <c r="E111" s="37"/>
      <c r="F111" s="37"/>
      <c r="G111" s="38"/>
      <c r="H111" s="20"/>
      <c r="I111" s="37"/>
      <c r="J111" s="37"/>
      <c r="K111" s="39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</row>
    <row r="112" spans="1:156" ht="20.25" customHeight="1" x14ac:dyDescent="0.25">
      <c r="A112" s="37"/>
      <c r="B112" s="37"/>
      <c r="C112" s="38"/>
      <c r="D112" s="37"/>
      <c r="E112" s="37"/>
      <c r="F112" s="37"/>
      <c r="G112" s="38"/>
      <c r="H112" s="20"/>
      <c r="I112" s="37"/>
      <c r="J112" s="37"/>
      <c r="K112" s="39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</row>
    <row r="113" spans="1:156" ht="20.25" customHeight="1" x14ac:dyDescent="0.25">
      <c r="A113" s="37"/>
      <c r="B113" s="37"/>
      <c r="C113" s="38"/>
      <c r="D113" s="37"/>
      <c r="E113" s="37"/>
      <c r="F113" s="37"/>
      <c r="G113" s="38"/>
      <c r="H113" s="20"/>
      <c r="I113" s="37"/>
      <c r="J113" s="37"/>
      <c r="K113" s="39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</row>
    <row r="114" spans="1:156" ht="20.25" customHeight="1" x14ac:dyDescent="0.25">
      <c r="A114" s="37"/>
      <c r="B114" s="37"/>
      <c r="C114" s="38"/>
      <c r="D114" s="37"/>
      <c r="E114" s="37"/>
      <c r="F114" s="37"/>
      <c r="G114" s="38"/>
      <c r="H114" s="20"/>
      <c r="I114" s="37"/>
      <c r="J114" s="37"/>
      <c r="K114" s="39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</row>
    <row r="115" spans="1:156" ht="20.25" customHeight="1" x14ac:dyDescent="0.25">
      <c r="A115" s="37"/>
      <c r="B115" s="37"/>
      <c r="C115" s="38"/>
      <c r="D115" s="37"/>
      <c r="E115" s="37"/>
      <c r="F115" s="37"/>
      <c r="G115" s="38"/>
      <c r="H115" s="20"/>
      <c r="I115" s="37"/>
      <c r="J115" s="37"/>
      <c r="K115" s="39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</row>
    <row r="116" spans="1:156" ht="20.25" customHeight="1" x14ac:dyDescent="0.25">
      <c r="A116" s="37"/>
      <c r="B116" s="37"/>
      <c r="C116" s="38"/>
      <c r="D116" s="37"/>
      <c r="E116" s="37"/>
      <c r="F116" s="37"/>
      <c r="G116" s="38"/>
      <c r="H116" s="20"/>
      <c r="I116" s="37"/>
      <c r="J116" s="37"/>
      <c r="K116" s="39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</row>
    <row r="117" spans="1:156" ht="20.25" customHeight="1" x14ac:dyDescent="0.25">
      <c r="A117" s="37"/>
      <c r="B117" s="37"/>
      <c r="C117" s="38"/>
      <c r="D117" s="37"/>
      <c r="E117" s="37"/>
      <c r="F117" s="37"/>
      <c r="G117" s="38"/>
      <c r="H117" s="20"/>
      <c r="I117" s="37"/>
      <c r="J117" s="37"/>
      <c r="K117" s="39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</row>
    <row r="118" spans="1:156" ht="20.25" customHeight="1" x14ac:dyDescent="0.25">
      <c r="A118" s="37"/>
      <c r="B118" s="37"/>
      <c r="C118" s="38"/>
      <c r="D118" s="37"/>
      <c r="E118" s="37"/>
      <c r="F118" s="37"/>
      <c r="G118" s="38"/>
      <c r="H118" s="20"/>
      <c r="I118" s="37"/>
      <c r="J118" s="37"/>
      <c r="K118" s="39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</row>
    <row r="119" spans="1:156" ht="20.25" customHeight="1" x14ac:dyDescent="0.25">
      <c r="A119" s="37"/>
      <c r="B119" s="37"/>
      <c r="C119" s="38"/>
      <c r="D119" s="37"/>
      <c r="E119" s="37"/>
      <c r="F119" s="37"/>
      <c r="G119" s="38"/>
      <c r="H119" s="20"/>
      <c r="I119" s="37"/>
      <c r="J119" s="37"/>
      <c r="K119" s="39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</row>
    <row r="120" spans="1:156" ht="20.25" customHeight="1" x14ac:dyDescent="0.25">
      <c r="A120" s="37"/>
      <c r="B120" s="37"/>
      <c r="C120" s="38"/>
      <c r="D120" s="37"/>
      <c r="E120" s="37"/>
      <c r="F120" s="37"/>
      <c r="G120" s="38"/>
      <c r="H120" s="20"/>
      <c r="I120" s="37"/>
      <c r="J120" s="37"/>
      <c r="K120" s="39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</row>
    <row r="121" spans="1:156" ht="20.25" customHeight="1" x14ac:dyDescent="0.25">
      <c r="A121" s="37"/>
      <c r="B121" s="37"/>
      <c r="C121" s="38"/>
      <c r="D121" s="37"/>
      <c r="E121" s="37"/>
      <c r="F121" s="37"/>
      <c r="G121" s="38"/>
      <c r="H121" s="20"/>
      <c r="I121" s="37"/>
      <c r="J121" s="37"/>
      <c r="K121" s="39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</row>
    <row r="122" spans="1:156" ht="20.25" customHeight="1" x14ac:dyDescent="0.25">
      <c r="A122" s="37"/>
      <c r="B122" s="37"/>
      <c r="C122" s="38"/>
      <c r="D122" s="37"/>
      <c r="E122" s="37"/>
      <c r="F122" s="37"/>
      <c r="G122" s="38"/>
      <c r="H122" s="20"/>
      <c r="I122" s="37"/>
      <c r="J122" s="37"/>
      <c r="K122" s="39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</row>
    <row r="123" spans="1:156" ht="20.25" customHeight="1" x14ac:dyDescent="0.25">
      <c r="A123" s="37"/>
      <c r="B123" s="37"/>
      <c r="C123" s="38"/>
      <c r="D123" s="37"/>
      <c r="E123" s="37"/>
      <c r="F123" s="37"/>
      <c r="G123" s="38"/>
      <c r="H123" s="20"/>
      <c r="I123" s="37"/>
      <c r="J123" s="37"/>
      <c r="K123" s="39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</row>
    <row r="124" spans="1:156" ht="20.25" customHeight="1" x14ac:dyDescent="0.25">
      <c r="A124" s="37"/>
      <c r="B124" s="37"/>
      <c r="C124" s="38"/>
      <c r="D124" s="37"/>
      <c r="E124" s="37"/>
      <c r="F124" s="37"/>
      <c r="G124" s="38"/>
      <c r="H124" s="20"/>
      <c r="I124" s="37"/>
      <c r="J124" s="37"/>
      <c r="K124" s="39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</row>
    <row r="125" spans="1:156" ht="20.25" customHeight="1" x14ac:dyDescent="0.25">
      <c r="A125" s="37"/>
      <c r="B125" s="37"/>
      <c r="C125" s="38"/>
      <c r="D125" s="37"/>
      <c r="E125" s="37"/>
      <c r="F125" s="37"/>
      <c r="G125" s="38"/>
      <c r="H125" s="20"/>
      <c r="I125" s="37"/>
      <c r="J125" s="37"/>
      <c r="K125" s="39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</row>
    <row r="126" spans="1:156" ht="20.25" customHeight="1" x14ac:dyDescent="0.25">
      <c r="A126" s="37"/>
      <c r="B126" s="37"/>
      <c r="C126" s="38"/>
      <c r="D126" s="37"/>
      <c r="E126" s="37"/>
      <c r="F126" s="37"/>
      <c r="G126" s="38"/>
      <c r="H126" s="20"/>
      <c r="I126" s="37"/>
      <c r="J126" s="37"/>
      <c r="K126" s="39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</row>
    <row r="127" spans="1:156" ht="20.25" customHeight="1" x14ac:dyDescent="0.25">
      <c r="A127" s="37"/>
      <c r="B127" s="37"/>
      <c r="C127" s="38"/>
      <c r="D127" s="37"/>
      <c r="E127" s="37"/>
      <c r="F127" s="37"/>
      <c r="G127" s="38"/>
      <c r="H127" s="20"/>
      <c r="I127" s="37"/>
      <c r="J127" s="37"/>
      <c r="K127" s="39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</row>
    <row r="128" spans="1:156" ht="20.25" customHeight="1" x14ac:dyDescent="0.25">
      <c r="A128" s="37"/>
      <c r="B128" s="37"/>
      <c r="C128" s="38"/>
      <c r="D128" s="37"/>
      <c r="E128" s="37"/>
      <c r="F128" s="37"/>
      <c r="G128" s="38"/>
      <c r="H128" s="20"/>
      <c r="I128" s="37"/>
      <c r="J128" s="37"/>
      <c r="K128" s="39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</row>
    <row r="129" spans="1:156" ht="20.25" customHeight="1" x14ac:dyDescent="0.25">
      <c r="A129" s="37"/>
      <c r="B129" s="37"/>
      <c r="C129" s="38"/>
      <c r="D129" s="37"/>
      <c r="E129" s="37"/>
      <c r="F129" s="37"/>
      <c r="G129" s="38"/>
      <c r="H129" s="20"/>
      <c r="I129" s="37"/>
      <c r="J129" s="37"/>
      <c r="K129" s="39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</row>
    <row r="130" spans="1:156" ht="20.25" customHeight="1" x14ac:dyDescent="0.25">
      <c r="A130" s="37"/>
      <c r="B130" s="37"/>
      <c r="C130" s="38"/>
      <c r="D130" s="37"/>
      <c r="E130" s="37"/>
      <c r="F130" s="37"/>
      <c r="G130" s="38"/>
      <c r="H130" s="20"/>
      <c r="I130" s="37"/>
      <c r="J130" s="37"/>
      <c r="K130" s="39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</row>
    <row r="131" spans="1:156" ht="20.25" customHeight="1" x14ac:dyDescent="0.25">
      <c r="A131" s="37"/>
      <c r="B131" s="37"/>
      <c r="C131" s="38"/>
      <c r="D131" s="37"/>
      <c r="E131" s="37"/>
      <c r="F131" s="37"/>
      <c r="G131" s="38"/>
      <c r="H131" s="20"/>
      <c r="I131" s="37"/>
      <c r="J131" s="37"/>
      <c r="K131" s="39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</row>
    <row r="132" spans="1:156" ht="20.25" customHeight="1" x14ac:dyDescent="0.25">
      <c r="A132" s="37"/>
      <c r="B132" s="37"/>
      <c r="C132" s="38"/>
      <c r="D132" s="37"/>
      <c r="E132" s="37"/>
      <c r="F132" s="37"/>
      <c r="G132" s="38"/>
      <c r="H132" s="20"/>
      <c r="I132" s="37"/>
      <c r="J132" s="37"/>
      <c r="K132" s="39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</row>
    <row r="133" spans="1:156" ht="20.25" customHeight="1" x14ac:dyDescent="0.25">
      <c r="A133" s="37"/>
      <c r="B133" s="37"/>
      <c r="C133" s="38"/>
      <c r="D133" s="37"/>
      <c r="E133" s="37"/>
      <c r="F133" s="37"/>
      <c r="G133" s="38"/>
      <c r="H133" s="20"/>
      <c r="I133" s="37"/>
      <c r="J133" s="37"/>
      <c r="K133" s="39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</row>
    <row r="134" spans="1:156" ht="20.25" customHeight="1" x14ac:dyDescent="0.25">
      <c r="A134" s="37"/>
      <c r="B134" s="37"/>
      <c r="C134" s="38"/>
      <c r="D134" s="37"/>
      <c r="E134" s="37"/>
      <c r="F134" s="37"/>
      <c r="G134" s="38"/>
      <c r="H134" s="20"/>
      <c r="I134" s="37"/>
      <c r="J134" s="37"/>
      <c r="K134" s="39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</row>
    <row r="135" spans="1:156" ht="20.25" customHeight="1" x14ac:dyDescent="0.25">
      <c r="A135" s="37"/>
      <c r="B135" s="37"/>
      <c r="C135" s="38"/>
      <c r="D135" s="37"/>
      <c r="E135" s="37"/>
      <c r="F135" s="37"/>
      <c r="G135" s="38"/>
      <c r="H135" s="20"/>
      <c r="I135" s="37"/>
      <c r="J135" s="37"/>
      <c r="K135" s="39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</row>
    <row r="136" spans="1:156" ht="20.25" customHeight="1" x14ac:dyDescent="0.25">
      <c r="A136" s="37"/>
      <c r="B136" s="37"/>
      <c r="C136" s="38"/>
      <c r="D136" s="37"/>
      <c r="E136" s="37"/>
      <c r="F136" s="37"/>
      <c r="G136" s="38"/>
      <c r="H136" s="20"/>
      <c r="I136" s="37"/>
      <c r="J136" s="37"/>
      <c r="K136" s="39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</row>
    <row r="137" spans="1:156" ht="20.25" customHeight="1" x14ac:dyDescent="0.25">
      <c r="A137" s="37"/>
      <c r="B137" s="37"/>
      <c r="C137" s="38"/>
      <c r="D137" s="37"/>
      <c r="E137" s="37"/>
      <c r="F137" s="37"/>
      <c r="G137" s="38"/>
      <c r="H137" s="20"/>
      <c r="I137" s="37"/>
      <c r="J137" s="37"/>
      <c r="K137" s="39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</row>
    <row r="138" spans="1:156" ht="20.25" customHeight="1" x14ac:dyDescent="0.25">
      <c r="A138" s="37"/>
      <c r="B138" s="37"/>
      <c r="C138" s="38"/>
      <c r="D138" s="37"/>
      <c r="E138" s="37"/>
      <c r="F138" s="37"/>
      <c r="G138" s="38"/>
      <c r="H138" s="20"/>
      <c r="I138" s="37"/>
      <c r="J138" s="37"/>
      <c r="K138" s="39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</row>
    <row r="139" spans="1:156" ht="20.25" customHeight="1" x14ac:dyDescent="0.25">
      <c r="A139" s="37"/>
      <c r="B139" s="37"/>
      <c r="C139" s="38"/>
      <c r="D139" s="37"/>
      <c r="E139" s="37"/>
      <c r="F139" s="37"/>
      <c r="G139" s="38"/>
      <c r="H139" s="20"/>
      <c r="I139" s="37"/>
      <c r="J139" s="37"/>
      <c r="K139" s="39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</row>
    <row r="140" spans="1:156" ht="20.25" customHeight="1" x14ac:dyDescent="0.25">
      <c r="A140" s="37"/>
      <c r="B140" s="37"/>
      <c r="C140" s="38"/>
      <c r="D140" s="37"/>
      <c r="E140" s="37"/>
      <c r="F140" s="37"/>
      <c r="G140" s="38"/>
      <c r="H140" s="20"/>
      <c r="I140" s="37"/>
      <c r="J140" s="37"/>
      <c r="K140" s="39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</row>
    <row r="141" spans="1:156" ht="20.25" customHeight="1" x14ac:dyDescent="0.25">
      <c r="A141" s="37"/>
      <c r="B141" s="37"/>
      <c r="C141" s="38"/>
      <c r="D141" s="37"/>
      <c r="E141" s="37"/>
      <c r="F141" s="37"/>
      <c r="G141" s="38"/>
      <c r="H141" s="20"/>
      <c r="I141" s="37"/>
      <c r="J141" s="37"/>
      <c r="K141" s="39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</row>
    <row r="142" spans="1:156" ht="20.25" customHeight="1" x14ac:dyDescent="0.25">
      <c r="A142" s="37"/>
      <c r="B142" s="37"/>
      <c r="C142" s="38"/>
      <c r="D142" s="37"/>
      <c r="E142" s="37"/>
      <c r="F142" s="37"/>
      <c r="G142" s="38"/>
      <c r="H142" s="20"/>
      <c r="I142" s="37"/>
      <c r="J142" s="37"/>
      <c r="K142" s="39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</row>
    <row r="143" spans="1:156" ht="20.25" customHeight="1" x14ac:dyDescent="0.25">
      <c r="A143" s="37"/>
      <c r="B143" s="37"/>
      <c r="C143" s="38"/>
      <c r="D143" s="37"/>
      <c r="E143" s="37"/>
      <c r="F143" s="37"/>
      <c r="G143" s="38"/>
      <c r="H143" s="20"/>
      <c r="I143" s="37"/>
      <c r="J143" s="37"/>
      <c r="K143" s="39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</row>
    <row r="144" spans="1:156" ht="20.25" customHeight="1" x14ac:dyDescent="0.25">
      <c r="A144" s="37"/>
      <c r="B144" s="37"/>
      <c r="C144" s="38"/>
      <c r="D144" s="37"/>
      <c r="E144" s="37"/>
      <c r="F144" s="37"/>
      <c r="G144" s="38"/>
      <c r="H144" s="20"/>
      <c r="I144" s="37"/>
      <c r="J144" s="37"/>
      <c r="K144" s="39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</row>
    <row r="145" spans="1:156" ht="20.25" customHeight="1" x14ac:dyDescent="0.25">
      <c r="A145" s="37"/>
      <c r="B145" s="37"/>
      <c r="C145" s="38"/>
      <c r="D145" s="37"/>
      <c r="E145" s="37"/>
      <c r="F145" s="37"/>
      <c r="G145" s="38"/>
      <c r="H145" s="20"/>
      <c r="I145" s="37"/>
      <c r="J145" s="37"/>
      <c r="K145" s="39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</row>
    <row r="146" spans="1:156" ht="20.25" customHeight="1" x14ac:dyDescent="0.25">
      <c r="A146" s="37"/>
      <c r="B146" s="37"/>
      <c r="C146" s="38"/>
      <c r="D146" s="37"/>
      <c r="E146" s="37"/>
      <c r="F146" s="37"/>
      <c r="G146" s="38"/>
      <c r="H146" s="20"/>
      <c r="I146" s="37"/>
      <c r="J146" s="37"/>
      <c r="K146" s="39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</row>
    <row r="147" spans="1:156" ht="20.25" customHeight="1" x14ac:dyDescent="0.25">
      <c r="A147" s="37"/>
      <c r="B147" s="37"/>
      <c r="C147" s="38"/>
      <c r="D147" s="37"/>
      <c r="E147" s="37"/>
      <c r="F147" s="37"/>
      <c r="G147" s="38"/>
      <c r="H147" s="20"/>
      <c r="I147" s="37"/>
      <c r="J147" s="37"/>
      <c r="K147" s="39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</row>
    <row r="148" spans="1:156" ht="20.25" customHeight="1" x14ac:dyDescent="0.25">
      <c r="A148" s="37"/>
      <c r="B148" s="37"/>
      <c r="C148" s="38"/>
      <c r="D148" s="37"/>
      <c r="E148" s="37"/>
      <c r="F148" s="37"/>
      <c r="G148" s="38"/>
      <c r="H148" s="20"/>
      <c r="I148" s="37"/>
      <c r="J148" s="37"/>
      <c r="K148" s="39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</row>
    <row r="149" spans="1:156" ht="20.25" customHeight="1" x14ac:dyDescent="0.25">
      <c r="A149" s="37"/>
      <c r="B149" s="37"/>
      <c r="C149" s="38"/>
      <c r="D149" s="37"/>
      <c r="E149" s="37"/>
      <c r="F149" s="37"/>
      <c r="G149" s="38"/>
      <c r="H149" s="20"/>
      <c r="I149" s="37"/>
      <c r="J149" s="37"/>
      <c r="K149" s="39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</row>
    <row r="150" spans="1:156" ht="20.25" customHeight="1" x14ac:dyDescent="0.25">
      <c r="A150" s="37"/>
      <c r="B150" s="37"/>
      <c r="C150" s="38"/>
      <c r="D150" s="37"/>
      <c r="E150" s="37"/>
      <c r="F150" s="37"/>
      <c r="G150" s="38"/>
      <c r="H150" s="20"/>
      <c r="I150" s="37"/>
      <c r="J150" s="37"/>
      <c r="K150" s="39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</row>
    <row r="151" spans="1:156" ht="20.25" customHeight="1" x14ac:dyDescent="0.25">
      <c r="A151" s="37"/>
      <c r="B151" s="37"/>
      <c r="C151" s="38"/>
      <c r="D151" s="37"/>
      <c r="E151" s="37"/>
      <c r="F151" s="37"/>
      <c r="G151" s="38"/>
      <c r="H151" s="20"/>
      <c r="I151" s="37"/>
      <c r="J151" s="37"/>
      <c r="K151" s="39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</row>
    <row r="152" spans="1:156" ht="20.25" customHeight="1" x14ac:dyDescent="0.25">
      <c r="A152" s="37"/>
      <c r="B152" s="37"/>
      <c r="C152" s="38"/>
      <c r="D152" s="37"/>
      <c r="E152" s="37"/>
      <c r="F152" s="37"/>
      <c r="G152" s="38"/>
      <c r="H152" s="20"/>
      <c r="I152" s="37"/>
      <c r="J152" s="37"/>
      <c r="K152" s="39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</row>
    <row r="153" spans="1:156" ht="20.25" customHeight="1" x14ac:dyDescent="0.25">
      <c r="A153" s="37"/>
      <c r="B153" s="37"/>
      <c r="C153" s="38"/>
      <c r="D153" s="37"/>
      <c r="E153" s="37"/>
      <c r="F153" s="37"/>
      <c r="G153" s="38"/>
      <c r="H153" s="20"/>
      <c r="I153" s="37"/>
      <c r="J153" s="37"/>
      <c r="K153" s="39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</row>
    <row r="154" spans="1:156" ht="20.25" customHeight="1" x14ac:dyDescent="0.25">
      <c r="A154" s="37"/>
      <c r="B154" s="37"/>
      <c r="C154" s="38"/>
      <c r="D154" s="37"/>
      <c r="E154" s="37"/>
      <c r="F154" s="37"/>
      <c r="G154" s="38"/>
      <c r="H154" s="20"/>
      <c r="I154" s="37"/>
      <c r="J154" s="37"/>
      <c r="K154" s="39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</row>
    <row r="155" spans="1:156" ht="20.25" customHeight="1" x14ac:dyDescent="0.25">
      <c r="A155" s="37"/>
      <c r="B155" s="37"/>
      <c r="C155" s="38"/>
      <c r="D155" s="37"/>
      <c r="E155" s="37"/>
      <c r="F155" s="37"/>
      <c r="G155" s="38"/>
      <c r="H155" s="20"/>
      <c r="I155" s="37"/>
      <c r="J155" s="37"/>
      <c r="K155" s="39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</row>
    <row r="156" spans="1:156" ht="20.25" customHeight="1" x14ac:dyDescent="0.25">
      <c r="A156" s="37"/>
      <c r="B156" s="37"/>
      <c r="C156" s="38"/>
      <c r="D156" s="37"/>
      <c r="E156" s="37"/>
      <c r="F156" s="37"/>
      <c r="G156" s="38"/>
      <c r="H156" s="20"/>
      <c r="I156" s="37"/>
      <c r="J156" s="37"/>
      <c r="K156" s="39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</row>
    <row r="157" spans="1:156" ht="20.25" customHeight="1" x14ac:dyDescent="0.25">
      <c r="A157" s="37"/>
      <c r="B157" s="37"/>
      <c r="C157" s="38"/>
      <c r="D157" s="37"/>
      <c r="E157" s="37"/>
      <c r="F157" s="37"/>
      <c r="G157" s="38"/>
      <c r="H157" s="20"/>
      <c r="I157" s="37"/>
      <c r="J157" s="37"/>
      <c r="K157" s="39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</row>
    <row r="158" spans="1:156" ht="20.25" customHeight="1" x14ac:dyDescent="0.25">
      <c r="A158" s="37"/>
      <c r="B158" s="37"/>
      <c r="C158" s="38"/>
      <c r="D158" s="37"/>
      <c r="E158" s="37"/>
      <c r="F158" s="37"/>
      <c r="G158" s="38"/>
      <c r="H158" s="20"/>
      <c r="I158" s="37"/>
      <c r="J158" s="37"/>
      <c r="K158" s="39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</row>
    <row r="159" spans="1:156" ht="20.25" customHeight="1" x14ac:dyDescent="0.25">
      <c r="A159" s="37"/>
      <c r="B159" s="37"/>
      <c r="C159" s="38"/>
      <c r="D159" s="37"/>
      <c r="E159" s="37"/>
      <c r="F159" s="37"/>
      <c r="G159" s="38"/>
      <c r="H159" s="20"/>
      <c r="I159" s="37"/>
      <c r="J159" s="37"/>
      <c r="K159" s="39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</row>
    <row r="160" spans="1:156" ht="20.25" customHeight="1" x14ac:dyDescent="0.25">
      <c r="A160" s="37"/>
      <c r="B160" s="37"/>
      <c r="C160" s="38"/>
      <c r="D160" s="37"/>
      <c r="E160" s="37"/>
      <c r="F160" s="37"/>
      <c r="G160" s="38"/>
      <c r="H160" s="20"/>
      <c r="I160" s="37"/>
      <c r="J160" s="37"/>
      <c r="K160" s="39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</row>
    <row r="161" spans="1:156" ht="20.25" customHeight="1" x14ac:dyDescent="0.25">
      <c r="A161" s="37"/>
      <c r="B161" s="37"/>
      <c r="C161" s="38"/>
      <c r="D161" s="37"/>
      <c r="E161" s="37"/>
      <c r="F161" s="37"/>
      <c r="G161" s="38"/>
      <c r="H161" s="20"/>
      <c r="I161" s="37"/>
      <c r="J161" s="37"/>
      <c r="K161" s="39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</row>
    <row r="162" spans="1:156" ht="20.25" customHeight="1" x14ac:dyDescent="0.25">
      <c r="A162" s="37"/>
      <c r="B162" s="37"/>
      <c r="C162" s="38"/>
      <c r="D162" s="37"/>
      <c r="E162" s="37"/>
      <c r="F162" s="37"/>
      <c r="G162" s="38"/>
      <c r="H162" s="20"/>
      <c r="I162" s="37"/>
      <c r="J162" s="37"/>
      <c r="K162" s="39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</row>
    <row r="163" spans="1:156" ht="20.25" customHeight="1" x14ac:dyDescent="0.25">
      <c r="A163" s="37"/>
      <c r="B163" s="37"/>
      <c r="C163" s="38"/>
      <c r="D163" s="37"/>
      <c r="E163" s="37"/>
      <c r="F163" s="37"/>
      <c r="G163" s="38"/>
      <c r="H163" s="20"/>
      <c r="I163" s="37"/>
      <c r="J163" s="37"/>
      <c r="K163" s="39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</row>
    <row r="164" spans="1:156" ht="20.25" customHeight="1" x14ac:dyDescent="0.25">
      <c r="A164" s="37"/>
      <c r="B164" s="37"/>
      <c r="C164" s="38"/>
      <c r="D164" s="37"/>
      <c r="E164" s="37"/>
      <c r="F164" s="37"/>
      <c r="G164" s="38"/>
      <c r="H164" s="20"/>
      <c r="I164" s="37"/>
      <c r="J164" s="37"/>
      <c r="K164" s="39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</row>
    <row r="165" spans="1:156" ht="20.25" customHeight="1" x14ac:dyDescent="0.25">
      <c r="A165" s="37"/>
      <c r="B165" s="37"/>
      <c r="C165" s="38"/>
      <c r="D165" s="37"/>
      <c r="E165" s="37"/>
      <c r="F165" s="37"/>
      <c r="G165" s="38"/>
      <c r="H165" s="20"/>
      <c r="I165" s="37"/>
      <c r="J165" s="37"/>
      <c r="K165" s="39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</row>
    <row r="166" spans="1:156" ht="20.25" customHeight="1" x14ac:dyDescent="0.25">
      <c r="A166" s="37"/>
      <c r="B166" s="37"/>
      <c r="C166" s="38"/>
      <c r="D166" s="37"/>
      <c r="E166" s="37"/>
      <c r="F166" s="37"/>
      <c r="G166" s="38"/>
      <c r="H166" s="20"/>
      <c r="I166" s="37"/>
      <c r="J166" s="37"/>
      <c r="K166" s="39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</row>
    <row r="167" spans="1:156" ht="20.25" customHeight="1" x14ac:dyDescent="0.25">
      <c r="A167" s="37"/>
      <c r="B167" s="37"/>
      <c r="C167" s="38"/>
      <c r="D167" s="37"/>
      <c r="E167" s="37"/>
      <c r="F167" s="37"/>
      <c r="G167" s="38"/>
      <c r="H167" s="20"/>
      <c r="I167" s="37"/>
      <c r="J167" s="37"/>
      <c r="K167" s="39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</row>
    <row r="168" spans="1:156" ht="20.25" customHeight="1" x14ac:dyDescent="0.25">
      <c r="A168" s="37"/>
      <c r="B168" s="37"/>
      <c r="C168" s="38"/>
      <c r="D168" s="37"/>
      <c r="E168" s="37"/>
      <c r="F168" s="37"/>
      <c r="G168" s="38"/>
      <c r="H168" s="20"/>
      <c r="I168" s="37"/>
      <c r="J168" s="37"/>
      <c r="K168" s="39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</row>
    <row r="169" spans="1:156" ht="20.25" customHeight="1" x14ac:dyDescent="0.25">
      <c r="A169" s="37"/>
      <c r="B169" s="37"/>
      <c r="C169" s="38"/>
      <c r="D169" s="37"/>
      <c r="E169" s="37"/>
      <c r="F169" s="37"/>
      <c r="G169" s="38"/>
      <c r="H169" s="20"/>
      <c r="I169" s="37"/>
      <c r="J169" s="37"/>
      <c r="K169" s="39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</row>
    <row r="170" spans="1:156" ht="20.25" customHeight="1" x14ac:dyDescent="0.25">
      <c r="A170" s="37"/>
      <c r="B170" s="37"/>
      <c r="C170" s="38"/>
      <c r="D170" s="37"/>
      <c r="E170" s="37"/>
      <c r="F170" s="37"/>
      <c r="G170" s="38"/>
      <c r="H170" s="20"/>
      <c r="I170" s="37"/>
      <c r="J170" s="37"/>
      <c r="K170" s="39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</row>
    <row r="171" spans="1:156" ht="20.25" customHeight="1" x14ac:dyDescent="0.25">
      <c r="A171" s="37"/>
      <c r="B171" s="37"/>
      <c r="C171" s="38"/>
      <c r="D171" s="37"/>
      <c r="E171" s="37"/>
      <c r="F171" s="37"/>
      <c r="G171" s="38"/>
      <c r="H171" s="20"/>
      <c r="I171" s="37"/>
      <c r="J171" s="37"/>
      <c r="K171" s="39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</row>
    <row r="172" spans="1:156" ht="20.25" customHeight="1" x14ac:dyDescent="0.25">
      <c r="A172" s="37"/>
      <c r="B172" s="37"/>
      <c r="C172" s="38"/>
      <c r="D172" s="37"/>
      <c r="E172" s="37"/>
      <c r="F172" s="37"/>
      <c r="G172" s="38"/>
      <c r="H172" s="20"/>
      <c r="I172" s="37"/>
      <c r="J172" s="37"/>
      <c r="K172" s="39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</row>
    <row r="173" spans="1:156" ht="20.25" customHeight="1" x14ac:dyDescent="0.25">
      <c r="A173" s="37"/>
      <c r="B173" s="37"/>
      <c r="C173" s="38"/>
      <c r="D173" s="37"/>
      <c r="E173" s="37"/>
      <c r="F173" s="37"/>
      <c r="G173" s="38"/>
      <c r="H173" s="20"/>
      <c r="I173" s="37"/>
      <c r="J173" s="37"/>
      <c r="K173" s="39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</row>
    <row r="174" spans="1:156" ht="20.25" customHeight="1" x14ac:dyDescent="0.25">
      <c r="A174" s="37"/>
      <c r="B174" s="37"/>
      <c r="C174" s="38"/>
      <c r="D174" s="37"/>
      <c r="E174" s="37"/>
      <c r="F174" s="37"/>
      <c r="G174" s="38"/>
      <c r="H174" s="20"/>
      <c r="I174" s="37"/>
      <c r="J174" s="37"/>
      <c r="K174" s="39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</row>
    <row r="175" spans="1:156" ht="20.25" customHeight="1" x14ac:dyDescent="0.25">
      <c r="A175" s="37"/>
      <c r="B175" s="37"/>
      <c r="C175" s="38"/>
      <c r="D175" s="37"/>
      <c r="E175" s="37"/>
      <c r="F175" s="37"/>
      <c r="G175" s="38"/>
      <c r="H175" s="20"/>
      <c r="I175" s="37"/>
      <c r="J175" s="37"/>
      <c r="K175" s="39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</row>
    <row r="176" spans="1:156" ht="20.25" customHeight="1" x14ac:dyDescent="0.25">
      <c r="A176" s="37"/>
      <c r="B176" s="37"/>
      <c r="C176" s="38"/>
      <c r="D176" s="37"/>
      <c r="E176" s="37"/>
      <c r="F176" s="37"/>
      <c r="G176" s="38"/>
      <c r="H176" s="20"/>
      <c r="I176" s="37"/>
      <c r="J176" s="37"/>
      <c r="K176" s="39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</row>
    <row r="177" spans="1:156" ht="20.25" customHeight="1" x14ac:dyDescent="0.25">
      <c r="A177" s="37"/>
      <c r="B177" s="37"/>
      <c r="C177" s="38"/>
      <c r="D177" s="37"/>
      <c r="E177" s="37"/>
      <c r="F177" s="37"/>
      <c r="G177" s="38"/>
      <c r="H177" s="20"/>
      <c r="I177" s="37"/>
      <c r="J177" s="37"/>
      <c r="K177" s="39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</row>
    <row r="178" spans="1:156" ht="20.25" customHeight="1" x14ac:dyDescent="0.25">
      <c r="A178" s="37"/>
      <c r="B178" s="37"/>
      <c r="C178" s="38"/>
      <c r="D178" s="37"/>
      <c r="E178" s="37"/>
      <c r="F178" s="37"/>
      <c r="G178" s="38"/>
      <c r="H178" s="20"/>
      <c r="I178" s="37"/>
      <c r="J178" s="37"/>
      <c r="K178" s="39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</row>
    <row r="179" spans="1:156" ht="20.25" customHeight="1" x14ac:dyDescent="0.25">
      <c r="A179" s="37"/>
      <c r="B179" s="37"/>
      <c r="C179" s="38"/>
      <c r="D179" s="37"/>
      <c r="E179" s="37"/>
      <c r="F179" s="37"/>
      <c r="G179" s="38"/>
      <c r="H179" s="20"/>
      <c r="I179" s="37"/>
      <c r="J179" s="37"/>
      <c r="K179" s="39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</row>
    <row r="180" spans="1:156" ht="20.25" customHeight="1" x14ac:dyDescent="0.25">
      <c r="A180" s="37"/>
      <c r="B180" s="37"/>
      <c r="C180" s="38"/>
      <c r="D180" s="37"/>
      <c r="E180" s="37"/>
      <c r="F180" s="37"/>
      <c r="G180" s="38"/>
      <c r="H180" s="20"/>
      <c r="I180" s="37"/>
      <c r="J180" s="37"/>
      <c r="K180" s="39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</row>
    <row r="181" spans="1:156" ht="20.25" customHeight="1" x14ac:dyDescent="0.25">
      <c r="A181" s="37"/>
      <c r="B181" s="37"/>
      <c r="C181" s="38"/>
      <c r="D181" s="37"/>
      <c r="E181" s="37"/>
      <c r="F181" s="37"/>
      <c r="G181" s="38"/>
      <c r="H181" s="20"/>
      <c r="I181" s="37"/>
      <c r="J181" s="37"/>
      <c r="K181" s="39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</row>
    <row r="182" spans="1:156" ht="20.25" customHeight="1" x14ac:dyDescent="0.25">
      <c r="A182" s="37"/>
      <c r="B182" s="37"/>
      <c r="C182" s="38"/>
      <c r="D182" s="37"/>
      <c r="E182" s="37"/>
      <c r="F182" s="37"/>
      <c r="G182" s="38"/>
      <c r="H182" s="20"/>
      <c r="I182" s="37"/>
      <c r="J182" s="37"/>
      <c r="K182" s="39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</row>
    <row r="183" spans="1:156" ht="20.25" customHeight="1" x14ac:dyDescent="0.25">
      <c r="A183" s="37"/>
      <c r="B183" s="37"/>
      <c r="C183" s="38"/>
      <c r="D183" s="37"/>
      <c r="E183" s="37"/>
      <c r="F183" s="37"/>
      <c r="G183" s="38"/>
      <c r="H183" s="20"/>
      <c r="I183" s="37"/>
      <c r="J183" s="37"/>
      <c r="K183" s="39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</row>
    <row r="184" spans="1:156" ht="20.25" customHeight="1" x14ac:dyDescent="0.25">
      <c r="A184" s="37"/>
      <c r="B184" s="37"/>
      <c r="C184" s="38"/>
      <c r="D184" s="37"/>
      <c r="E184" s="37"/>
      <c r="F184" s="37"/>
      <c r="G184" s="38"/>
      <c r="H184" s="20"/>
      <c r="I184" s="37"/>
      <c r="J184" s="37"/>
      <c r="K184" s="39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</row>
    <row r="185" spans="1:156" ht="20.25" customHeight="1" x14ac:dyDescent="0.25">
      <c r="A185" s="37"/>
      <c r="B185" s="37"/>
      <c r="C185" s="38"/>
      <c r="D185" s="37"/>
      <c r="E185" s="37"/>
      <c r="F185" s="37"/>
      <c r="G185" s="38"/>
      <c r="H185" s="20"/>
      <c r="I185" s="37"/>
      <c r="J185" s="37"/>
      <c r="K185" s="39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</row>
    <row r="186" spans="1:156" ht="20.25" customHeight="1" x14ac:dyDescent="0.25">
      <c r="A186" s="37"/>
      <c r="B186" s="37"/>
      <c r="C186" s="38"/>
      <c r="D186" s="37"/>
      <c r="E186" s="37"/>
      <c r="F186" s="37"/>
      <c r="G186" s="38"/>
      <c r="H186" s="20"/>
      <c r="I186" s="37"/>
      <c r="J186" s="37"/>
      <c r="K186" s="39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</row>
    <row r="187" spans="1:156" ht="20.25" customHeight="1" x14ac:dyDescent="0.25">
      <c r="A187" s="37"/>
      <c r="B187" s="37"/>
      <c r="C187" s="38"/>
      <c r="D187" s="37"/>
      <c r="E187" s="37"/>
      <c r="F187" s="37"/>
      <c r="G187" s="38"/>
      <c r="H187" s="20"/>
      <c r="I187" s="37"/>
      <c r="J187" s="37"/>
      <c r="K187" s="39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</row>
    <row r="188" spans="1:156" ht="20.25" customHeight="1" x14ac:dyDescent="0.25">
      <c r="A188" s="37"/>
      <c r="B188" s="37"/>
      <c r="C188" s="38"/>
      <c r="D188" s="37"/>
      <c r="E188" s="37"/>
      <c r="F188" s="37"/>
      <c r="G188" s="38"/>
      <c r="H188" s="20"/>
      <c r="I188" s="37"/>
      <c r="J188" s="37"/>
      <c r="K188" s="39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</row>
    <row r="189" spans="1:156" ht="20.25" customHeight="1" x14ac:dyDescent="0.25">
      <c r="A189" s="37"/>
      <c r="B189" s="37"/>
      <c r="C189" s="38"/>
      <c r="D189" s="37"/>
      <c r="E189" s="37"/>
      <c r="F189" s="37"/>
      <c r="G189" s="38"/>
      <c r="H189" s="20"/>
      <c r="I189" s="37"/>
      <c r="J189" s="37"/>
      <c r="K189" s="39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</row>
    <row r="190" spans="1:156" ht="20.25" customHeight="1" x14ac:dyDescent="0.25">
      <c r="A190" s="37"/>
      <c r="B190" s="37"/>
      <c r="C190" s="38"/>
      <c r="D190" s="37"/>
      <c r="E190" s="37"/>
      <c r="F190" s="37"/>
      <c r="G190" s="38"/>
      <c r="H190" s="20"/>
      <c r="I190" s="37"/>
      <c r="J190" s="37"/>
      <c r="K190" s="39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</row>
    <row r="191" spans="1:156" ht="20.25" customHeight="1" x14ac:dyDescent="0.25">
      <c r="A191" s="37"/>
      <c r="B191" s="37"/>
      <c r="C191" s="38"/>
      <c r="D191" s="37"/>
      <c r="E191" s="37"/>
      <c r="F191" s="37"/>
      <c r="G191" s="38"/>
      <c r="H191" s="20"/>
      <c r="I191" s="37"/>
      <c r="J191" s="37"/>
      <c r="K191" s="39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</row>
    <row r="192" spans="1:156" ht="20.25" customHeight="1" x14ac:dyDescent="0.25">
      <c r="A192" s="37"/>
      <c r="B192" s="37"/>
      <c r="C192" s="38"/>
      <c r="D192" s="37"/>
      <c r="E192" s="37"/>
      <c r="F192" s="37"/>
      <c r="G192" s="38"/>
      <c r="H192" s="20"/>
      <c r="I192" s="37"/>
      <c r="J192" s="37"/>
      <c r="K192" s="39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</row>
    <row r="193" spans="1:156" ht="20.25" customHeight="1" x14ac:dyDescent="0.25">
      <c r="A193" s="37"/>
      <c r="B193" s="37"/>
      <c r="C193" s="38"/>
      <c r="D193" s="37"/>
      <c r="E193" s="37"/>
      <c r="F193" s="37"/>
      <c r="G193" s="38"/>
      <c r="H193" s="20"/>
      <c r="I193" s="37"/>
      <c r="J193" s="37"/>
      <c r="K193" s="39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</row>
    <row r="194" spans="1:156" ht="20.25" customHeight="1" x14ac:dyDescent="0.25">
      <c r="A194" s="37"/>
      <c r="B194" s="37"/>
      <c r="C194" s="38"/>
      <c r="D194" s="37"/>
      <c r="E194" s="37"/>
      <c r="F194" s="37"/>
      <c r="G194" s="38"/>
      <c r="H194" s="20"/>
      <c r="I194" s="37"/>
      <c r="J194" s="37"/>
      <c r="K194" s="39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</row>
    <row r="195" spans="1:156" ht="20.25" customHeight="1" x14ac:dyDescent="0.25">
      <c r="A195" s="37"/>
      <c r="B195" s="37"/>
      <c r="C195" s="38"/>
      <c r="D195" s="37"/>
      <c r="E195" s="37"/>
      <c r="F195" s="37"/>
      <c r="G195" s="38"/>
      <c r="H195" s="20"/>
      <c r="I195" s="37"/>
      <c r="J195" s="37"/>
      <c r="K195" s="39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</row>
    <row r="196" spans="1:156" ht="20.25" customHeight="1" x14ac:dyDescent="0.25">
      <c r="A196" s="37"/>
      <c r="B196" s="37"/>
      <c r="C196" s="38"/>
      <c r="D196" s="37"/>
      <c r="E196" s="37"/>
      <c r="F196" s="37"/>
      <c r="G196" s="38"/>
      <c r="H196" s="20"/>
      <c r="I196" s="37"/>
      <c r="J196" s="37"/>
      <c r="K196" s="39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</row>
    <row r="197" spans="1:156" ht="20.25" customHeight="1" x14ac:dyDescent="0.25">
      <c r="A197" s="37"/>
      <c r="B197" s="37"/>
      <c r="C197" s="38"/>
      <c r="D197" s="37"/>
      <c r="E197" s="37"/>
      <c r="F197" s="37"/>
      <c r="G197" s="38"/>
      <c r="H197" s="20"/>
      <c r="I197" s="37"/>
      <c r="J197" s="37"/>
      <c r="K197" s="39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</row>
    <row r="198" spans="1:156" ht="20.25" customHeight="1" x14ac:dyDescent="0.25">
      <c r="A198" s="37"/>
      <c r="B198" s="37"/>
      <c r="C198" s="38"/>
      <c r="D198" s="37"/>
      <c r="E198" s="37"/>
      <c r="F198" s="37"/>
      <c r="G198" s="38"/>
      <c r="H198" s="20"/>
      <c r="I198" s="37"/>
      <c r="J198" s="37"/>
      <c r="K198" s="39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</row>
    <row r="199" spans="1:156" ht="20.25" customHeight="1" x14ac:dyDescent="0.25">
      <c r="A199" s="37"/>
      <c r="B199" s="37"/>
      <c r="C199" s="38"/>
      <c r="D199" s="37"/>
      <c r="E199" s="37"/>
      <c r="F199" s="37"/>
      <c r="G199" s="38"/>
      <c r="H199" s="20"/>
      <c r="I199" s="37"/>
      <c r="J199" s="37"/>
      <c r="K199" s="39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</row>
    <row r="200" spans="1:156" ht="20.25" customHeight="1" x14ac:dyDescent="0.25">
      <c r="A200" s="37"/>
      <c r="B200" s="37"/>
      <c r="C200" s="38"/>
      <c r="D200" s="37"/>
      <c r="E200" s="37"/>
      <c r="F200" s="37"/>
      <c r="G200" s="38"/>
      <c r="H200" s="20"/>
      <c r="I200" s="37"/>
      <c r="J200" s="37"/>
      <c r="K200" s="39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</row>
    <row r="201" spans="1:156" ht="20.25" customHeight="1" x14ac:dyDescent="0.25">
      <c r="A201" s="37"/>
      <c r="B201" s="37"/>
      <c r="C201" s="38"/>
      <c r="D201" s="37"/>
      <c r="E201" s="37"/>
      <c r="F201" s="37"/>
      <c r="G201" s="38"/>
      <c r="H201" s="20"/>
      <c r="I201" s="37"/>
      <c r="J201" s="37"/>
      <c r="K201" s="39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</row>
    <row r="202" spans="1:156" ht="20.25" customHeight="1" x14ac:dyDescent="0.25">
      <c r="A202" s="37"/>
      <c r="B202" s="37"/>
      <c r="C202" s="38"/>
      <c r="D202" s="37"/>
      <c r="E202" s="37"/>
      <c r="F202" s="37"/>
      <c r="G202" s="38"/>
      <c r="H202" s="20"/>
      <c r="I202" s="37"/>
      <c r="J202" s="37"/>
      <c r="K202" s="39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</row>
    <row r="203" spans="1:156" ht="20.25" customHeight="1" x14ac:dyDescent="0.25">
      <c r="A203" s="37"/>
      <c r="B203" s="37"/>
      <c r="C203" s="38"/>
      <c r="D203" s="37"/>
      <c r="E203" s="37"/>
      <c r="F203" s="37"/>
      <c r="G203" s="38"/>
      <c r="H203" s="20"/>
      <c r="I203" s="37"/>
      <c r="J203" s="37"/>
      <c r="K203" s="39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</row>
    <row r="204" spans="1:156" ht="20.25" customHeight="1" x14ac:dyDescent="0.25">
      <c r="A204" s="37"/>
      <c r="B204" s="37"/>
      <c r="C204" s="38"/>
      <c r="D204" s="37"/>
      <c r="E204" s="37"/>
      <c r="F204" s="37"/>
      <c r="G204" s="38"/>
      <c r="H204" s="20"/>
      <c r="I204" s="37"/>
      <c r="J204" s="37"/>
      <c r="K204" s="39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</row>
    <row r="205" spans="1:156" ht="20.25" customHeight="1" x14ac:dyDescent="0.25">
      <c r="A205" s="37"/>
      <c r="B205" s="37"/>
      <c r="C205" s="38"/>
      <c r="D205" s="37"/>
      <c r="E205" s="37"/>
      <c r="F205" s="37"/>
      <c r="G205" s="38"/>
      <c r="H205" s="20"/>
      <c r="I205" s="37"/>
      <c r="J205" s="37"/>
      <c r="K205" s="39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</row>
    <row r="206" spans="1:156" ht="20.25" customHeight="1" x14ac:dyDescent="0.25">
      <c r="A206" s="37"/>
      <c r="B206" s="37"/>
      <c r="C206" s="38"/>
      <c r="D206" s="37"/>
      <c r="E206" s="37"/>
      <c r="F206" s="37"/>
      <c r="G206" s="38"/>
      <c r="H206" s="20"/>
      <c r="I206" s="37"/>
      <c r="J206" s="37"/>
      <c r="K206" s="39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</row>
    <row r="207" spans="1:156" ht="20.25" customHeight="1" x14ac:dyDescent="0.25">
      <c r="A207" s="37"/>
      <c r="B207" s="37"/>
      <c r="C207" s="38"/>
      <c r="D207" s="37"/>
      <c r="E207" s="37"/>
      <c r="F207" s="37"/>
      <c r="G207" s="38"/>
      <c r="H207" s="20"/>
      <c r="I207" s="37"/>
      <c r="J207" s="37"/>
      <c r="K207" s="39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</row>
    <row r="208" spans="1:156" ht="20.25" customHeight="1" x14ac:dyDescent="0.25">
      <c r="A208" s="37"/>
      <c r="B208" s="37"/>
      <c r="C208" s="38"/>
      <c r="D208" s="37"/>
      <c r="E208" s="37"/>
      <c r="F208" s="37"/>
      <c r="G208" s="38"/>
      <c r="H208" s="20"/>
      <c r="I208" s="37"/>
      <c r="J208" s="37"/>
      <c r="K208" s="39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</row>
    <row r="209" spans="1:156" ht="20.25" customHeight="1" x14ac:dyDescent="0.25">
      <c r="A209" s="37"/>
      <c r="B209" s="37"/>
      <c r="C209" s="38"/>
      <c r="D209" s="37"/>
      <c r="E209" s="37"/>
      <c r="F209" s="37"/>
      <c r="G209" s="38"/>
      <c r="H209" s="20"/>
      <c r="I209" s="37"/>
      <c r="J209" s="37"/>
      <c r="K209" s="39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</row>
    <row r="210" spans="1:156" ht="20.25" customHeight="1" x14ac:dyDescent="0.25">
      <c r="A210" s="37"/>
      <c r="B210" s="37"/>
      <c r="C210" s="38"/>
      <c r="D210" s="37"/>
      <c r="E210" s="37"/>
      <c r="F210" s="37"/>
      <c r="G210" s="38"/>
      <c r="H210" s="20"/>
      <c r="I210" s="37"/>
      <c r="J210" s="37"/>
      <c r="K210" s="39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</row>
    <row r="211" spans="1:156" ht="20.25" customHeight="1" x14ac:dyDescent="0.25">
      <c r="A211" s="37"/>
      <c r="B211" s="37"/>
      <c r="C211" s="38"/>
      <c r="D211" s="37"/>
      <c r="E211" s="37"/>
      <c r="F211" s="37"/>
      <c r="G211" s="38"/>
      <c r="H211" s="20"/>
      <c r="I211" s="37"/>
      <c r="J211" s="37"/>
      <c r="K211" s="39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</row>
    <row r="212" spans="1:156" ht="20.25" customHeight="1" x14ac:dyDescent="0.25">
      <c r="A212" s="37"/>
      <c r="B212" s="37"/>
      <c r="C212" s="38"/>
      <c r="D212" s="37"/>
      <c r="E212" s="37"/>
      <c r="F212" s="37"/>
      <c r="G212" s="38"/>
      <c r="H212" s="20"/>
      <c r="I212" s="37"/>
      <c r="J212" s="37"/>
      <c r="K212" s="39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</row>
    <row r="213" spans="1:156" ht="20.25" customHeight="1" x14ac:dyDescent="0.25">
      <c r="A213" s="37"/>
      <c r="B213" s="37"/>
      <c r="C213" s="38"/>
      <c r="D213" s="37"/>
      <c r="E213" s="37"/>
      <c r="F213" s="37"/>
      <c r="G213" s="38"/>
      <c r="H213" s="20"/>
      <c r="I213" s="37"/>
      <c r="J213" s="37"/>
      <c r="K213" s="39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</row>
    <row r="214" spans="1:156" ht="20.25" customHeight="1" x14ac:dyDescent="0.25">
      <c r="A214" s="37"/>
      <c r="B214" s="37"/>
      <c r="C214" s="38"/>
      <c r="D214" s="37"/>
      <c r="E214" s="37"/>
      <c r="F214" s="37"/>
      <c r="G214" s="38"/>
      <c r="H214" s="20"/>
      <c r="I214" s="37"/>
      <c r="J214" s="37"/>
      <c r="K214" s="39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</row>
    <row r="215" spans="1:156" ht="20.25" customHeight="1" x14ac:dyDescent="0.25">
      <c r="A215" s="37"/>
      <c r="B215" s="37"/>
      <c r="C215" s="38"/>
      <c r="D215" s="37"/>
      <c r="E215" s="37"/>
      <c r="F215" s="37"/>
      <c r="G215" s="38"/>
      <c r="H215" s="20"/>
      <c r="I215" s="37"/>
      <c r="J215" s="37"/>
      <c r="K215" s="39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</row>
    <row r="216" spans="1:156" ht="20.25" customHeight="1" x14ac:dyDescent="0.25">
      <c r="A216" s="37"/>
      <c r="B216" s="37"/>
      <c r="C216" s="38"/>
      <c r="D216" s="37"/>
      <c r="E216" s="37"/>
      <c r="F216" s="37"/>
      <c r="G216" s="38"/>
      <c r="H216" s="20"/>
      <c r="I216" s="37"/>
      <c r="J216" s="37"/>
      <c r="K216" s="39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</row>
    <row r="217" spans="1:156" ht="20.25" customHeight="1" x14ac:dyDescent="0.25">
      <c r="A217" s="37"/>
      <c r="B217" s="37"/>
      <c r="C217" s="38"/>
      <c r="D217" s="37"/>
      <c r="E217" s="37"/>
      <c r="F217" s="37"/>
      <c r="G217" s="38"/>
      <c r="H217" s="20"/>
      <c r="I217" s="37"/>
      <c r="J217" s="37"/>
      <c r="K217" s="39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</row>
    <row r="218" spans="1:156" ht="20.25" customHeight="1" x14ac:dyDescent="0.25">
      <c r="A218" s="37"/>
      <c r="B218" s="37"/>
      <c r="C218" s="38"/>
      <c r="D218" s="37"/>
      <c r="E218" s="37"/>
      <c r="F218" s="37"/>
      <c r="G218" s="38"/>
      <c r="H218" s="20"/>
      <c r="I218" s="37"/>
      <c r="J218" s="37"/>
      <c r="K218" s="39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</row>
    <row r="219" spans="1:156" ht="20.25" customHeight="1" x14ac:dyDescent="0.25">
      <c r="A219" s="37"/>
      <c r="B219" s="37"/>
      <c r="C219" s="38"/>
      <c r="D219" s="37"/>
      <c r="E219" s="37"/>
      <c r="F219" s="37"/>
      <c r="G219" s="38"/>
      <c r="H219" s="20"/>
      <c r="I219" s="37"/>
      <c r="J219" s="37"/>
      <c r="K219" s="39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</row>
    <row r="220" spans="1:156" ht="20.25" customHeight="1" x14ac:dyDescent="0.25">
      <c r="A220" s="37"/>
      <c r="B220" s="37"/>
      <c r="C220" s="38"/>
      <c r="D220" s="37"/>
      <c r="E220" s="37"/>
      <c r="F220" s="37"/>
      <c r="G220" s="38"/>
      <c r="H220" s="20"/>
      <c r="I220" s="37"/>
      <c r="J220" s="37"/>
      <c r="K220" s="39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</row>
  </sheetData>
  <autoFilter ref="A16:EZ220" xr:uid="{00000000-0009-0000-0000-000000000000}"/>
  <mergeCells count="80">
    <mergeCell ref="AV13:BB13"/>
    <mergeCell ref="BC13:BI13"/>
    <mergeCell ref="BK13:BQ13"/>
    <mergeCell ref="ET13:EZ13"/>
    <mergeCell ref="BR13:BX13"/>
    <mergeCell ref="BY13:CE13"/>
    <mergeCell ref="CF13:CL13"/>
    <mergeCell ref="CM13:CS13"/>
    <mergeCell ref="CU13:DA13"/>
    <mergeCell ref="DB13:DH13"/>
    <mergeCell ref="DJ13:DP13"/>
    <mergeCell ref="DQ13:DW13"/>
    <mergeCell ref="DY13:EE13"/>
    <mergeCell ref="EF13:EL13"/>
    <mergeCell ref="EM13:ES13"/>
    <mergeCell ref="L13:R13"/>
    <mergeCell ref="T13:Z13"/>
    <mergeCell ref="AA13:AG13"/>
    <mergeCell ref="AH13:AN13"/>
    <mergeCell ref="AO13:AU13"/>
    <mergeCell ref="EF4:EL4"/>
    <mergeCell ref="DY10:EL10"/>
    <mergeCell ref="EM10:EZ10"/>
    <mergeCell ref="L11:Z11"/>
    <mergeCell ref="AA11:AN11"/>
    <mergeCell ref="AO11:BB11"/>
    <mergeCell ref="BC11:BQ11"/>
    <mergeCell ref="BR11:CE11"/>
    <mergeCell ref="CF11:CT11"/>
    <mergeCell ref="CU11:DI11"/>
    <mergeCell ref="DJ11:DX11"/>
    <mergeCell ref="DY11:EL11"/>
    <mergeCell ref="EM11:EZ11"/>
    <mergeCell ref="CF4:CL4"/>
    <mergeCell ref="EM4:ES4"/>
    <mergeCell ref="ET4:EZ4"/>
    <mergeCell ref="L10:Z10"/>
    <mergeCell ref="AA10:AN10"/>
    <mergeCell ref="AO10:BB10"/>
    <mergeCell ref="BC10:BQ10"/>
    <mergeCell ref="BR10:CE10"/>
    <mergeCell ref="CF10:CT10"/>
    <mergeCell ref="CU10:DI10"/>
    <mergeCell ref="DJ10:DX10"/>
    <mergeCell ref="CU4:DA4"/>
    <mergeCell ref="DB4:DH4"/>
    <mergeCell ref="DJ4:DP4"/>
    <mergeCell ref="DQ4:DW4"/>
    <mergeCell ref="DY4:EE4"/>
    <mergeCell ref="L4:R4"/>
    <mergeCell ref="T4:Z4"/>
    <mergeCell ref="AA4:AG4"/>
    <mergeCell ref="AH4:AN4"/>
    <mergeCell ref="AO4:AU4"/>
    <mergeCell ref="AV4:BB4"/>
    <mergeCell ref="CM4:CS4"/>
    <mergeCell ref="BC4:BI4"/>
    <mergeCell ref="BK4:BQ4"/>
    <mergeCell ref="BR4:BX4"/>
    <mergeCell ref="BY4:CE4"/>
    <mergeCell ref="CU1:DI1"/>
    <mergeCell ref="DJ1:DX1"/>
    <mergeCell ref="DY1:EL1"/>
    <mergeCell ref="EM1:EZ1"/>
    <mergeCell ref="CF2:CT2"/>
    <mergeCell ref="CF1:CT1"/>
    <mergeCell ref="CU2:DI2"/>
    <mergeCell ref="DJ2:DX2"/>
    <mergeCell ref="DY2:EL2"/>
    <mergeCell ref="EM2:EZ2"/>
    <mergeCell ref="L2:Z2"/>
    <mergeCell ref="AA2:AN2"/>
    <mergeCell ref="AO2:BB2"/>
    <mergeCell ref="BC2:BQ2"/>
    <mergeCell ref="BR2:CE2"/>
    <mergeCell ref="L1:Z1"/>
    <mergeCell ref="AA1:AN1"/>
    <mergeCell ref="AO1:BB1"/>
    <mergeCell ref="BC1:BQ1"/>
    <mergeCell ref="BR1:CE1"/>
  </mergeCells>
  <conditionalFormatting sqref="A17:A22">
    <cfRule type="cellIs" dxfId="13" priority="1" operator="equal">
      <formula>"Sim"</formula>
    </cfRule>
  </conditionalFormatting>
  <conditionalFormatting sqref="L17:EX22">
    <cfRule type="cellIs" dxfId="12" priority="2" operator="equal">
      <formula>3</formula>
    </cfRule>
  </conditionalFormatting>
  <conditionalFormatting sqref="L17:EX22">
    <cfRule type="cellIs" dxfId="11" priority="3" operator="equal">
      <formula>1</formula>
    </cfRule>
  </conditionalFormatting>
  <conditionalFormatting sqref="EY17:EY22">
    <cfRule type="cellIs" dxfId="10" priority="4" operator="equal">
      <formula>3</formula>
    </cfRule>
  </conditionalFormatting>
  <conditionalFormatting sqref="EY17:EY22">
    <cfRule type="cellIs" dxfId="9" priority="5" operator="equal">
      <formula>1</formula>
    </cfRule>
  </conditionalFormatting>
  <conditionalFormatting sqref="EZ17:EZ22">
    <cfRule type="cellIs" dxfId="8" priority="6" operator="equal">
      <formula>3</formula>
    </cfRule>
  </conditionalFormatting>
  <conditionalFormatting sqref="EZ17:EZ22">
    <cfRule type="cellIs" dxfId="7" priority="7" operator="equal">
      <formula>1</formula>
    </cfRule>
  </conditionalFormatting>
  <conditionalFormatting sqref="A23:A220">
    <cfRule type="cellIs" dxfId="6" priority="8" operator="equal">
      <formula>"Sim"</formula>
    </cfRule>
  </conditionalFormatting>
  <conditionalFormatting sqref="L23:EX220">
    <cfRule type="cellIs" dxfId="5" priority="9" operator="equal">
      <formula>3</formula>
    </cfRule>
  </conditionalFormatting>
  <conditionalFormatting sqref="L23:EX220">
    <cfRule type="cellIs" dxfId="4" priority="10" operator="equal">
      <formula>1</formula>
    </cfRule>
  </conditionalFormatting>
  <conditionalFormatting sqref="EY23:EY220">
    <cfRule type="cellIs" dxfId="3" priority="11" operator="equal">
      <formula>3</formula>
    </cfRule>
  </conditionalFormatting>
  <conditionalFormatting sqref="EY23:EY220">
    <cfRule type="cellIs" dxfId="2" priority="12" operator="equal">
      <formula>1</formula>
    </cfRule>
  </conditionalFormatting>
  <conditionalFormatting sqref="EZ23:EZ220">
    <cfRule type="cellIs" dxfId="1" priority="13" operator="equal">
      <formula>3</formula>
    </cfRule>
  </conditionalFormatting>
  <conditionalFormatting sqref="EZ23:EZ220">
    <cfRule type="cellIs" dxfId="0" priority="14" operator="equal">
      <formula>1</formula>
    </cfRule>
  </conditionalFormatting>
  <pageMargins left="0.511811024" right="0.511811024" top="0.78740157499999996" bottom="0.78740157499999996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1000"/>
  <sheetViews>
    <sheetView workbookViewId="0"/>
  </sheetViews>
  <sheetFormatPr defaultColWidth="12.625" defaultRowHeight="15" customHeight="1" x14ac:dyDescent="0.2"/>
  <cols>
    <col min="1" max="1" width="17.25" customWidth="1"/>
    <col min="2" max="2" width="11.75" customWidth="1"/>
    <col min="3" max="3" width="28.5" customWidth="1"/>
    <col min="4" max="4" width="15.125" customWidth="1"/>
    <col min="5" max="5" width="36.625" customWidth="1"/>
    <col min="6" max="6" width="13.5" customWidth="1"/>
    <col min="7" max="7" width="23.375" customWidth="1"/>
    <col min="8" max="8" width="17.5" customWidth="1"/>
    <col min="9" max="9" width="49.875" customWidth="1"/>
    <col min="10" max="10" width="13" customWidth="1"/>
    <col min="11" max="11" width="12.375" customWidth="1"/>
    <col min="12" max="12" width="7" customWidth="1"/>
    <col min="13" max="13" width="11.75" customWidth="1"/>
    <col min="14" max="14" width="16" customWidth="1"/>
    <col min="15" max="15" width="14" customWidth="1"/>
    <col min="16" max="16" width="10" customWidth="1"/>
    <col min="17" max="17" width="10.875" customWidth="1"/>
    <col min="18" max="18" width="9.75" customWidth="1"/>
    <col min="19" max="19" width="13.625" customWidth="1"/>
    <col min="20" max="20" width="11.25" customWidth="1"/>
    <col min="21" max="21" width="10.75" customWidth="1"/>
    <col min="22" max="22" width="8.75" customWidth="1"/>
    <col min="23" max="23" width="20.5" customWidth="1"/>
    <col min="24" max="24" width="27.125" customWidth="1"/>
    <col min="25" max="25" width="26.25" customWidth="1"/>
    <col min="26" max="26" width="34.25" customWidth="1"/>
    <col min="27" max="27" width="32.375" customWidth="1"/>
  </cols>
  <sheetData>
    <row r="1" spans="1:27" x14ac:dyDescent="0.25">
      <c r="A1" s="41" t="s">
        <v>181</v>
      </c>
      <c r="B1" s="41" t="s">
        <v>182</v>
      </c>
      <c r="C1" s="41" t="s">
        <v>183</v>
      </c>
      <c r="D1" s="41" t="s">
        <v>184</v>
      </c>
      <c r="E1" s="41" t="s">
        <v>185</v>
      </c>
      <c r="F1" s="41" t="s">
        <v>186</v>
      </c>
      <c r="G1" s="41" t="s">
        <v>187</v>
      </c>
      <c r="H1" s="41" t="s">
        <v>188</v>
      </c>
      <c r="I1" s="41" t="s">
        <v>189</v>
      </c>
      <c r="J1" s="41" t="s">
        <v>190</v>
      </c>
      <c r="K1" s="41" t="s">
        <v>191</v>
      </c>
      <c r="L1" s="41" t="s">
        <v>192</v>
      </c>
      <c r="M1" s="41" t="s">
        <v>193</v>
      </c>
      <c r="N1" s="41" t="s">
        <v>194</v>
      </c>
      <c r="O1" s="41" t="s">
        <v>195</v>
      </c>
      <c r="P1" s="41" t="s">
        <v>196</v>
      </c>
      <c r="Q1" s="41" t="s">
        <v>197</v>
      </c>
      <c r="R1" s="41" t="s">
        <v>198</v>
      </c>
      <c r="S1" s="41" t="s">
        <v>199</v>
      </c>
      <c r="T1" s="41" t="s">
        <v>200</v>
      </c>
      <c r="U1" s="41" t="s">
        <v>201</v>
      </c>
      <c r="V1" s="41" t="s">
        <v>202</v>
      </c>
      <c r="W1" s="41" t="s">
        <v>203</v>
      </c>
      <c r="X1" s="41" t="s">
        <v>204</v>
      </c>
      <c r="Y1" s="41" t="s">
        <v>205</v>
      </c>
      <c r="Z1" s="41" t="s">
        <v>206</v>
      </c>
      <c r="AA1" s="42" t="s">
        <v>207</v>
      </c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2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2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4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2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2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2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2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2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2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2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2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2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2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2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2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2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2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2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2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2"/>
    </row>
    <row r="21" spans="1:27" ht="15.75" customHeight="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2"/>
    </row>
    <row r="22" spans="1:27" ht="15.7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2"/>
    </row>
    <row r="23" spans="1:27" ht="15.7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2"/>
    </row>
    <row r="24" spans="1:27" ht="15.7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2"/>
    </row>
    <row r="25" spans="1:27" ht="15.7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2"/>
    </row>
    <row r="26" spans="1:27" ht="15.7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2"/>
    </row>
    <row r="27" spans="1:27" ht="15.7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2"/>
    </row>
    <row r="28" spans="1:27" ht="15.7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2"/>
    </row>
    <row r="29" spans="1:27" ht="15.7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2"/>
    </row>
    <row r="30" spans="1:27" ht="15.7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2"/>
    </row>
    <row r="31" spans="1:27" ht="15.7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2"/>
    </row>
    <row r="32" spans="1:27" ht="15.7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2"/>
    </row>
    <row r="33" spans="1:27" ht="15.7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2"/>
    </row>
    <row r="34" spans="1:27" ht="15.7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2"/>
    </row>
    <row r="35" spans="1:27" ht="15.7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2"/>
    </row>
    <row r="36" spans="1:27" ht="15.7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2"/>
    </row>
    <row r="37" spans="1:27" ht="15.7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2"/>
    </row>
    <row r="38" spans="1:27" ht="15.7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2"/>
    </row>
    <row r="39" spans="1:27" ht="15.7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2"/>
    </row>
    <row r="40" spans="1:27" ht="15.7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2"/>
    </row>
    <row r="41" spans="1:27" ht="15.7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2"/>
    </row>
    <row r="42" spans="1:27" ht="15.7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2"/>
    </row>
    <row r="43" spans="1:27" ht="15.7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2"/>
    </row>
    <row r="44" spans="1:27" ht="15.7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2"/>
    </row>
    <row r="45" spans="1:27" ht="15.7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2"/>
    </row>
    <row r="46" spans="1:27" ht="15.7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2"/>
    </row>
    <row r="47" spans="1:27" ht="15.7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2"/>
    </row>
    <row r="48" spans="1:27" ht="15.7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2"/>
    </row>
    <row r="49" spans="1:27" ht="15.7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2"/>
    </row>
    <row r="50" spans="1:27" ht="15.7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2"/>
    </row>
    <row r="51" spans="1:27" ht="15.7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2"/>
    </row>
    <row r="52" spans="1:27" ht="15.7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2"/>
    </row>
    <row r="53" spans="1:27" ht="15.7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2"/>
    </row>
    <row r="54" spans="1:27" ht="15.7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2"/>
    </row>
    <row r="55" spans="1:27" ht="15.7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2"/>
    </row>
    <row r="56" spans="1:27" ht="15.7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4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2"/>
    </row>
    <row r="57" spans="1:27" ht="15.7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2"/>
    </row>
    <row r="58" spans="1:27" ht="15.7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2"/>
    </row>
    <row r="59" spans="1:27" ht="15.7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2"/>
    </row>
    <row r="60" spans="1:27" ht="15.7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2"/>
    </row>
    <row r="61" spans="1:27" ht="15.7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2"/>
    </row>
    <row r="62" spans="1:27" ht="15.7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2"/>
    </row>
    <row r="63" spans="1:27" ht="15.7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2"/>
    </row>
    <row r="64" spans="1:27" ht="15.7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2"/>
    </row>
    <row r="65" spans="1:27" ht="15.7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2"/>
    </row>
    <row r="66" spans="1:27" ht="15.75" customHeight="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2"/>
    </row>
    <row r="67" spans="1:27" ht="15.7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2"/>
    </row>
    <row r="68" spans="1:27" ht="15.7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2"/>
    </row>
    <row r="69" spans="1:27" ht="15.7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2"/>
    </row>
    <row r="70" spans="1:27" ht="15.7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2"/>
    </row>
    <row r="71" spans="1:27" ht="15.7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4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2"/>
    </row>
    <row r="72" spans="1:27" ht="15.7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2"/>
    </row>
    <row r="73" spans="1:27" ht="15.7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4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2"/>
    </row>
    <row r="74" spans="1:27" ht="15.7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2"/>
    </row>
    <row r="75" spans="1:27" ht="15.7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2"/>
    </row>
    <row r="76" spans="1:27" ht="15.7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2"/>
    </row>
    <row r="77" spans="1:27" ht="15.7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2"/>
    </row>
    <row r="78" spans="1:27" ht="15.7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4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2"/>
    </row>
    <row r="79" spans="1:27" ht="15.7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2"/>
    </row>
    <row r="80" spans="1:27" ht="15.7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4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2"/>
    </row>
    <row r="81" spans="1:27" ht="15.7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2"/>
    </row>
    <row r="82" spans="1:27" ht="15.7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2"/>
    </row>
    <row r="83" spans="1:27" ht="15.7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2"/>
    </row>
    <row r="84" spans="1:27" ht="15.7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4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2"/>
    </row>
    <row r="85" spans="1:27" ht="15.7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4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2"/>
    </row>
    <row r="86" spans="1:27" ht="15.7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4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2"/>
    </row>
    <row r="87" spans="1:27" ht="15.7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4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2"/>
    </row>
    <row r="88" spans="1:27" ht="15.7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4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2"/>
    </row>
    <row r="89" spans="1:27" ht="15.7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4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2"/>
    </row>
    <row r="90" spans="1:27" ht="15.7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4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2"/>
    </row>
    <row r="91" spans="1:27" ht="15.7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4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2"/>
    </row>
    <row r="92" spans="1:27" ht="15.7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4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2"/>
    </row>
    <row r="93" spans="1:27" ht="15.7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4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2"/>
    </row>
    <row r="94" spans="1:27" ht="15.7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4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2"/>
    </row>
    <row r="95" spans="1:27" ht="15.7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4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2"/>
    </row>
    <row r="96" spans="1:27" ht="15.7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2"/>
    </row>
    <row r="97" spans="1:27" ht="15.7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2"/>
    </row>
    <row r="98" spans="1:27" ht="15.7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2"/>
    </row>
    <row r="99" spans="1:27" ht="15.7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4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2"/>
    </row>
    <row r="100" spans="1:27" ht="15.7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2"/>
    </row>
    <row r="101" spans="1:27" ht="15.7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4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2"/>
    </row>
    <row r="102" spans="1:27" ht="15.7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2"/>
    </row>
    <row r="103" spans="1:27" ht="15.7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2"/>
    </row>
    <row r="104" spans="1:27" ht="15.7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2"/>
    </row>
    <row r="105" spans="1:27" ht="15.7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4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2"/>
    </row>
    <row r="106" spans="1:27" ht="15.7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2"/>
    </row>
    <row r="107" spans="1:27" ht="15.7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4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2"/>
    </row>
    <row r="108" spans="1:27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2"/>
    </row>
    <row r="109" spans="1:27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4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2"/>
    </row>
    <row r="110" spans="1:27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4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2"/>
    </row>
    <row r="111" spans="1:27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4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2"/>
    </row>
    <row r="112" spans="1:27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4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2"/>
    </row>
    <row r="113" spans="1:27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4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2"/>
    </row>
    <row r="114" spans="1:27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4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2"/>
    </row>
    <row r="115" spans="1:27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4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2"/>
    </row>
    <row r="116" spans="1:27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4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2"/>
    </row>
    <row r="117" spans="1:27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4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2"/>
    </row>
    <row r="118" spans="1:27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4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2"/>
    </row>
    <row r="119" spans="1:27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4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2"/>
    </row>
    <row r="120" spans="1:27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4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2"/>
    </row>
    <row r="121" spans="1:27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4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2"/>
    </row>
    <row r="122" spans="1:27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4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2"/>
    </row>
    <row r="123" spans="1:27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4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2"/>
    </row>
    <row r="124" spans="1:27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4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2"/>
    </row>
    <row r="125" spans="1:27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4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2"/>
    </row>
    <row r="126" spans="1:27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4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2"/>
    </row>
    <row r="127" spans="1:27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4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2"/>
    </row>
    <row r="128" spans="1:27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4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2"/>
    </row>
    <row r="129" spans="1:27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4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2"/>
    </row>
    <row r="130" spans="1:27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4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2"/>
    </row>
    <row r="131" spans="1:27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4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2"/>
    </row>
    <row r="132" spans="1:27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4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2"/>
    </row>
    <row r="133" spans="1:27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4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2"/>
    </row>
    <row r="134" spans="1:27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4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2"/>
    </row>
    <row r="135" spans="1:27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4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2"/>
    </row>
    <row r="136" spans="1:27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4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2"/>
    </row>
    <row r="137" spans="1:27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4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2"/>
    </row>
    <row r="138" spans="1:27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4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2"/>
    </row>
    <row r="139" spans="1:27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4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2"/>
    </row>
    <row r="140" spans="1:27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4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2"/>
    </row>
    <row r="141" spans="1:27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4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2"/>
    </row>
    <row r="142" spans="1:27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4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2"/>
    </row>
    <row r="143" spans="1:27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4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2"/>
    </row>
    <row r="144" spans="1:27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4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2"/>
    </row>
    <row r="145" spans="1:27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4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2"/>
    </row>
    <row r="146" spans="1:27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4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2"/>
    </row>
    <row r="147" spans="1:27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4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2"/>
    </row>
    <row r="148" spans="1:27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4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2"/>
    </row>
    <row r="149" spans="1:27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4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2"/>
    </row>
    <row r="150" spans="1:27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4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2"/>
    </row>
    <row r="151" spans="1:27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4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2"/>
    </row>
    <row r="152" spans="1:27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4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2"/>
    </row>
    <row r="153" spans="1:27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4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2"/>
    </row>
    <row r="154" spans="1:27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4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2"/>
    </row>
    <row r="155" spans="1:27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4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2"/>
    </row>
    <row r="156" spans="1:27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4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2"/>
    </row>
    <row r="157" spans="1:27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4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2"/>
    </row>
    <row r="158" spans="1:27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4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2"/>
    </row>
    <row r="159" spans="1:27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4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2"/>
    </row>
    <row r="160" spans="1:27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4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2"/>
    </row>
    <row r="161" spans="1:27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4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2"/>
    </row>
    <row r="162" spans="1:27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4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2"/>
    </row>
    <row r="163" spans="1:27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4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2"/>
    </row>
    <row r="164" spans="1:27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4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2"/>
    </row>
    <row r="165" spans="1:27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4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2"/>
    </row>
    <row r="166" spans="1:27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4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2"/>
    </row>
    <row r="167" spans="1:27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4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2"/>
    </row>
    <row r="168" spans="1:27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4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2"/>
    </row>
    <row r="169" spans="1:27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4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2"/>
    </row>
    <row r="170" spans="1:27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4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2"/>
    </row>
    <row r="171" spans="1:27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4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2"/>
    </row>
    <row r="172" spans="1:27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4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2"/>
    </row>
    <row r="173" spans="1:27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4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2"/>
    </row>
    <row r="174" spans="1:27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4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2"/>
    </row>
    <row r="175" spans="1:27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4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2"/>
    </row>
    <row r="176" spans="1:27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4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2"/>
    </row>
    <row r="177" spans="1:27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4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2"/>
    </row>
    <row r="178" spans="1:27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4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2"/>
    </row>
    <row r="179" spans="1:27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4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2"/>
    </row>
    <row r="180" spans="1:27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4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2"/>
    </row>
    <row r="181" spans="1:27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4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2"/>
    </row>
    <row r="182" spans="1:27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4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2"/>
    </row>
    <row r="183" spans="1:27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4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2"/>
    </row>
    <row r="184" spans="1:27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4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2"/>
    </row>
    <row r="185" spans="1:27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4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2"/>
    </row>
    <row r="186" spans="1:27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4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2"/>
    </row>
    <row r="187" spans="1:27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4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2"/>
    </row>
    <row r="188" spans="1:27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4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2"/>
    </row>
    <row r="189" spans="1:27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4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2"/>
    </row>
    <row r="190" spans="1:27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4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2"/>
    </row>
    <row r="191" spans="1:27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4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2"/>
    </row>
    <row r="192" spans="1:27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4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2"/>
    </row>
    <row r="193" spans="1:27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4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2"/>
    </row>
    <row r="194" spans="1:27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4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2"/>
    </row>
    <row r="195" spans="1:27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4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2"/>
    </row>
    <row r="196" spans="1:27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4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2"/>
    </row>
    <row r="197" spans="1:27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4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2"/>
    </row>
    <row r="198" spans="1:27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4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2"/>
    </row>
    <row r="199" spans="1:27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4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2"/>
    </row>
    <row r="200" spans="1:27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4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2"/>
    </row>
    <row r="201" spans="1:27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4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2"/>
    </row>
    <row r="202" spans="1:27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4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2"/>
    </row>
    <row r="203" spans="1:27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4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2"/>
    </row>
    <row r="204" spans="1:27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4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2"/>
    </row>
    <row r="205" spans="1:27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4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2"/>
    </row>
    <row r="206" spans="1:27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4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2"/>
    </row>
    <row r="207" spans="1:27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4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2"/>
    </row>
    <row r="208" spans="1:27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4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2"/>
    </row>
    <row r="209" spans="1:27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4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2"/>
    </row>
    <row r="210" spans="1:27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4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2"/>
    </row>
    <row r="211" spans="1:27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4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2"/>
    </row>
    <row r="212" spans="1:27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4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2"/>
    </row>
    <row r="213" spans="1:27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4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2"/>
    </row>
    <row r="214" spans="1:27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4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2"/>
    </row>
    <row r="215" spans="1:27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4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2"/>
    </row>
    <row r="216" spans="1:27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4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2"/>
    </row>
    <row r="217" spans="1:27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4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2"/>
    </row>
    <row r="218" spans="1:27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4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2"/>
    </row>
    <row r="219" spans="1:27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4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2"/>
    </row>
    <row r="220" spans="1:27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4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2"/>
    </row>
    <row r="221" spans="1:27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</row>
    <row r="222" spans="1:27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</row>
    <row r="223" spans="1:27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</row>
    <row r="224" spans="1:27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</row>
    <row r="225" spans="1:27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</row>
    <row r="226" spans="1:27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</row>
    <row r="227" spans="1:27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</row>
    <row r="228" spans="1:27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</row>
    <row r="229" spans="1:27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</row>
    <row r="230" spans="1:27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</row>
    <row r="231" spans="1:27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</row>
    <row r="232" spans="1:27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</row>
    <row r="233" spans="1:27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</row>
    <row r="234" spans="1:27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</row>
    <row r="235" spans="1:27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</row>
    <row r="236" spans="1:27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</row>
    <row r="237" spans="1:27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</row>
    <row r="238" spans="1:27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</row>
    <row r="239" spans="1:27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</row>
    <row r="240" spans="1:27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</row>
    <row r="241" spans="1:27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</row>
    <row r="242" spans="1:27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</row>
    <row r="243" spans="1:27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</row>
    <row r="244" spans="1:27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</row>
    <row r="245" spans="1:27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</row>
    <row r="246" spans="1:27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</row>
    <row r="247" spans="1:27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</row>
    <row r="248" spans="1:27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</row>
    <row r="249" spans="1:27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</row>
    <row r="250" spans="1:27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</row>
    <row r="251" spans="1:27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</row>
    <row r="252" spans="1:27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</row>
    <row r="253" spans="1:27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</row>
    <row r="254" spans="1:27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</row>
    <row r="255" spans="1:27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</row>
    <row r="256" spans="1:27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</row>
    <row r="257" spans="1:27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</row>
    <row r="258" spans="1:27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  <row r="259" spans="1:27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</row>
    <row r="260" spans="1:27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</row>
    <row r="261" spans="1:27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</row>
    <row r="262" spans="1:27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</row>
    <row r="263" spans="1:27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</row>
    <row r="264" spans="1:27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</row>
    <row r="265" spans="1:27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</row>
    <row r="266" spans="1:27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</row>
    <row r="267" spans="1:27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</row>
    <row r="268" spans="1:27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</row>
    <row r="269" spans="1:27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</row>
    <row r="270" spans="1:27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</row>
    <row r="271" spans="1:27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</row>
    <row r="272" spans="1:27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</row>
    <row r="273" spans="1:27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</row>
    <row r="274" spans="1:27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</row>
    <row r="275" spans="1:27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</row>
    <row r="276" spans="1:27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</row>
    <row r="277" spans="1:27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</row>
    <row r="278" spans="1:27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</row>
    <row r="279" spans="1:27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</row>
    <row r="280" spans="1:27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</row>
    <row r="281" spans="1:27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</row>
    <row r="282" spans="1:27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</row>
    <row r="283" spans="1:27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</row>
    <row r="284" spans="1:27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</row>
    <row r="285" spans="1:27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</row>
    <row r="286" spans="1:27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</row>
    <row r="287" spans="1:27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</row>
    <row r="288" spans="1:27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</row>
    <row r="289" spans="1:27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</row>
    <row r="290" spans="1:27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</row>
    <row r="291" spans="1:27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</row>
    <row r="292" spans="1:27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</row>
    <row r="293" spans="1:27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</row>
    <row r="294" spans="1:27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</row>
    <row r="295" spans="1:27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</row>
    <row r="296" spans="1:27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</row>
    <row r="297" spans="1:27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</row>
    <row r="298" spans="1:27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</row>
    <row r="299" spans="1:27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</row>
    <row r="300" spans="1:27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</row>
    <row r="301" spans="1:27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</row>
    <row r="302" spans="1:27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</row>
    <row r="303" spans="1:27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</row>
    <row r="304" spans="1:27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</row>
    <row r="305" spans="1:27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</row>
    <row r="306" spans="1:27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</row>
    <row r="307" spans="1:27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</row>
    <row r="308" spans="1:27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</row>
    <row r="309" spans="1:27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</row>
    <row r="310" spans="1:27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</row>
    <row r="311" spans="1:27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</row>
    <row r="312" spans="1:27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</row>
    <row r="313" spans="1:27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</row>
    <row r="314" spans="1:27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</row>
    <row r="315" spans="1:27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</row>
    <row r="316" spans="1:27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</row>
    <row r="317" spans="1:27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</row>
    <row r="318" spans="1:27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</row>
    <row r="319" spans="1:27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</row>
    <row r="320" spans="1:27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</row>
    <row r="321" spans="1:27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</row>
    <row r="322" spans="1:27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</row>
    <row r="323" spans="1:27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</row>
    <row r="324" spans="1:27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</row>
    <row r="325" spans="1:27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</row>
    <row r="326" spans="1:27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</row>
    <row r="327" spans="1:27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</row>
    <row r="328" spans="1:27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</row>
    <row r="329" spans="1:27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</row>
    <row r="330" spans="1:27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</row>
    <row r="331" spans="1:27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</row>
    <row r="332" spans="1:27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</row>
    <row r="333" spans="1:27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</row>
    <row r="334" spans="1:27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</row>
    <row r="335" spans="1:27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</row>
    <row r="336" spans="1:27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</row>
    <row r="337" spans="1:27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</row>
    <row r="338" spans="1:27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</row>
    <row r="339" spans="1:27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</row>
    <row r="340" spans="1:27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</row>
    <row r="341" spans="1:27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</row>
    <row r="342" spans="1:27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</row>
    <row r="343" spans="1:27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</row>
    <row r="344" spans="1:27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</row>
    <row r="345" spans="1:27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</row>
    <row r="346" spans="1:27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</row>
    <row r="347" spans="1:27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</row>
    <row r="348" spans="1:27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</row>
    <row r="349" spans="1:27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</row>
    <row r="350" spans="1:27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</row>
    <row r="351" spans="1:27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</row>
    <row r="352" spans="1:27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</row>
    <row r="353" spans="1:27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</row>
    <row r="354" spans="1:27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</row>
    <row r="355" spans="1:27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</row>
    <row r="356" spans="1:27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</row>
    <row r="357" spans="1:27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</row>
    <row r="358" spans="1:27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</row>
    <row r="359" spans="1:27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</row>
    <row r="360" spans="1:27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</row>
    <row r="361" spans="1:27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</row>
    <row r="362" spans="1:27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</row>
    <row r="363" spans="1:27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</row>
    <row r="364" spans="1:27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</row>
    <row r="365" spans="1:27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</row>
    <row r="366" spans="1:27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</row>
    <row r="367" spans="1:27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</row>
    <row r="368" spans="1:27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</row>
    <row r="369" spans="1:27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</row>
    <row r="370" spans="1:27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</row>
    <row r="371" spans="1:27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</row>
    <row r="372" spans="1:27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</row>
    <row r="373" spans="1:27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</row>
    <row r="374" spans="1:27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</row>
    <row r="375" spans="1:27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</row>
    <row r="376" spans="1:27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</row>
    <row r="377" spans="1:27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</row>
    <row r="378" spans="1:27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</row>
    <row r="379" spans="1:27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</row>
    <row r="380" spans="1:27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</row>
    <row r="381" spans="1:27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</row>
    <row r="382" spans="1:27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</row>
    <row r="383" spans="1:27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</row>
    <row r="384" spans="1:27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</row>
    <row r="385" spans="1:27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</row>
    <row r="386" spans="1:27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</row>
    <row r="387" spans="1:27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</row>
    <row r="388" spans="1:27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</row>
    <row r="389" spans="1:27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</row>
    <row r="390" spans="1:27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</row>
    <row r="391" spans="1:27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</row>
    <row r="392" spans="1:27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</row>
    <row r="393" spans="1:27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</row>
    <row r="394" spans="1:27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</row>
    <row r="395" spans="1:27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</row>
    <row r="396" spans="1:27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</row>
    <row r="397" spans="1:27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</row>
    <row r="398" spans="1:27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</row>
    <row r="399" spans="1:27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</row>
    <row r="400" spans="1:27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</row>
    <row r="401" spans="1:27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</row>
    <row r="402" spans="1:27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</row>
    <row r="403" spans="1:27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</row>
    <row r="404" spans="1:27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</row>
    <row r="405" spans="1:27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</row>
    <row r="406" spans="1:27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</row>
    <row r="407" spans="1:27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</row>
    <row r="408" spans="1:27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</row>
    <row r="409" spans="1:27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</row>
    <row r="410" spans="1:27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</row>
    <row r="411" spans="1:27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</row>
    <row r="412" spans="1:27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</row>
    <row r="413" spans="1:27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</row>
    <row r="414" spans="1:27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</row>
    <row r="415" spans="1:27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</row>
    <row r="416" spans="1:27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</row>
    <row r="417" spans="1:27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</row>
    <row r="418" spans="1:27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</row>
    <row r="419" spans="1:27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</row>
    <row r="420" spans="1:27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</row>
    <row r="421" spans="1:27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</row>
    <row r="422" spans="1:27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</row>
    <row r="423" spans="1:27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</row>
    <row r="424" spans="1:27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</row>
    <row r="425" spans="1:27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</row>
    <row r="426" spans="1:27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</row>
    <row r="427" spans="1:27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</row>
    <row r="428" spans="1:27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</row>
    <row r="429" spans="1:27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</row>
    <row r="430" spans="1:27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</row>
    <row r="431" spans="1:27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</row>
    <row r="432" spans="1:27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</row>
    <row r="433" spans="1:27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</row>
    <row r="434" spans="1:27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</row>
    <row r="435" spans="1:27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</row>
    <row r="436" spans="1:27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</row>
    <row r="437" spans="1:27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</row>
    <row r="438" spans="1:27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</row>
    <row r="439" spans="1:27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</row>
    <row r="440" spans="1:27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</row>
    <row r="441" spans="1:27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</row>
    <row r="442" spans="1:27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</row>
    <row r="443" spans="1:27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</row>
    <row r="444" spans="1:27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</row>
    <row r="445" spans="1:27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</row>
    <row r="446" spans="1:27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</row>
    <row r="447" spans="1:27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</row>
    <row r="448" spans="1:27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</row>
    <row r="449" spans="1:27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</row>
    <row r="450" spans="1:27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</row>
    <row r="451" spans="1:27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</row>
    <row r="452" spans="1:27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</row>
    <row r="453" spans="1:27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</row>
    <row r="454" spans="1:27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</row>
    <row r="455" spans="1:27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</row>
    <row r="456" spans="1:27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</row>
    <row r="457" spans="1:27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</row>
    <row r="458" spans="1:27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</row>
    <row r="459" spans="1:27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</row>
    <row r="460" spans="1:27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</row>
    <row r="461" spans="1:27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</row>
    <row r="462" spans="1:27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</row>
    <row r="463" spans="1:27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</row>
    <row r="464" spans="1:27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</row>
    <row r="465" spans="1:27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</row>
    <row r="466" spans="1:27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</row>
    <row r="467" spans="1:27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</row>
    <row r="468" spans="1:27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</row>
    <row r="469" spans="1:27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</row>
    <row r="470" spans="1:27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</row>
    <row r="471" spans="1:27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</row>
    <row r="472" spans="1:27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</row>
    <row r="473" spans="1:27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</row>
    <row r="474" spans="1:27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</row>
    <row r="475" spans="1:27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</row>
    <row r="476" spans="1:27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</row>
    <row r="477" spans="1:27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</row>
    <row r="478" spans="1:27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</row>
    <row r="479" spans="1:27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</row>
    <row r="480" spans="1:27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</row>
    <row r="481" spans="1:27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</row>
    <row r="482" spans="1:27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</row>
    <row r="483" spans="1:27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</row>
    <row r="484" spans="1:27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</row>
    <row r="485" spans="1:27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</row>
    <row r="486" spans="1:27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</row>
    <row r="487" spans="1:27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</row>
    <row r="488" spans="1:27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</row>
    <row r="489" spans="1:27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</row>
    <row r="490" spans="1:27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</row>
    <row r="491" spans="1:27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</row>
    <row r="492" spans="1:27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</row>
    <row r="493" spans="1:27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</row>
    <row r="494" spans="1:27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</row>
    <row r="495" spans="1:27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</row>
    <row r="496" spans="1:27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</row>
    <row r="497" spans="1:27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</row>
    <row r="498" spans="1:27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</row>
    <row r="499" spans="1:27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</row>
    <row r="500" spans="1:27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</row>
    <row r="501" spans="1:27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</row>
    <row r="502" spans="1:27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</row>
    <row r="503" spans="1:27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</row>
    <row r="504" spans="1:27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</row>
    <row r="505" spans="1:27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</row>
    <row r="506" spans="1:27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</row>
    <row r="507" spans="1:27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</row>
    <row r="508" spans="1:27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</row>
    <row r="509" spans="1:27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</row>
    <row r="510" spans="1:27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</row>
    <row r="511" spans="1:27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</row>
    <row r="512" spans="1:27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</row>
    <row r="513" spans="1:27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</row>
    <row r="514" spans="1:27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</row>
    <row r="515" spans="1:27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</row>
    <row r="516" spans="1:27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</row>
    <row r="517" spans="1:27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</row>
    <row r="518" spans="1:27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</row>
    <row r="519" spans="1:27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</row>
    <row r="520" spans="1:27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</row>
    <row r="521" spans="1:27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</row>
    <row r="522" spans="1:27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</row>
    <row r="523" spans="1:27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</row>
    <row r="524" spans="1:27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</row>
    <row r="525" spans="1:27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</row>
    <row r="526" spans="1:27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</row>
    <row r="527" spans="1:27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</row>
    <row r="528" spans="1:27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</row>
    <row r="529" spans="1:27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</row>
    <row r="530" spans="1:27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</row>
    <row r="531" spans="1:27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</row>
    <row r="532" spans="1:27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</row>
    <row r="533" spans="1:27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</row>
    <row r="534" spans="1:27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</row>
    <row r="535" spans="1:27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</row>
    <row r="536" spans="1:27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</row>
    <row r="537" spans="1:27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</row>
    <row r="538" spans="1:27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</row>
    <row r="539" spans="1:27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</row>
    <row r="540" spans="1:27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</row>
    <row r="541" spans="1:27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</row>
    <row r="542" spans="1:27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</row>
    <row r="543" spans="1:27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</row>
    <row r="544" spans="1:27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</row>
    <row r="545" spans="1:27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</row>
    <row r="546" spans="1:27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</row>
    <row r="547" spans="1:27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</row>
    <row r="548" spans="1:27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</row>
    <row r="549" spans="1:27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</row>
    <row r="550" spans="1:27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</row>
    <row r="551" spans="1:27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</row>
    <row r="552" spans="1:27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</row>
    <row r="553" spans="1:27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</row>
    <row r="554" spans="1:27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</row>
    <row r="555" spans="1:27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</row>
    <row r="556" spans="1:27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</row>
    <row r="557" spans="1:27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</row>
    <row r="558" spans="1:27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</row>
    <row r="559" spans="1:27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</row>
    <row r="560" spans="1:27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</row>
    <row r="561" spans="1:27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</row>
    <row r="562" spans="1:27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</row>
    <row r="563" spans="1:27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</row>
    <row r="564" spans="1:27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</row>
    <row r="565" spans="1:27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</row>
    <row r="566" spans="1:27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</row>
    <row r="567" spans="1:27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</row>
    <row r="568" spans="1:27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</row>
    <row r="569" spans="1:27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</row>
    <row r="570" spans="1:27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</row>
    <row r="571" spans="1:27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</row>
    <row r="572" spans="1:27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</row>
    <row r="573" spans="1:27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</row>
    <row r="574" spans="1:27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</row>
    <row r="575" spans="1:27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</row>
    <row r="576" spans="1:27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</row>
    <row r="577" spans="1:27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</row>
    <row r="578" spans="1:27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</row>
    <row r="579" spans="1:27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</row>
    <row r="580" spans="1:27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</row>
    <row r="581" spans="1:27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</row>
    <row r="582" spans="1:27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</row>
    <row r="583" spans="1:27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</row>
    <row r="584" spans="1:27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</row>
    <row r="585" spans="1:27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</row>
    <row r="586" spans="1:27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</row>
    <row r="587" spans="1:27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</row>
    <row r="588" spans="1:27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</row>
    <row r="589" spans="1:27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</row>
    <row r="590" spans="1:27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</row>
    <row r="591" spans="1:27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</row>
    <row r="592" spans="1:27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</row>
    <row r="593" spans="1:27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</row>
    <row r="594" spans="1:27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</row>
    <row r="595" spans="1:27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</row>
    <row r="596" spans="1:27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</row>
    <row r="597" spans="1:27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</row>
    <row r="598" spans="1:27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</row>
    <row r="599" spans="1:27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</row>
    <row r="600" spans="1:27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</row>
    <row r="601" spans="1:27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</row>
    <row r="602" spans="1:27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</row>
    <row r="603" spans="1:27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</row>
    <row r="604" spans="1:27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</row>
    <row r="605" spans="1:27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</row>
    <row r="606" spans="1:27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</row>
    <row r="607" spans="1:27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</row>
    <row r="608" spans="1:27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</row>
    <row r="609" spans="1:27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</row>
    <row r="610" spans="1:27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</row>
    <row r="611" spans="1:27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</row>
    <row r="612" spans="1:27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</row>
    <row r="613" spans="1:27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</row>
    <row r="614" spans="1:27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</row>
    <row r="615" spans="1:27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</row>
    <row r="616" spans="1:27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</row>
    <row r="617" spans="1:27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</row>
    <row r="618" spans="1:27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</row>
    <row r="619" spans="1:27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</row>
    <row r="620" spans="1:27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</row>
    <row r="621" spans="1:27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</row>
    <row r="622" spans="1:27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</row>
    <row r="623" spans="1:27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</row>
    <row r="624" spans="1:27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</row>
    <row r="625" spans="1:27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</row>
    <row r="626" spans="1:27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</row>
    <row r="627" spans="1:27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</row>
    <row r="628" spans="1:27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</row>
    <row r="629" spans="1:27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</row>
    <row r="630" spans="1:27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</row>
    <row r="631" spans="1:27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</row>
    <row r="632" spans="1:27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</row>
    <row r="633" spans="1:27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</row>
    <row r="634" spans="1:27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</row>
    <row r="635" spans="1:27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</row>
    <row r="636" spans="1:27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</row>
    <row r="637" spans="1:27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</row>
    <row r="638" spans="1:27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</row>
    <row r="639" spans="1:27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</row>
    <row r="640" spans="1:27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</row>
    <row r="641" spans="1:27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</row>
    <row r="642" spans="1:27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</row>
    <row r="643" spans="1:27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</row>
    <row r="644" spans="1:27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</row>
    <row r="645" spans="1:27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</row>
    <row r="646" spans="1:27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</row>
    <row r="647" spans="1:27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</row>
    <row r="648" spans="1:27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</row>
    <row r="649" spans="1:27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</row>
    <row r="650" spans="1:27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</row>
    <row r="651" spans="1:27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</row>
    <row r="652" spans="1:27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</row>
    <row r="653" spans="1:27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</row>
    <row r="654" spans="1:27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</row>
    <row r="655" spans="1:27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</row>
    <row r="656" spans="1:27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</row>
    <row r="657" spans="1:27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</row>
    <row r="658" spans="1:27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</row>
    <row r="659" spans="1:27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</row>
    <row r="660" spans="1:27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</row>
    <row r="661" spans="1:27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</row>
    <row r="662" spans="1:27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</row>
    <row r="663" spans="1:27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</row>
    <row r="664" spans="1:27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</row>
    <row r="665" spans="1:27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</row>
    <row r="666" spans="1:27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</row>
    <row r="667" spans="1:27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</row>
    <row r="668" spans="1:27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</row>
    <row r="669" spans="1:27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</row>
    <row r="670" spans="1:27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</row>
    <row r="671" spans="1:27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</row>
    <row r="672" spans="1:27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</row>
    <row r="673" spans="1:27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</row>
    <row r="674" spans="1:27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</row>
    <row r="675" spans="1:27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</row>
    <row r="676" spans="1:27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</row>
    <row r="677" spans="1:27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</row>
    <row r="678" spans="1:27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</row>
    <row r="679" spans="1:27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</row>
    <row r="680" spans="1:27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</row>
    <row r="681" spans="1:27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</row>
    <row r="682" spans="1:27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</row>
    <row r="683" spans="1:27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</row>
    <row r="684" spans="1:27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</row>
    <row r="685" spans="1:27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</row>
    <row r="686" spans="1:27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</row>
    <row r="687" spans="1:27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</row>
    <row r="688" spans="1:27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</row>
    <row r="689" spans="1:27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</row>
    <row r="690" spans="1:27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</row>
    <row r="691" spans="1:27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</row>
    <row r="692" spans="1:27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</row>
    <row r="693" spans="1:27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</row>
    <row r="694" spans="1:27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</row>
    <row r="695" spans="1:27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</row>
    <row r="696" spans="1:27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</row>
    <row r="697" spans="1:27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</row>
    <row r="698" spans="1:27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</row>
    <row r="699" spans="1:27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</row>
    <row r="700" spans="1:27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</row>
    <row r="701" spans="1:27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</row>
    <row r="702" spans="1:27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</row>
    <row r="703" spans="1:27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</row>
    <row r="704" spans="1:27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</row>
    <row r="705" spans="1:27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</row>
    <row r="706" spans="1:27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</row>
    <row r="707" spans="1:27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</row>
    <row r="708" spans="1:27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</row>
    <row r="709" spans="1:27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</row>
    <row r="710" spans="1:27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</row>
    <row r="711" spans="1:27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</row>
    <row r="712" spans="1:27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</row>
    <row r="713" spans="1:27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</row>
    <row r="714" spans="1:27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</row>
    <row r="715" spans="1:27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</row>
    <row r="716" spans="1:27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</row>
    <row r="717" spans="1:27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</row>
    <row r="718" spans="1:27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</row>
    <row r="719" spans="1:27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</row>
    <row r="720" spans="1:27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</row>
    <row r="721" spans="1:27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</row>
    <row r="722" spans="1:27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</row>
    <row r="723" spans="1:27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</row>
    <row r="724" spans="1:27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</row>
    <row r="725" spans="1:27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</row>
    <row r="726" spans="1:27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</row>
    <row r="727" spans="1:27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</row>
    <row r="728" spans="1:27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</row>
    <row r="729" spans="1:27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</row>
    <row r="730" spans="1:27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</row>
    <row r="731" spans="1:27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</row>
    <row r="732" spans="1:27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</row>
    <row r="733" spans="1:27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</row>
    <row r="734" spans="1:27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</row>
    <row r="735" spans="1:27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</row>
    <row r="736" spans="1:27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</row>
    <row r="737" spans="1:27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</row>
    <row r="738" spans="1:27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</row>
    <row r="739" spans="1:27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</row>
    <row r="740" spans="1:27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</row>
    <row r="741" spans="1:27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</row>
    <row r="742" spans="1:27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</row>
    <row r="743" spans="1:27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</row>
    <row r="744" spans="1:27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</row>
    <row r="745" spans="1:27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</row>
    <row r="746" spans="1:27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</row>
    <row r="747" spans="1:27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</row>
    <row r="748" spans="1:27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</row>
    <row r="749" spans="1:27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</row>
    <row r="750" spans="1:27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</row>
    <row r="751" spans="1:27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</row>
    <row r="752" spans="1:27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</row>
    <row r="753" spans="1:27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</row>
    <row r="754" spans="1:27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</row>
    <row r="755" spans="1:27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</row>
    <row r="756" spans="1:27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</row>
    <row r="757" spans="1:27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</row>
    <row r="758" spans="1:27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</row>
    <row r="759" spans="1:27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</row>
    <row r="760" spans="1:27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</row>
    <row r="761" spans="1:27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</row>
    <row r="762" spans="1:27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</row>
    <row r="763" spans="1:27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</row>
    <row r="764" spans="1:27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</row>
    <row r="765" spans="1:27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</row>
    <row r="766" spans="1:27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</row>
    <row r="767" spans="1:27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</row>
    <row r="768" spans="1:27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</row>
    <row r="769" spans="1:27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</row>
    <row r="770" spans="1:27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</row>
    <row r="771" spans="1:27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</row>
    <row r="772" spans="1:27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</row>
    <row r="773" spans="1:27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</row>
    <row r="774" spans="1:27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</row>
    <row r="775" spans="1:27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</row>
    <row r="776" spans="1:27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</row>
    <row r="777" spans="1:27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</row>
    <row r="778" spans="1:27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</row>
    <row r="779" spans="1:27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</row>
    <row r="780" spans="1:27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</row>
    <row r="781" spans="1:27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</row>
    <row r="782" spans="1:27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</row>
    <row r="783" spans="1:27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</row>
    <row r="784" spans="1:27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</row>
    <row r="785" spans="1:27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</row>
    <row r="786" spans="1:27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</row>
    <row r="787" spans="1:27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</row>
    <row r="788" spans="1:27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</row>
    <row r="789" spans="1:27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</row>
    <row r="790" spans="1:27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</row>
    <row r="791" spans="1:27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</row>
    <row r="792" spans="1:27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</row>
    <row r="793" spans="1:27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</row>
    <row r="794" spans="1:27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</row>
    <row r="795" spans="1:27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</row>
    <row r="796" spans="1:27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</row>
    <row r="797" spans="1:27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</row>
    <row r="798" spans="1:27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</row>
    <row r="799" spans="1:27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</row>
    <row r="800" spans="1:27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</row>
    <row r="801" spans="1:27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</row>
    <row r="802" spans="1:27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</row>
    <row r="803" spans="1:27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</row>
    <row r="804" spans="1:27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</row>
    <row r="805" spans="1:27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</row>
    <row r="806" spans="1:27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</row>
    <row r="807" spans="1:27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</row>
    <row r="808" spans="1:27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</row>
    <row r="809" spans="1:27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</row>
    <row r="810" spans="1:27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</row>
    <row r="811" spans="1:27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</row>
    <row r="812" spans="1:27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</row>
    <row r="813" spans="1:27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</row>
    <row r="814" spans="1:27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</row>
    <row r="815" spans="1:27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</row>
    <row r="816" spans="1:27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</row>
    <row r="817" spans="1:27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</row>
    <row r="818" spans="1:27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</row>
    <row r="819" spans="1:27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</row>
    <row r="820" spans="1:27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</row>
    <row r="821" spans="1:27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</row>
    <row r="822" spans="1:27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</row>
    <row r="823" spans="1:27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</row>
    <row r="824" spans="1:27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</row>
    <row r="825" spans="1:27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</row>
    <row r="826" spans="1:27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</row>
    <row r="827" spans="1:27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</row>
    <row r="828" spans="1:27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</row>
    <row r="829" spans="1:27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</row>
    <row r="830" spans="1:27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</row>
    <row r="831" spans="1:27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</row>
    <row r="832" spans="1:27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</row>
    <row r="833" spans="1:27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</row>
    <row r="834" spans="1:27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</row>
    <row r="835" spans="1:27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</row>
    <row r="836" spans="1:27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</row>
    <row r="837" spans="1:27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</row>
    <row r="838" spans="1:27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</row>
    <row r="839" spans="1:27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</row>
    <row r="840" spans="1:27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</row>
    <row r="841" spans="1:27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</row>
    <row r="842" spans="1:27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</row>
    <row r="843" spans="1:27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</row>
    <row r="844" spans="1:27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</row>
    <row r="845" spans="1:27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</row>
    <row r="846" spans="1:27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</row>
    <row r="847" spans="1:27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</row>
    <row r="848" spans="1:27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</row>
    <row r="849" spans="1:27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</row>
    <row r="850" spans="1:27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</row>
    <row r="851" spans="1:27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</row>
    <row r="852" spans="1:27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</row>
    <row r="853" spans="1:27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</row>
    <row r="854" spans="1:27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</row>
    <row r="855" spans="1:27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</row>
    <row r="856" spans="1:27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</row>
    <row r="857" spans="1:27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</row>
    <row r="858" spans="1:27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</row>
    <row r="859" spans="1:27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</row>
    <row r="860" spans="1:27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</row>
    <row r="861" spans="1:27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</row>
    <row r="862" spans="1:27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</row>
    <row r="863" spans="1:27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</row>
    <row r="864" spans="1:27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</row>
    <row r="865" spans="1:27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</row>
    <row r="866" spans="1:27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</row>
    <row r="867" spans="1:27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</row>
    <row r="868" spans="1:27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</row>
    <row r="869" spans="1:27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</row>
    <row r="870" spans="1:27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</row>
    <row r="871" spans="1:27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</row>
    <row r="872" spans="1:27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</row>
    <row r="873" spans="1:27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</row>
    <row r="874" spans="1:27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</row>
    <row r="875" spans="1:27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</row>
    <row r="876" spans="1:27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</row>
    <row r="877" spans="1:27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</row>
    <row r="878" spans="1:27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</row>
    <row r="879" spans="1:27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</row>
    <row r="880" spans="1:27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</row>
    <row r="881" spans="1:27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</row>
    <row r="882" spans="1:27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</row>
    <row r="883" spans="1:27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</row>
    <row r="884" spans="1:27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</row>
    <row r="885" spans="1:27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</row>
    <row r="886" spans="1:27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</row>
    <row r="887" spans="1:27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</row>
    <row r="888" spans="1:27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</row>
    <row r="889" spans="1:27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</row>
    <row r="890" spans="1:27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</row>
    <row r="891" spans="1:27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</row>
    <row r="892" spans="1:27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</row>
    <row r="893" spans="1:27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</row>
    <row r="894" spans="1:27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</row>
    <row r="895" spans="1:27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</row>
    <row r="896" spans="1:27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</row>
    <row r="897" spans="1:27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</row>
    <row r="898" spans="1:27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</row>
    <row r="899" spans="1:27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</row>
    <row r="900" spans="1:27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</row>
    <row r="901" spans="1:27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</row>
    <row r="902" spans="1:27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</row>
    <row r="903" spans="1:27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</row>
    <row r="904" spans="1:27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</row>
    <row r="905" spans="1:27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</row>
    <row r="906" spans="1:27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</row>
    <row r="907" spans="1:27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</row>
    <row r="908" spans="1:27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</row>
    <row r="909" spans="1:27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</row>
    <row r="910" spans="1:27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</row>
    <row r="911" spans="1:27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</row>
    <row r="912" spans="1:27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</row>
    <row r="913" spans="1:27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</row>
    <row r="914" spans="1:27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</row>
    <row r="915" spans="1:27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</row>
    <row r="916" spans="1:27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</row>
    <row r="917" spans="1:27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</row>
    <row r="918" spans="1:27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</row>
    <row r="919" spans="1:27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</row>
    <row r="920" spans="1:27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</row>
    <row r="921" spans="1:27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</row>
    <row r="922" spans="1:27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</row>
    <row r="923" spans="1:27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</row>
    <row r="924" spans="1:27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</row>
    <row r="925" spans="1:27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</row>
    <row r="926" spans="1:27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</row>
    <row r="927" spans="1:27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</row>
    <row r="928" spans="1:27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</row>
    <row r="929" spans="1:27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</row>
    <row r="930" spans="1:27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</row>
    <row r="931" spans="1:27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</row>
    <row r="932" spans="1:27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</row>
    <row r="933" spans="1:27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</row>
    <row r="934" spans="1:27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</row>
    <row r="935" spans="1:27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</row>
    <row r="936" spans="1:27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</row>
    <row r="937" spans="1:27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</row>
    <row r="938" spans="1:27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</row>
    <row r="939" spans="1:27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</row>
    <row r="940" spans="1:27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</row>
    <row r="941" spans="1:27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</row>
    <row r="942" spans="1:27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</row>
    <row r="943" spans="1:27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</row>
    <row r="944" spans="1:27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</row>
    <row r="945" spans="1:27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</row>
    <row r="946" spans="1:27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</row>
    <row r="947" spans="1:27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</row>
    <row r="948" spans="1:27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</row>
    <row r="949" spans="1:27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</row>
    <row r="950" spans="1:27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</row>
    <row r="951" spans="1:27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</row>
    <row r="952" spans="1:27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</row>
    <row r="953" spans="1:27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</row>
    <row r="954" spans="1:27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</row>
    <row r="955" spans="1:27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</row>
    <row r="956" spans="1:27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</row>
    <row r="957" spans="1:27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</row>
    <row r="958" spans="1:27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</row>
    <row r="959" spans="1:27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</row>
    <row r="960" spans="1:27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</row>
    <row r="961" spans="1:27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</row>
    <row r="962" spans="1:27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</row>
    <row r="963" spans="1:27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</row>
    <row r="964" spans="1:27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</row>
    <row r="965" spans="1:27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</row>
    <row r="966" spans="1:27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</row>
    <row r="967" spans="1:27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</row>
    <row r="968" spans="1:27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</row>
    <row r="969" spans="1:27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</row>
    <row r="970" spans="1:27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</row>
    <row r="971" spans="1:27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</row>
    <row r="972" spans="1:27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</row>
    <row r="973" spans="1:27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</row>
    <row r="974" spans="1:27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</row>
    <row r="975" spans="1:27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</row>
    <row r="976" spans="1:27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</row>
    <row r="977" spans="1:27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</row>
    <row r="978" spans="1:27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</row>
    <row r="979" spans="1:27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</row>
    <row r="980" spans="1:27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</row>
    <row r="981" spans="1:27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</row>
    <row r="982" spans="1:27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</row>
    <row r="983" spans="1:27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</row>
    <row r="984" spans="1:27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</row>
    <row r="985" spans="1:27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</row>
    <row r="986" spans="1:27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</row>
    <row r="987" spans="1:27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</row>
    <row r="988" spans="1:27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</row>
    <row r="989" spans="1:27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</row>
    <row r="990" spans="1:27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</row>
    <row r="991" spans="1:27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</row>
    <row r="992" spans="1:27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</row>
    <row r="993" spans="1:27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</row>
    <row r="994" spans="1:27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</row>
    <row r="995" spans="1:27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</row>
    <row r="996" spans="1:27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</row>
    <row r="997" spans="1:27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</row>
    <row r="998" spans="1:27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</row>
    <row r="999" spans="1:27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</row>
    <row r="1000" spans="1:27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</row>
  </sheetData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1:GU179"/>
  <sheetViews>
    <sheetView workbookViewId="0">
      <selection activeCell="B8" sqref="B8"/>
    </sheetView>
  </sheetViews>
  <sheetFormatPr defaultColWidth="12.625" defaultRowHeight="15" customHeight="1" x14ac:dyDescent="0.2"/>
  <cols>
    <col min="1" max="1" width="17.5" customWidth="1"/>
    <col min="2" max="2" width="74.375" customWidth="1"/>
    <col min="3" max="3" width="11.875" customWidth="1"/>
    <col min="4" max="4" width="23.125" customWidth="1"/>
    <col min="5" max="5" width="36.125" customWidth="1"/>
    <col min="6" max="198" width="19.125" customWidth="1"/>
    <col min="199" max="199" width="15.75" customWidth="1"/>
    <col min="200" max="203" width="7.625" customWidth="1"/>
  </cols>
  <sheetData>
    <row r="1" spans="1:203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  <c r="EU1" s="43"/>
      <c r="EV1" s="43"/>
      <c r="EW1" s="43"/>
      <c r="EX1" s="43"/>
      <c r="EY1" s="43"/>
      <c r="EZ1" s="43"/>
      <c r="FA1" s="43"/>
      <c r="FB1" s="43"/>
      <c r="FC1" s="43"/>
      <c r="FD1" s="43"/>
      <c r="FE1" s="43"/>
      <c r="FF1" s="43"/>
      <c r="FG1" s="43"/>
      <c r="FH1" s="43"/>
      <c r="FI1" s="43"/>
      <c r="FJ1" s="43"/>
      <c r="FK1" s="43"/>
      <c r="FL1" s="43"/>
      <c r="FM1" s="43"/>
      <c r="FN1" s="43"/>
      <c r="FO1" s="43"/>
      <c r="FP1" s="43"/>
      <c r="FQ1" s="43"/>
      <c r="FR1" s="43"/>
      <c r="FS1" s="43"/>
      <c r="FT1" s="43"/>
      <c r="FU1" s="43"/>
      <c r="FV1" s="43"/>
      <c r="FW1" s="43"/>
      <c r="FX1" s="43"/>
      <c r="FY1" s="4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3"/>
      <c r="GS1" s="43"/>
      <c r="GT1" s="43"/>
      <c r="GU1" s="43"/>
    </row>
    <row r="2" spans="1:203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  <c r="EU2" s="43"/>
      <c r="EV2" s="43"/>
      <c r="EW2" s="43"/>
      <c r="EX2" s="43"/>
      <c r="EY2" s="43"/>
      <c r="EZ2" s="43"/>
      <c r="FA2" s="43"/>
      <c r="FB2" s="43"/>
      <c r="FC2" s="43"/>
      <c r="FD2" s="43"/>
      <c r="FE2" s="43"/>
      <c r="FF2" s="43"/>
      <c r="FG2" s="43"/>
      <c r="FH2" s="43"/>
      <c r="FI2" s="43"/>
      <c r="FJ2" s="43"/>
      <c r="FK2" s="43"/>
      <c r="FL2" s="43"/>
      <c r="FM2" s="43"/>
      <c r="FN2" s="43"/>
      <c r="FO2" s="43"/>
      <c r="FP2" s="43"/>
      <c r="FQ2" s="43"/>
      <c r="FR2" s="43"/>
      <c r="FS2" s="43"/>
      <c r="FT2" s="43"/>
      <c r="FU2" s="43"/>
      <c r="FV2" s="43"/>
      <c r="FW2" s="43"/>
      <c r="FX2" s="43"/>
      <c r="FY2" s="43"/>
      <c r="FZ2" s="43"/>
      <c r="GA2" s="43"/>
      <c r="GB2" s="43"/>
      <c r="GC2" s="43"/>
      <c r="GD2" s="43"/>
      <c r="GE2" s="43"/>
      <c r="GF2" s="43"/>
      <c r="GG2" s="43"/>
      <c r="GH2" s="43"/>
      <c r="GI2" s="43"/>
      <c r="GJ2" s="43"/>
      <c r="GK2" s="43"/>
      <c r="GL2" s="43"/>
      <c r="GM2" s="43"/>
      <c r="GN2" s="43"/>
      <c r="GO2" s="43"/>
      <c r="GP2" s="43"/>
      <c r="GQ2" s="43"/>
      <c r="GR2" s="43"/>
      <c r="GS2" s="43"/>
      <c r="GT2" s="43"/>
      <c r="GU2" s="43"/>
    </row>
    <row r="3" spans="1:203" x14ac:dyDescent="0.25">
      <c r="A3" s="62" t="s">
        <v>208</v>
      </c>
      <c r="B3" s="66"/>
      <c r="C3" s="66"/>
      <c r="D3" s="66"/>
      <c r="E3" s="66"/>
      <c r="F3" s="62" t="s">
        <v>198</v>
      </c>
      <c r="G3" s="67" t="s">
        <v>201</v>
      </c>
      <c r="H3" s="62" t="s">
        <v>196</v>
      </c>
      <c r="I3" s="68" t="s">
        <v>197</v>
      </c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3"/>
      <c r="FW3" s="43"/>
      <c r="FX3" s="43"/>
      <c r="FY3" s="43"/>
      <c r="FZ3" s="43"/>
      <c r="GA3" s="43"/>
      <c r="GB3" s="43"/>
      <c r="GC3" s="43"/>
      <c r="GD3" s="43"/>
      <c r="GE3" s="43"/>
      <c r="GF3" s="43"/>
      <c r="GG3" s="43"/>
      <c r="GH3" s="43"/>
      <c r="GI3" s="43"/>
      <c r="GJ3" s="43"/>
      <c r="GK3" s="43"/>
      <c r="GL3" s="43"/>
      <c r="GM3" s="43"/>
      <c r="GN3" s="43"/>
      <c r="GO3" s="43"/>
      <c r="GP3" s="43"/>
      <c r="GQ3" s="43"/>
      <c r="GR3" s="43"/>
      <c r="GS3" s="43"/>
      <c r="GT3" s="43"/>
      <c r="GU3" s="43"/>
    </row>
    <row r="4" spans="1:203" x14ac:dyDescent="0.25">
      <c r="A4" s="63"/>
      <c r="B4" s="69"/>
      <c r="C4" s="69"/>
      <c r="D4" s="69"/>
      <c r="E4" s="69"/>
      <c r="F4" s="61" t="s">
        <v>1033</v>
      </c>
      <c r="G4" s="61" t="s">
        <v>1034</v>
      </c>
      <c r="H4" s="63"/>
      <c r="I4" s="70"/>
      <c r="GR4" s="43"/>
      <c r="GS4" s="43"/>
      <c r="GT4" s="43"/>
      <c r="GU4" s="43"/>
    </row>
    <row r="5" spans="1:203" x14ac:dyDescent="0.25">
      <c r="A5" s="63"/>
      <c r="B5" s="69"/>
      <c r="C5" s="69"/>
      <c r="D5" s="69"/>
      <c r="E5" s="69"/>
      <c r="F5" s="61" t="s">
        <v>1033</v>
      </c>
      <c r="G5" s="63"/>
      <c r="H5" s="63"/>
      <c r="I5" s="70"/>
      <c r="GQ5" s="43"/>
      <c r="GR5" s="43"/>
      <c r="GS5" s="43"/>
      <c r="GT5" s="43"/>
      <c r="GU5" s="43"/>
    </row>
    <row r="6" spans="1:203" x14ac:dyDescent="0.25">
      <c r="A6" s="63"/>
      <c r="B6" s="69"/>
      <c r="C6" s="69"/>
      <c r="D6" s="69"/>
      <c r="E6" s="69"/>
      <c r="F6" s="61" t="s">
        <v>1033</v>
      </c>
      <c r="G6" s="63"/>
      <c r="H6" s="63"/>
      <c r="I6" s="70"/>
      <c r="GQ6" s="43"/>
      <c r="GR6" s="43"/>
      <c r="GS6" s="43"/>
      <c r="GT6" s="43"/>
      <c r="GU6" s="43"/>
    </row>
    <row r="7" spans="1:203" x14ac:dyDescent="0.25">
      <c r="A7" s="62" t="s">
        <v>188</v>
      </c>
      <c r="B7" s="62" t="s">
        <v>189</v>
      </c>
      <c r="C7" s="62" t="s">
        <v>203</v>
      </c>
      <c r="D7" s="62" t="s">
        <v>202</v>
      </c>
      <c r="E7" s="62" t="s">
        <v>204</v>
      </c>
      <c r="F7" s="61" t="s">
        <v>1033</v>
      </c>
      <c r="G7" s="63"/>
      <c r="H7" s="63"/>
      <c r="I7" s="71"/>
      <c r="GQ7" s="43"/>
      <c r="GR7" s="43"/>
      <c r="GS7" s="43"/>
      <c r="GT7" s="43"/>
      <c r="GU7" s="43"/>
    </row>
    <row r="8" spans="1:203" x14ac:dyDescent="0.25">
      <c r="A8" s="61" t="s">
        <v>1033</v>
      </c>
      <c r="B8" s="61" t="s">
        <v>1033</v>
      </c>
      <c r="C8" s="61" t="s">
        <v>1033</v>
      </c>
      <c r="D8" s="61" t="s">
        <v>1033</v>
      </c>
      <c r="E8" s="61" t="s">
        <v>1033</v>
      </c>
      <c r="F8" s="72"/>
      <c r="G8" s="72"/>
      <c r="H8" s="61"/>
      <c r="I8" s="7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</row>
    <row r="9" spans="1:203" x14ac:dyDescent="0.25">
      <c r="A9" s="64" t="s">
        <v>1034</v>
      </c>
      <c r="B9" s="74"/>
      <c r="C9" s="74"/>
      <c r="D9" s="74"/>
      <c r="E9" s="74"/>
      <c r="F9" s="65"/>
      <c r="G9" s="65"/>
      <c r="H9" s="75"/>
      <c r="I9" s="76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N9" s="43"/>
      <c r="GO9" s="43"/>
      <c r="GP9" s="43"/>
      <c r="GR9" s="43"/>
      <c r="GS9" s="43"/>
      <c r="GT9" s="43"/>
      <c r="GU9" s="43"/>
    </row>
    <row r="10" spans="1:203" x14ac:dyDescent="0.25"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3"/>
      <c r="EM10" s="43"/>
      <c r="EN10" s="43"/>
      <c r="EO10" s="43"/>
      <c r="EP10" s="43"/>
      <c r="EQ10" s="43"/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43"/>
      <c r="FI10" s="43"/>
      <c r="FJ10" s="43"/>
      <c r="FK10" s="43"/>
      <c r="FL10" s="43"/>
      <c r="FM10" s="43"/>
      <c r="FN10" s="43"/>
      <c r="FO10" s="43"/>
      <c r="FP10" s="43"/>
      <c r="FQ10" s="43"/>
      <c r="FR10" s="43"/>
      <c r="FS10" s="43"/>
      <c r="FT10" s="43"/>
      <c r="FU10" s="43"/>
      <c r="FV10" s="43"/>
      <c r="FW10" s="43"/>
      <c r="FX10" s="43"/>
      <c r="FY10" s="43"/>
      <c r="FZ10" s="43"/>
      <c r="GA10" s="43"/>
      <c r="GB10" s="43"/>
      <c r="GC10" s="43"/>
      <c r="GD10" s="43"/>
      <c r="GE10" s="43"/>
      <c r="GF10" s="43"/>
      <c r="GG10" s="43"/>
      <c r="GH10" s="43"/>
      <c r="GI10" s="43"/>
      <c r="GJ10" s="43"/>
      <c r="GK10" s="43"/>
      <c r="GL10" s="43"/>
      <c r="GN10" s="43"/>
      <c r="GO10" s="43"/>
      <c r="GP10" s="43"/>
      <c r="GR10" s="43"/>
      <c r="GS10" s="43"/>
      <c r="GT10" s="43"/>
      <c r="GU10" s="43"/>
    </row>
    <row r="11" spans="1:203" x14ac:dyDescent="0.25"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3"/>
      <c r="EM11" s="43"/>
      <c r="EN11" s="43"/>
      <c r="EO11" s="43"/>
      <c r="EP11" s="43"/>
      <c r="EQ11" s="43"/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43"/>
      <c r="FI11" s="43"/>
      <c r="FJ11" s="43"/>
      <c r="FK11" s="43"/>
      <c r="FL11" s="43"/>
      <c r="FM11" s="43"/>
      <c r="FN11" s="43"/>
      <c r="FO11" s="43"/>
      <c r="FP11" s="43"/>
      <c r="FQ11" s="43"/>
      <c r="FR11" s="43"/>
      <c r="FS11" s="43"/>
      <c r="FT11" s="43"/>
      <c r="FU11" s="43"/>
      <c r="FV11" s="43"/>
      <c r="FW11" s="43"/>
      <c r="FX11" s="43"/>
      <c r="FY11" s="43"/>
      <c r="FZ11" s="43"/>
      <c r="GA11" s="43"/>
      <c r="GB11" s="43"/>
      <c r="GC11" s="43"/>
      <c r="GD11" s="43"/>
      <c r="GE11" s="43"/>
      <c r="GF11" s="43"/>
      <c r="GG11" s="43"/>
      <c r="GH11" s="43"/>
      <c r="GI11" s="43"/>
      <c r="GJ11" s="43"/>
      <c r="GK11" s="43"/>
      <c r="GL11" s="43"/>
      <c r="GN11" s="43"/>
      <c r="GO11" s="43"/>
      <c r="GP11" s="43"/>
      <c r="GR11" s="43"/>
      <c r="GS11" s="43"/>
      <c r="GT11" s="43"/>
      <c r="GU11" s="43"/>
    </row>
    <row r="12" spans="1:203" x14ac:dyDescent="0.25"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N12" s="43"/>
      <c r="GO12" s="43"/>
      <c r="GP12" s="43"/>
      <c r="GR12" s="43"/>
      <c r="GS12" s="43"/>
      <c r="GT12" s="43"/>
      <c r="GU12" s="43"/>
    </row>
    <row r="13" spans="1:203" x14ac:dyDescent="0.25"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N13" s="43"/>
      <c r="GO13" s="43"/>
      <c r="GP13" s="43"/>
      <c r="GR13" s="43"/>
      <c r="GS13" s="43"/>
      <c r="GT13" s="43"/>
      <c r="GU13" s="43"/>
    </row>
    <row r="14" spans="1:203" x14ac:dyDescent="0.25">
      <c r="F14" s="43"/>
      <c r="J14" s="43"/>
      <c r="K14" s="43"/>
      <c r="T14" s="43"/>
      <c r="W14" s="43"/>
      <c r="Y14" s="43"/>
      <c r="Z14" s="43"/>
      <c r="AI14" s="43"/>
      <c r="AK14" s="43"/>
      <c r="AL14" s="43"/>
      <c r="AU14" s="43"/>
      <c r="AW14" s="43"/>
      <c r="AX14" s="43"/>
      <c r="AY14" s="43"/>
      <c r="BH14" s="43"/>
      <c r="BI14" s="43"/>
      <c r="BM14" s="43"/>
      <c r="BN14" s="43"/>
      <c r="BQ14" s="43"/>
      <c r="BS14" s="43"/>
      <c r="BT14" s="43"/>
      <c r="CC14" s="43"/>
      <c r="CF14" s="43"/>
      <c r="CG14" s="43"/>
      <c r="CP14" s="43"/>
      <c r="CQ14" s="43"/>
      <c r="CR14" s="43"/>
      <c r="DA14" s="43"/>
      <c r="DB14" s="43"/>
      <c r="DC14" s="43"/>
      <c r="DM14" s="43"/>
      <c r="DN14" s="43"/>
      <c r="DW14" s="43"/>
      <c r="DX14" s="43"/>
      <c r="EG14" s="43"/>
      <c r="EI14" s="43"/>
      <c r="EJ14" s="43"/>
      <c r="EK14" s="43"/>
      <c r="EL14" s="43"/>
      <c r="EU14" s="43"/>
      <c r="EX14" s="43"/>
      <c r="EY14" s="43"/>
      <c r="FB14" s="43"/>
      <c r="FC14" s="43"/>
      <c r="FD14" s="43"/>
      <c r="FM14" s="43"/>
      <c r="FN14" s="43"/>
      <c r="FO14" s="43"/>
      <c r="FX14" s="43"/>
      <c r="FY14" s="43"/>
      <c r="FZ14" s="43"/>
      <c r="GI14" s="43"/>
      <c r="GJ14" s="43"/>
      <c r="GK14" s="43"/>
      <c r="GL14" s="43"/>
      <c r="GN14" s="43"/>
      <c r="GO14" s="43"/>
      <c r="GR14" s="43"/>
      <c r="GS14" s="43"/>
      <c r="GT14" s="43"/>
      <c r="GU14" s="43"/>
    </row>
    <row r="15" spans="1:203" x14ac:dyDescent="0.25">
      <c r="F15" s="43"/>
      <c r="J15" s="43"/>
      <c r="K15" s="43"/>
      <c r="T15" s="43"/>
      <c r="W15" s="43"/>
      <c r="Y15" s="43"/>
      <c r="Z15" s="43"/>
      <c r="AI15" s="43"/>
      <c r="AK15" s="43"/>
      <c r="AL15" s="43"/>
      <c r="AU15" s="43"/>
      <c r="AW15" s="43"/>
      <c r="AX15" s="43"/>
      <c r="AY15" s="43"/>
      <c r="BH15" s="43"/>
      <c r="BI15" s="43"/>
      <c r="BM15" s="43"/>
      <c r="BN15" s="43"/>
      <c r="BQ15" s="43"/>
      <c r="BS15" s="43"/>
      <c r="BT15" s="43"/>
      <c r="CC15" s="43"/>
      <c r="CF15" s="43"/>
      <c r="CG15" s="43"/>
      <c r="CP15" s="43"/>
      <c r="CQ15" s="43"/>
      <c r="CR15" s="43"/>
      <c r="DA15" s="43"/>
      <c r="DB15" s="43"/>
      <c r="DC15" s="43"/>
      <c r="DM15" s="43"/>
      <c r="DN15" s="43"/>
      <c r="DW15" s="43"/>
      <c r="DX15" s="43"/>
      <c r="EG15" s="43"/>
      <c r="EI15" s="43"/>
      <c r="EK15" s="43"/>
      <c r="EL15" s="43"/>
      <c r="EU15" s="43"/>
      <c r="EX15" s="43"/>
      <c r="EY15" s="43"/>
      <c r="FC15" s="43"/>
      <c r="FD15" s="43"/>
      <c r="FN15" s="43"/>
      <c r="FO15" s="43"/>
      <c r="FY15" s="43"/>
      <c r="FZ15" s="43"/>
      <c r="GI15" s="43"/>
      <c r="GJ15" s="43"/>
      <c r="GK15" s="43"/>
      <c r="GL15" s="43"/>
      <c r="GM15" s="43"/>
      <c r="GN15" s="43"/>
      <c r="GO15" s="43"/>
      <c r="GP15" s="43"/>
      <c r="GR15" s="43"/>
      <c r="GS15" s="43"/>
      <c r="GT15" s="43"/>
      <c r="GU15" s="43"/>
    </row>
    <row r="16" spans="1:203" x14ac:dyDescent="0.25"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N16" s="43"/>
      <c r="GO16" s="43"/>
      <c r="GP16" s="43"/>
      <c r="GR16" s="43"/>
      <c r="GS16" s="43"/>
      <c r="GT16" s="43"/>
      <c r="GU16" s="43"/>
    </row>
    <row r="17" spans="6:203" x14ac:dyDescent="0.25">
      <c r="F17" s="43"/>
      <c r="J17" s="43"/>
      <c r="K17" s="43"/>
      <c r="T17" s="43"/>
      <c r="W17" s="43"/>
      <c r="Y17" s="43"/>
      <c r="Z17" s="43"/>
      <c r="AI17" s="43"/>
      <c r="AK17" s="43"/>
      <c r="AL17" s="43"/>
      <c r="AU17" s="43"/>
      <c r="AW17" s="43"/>
      <c r="AX17" s="43"/>
      <c r="AY17" s="43"/>
      <c r="BH17" s="43"/>
      <c r="BI17" s="43"/>
      <c r="BM17" s="43"/>
      <c r="BN17" s="43"/>
      <c r="BS17" s="43"/>
      <c r="BT17" s="43"/>
      <c r="CC17" s="43"/>
      <c r="CF17" s="43"/>
      <c r="CG17" s="43"/>
      <c r="CP17" s="43"/>
      <c r="CQ17" s="43"/>
      <c r="CR17" s="43"/>
      <c r="DA17" s="43"/>
      <c r="DB17" s="43"/>
      <c r="DC17" s="43"/>
      <c r="DM17" s="43"/>
      <c r="DN17" s="43"/>
      <c r="DW17" s="43"/>
      <c r="DX17" s="43"/>
      <c r="EG17" s="43"/>
      <c r="EI17" s="43"/>
      <c r="EK17" s="43"/>
      <c r="EL17" s="43"/>
      <c r="EU17" s="43"/>
      <c r="EX17" s="43"/>
      <c r="EY17" s="43"/>
      <c r="FC17" s="43"/>
      <c r="FD17" s="43"/>
      <c r="FN17" s="43"/>
      <c r="FO17" s="43"/>
      <c r="FY17" s="43"/>
      <c r="FZ17" s="43"/>
      <c r="GI17" s="43"/>
      <c r="GJ17" s="43"/>
      <c r="GL17" s="43"/>
      <c r="GM17" s="43"/>
      <c r="GO17" s="43"/>
      <c r="GP17" s="43"/>
      <c r="GR17" s="43"/>
      <c r="GS17" s="43"/>
      <c r="GT17" s="43"/>
      <c r="GU17" s="43"/>
    </row>
    <row r="18" spans="6:203" x14ac:dyDescent="0.25"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N18" s="43"/>
      <c r="GO18" s="43"/>
      <c r="GP18" s="43"/>
      <c r="GR18" s="43"/>
      <c r="GS18" s="43"/>
      <c r="GT18" s="43"/>
      <c r="GU18" s="43"/>
    </row>
    <row r="19" spans="6:203" x14ac:dyDescent="0.25"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N19" s="43"/>
      <c r="GO19" s="43"/>
      <c r="GP19" s="43"/>
      <c r="GR19" s="43"/>
      <c r="GS19" s="43"/>
      <c r="GT19" s="43"/>
      <c r="GU19" s="43"/>
    </row>
    <row r="20" spans="6:203" x14ac:dyDescent="0.25"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P20" s="43"/>
      <c r="GR20" s="43"/>
      <c r="GS20" s="43"/>
      <c r="GT20" s="43"/>
      <c r="GU20" s="43"/>
    </row>
    <row r="21" spans="6:203" ht="15.75" customHeight="1" x14ac:dyDescent="0.25"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P21" s="43"/>
      <c r="GR21" s="43"/>
      <c r="GS21" s="43"/>
      <c r="GT21" s="43"/>
      <c r="GU21" s="43"/>
    </row>
    <row r="22" spans="6:203" ht="15.75" customHeight="1" x14ac:dyDescent="0.25"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N22" s="43"/>
      <c r="GO22" s="43"/>
      <c r="GP22" s="43"/>
      <c r="GR22" s="43"/>
      <c r="GS22" s="43"/>
      <c r="GT22" s="43"/>
      <c r="GU22" s="43"/>
    </row>
    <row r="23" spans="6:203" ht="15.75" customHeight="1" x14ac:dyDescent="0.25">
      <c r="F23" s="43"/>
      <c r="G23" s="43"/>
      <c r="H23" s="43"/>
      <c r="I23" s="43"/>
      <c r="J23" s="43"/>
      <c r="K23" s="43"/>
      <c r="L23" s="43"/>
      <c r="M23" s="43"/>
      <c r="N23" s="43"/>
      <c r="O23" s="43"/>
      <c r="T23" s="43"/>
      <c r="U23" s="43"/>
      <c r="W23" s="43"/>
      <c r="Y23" s="43"/>
      <c r="Z23" s="43"/>
      <c r="AA23" s="43"/>
      <c r="AB23" s="43"/>
      <c r="AC23" s="43"/>
      <c r="AD23" s="43"/>
      <c r="AI23" s="43"/>
      <c r="AK23" s="43"/>
      <c r="AL23" s="43"/>
      <c r="AM23" s="43"/>
      <c r="AN23" s="43"/>
      <c r="AO23" s="43"/>
      <c r="AP23" s="43"/>
      <c r="AU23" s="43"/>
      <c r="AV23" s="43"/>
      <c r="AW23" s="43"/>
      <c r="AX23" s="43"/>
      <c r="AY23" s="43"/>
      <c r="AZ23" s="43"/>
      <c r="BA23" s="43"/>
      <c r="BB23" s="43"/>
      <c r="BC23" s="43"/>
      <c r="BH23" s="43"/>
      <c r="BI23" s="43"/>
      <c r="BJ23" s="43"/>
      <c r="BK23" s="43"/>
      <c r="BM23" s="43"/>
      <c r="BN23" s="43"/>
      <c r="BO23" s="43"/>
      <c r="BP23" s="43"/>
      <c r="BS23" s="43"/>
      <c r="BT23" s="43"/>
      <c r="BU23" s="43"/>
      <c r="BV23" s="43"/>
      <c r="BW23" s="43"/>
      <c r="BX23" s="43"/>
      <c r="CC23" s="43"/>
      <c r="CF23" s="43"/>
      <c r="CG23" s="43"/>
      <c r="CH23" s="43"/>
      <c r="CI23" s="43"/>
      <c r="CJ23" s="43"/>
      <c r="CK23" s="43"/>
      <c r="CP23" s="43"/>
      <c r="CQ23" s="43"/>
      <c r="CR23" s="43"/>
      <c r="CS23" s="43"/>
      <c r="CT23" s="43"/>
      <c r="CU23" s="43"/>
      <c r="CV23" s="43"/>
      <c r="DA23" s="43"/>
      <c r="DB23" s="43"/>
      <c r="DC23" s="43"/>
      <c r="DD23" s="43"/>
      <c r="DE23" s="43"/>
      <c r="DF23" s="43"/>
      <c r="DG23" s="43"/>
      <c r="DM23" s="43"/>
      <c r="DN23" s="43"/>
      <c r="DO23" s="43"/>
      <c r="DP23" s="43"/>
      <c r="DQ23" s="43"/>
      <c r="DR23" s="43"/>
      <c r="DW23" s="43"/>
      <c r="DX23" s="43"/>
      <c r="DY23" s="43"/>
      <c r="DZ23" s="43"/>
      <c r="EA23" s="43"/>
      <c r="EB23" s="43"/>
      <c r="EG23" s="43"/>
      <c r="EI23" s="43"/>
      <c r="EK23" s="43"/>
      <c r="EL23" s="43"/>
      <c r="EM23" s="43"/>
      <c r="EN23" s="43"/>
      <c r="EO23" s="43"/>
      <c r="EP23" s="43"/>
      <c r="EU23" s="43"/>
      <c r="EV23" s="43"/>
      <c r="EW23" s="43"/>
      <c r="EX23" s="43"/>
      <c r="EY23" s="43"/>
      <c r="EZ23" s="43"/>
      <c r="FA23" s="43"/>
      <c r="FC23" s="43"/>
      <c r="FD23" s="43"/>
      <c r="FE23" s="43"/>
      <c r="FF23" s="43"/>
      <c r="FG23" s="43"/>
      <c r="FH23" s="43"/>
      <c r="FN23" s="43"/>
      <c r="FO23" s="43"/>
      <c r="FP23" s="43"/>
      <c r="FQ23" s="43"/>
      <c r="FR23" s="43"/>
      <c r="FS23" s="43"/>
      <c r="FY23" s="43"/>
      <c r="FZ23" s="43"/>
      <c r="GA23" s="43"/>
      <c r="GB23" s="43"/>
      <c r="GC23" s="43"/>
      <c r="GD23" s="43"/>
      <c r="GI23" s="43"/>
      <c r="GL23" s="43"/>
      <c r="GM23" s="43"/>
      <c r="GN23" s="43"/>
      <c r="GO23" s="43"/>
      <c r="GP23" s="43"/>
      <c r="GR23" s="43"/>
      <c r="GS23" s="43"/>
      <c r="GT23" s="43"/>
      <c r="GU23" s="43"/>
    </row>
    <row r="24" spans="6:203" ht="15.75" customHeight="1" x14ac:dyDescent="0.25">
      <c r="F24" s="43"/>
      <c r="G24" s="43"/>
      <c r="H24" s="43"/>
      <c r="I24" s="43"/>
      <c r="L24" s="43"/>
      <c r="M24" s="43"/>
      <c r="N24" s="43"/>
      <c r="O24" s="43"/>
      <c r="P24" s="43"/>
      <c r="Q24" s="43"/>
      <c r="R24" s="43"/>
      <c r="S24" s="43"/>
      <c r="U24" s="43"/>
      <c r="V24" s="43"/>
      <c r="W24" s="43"/>
      <c r="X24" s="43"/>
      <c r="AA24" s="43"/>
      <c r="AB24" s="43"/>
      <c r="AC24" s="43"/>
      <c r="AD24" s="43"/>
      <c r="AE24" s="43"/>
      <c r="AF24" s="43"/>
      <c r="AG24" s="43"/>
      <c r="AH24" s="43"/>
      <c r="AJ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Z24" s="43"/>
      <c r="BA24" s="43"/>
      <c r="BB24" s="43"/>
      <c r="BC24" s="43"/>
      <c r="BD24" s="43"/>
      <c r="BE24" s="43"/>
      <c r="BF24" s="43"/>
      <c r="BG24" s="43"/>
      <c r="BJ24" s="43"/>
      <c r="BK24" s="43"/>
      <c r="BL24" s="43"/>
      <c r="BM24" s="43"/>
      <c r="BN24" s="43"/>
      <c r="BO24" s="43"/>
      <c r="BP24" s="43"/>
      <c r="BQ24" s="43"/>
      <c r="BR24" s="43"/>
      <c r="BU24" s="43"/>
      <c r="BV24" s="43"/>
      <c r="BW24" s="43"/>
      <c r="BX24" s="43"/>
      <c r="BY24" s="43"/>
      <c r="BZ24" s="43"/>
      <c r="CA24" s="43"/>
      <c r="CB24" s="43"/>
      <c r="CD24" s="43"/>
      <c r="CE24" s="43"/>
      <c r="CH24" s="43"/>
      <c r="CI24" s="43"/>
      <c r="CJ24" s="43"/>
      <c r="CK24" s="43"/>
      <c r="CL24" s="43"/>
      <c r="CM24" s="43"/>
      <c r="CN24" s="43"/>
      <c r="CO24" s="43"/>
      <c r="CP24" s="43"/>
      <c r="CS24" s="43"/>
      <c r="CT24" s="43"/>
      <c r="CU24" s="43"/>
      <c r="CV24" s="43"/>
      <c r="CW24" s="43"/>
      <c r="CX24" s="43"/>
      <c r="CY24" s="43"/>
      <c r="CZ24" s="43"/>
      <c r="DD24" s="43"/>
      <c r="DE24" s="43"/>
      <c r="DF24" s="43"/>
      <c r="DG24" s="43"/>
      <c r="DH24" s="43"/>
      <c r="DI24" s="43"/>
      <c r="DJ24" s="43"/>
      <c r="DK24" s="43"/>
      <c r="DL24" s="43"/>
      <c r="DO24" s="43"/>
      <c r="DP24" s="43"/>
      <c r="DQ24" s="43"/>
      <c r="DR24" s="43"/>
      <c r="DS24" s="43"/>
      <c r="DT24" s="43"/>
      <c r="DU24" s="43"/>
      <c r="DV24" s="43"/>
      <c r="DY24" s="43"/>
      <c r="DZ24" s="43"/>
      <c r="EA24" s="43"/>
      <c r="EB24" s="43"/>
      <c r="EC24" s="43"/>
      <c r="ED24" s="43"/>
      <c r="EE24" s="43"/>
      <c r="EF24" s="43"/>
      <c r="EH24" s="43"/>
      <c r="EI24" s="43"/>
      <c r="EJ24" s="43"/>
      <c r="EM24" s="43"/>
      <c r="EN24" s="43"/>
      <c r="EO24" s="43"/>
      <c r="EP24" s="43"/>
      <c r="EQ24" s="43"/>
      <c r="ER24" s="43"/>
      <c r="ES24" s="43"/>
      <c r="ET24" s="43"/>
      <c r="EV24" s="43"/>
      <c r="EW24" s="43"/>
      <c r="EX24" s="43"/>
      <c r="EY24" s="43"/>
      <c r="EZ24" s="43"/>
      <c r="FA24" s="43"/>
      <c r="FB24" s="43"/>
      <c r="FE24" s="43"/>
      <c r="FF24" s="43"/>
      <c r="FG24" s="43"/>
      <c r="FH24" s="43"/>
      <c r="FI24" s="43"/>
      <c r="FJ24" s="43"/>
      <c r="FK24" s="43"/>
      <c r="FL24" s="43"/>
      <c r="FM24" s="43"/>
      <c r="FP24" s="43"/>
      <c r="FQ24" s="43"/>
      <c r="FR24" s="43"/>
      <c r="FS24" s="43"/>
      <c r="FT24" s="43"/>
      <c r="FU24" s="43"/>
      <c r="FV24" s="43"/>
      <c r="FW24" s="43"/>
      <c r="FX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R24" s="43"/>
      <c r="GS24" s="43"/>
      <c r="GT24" s="43"/>
      <c r="GU24" s="43"/>
    </row>
    <row r="25" spans="6:203" ht="15.75" customHeight="1" x14ac:dyDescent="0.25">
      <c r="F25" s="43"/>
      <c r="G25" s="43"/>
      <c r="H25" s="43"/>
      <c r="I25" s="43"/>
      <c r="L25" s="43"/>
      <c r="M25" s="43"/>
      <c r="N25" s="43"/>
      <c r="O25" s="43"/>
      <c r="P25" s="43"/>
      <c r="Q25" s="43"/>
      <c r="R25" s="43"/>
      <c r="S25" s="43"/>
      <c r="U25" s="43"/>
      <c r="V25" s="43"/>
      <c r="W25" s="43"/>
      <c r="X25" s="43"/>
      <c r="AA25" s="43"/>
      <c r="AB25" s="43"/>
      <c r="AC25" s="43"/>
      <c r="AD25" s="43"/>
      <c r="AE25" s="43"/>
      <c r="AF25" s="43"/>
      <c r="AG25" s="43"/>
      <c r="AH25" s="43"/>
      <c r="AJ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Z25" s="43"/>
      <c r="BA25" s="43"/>
      <c r="BB25" s="43"/>
      <c r="BC25" s="43"/>
      <c r="BD25" s="43"/>
      <c r="BE25" s="43"/>
      <c r="BF25" s="43"/>
      <c r="BG25" s="43"/>
      <c r="BJ25" s="43"/>
      <c r="BK25" s="43"/>
      <c r="BL25" s="43"/>
      <c r="BM25" s="43"/>
      <c r="BN25" s="43"/>
      <c r="BO25" s="43"/>
      <c r="BP25" s="43"/>
      <c r="BQ25" s="43"/>
      <c r="BR25" s="43"/>
      <c r="BU25" s="43"/>
      <c r="BV25" s="43"/>
      <c r="BW25" s="43"/>
      <c r="BX25" s="43"/>
      <c r="BY25" s="43"/>
      <c r="BZ25" s="43"/>
      <c r="CA25" s="43"/>
      <c r="CB25" s="43"/>
      <c r="CD25" s="43"/>
      <c r="CE25" s="43"/>
      <c r="CH25" s="43"/>
      <c r="CI25" s="43"/>
      <c r="CJ25" s="43"/>
      <c r="CK25" s="43"/>
      <c r="CL25" s="43"/>
      <c r="CM25" s="43"/>
      <c r="CN25" s="43"/>
      <c r="CO25" s="43"/>
      <c r="CP25" s="43"/>
      <c r="CS25" s="43"/>
      <c r="CT25" s="43"/>
      <c r="CU25" s="43"/>
      <c r="CV25" s="43"/>
      <c r="CW25" s="43"/>
      <c r="CX25" s="43"/>
      <c r="CY25" s="43"/>
      <c r="CZ25" s="43"/>
      <c r="DD25" s="43"/>
      <c r="DE25" s="43"/>
      <c r="DF25" s="43"/>
      <c r="DG25" s="43"/>
      <c r="DH25" s="43"/>
      <c r="DI25" s="43"/>
      <c r="DJ25" s="43"/>
      <c r="DK25" s="43"/>
      <c r="DL25" s="43"/>
      <c r="DO25" s="43"/>
      <c r="DP25" s="43"/>
      <c r="DQ25" s="43"/>
      <c r="DR25" s="43"/>
      <c r="DS25" s="43"/>
      <c r="DT25" s="43"/>
      <c r="DU25" s="43"/>
      <c r="DV25" s="43"/>
      <c r="DY25" s="43"/>
      <c r="DZ25" s="43"/>
      <c r="EA25" s="43"/>
      <c r="EB25" s="43"/>
      <c r="EC25" s="43"/>
      <c r="ED25" s="43"/>
      <c r="EE25" s="43"/>
      <c r="EF25" s="43"/>
      <c r="EH25" s="43"/>
      <c r="EI25" s="43"/>
      <c r="EJ25" s="43"/>
      <c r="EM25" s="43"/>
      <c r="EN25" s="43"/>
      <c r="EO25" s="43"/>
      <c r="EP25" s="43"/>
      <c r="EQ25" s="43"/>
      <c r="ER25" s="43"/>
      <c r="ES25" s="43"/>
      <c r="ET25" s="43"/>
      <c r="EV25" s="43"/>
      <c r="EW25" s="43"/>
      <c r="EX25" s="43"/>
      <c r="EY25" s="43"/>
      <c r="EZ25" s="43"/>
      <c r="FA25" s="43"/>
      <c r="FB25" s="43"/>
      <c r="FE25" s="43"/>
      <c r="FF25" s="43"/>
      <c r="FG25" s="43"/>
      <c r="FH25" s="43"/>
      <c r="FI25" s="43"/>
      <c r="FJ25" s="43"/>
      <c r="FK25" s="43"/>
      <c r="FL25" s="43"/>
      <c r="FM25" s="43"/>
      <c r="FP25" s="43"/>
      <c r="FQ25" s="43"/>
      <c r="FR25" s="43"/>
      <c r="FS25" s="43"/>
      <c r="FT25" s="43"/>
      <c r="FU25" s="43"/>
      <c r="FV25" s="43"/>
      <c r="FW25" s="43"/>
      <c r="FX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P25" s="43"/>
      <c r="GR25" s="43"/>
      <c r="GS25" s="43"/>
      <c r="GT25" s="43"/>
      <c r="GU25" s="43"/>
    </row>
    <row r="26" spans="6:203" ht="15.75" customHeight="1" x14ac:dyDescent="0.25">
      <c r="F26" s="43"/>
      <c r="G26" s="43"/>
      <c r="H26" s="43"/>
      <c r="I26" s="43"/>
      <c r="L26" s="43"/>
      <c r="M26" s="43"/>
      <c r="N26" s="43"/>
      <c r="O26" s="43"/>
      <c r="P26" s="43"/>
      <c r="Q26" s="43"/>
      <c r="R26" s="43"/>
      <c r="S26" s="43"/>
      <c r="U26" s="43"/>
      <c r="V26" s="43"/>
      <c r="W26" s="43"/>
      <c r="X26" s="43"/>
      <c r="AA26" s="43"/>
      <c r="AB26" s="43"/>
      <c r="AC26" s="43"/>
      <c r="AD26" s="43"/>
      <c r="AE26" s="43"/>
      <c r="AF26" s="43"/>
      <c r="AG26" s="43"/>
      <c r="AH26" s="43"/>
      <c r="AJ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Z26" s="43"/>
      <c r="BA26" s="43"/>
      <c r="BB26" s="43"/>
      <c r="BC26" s="43"/>
      <c r="BD26" s="43"/>
      <c r="BE26" s="43"/>
      <c r="BF26" s="43"/>
      <c r="BG26" s="43"/>
      <c r="BJ26" s="43"/>
      <c r="BK26" s="43"/>
      <c r="BL26" s="43"/>
      <c r="BM26" s="43"/>
      <c r="BN26" s="43"/>
      <c r="BO26" s="43"/>
      <c r="BP26" s="43"/>
      <c r="BQ26" s="43"/>
      <c r="BR26" s="43"/>
      <c r="BU26" s="43"/>
      <c r="BV26" s="43"/>
      <c r="BW26" s="43"/>
      <c r="BX26" s="43"/>
      <c r="BY26" s="43"/>
      <c r="BZ26" s="43"/>
      <c r="CA26" s="43"/>
      <c r="CB26" s="43"/>
      <c r="CD26" s="43"/>
      <c r="CE26" s="43"/>
      <c r="CH26" s="43"/>
      <c r="CI26" s="43"/>
      <c r="CJ26" s="43"/>
      <c r="CK26" s="43"/>
      <c r="CL26" s="43"/>
      <c r="CM26" s="43"/>
      <c r="CN26" s="43"/>
      <c r="CO26" s="43"/>
      <c r="CP26" s="43"/>
      <c r="CS26" s="43"/>
      <c r="CT26" s="43"/>
      <c r="CU26" s="43"/>
      <c r="CV26" s="43"/>
      <c r="CW26" s="43"/>
      <c r="CX26" s="43"/>
      <c r="CY26" s="43"/>
      <c r="CZ26" s="43"/>
      <c r="DD26" s="43"/>
      <c r="DE26" s="43"/>
      <c r="DF26" s="43"/>
      <c r="DG26" s="43"/>
      <c r="DH26" s="43"/>
      <c r="DI26" s="43"/>
      <c r="DJ26" s="43"/>
      <c r="DK26" s="43"/>
      <c r="DL26" s="43"/>
      <c r="DO26" s="43"/>
      <c r="DP26" s="43"/>
      <c r="DQ26" s="43"/>
      <c r="DR26" s="43"/>
      <c r="DS26" s="43"/>
      <c r="DT26" s="43"/>
      <c r="DU26" s="43"/>
      <c r="DV26" s="43"/>
      <c r="DY26" s="43"/>
      <c r="DZ26" s="43"/>
      <c r="EA26" s="43"/>
      <c r="EB26" s="43"/>
      <c r="EC26" s="43"/>
      <c r="ED26" s="43"/>
      <c r="EE26" s="43"/>
      <c r="EF26" s="43"/>
      <c r="EH26" s="43"/>
      <c r="EI26" s="43"/>
      <c r="EJ26" s="43"/>
      <c r="EM26" s="43"/>
      <c r="EN26" s="43"/>
      <c r="EO26" s="43"/>
      <c r="EP26" s="43"/>
      <c r="EQ26" s="43"/>
      <c r="ER26" s="43"/>
      <c r="ES26" s="43"/>
      <c r="ET26" s="43"/>
      <c r="EV26" s="43"/>
      <c r="EW26" s="43"/>
      <c r="EX26" s="43"/>
      <c r="EY26" s="43"/>
      <c r="EZ26" s="43"/>
      <c r="FA26" s="43"/>
      <c r="FB26" s="43"/>
      <c r="FE26" s="43"/>
      <c r="FF26" s="43"/>
      <c r="FG26" s="43"/>
      <c r="FH26" s="43"/>
      <c r="FI26" s="43"/>
      <c r="FJ26" s="43"/>
      <c r="FK26" s="43"/>
      <c r="FL26" s="43"/>
      <c r="FM26" s="43"/>
      <c r="FP26" s="43"/>
      <c r="FQ26" s="43"/>
      <c r="FR26" s="43"/>
      <c r="FS26" s="43"/>
      <c r="FT26" s="43"/>
      <c r="FU26" s="43"/>
      <c r="FV26" s="43"/>
      <c r="FW26" s="43"/>
      <c r="FX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R26" s="43"/>
      <c r="GS26" s="43"/>
      <c r="GT26" s="43"/>
      <c r="GU26" s="43"/>
    </row>
    <row r="27" spans="6:203" ht="15.75" customHeight="1" x14ac:dyDescent="0.25"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T27" s="43"/>
      <c r="U27" s="43"/>
      <c r="W27" s="43"/>
      <c r="Y27" s="43"/>
      <c r="Z27" s="43"/>
      <c r="AA27" s="43"/>
      <c r="AB27" s="43"/>
      <c r="AC27" s="43"/>
      <c r="AD27" s="43"/>
      <c r="AE27" s="43"/>
      <c r="AF27" s="43"/>
      <c r="AI27" s="43"/>
      <c r="AK27" s="43"/>
      <c r="AL27" s="43"/>
      <c r="AM27" s="43"/>
      <c r="AN27" s="43"/>
      <c r="AO27" s="43"/>
      <c r="AP27" s="43"/>
      <c r="AQ27" s="43"/>
      <c r="AR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H27" s="43"/>
      <c r="BI27" s="43"/>
      <c r="BJ27" s="43"/>
      <c r="BK27" s="43"/>
      <c r="BM27" s="43"/>
      <c r="BN27" s="43"/>
      <c r="BO27" s="43"/>
      <c r="BP27" s="43"/>
      <c r="BQ27" s="43"/>
      <c r="BS27" s="43"/>
      <c r="BT27" s="43"/>
      <c r="BU27" s="43"/>
      <c r="BV27" s="43"/>
      <c r="BW27" s="43"/>
      <c r="BX27" s="43"/>
      <c r="BY27" s="43"/>
      <c r="BZ27" s="43"/>
      <c r="CC27" s="43"/>
      <c r="CF27" s="43"/>
      <c r="CG27" s="43"/>
      <c r="CH27" s="43"/>
      <c r="CI27" s="43"/>
      <c r="CJ27" s="43"/>
      <c r="CK27" s="43"/>
      <c r="CL27" s="43"/>
      <c r="CM27" s="43"/>
      <c r="CP27" s="43"/>
      <c r="CQ27" s="43"/>
      <c r="CR27" s="43"/>
      <c r="CS27" s="43"/>
      <c r="CT27" s="43"/>
      <c r="CU27" s="43"/>
      <c r="CV27" s="43"/>
      <c r="CW27" s="43"/>
      <c r="CX27" s="43"/>
      <c r="DA27" s="43"/>
      <c r="DB27" s="43"/>
      <c r="DC27" s="43"/>
      <c r="DD27" s="43"/>
      <c r="DE27" s="43"/>
      <c r="DF27" s="43"/>
      <c r="DG27" s="43"/>
      <c r="DH27" s="43"/>
      <c r="DI27" s="43"/>
      <c r="DM27" s="43"/>
      <c r="DN27" s="43"/>
      <c r="DO27" s="43"/>
      <c r="DP27" s="43"/>
      <c r="DQ27" s="43"/>
      <c r="DR27" s="43"/>
      <c r="DS27" s="43"/>
      <c r="DT27" s="43"/>
      <c r="DW27" s="43"/>
      <c r="DX27" s="43"/>
      <c r="DY27" s="43"/>
      <c r="DZ27" s="43"/>
      <c r="EA27" s="43"/>
      <c r="EB27" s="43"/>
      <c r="EC27" s="43"/>
      <c r="ED27" s="43"/>
      <c r="EG27" s="43"/>
      <c r="EI27" s="43"/>
      <c r="EK27" s="43"/>
      <c r="EL27" s="43"/>
      <c r="EM27" s="43"/>
      <c r="EN27" s="43"/>
      <c r="EO27" s="43"/>
      <c r="EP27" s="43"/>
      <c r="EQ27" s="43"/>
      <c r="ER27" s="43"/>
      <c r="EU27" s="43"/>
      <c r="EV27" s="43"/>
      <c r="EW27" s="43"/>
      <c r="EX27" s="43"/>
      <c r="EY27" s="43"/>
      <c r="EZ27" s="43"/>
      <c r="FA27" s="43"/>
      <c r="FC27" s="43"/>
      <c r="FD27" s="43"/>
      <c r="FE27" s="43"/>
      <c r="FF27" s="43"/>
      <c r="FG27" s="43"/>
      <c r="FH27" s="43"/>
      <c r="FI27" s="43"/>
      <c r="FJ27" s="43"/>
      <c r="FN27" s="43"/>
      <c r="FO27" s="43"/>
      <c r="FP27" s="43"/>
      <c r="FQ27" s="43"/>
      <c r="FR27" s="43"/>
      <c r="FS27" s="43"/>
      <c r="FT27" s="43"/>
      <c r="FU27" s="43"/>
      <c r="FY27" s="43"/>
      <c r="FZ27" s="43"/>
      <c r="GA27" s="43"/>
      <c r="GB27" s="43"/>
      <c r="GC27" s="43"/>
      <c r="GD27" s="43"/>
      <c r="GE27" s="43"/>
      <c r="GF27" s="43"/>
      <c r="GI27" s="43"/>
      <c r="GJ27" s="43"/>
      <c r="GL27" s="43"/>
      <c r="GN27" s="43"/>
      <c r="GO27" s="43"/>
      <c r="GP27" s="43"/>
      <c r="GR27" s="43"/>
      <c r="GS27" s="43"/>
      <c r="GT27" s="43"/>
      <c r="GU27" s="43"/>
    </row>
    <row r="28" spans="6:203" ht="15.75" customHeight="1" x14ac:dyDescent="0.25">
      <c r="F28" s="43"/>
      <c r="G28" s="43"/>
      <c r="H28" s="43"/>
      <c r="I28" s="43"/>
      <c r="J28" s="43"/>
      <c r="K28" s="43"/>
      <c r="L28" s="43"/>
      <c r="M28" s="43"/>
      <c r="T28" s="43"/>
      <c r="U28" s="43"/>
      <c r="W28" s="43"/>
      <c r="Y28" s="43"/>
      <c r="Z28" s="43"/>
      <c r="AA28" s="43"/>
      <c r="AB28" s="43"/>
      <c r="AI28" s="43"/>
      <c r="AK28" s="43"/>
      <c r="AL28" s="43"/>
      <c r="AM28" s="43"/>
      <c r="AN28" s="43"/>
      <c r="AU28" s="43"/>
      <c r="AV28" s="43"/>
      <c r="AW28" s="43"/>
      <c r="AX28" s="43"/>
      <c r="AY28" s="43"/>
      <c r="AZ28" s="43"/>
      <c r="BA28" s="43"/>
      <c r="BH28" s="43"/>
      <c r="BI28" s="43"/>
      <c r="BJ28" s="43"/>
      <c r="BM28" s="43"/>
      <c r="BN28" s="43"/>
      <c r="BO28" s="43"/>
      <c r="BS28" s="43"/>
      <c r="BT28" s="43"/>
      <c r="BU28" s="43"/>
      <c r="BV28" s="43"/>
      <c r="CC28" s="43"/>
      <c r="CF28" s="43"/>
      <c r="CG28" s="43"/>
      <c r="CH28" s="43"/>
      <c r="CI28" s="43"/>
      <c r="CP28" s="43"/>
      <c r="CQ28" s="43"/>
      <c r="CR28" s="43"/>
      <c r="CS28" s="43"/>
      <c r="CT28" s="43"/>
      <c r="DA28" s="43"/>
      <c r="DB28" s="43"/>
      <c r="DC28" s="43"/>
      <c r="DD28" s="43"/>
      <c r="DE28" s="43"/>
      <c r="DM28" s="43"/>
      <c r="DN28" s="43"/>
      <c r="DO28" s="43"/>
      <c r="DP28" s="43"/>
      <c r="DW28" s="43"/>
      <c r="DX28" s="43"/>
      <c r="DY28" s="43"/>
      <c r="DZ28" s="43"/>
      <c r="EG28" s="43"/>
      <c r="EI28" s="43"/>
      <c r="EK28" s="43"/>
      <c r="EL28" s="43"/>
      <c r="EM28" s="43"/>
      <c r="EN28" s="43"/>
      <c r="EU28" s="43"/>
      <c r="EV28" s="43"/>
      <c r="EX28" s="43"/>
      <c r="EY28" s="43"/>
      <c r="EZ28" s="43"/>
      <c r="FC28" s="43"/>
      <c r="FD28" s="43"/>
      <c r="FE28" s="43"/>
      <c r="FF28" s="43"/>
      <c r="FN28" s="43"/>
      <c r="FO28" s="43"/>
      <c r="FP28" s="43"/>
      <c r="FQ28" s="43"/>
      <c r="FY28" s="43"/>
      <c r="FZ28" s="43"/>
      <c r="GA28" s="43"/>
      <c r="GB28" s="43"/>
      <c r="GI28" s="43"/>
      <c r="GL28" s="43"/>
      <c r="GN28" s="43"/>
      <c r="GO28" s="43"/>
      <c r="GP28" s="43"/>
      <c r="GR28" s="43"/>
      <c r="GS28" s="43"/>
      <c r="GT28" s="43"/>
      <c r="GU28" s="43"/>
    </row>
    <row r="29" spans="6:203" ht="15.75" customHeight="1" x14ac:dyDescent="0.25"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N29" s="43"/>
      <c r="GO29" s="43"/>
      <c r="GP29" s="43"/>
      <c r="GR29" s="43"/>
      <c r="GS29" s="43"/>
      <c r="GT29" s="43"/>
      <c r="GU29" s="43"/>
    </row>
    <row r="30" spans="6:203" ht="15.75" customHeight="1" x14ac:dyDescent="0.25"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N30" s="43"/>
      <c r="GO30" s="43"/>
      <c r="GP30" s="43"/>
      <c r="GR30" s="43"/>
      <c r="GS30" s="43"/>
      <c r="GT30" s="43"/>
      <c r="GU30" s="43"/>
    </row>
    <row r="31" spans="6:203" ht="15.75" customHeight="1" x14ac:dyDescent="0.25"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N31" s="43"/>
      <c r="GO31" s="43"/>
      <c r="GP31" s="43"/>
      <c r="GR31" s="43"/>
      <c r="GS31" s="43"/>
      <c r="GT31" s="43"/>
      <c r="GU31" s="43"/>
    </row>
    <row r="32" spans="6:203" ht="15.75" customHeight="1" x14ac:dyDescent="0.25">
      <c r="F32" s="43"/>
      <c r="G32" s="43"/>
      <c r="H32" s="43"/>
      <c r="I32" s="43"/>
      <c r="L32" s="43"/>
      <c r="M32" s="43"/>
      <c r="N32" s="43"/>
      <c r="O32" s="43"/>
      <c r="P32" s="43"/>
      <c r="Q32" s="43"/>
      <c r="R32" s="43"/>
      <c r="S32" s="43"/>
      <c r="U32" s="43"/>
      <c r="V32" s="43"/>
      <c r="W32" s="43"/>
      <c r="X32" s="43"/>
      <c r="AA32" s="43"/>
      <c r="AB32" s="43"/>
      <c r="AC32" s="43"/>
      <c r="AD32" s="43"/>
      <c r="AE32" s="43"/>
      <c r="AF32" s="43"/>
      <c r="AG32" s="43"/>
      <c r="AH32" s="43"/>
      <c r="AJ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Z32" s="43"/>
      <c r="BA32" s="43"/>
      <c r="BB32" s="43"/>
      <c r="BC32" s="43"/>
      <c r="BD32" s="43"/>
      <c r="BE32" s="43"/>
      <c r="BF32" s="43"/>
      <c r="BG32" s="43"/>
      <c r="BJ32" s="43"/>
      <c r="BK32" s="43"/>
      <c r="BL32" s="43"/>
      <c r="BM32" s="43"/>
      <c r="BN32" s="43"/>
      <c r="BO32" s="43"/>
      <c r="BP32" s="43"/>
      <c r="BQ32" s="43"/>
      <c r="BR32" s="43"/>
      <c r="BU32" s="43"/>
      <c r="BV32" s="43"/>
      <c r="BW32" s="43"/>
      <c r="BX32" s="43"/>
      <c r="BY32" s="43"/>
      <c r="BZ32" s="43"/>
      <c r="CA32" s="43"/>
      <c r="CB32" s="43"/>
      <c r="CD32" s="43"/>
      <c r="CE32" s="43"/>
      <c r="CH32" s="43"/>
      <c r="CI32" s="43"/>
      <c r="CJ32" s="43"/>
      <c r="CK32" s="43"/>
      <c r="CL32" s="43"/>
      <c r="CM32" s="43"/>
      <c r="CN32" s="43"/>
      <c r="CO32" s="43"/>
      <c r="CP32" s="43"/>
      <c r="CS32" s="43"/>
      <c r="CT32" s="43"/>
      <c r="CU32" s="43"/>
      <c r="CV32" s="43"/>
      <c r="CW32" s="43"/>
      <c r="CX32" s="43"/>
      <c r="CY32" s="43"/>
      <c r="CZ32" s="43"/>
      <c r="DD32" s="43"/>
      <c r="DE32" s="43"/>
      <c r="DF32" s="43"/>
      <c r="DG32" s="43"/>
      <c r="DH32" s="43"/>
      <c r="DI32" s="43"/>
      <c r="DJ32" s="43"/>
      <c r="DK32" s="43"/>
      <c r="DL32" s="43"/>
      <c r="DO32" s="43"/>
      <c r="DP32" s="43"/>
      <c r="DQ32" s="43"/>
      <c r="DR32" s="43"/>
      <c r="DS32" s="43"/>
      <c r="DT32" s="43"/>
      <c r="DU32" s="43"/>
      <c r="DV32" s="43"/>
      <c r="DY32" s="43"/>
      <c r="DZ32" s="43"/>
      <c r="EA32" s="43"/>
      <c r="EB32" s="43"/>
      <c r="EC32" s="43"/>
      <c r="ED32" s="43"/>
      <c r="EE32" s="43"/>
      <c r="EF32" s="43"/>
      <c r="EH32" s="43"/>
      <c r="EI32" s="43"/>
      <c r="EJ32" s="43"/>
      <c r="EM32" s="43"/>
      <c r="EN32" s="43"/>
      <c r="EO32" s="43"/>
      <c r="EP32" s="43"/>
      <c r="EQ32" s="43"/>
      <c r="ER32" s="43"/>
      <c r="ES32" s="43"/>
      <c r="ET32" s="43"/>
      <c r="EV32" s="43"/>
      <c r="EW32" s="43"/>
      <c r="EX32" s="43"/>
      <c r="EY32" s="43"/>
      <c r="EZ32" s="43"/>
      <c r="FA32" s="43"/>
      <c r="FB32" s="43"/>
      <c r="FE32" s="43"/>
      <c r="FF32" s="43"/>
      <c r="FG32" s="43"/>
      <c r="FH32" s="43"/>
      <c r="FI32" s="43"/>
      <c r="FJ32" s="43"/>
      <c r="FK32" s="43"/>
      <c r="FL32" s="43"/>
      <c r="FM32" s="43"/>
      <c r="FP32" s="43"/>
      <c r="FQ32" s="43"/>
      <c r="FR32" s="43"/>
      <c r="FS32" s="43"/>
      <c r="FT32" s="43"/>
      <c r="FU32" s="43"/>
      <c r="FV32" s="43"/>
      <c r="FW32" s="43"/>
      <c r="FX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R32" s="43"/>
      <c r="GS32" s="43"/>
      <c r="GT32" s="43"/>
      <c r="GU32" s="43"/>
    </row>
    <row r="33" spans="6:203" ht="15.75" customHeight="1" x14ac:dyDescent="0.25"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N33" s="43"/>
      <c r="GO33" s="43"/>
      <c r="GP33" s="43"/>
      <c r="GR33" s="43"/>
      <c r="GS33" s="43"/>
      <c r="GT33" s="43"/>
      <c r="GU33" s="43"/>
    </row>
    <row r="34" spans="6:203" ht="15.75" customHeight="1" x14ac:dyDescent="0.25"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N34" s="43"/>
      <c r="GO34" s="43"/>
      <c r="GP34" s="43"/>
      <c r="GR34" s="43"/>
      <c r="GS34" s="43"/>
      <c r="GT34" s="43"/>
      <c r="GU34" s="43"/>
    </row>
    <row r="35" spans="6:203" ht="15.75" customHeight="1" x14ac:dyDescent="0.25">
      <c r="F35" s="43"/>
      <c r="J35" s="43"/>
      <c r="K35" s="43"/>
      <c r="T35" s="43"/>
      <c r="W35" s="43"/>
      <c r="Y35" s="43"/>
      <c r="Z35" s="43"/>
      <c r="AI35" s="43"/>
      <c r="AK35" s="43"/>
      <c r="AL35" s="43"/>
      <c r="AU35" s="43"/>
      <c r="AW35" s="43"/>
      <c r="AX35" s="43"/>
      <c r="AY35" s="43"/>
      <c r="BH35" s="43"/>
      <c r="BI35" s="43"/>
      <c r="BM35" s="43"/>
      <c r="BN35" s="43"/>
      <c r="BQ35" s="43"/>
      <c r="BS35" s="43"/>
      <c r="BT35" s="43"/>
      <c r="CC35" s="43"/>
      <c r="CF35" s="43"/>
      <c r="CG35" s="43"/>
      <c r="CP35" s="43"/>
      <c r="CQ35" s="43"/>
      <c r="CR35" s="43"/>
      <c r="DA35" s="43"/>
      <c r="DB35" s="43"/>
      <c r="DC35" s="43"/>
      <c r="DM35" s="43"/>
      <c r="DN35" s="43"/>
      <c r="DW35" s="43"/>
      <c r="DX35" s="43"/>
      <c r="EG35" s="43"/>
      <c r="EI35" s="43"/>
      <c r="EJ35" s="43"/>
      <c r="EK35" s="43"/>
      <c r="EL35" s="43"/>
      <c r="EU35" s="43"/>
      <c r="EX35" s="43"/>
      <c r="EY35" s="43"/>
      <c r="FB35" s="43"/>
      <c r="FC35" s="43"/>
      <c r="FD35" s="43"/>
      <c r="FM35" s="43"/>
      <c r="FN35" s="43"/>
      <c r="FO35" s="43"/>
      <c r="FX35" s="43"/>
      <c r="FY35" s="43"/>
      <c r="FZ35" s="43"/>
      <c r="GI35" s="43"/>
      <c r="GJ35" s="43"/>
      <c r="GK35" s="43"/>
      <c r="GL35" s="43"/>
      <c r="GN35" s="43"/>
      <c r="GO35" s="43"/>
      <c r="GP35" s="43"/>
      <c r="GR35" s="43"/>
      <c r="GS35" s="43"/>
      <c r="GT35" s="43"/>
      <c r="GU35" s="43"/>
    </row>
    <row r="36" spans="6:203" ht="15.75" customHeight="1" x14ac:dyDescent="0.25"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N36" s="43"/>
      <c r="GO36" s="43"/>
      <c r="GP36" s="43"/>
      <c r="GR36" s="43"/>
      <c r="GS36" s="43"/>
      <c r="GT36" s="43"/>
      <c r="GU36" s="43"/>
    </row>
    <row r="37" spans="6:203" ht="15.75" customHeight="1" x14ac:dyDescent="0.25">
      <c r="F37" s="43"/>
      <c r="J37" s="43"/>
      <c r="K37" s="43"/>
      <c r="L37" s="43"/>
      <c r="M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D37" s="43"/>
      <c r="BE37" s="43"/>
      <c r="BF37" s="43"/>
      <c r="BG37" s="43"/>
      <c r="BH37" s="43"/>
      <c r="BI37" s="43"/>
      <c r="BJ37" s="43"/>
      <c r="BL37" s="43"/>
      <c r="BM37" s="43"/>
      <c r="BN37" s="43"/>
      <c r="BO37" s="43"/>
      <c r="BQ37" s="43"/>
      <c r="BR37" s="43"/>
      <c r="BS37" s="43"/>
      <c r="BT37" s="43"/>
      <c r="BU37" s="43"/>
      <c r="BV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L37" s="43"/>
      <c r="CM37" s="43"/>
      <c r="CN37" s="43"/>
      <c r="CO37" s="43"/>
      <c r="CP37" s="43"/>
      <c r="CQ37" s="43"/>
      <c r="CR37" s="43"/>
      <c r="CS37" s="43"/>
      <c r="CT37" s="43"/>
      <c r="CW37" s="43"/>
      <c r="CX37" s="43"/>
      <c r="CY37" s="43"/>
      <c r="CZ37" s="43"/>
      <c r="DA37" s="43"/>
      <c r="DB37" s="43"/>
      <c r="DC37" s="43"/>
      <c r="DD37" s="43"/>
      <c r="DE37" s="43"/>
      <c r="DH37" s="43"/>
      <c r="DI37" s="43"/>
      <c r="DJ37" s="43"/>
      <c r="DK37" s="43"/>
      <c r="DL37" s="43"/>
      <c r="DM37" s="43"/>
      <c r="DN37" s="43"/>
      <c r="DO37" s="43"/>
      <c r="DP37" s="43"/>
      <c r="DS37" s="43"/>
      <c r="DT37" s="43"/>
      <c r="DU37" s="43"/>
      <c r="DV37" s="43"/>
      <c r="DW37" s="43"/>
      <c r="DX37" s="43"/>
      <c r="DY37" s="43"/>
      <c r="DZ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Q37" s="43"/>
      <c r="ER37" s="43"/>
      <c r="ES37" s="43"/>
      <c r="ET37" s="43"/>
      <c r="EU37" s="43"/>
      <c r="EV37" s="43"/>
      <c r="EX37" s="43"/>
      <c r="EY37" s="43"/>
      <c r="EZ37" s="43"/>
      <c r="FB37" s="43"/>
      <c r="FC37" s="43"/>
      <c r="FD37" s="43"/>
      <c r="FE37" s="43"/>
      <c r="FF37" s="43"/>
      <c r="FI37" s="43"/>
      <c r="FJ37" s="43"/>
      <c r="FK37" s="43"/>
      <c r="FL37" s="43"/>
      <c r="FM37" s="43"/>
      <c r="FN37" s="43"/>
      <c r="FO37" s="43"/>
      <c r="FP37" s="43"/>
      <c r="FQ37" s="43"/>
      <c r="FT37" s="43"/>
      <c r="FU37" s="43"/>
      <c r="FV37" s="43"/>
      <c r="FW37" s="43"/>
      <c r="FX37" s="43"/>
      <c r="FY37" s="43"/>
      <c r="FZ37" s="43"/>
      <c r="GA37" s="43"/>
      <c r="GB37" s="43"/>
      <c r="GE37" s="43"/>
      <c r="GF37" s="43"/>
      <c r="GG37" s="43"/>
      <c r="GH37" s="43"/>
      <c r="GI37" s="43"/>
      <c r="GJ37" s="43"/>
      <c r="GK37" s="43"/>
      <c r="GL37" s="43"/>
      <c r="GN37" s="43"/>
      <c r="GO37" s="43"/>
      <c r="GP37" s="43"/>
      <c r="GR37" s="43"/>
      <c r="GS37" s="43"/>
      <c r="GT37" s="43"/>
      <c r="GU37" s="43"/>
    </row>
    <row r="38" spans="6:203" ht="15.75" customHeight="1" x14ac:dyDescent="0.25">
      <c r="F38" s="43"/>
      <c r="G38" s="43"/>
      <c r="H38" s="43"/>
      <c r="I38" s="43"/>
      <c r="BH38" s="43"/>
      <c r="CC38" s="43"/>
      <c r="DA38" s="43"/>
      <c r="EG38" s="43"/>
      <c r="EU38" s="43"/>
      <c r="EX38" s="43"/>
      <c r="GI38" s="43"/>
      <c r="GL38" s="43"/>
      <c r="GN38" s="43"/>
      <c r="GO38" s="43"/>
      <c r="GP38" s="43"/>
      <c r="GR38" s="43"/>
      <c r="GS38" s="43"/>
      <c r="GT38" s="43"/>
      <c r="GU38" s="43"/>
    </row>
    <row r="39" spans="6:203" ht="15.75" customHeight="1" x14ac:dyDescent="0.25"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O39" s="43"/>
      <c r="GP39" s="43"/>
      <c r="GR39" s="43"/>
      <c r="GS39" s="43"/>
      <c r="GT39" s="43"/>
      <c r="GU39" s="43"/>
    </row>
    <row r="40" spans="6:203" ht="15.75" customHeight="1" x14ac:dyDescent="0.25">
      <c r="F40" s="43"/>
      <c r="G40" s="43"/>
      <c r="H40" s="43"/>
      <c r="I40" s="43"/>
      <c r="J40" s="43"/>
      <c r="K40" s="43"/>
      <c r="P40" s="43"/>
      <c r="Q40" s="43"/>
      <c r="T40" s="43"/>
      <c r="W40" s="43"/>
      <c r="Y40" s="43"/>
      <c r="Z40" s="43"/>
      <c r="AE40" s="43"/>
      <c r="AF40" s="43"/>
      <c r="AI40" s="43"/>
      <c r="AK40" s="43"/>
      <c r="AL40" s="43"/>
      <c r="AQ40" s="43"/>
      <c r="AR40" s="43"/>
      <c r="AU40" s="43"/>
      <c r="AW40" s="43"/>
      <c r="AX40" s="43"/>
      <c r="AY40" s="43"/>
      <c r="BD40" s="43"/>
      <c r="BE40" s="43"/>
      <c r="BH40" s="43"/>
      <c r="BI40" s="43"/>
      <c r="BM40" s="43"/>
      <c r="BN40" s="43"/>
      <c r="BQ40" s="43"/>
      <c r="BS40" s="43"/>
      <c r="BT40" s="43"/>
      <c r="BY40" s="43"/>
      <c r="BZ40" s="43"/>
      <c r="CC40" s="43"/>
      <c r="CF40" s="43"/>
      <c r="CG40" s="43"/>
      <c r="CL40" s="43"/>
      <c r="CM40" s="43"/>
      <c r="CP40" s="43"/>
      <c r="CQ40" s="43"/>
      <c r="CR40" s="43"/>
      <c r="CW40" s="43"/>
      <c r="CX40" s="43"/>
      <c r="DA40" s="43"/>
      <c r="DB40" s="43"/>
      <c r="DC40" s="43"/>
      <c r="DH40" s="43"/>
      <c r="DI40" s="43"/>
      <c r="DM40" s="43"/>
      <c r="DN40" s="43"/>
      <c r="DS40" s="43"/>
      <c r="DT40" s="43"/>
      <c r="DW40" s="43"/>
      <c r="DX40" s="43"/>
      <c r="EC40" s="43"/>
      <c r="ED40" s="43"/>
      <c r="EG40" s="43"/>
      <c r="EI40" s="43"/>
      <c r="EK40" s="43"/>
      <c r="EL40" s="43"/>
      <c r="EQ40" s="43"/>
      <c r="ER40" s="43"/>
      <c r="EU40" s="43"/>
      <c r="EY40" s="43"/>
      <c r="FC40" s="43"/>
      <c r="FD40" s="43"/>
      <c r="FI40" s="43"/>
      <c r="FJ40" s="43"/>
      <c r="FN40" s="43"/>
      <c r="FO40" s="43"/>
      <c r="FT40" s="43"/>
      <c r="FU40" s="43"/>
      <c r="FY40" s="43"/>
      <c r="FZ40" s="43"/>
      <c r="GE40" s="43"/>
      <c r="GF40" s="43"/>
      <c r="GJ40" s="43"/>
      <c r="GL40" s="43"/>
      <c r="GM40" s="43"/>
      <c r="GN40" s="43"/>
      <c r="GO40" s="43"/>
      <c r="GP40" s="43"/>
      <c r="GR40" s="43"/>
      <c r="GS40" s="43"/>
      <c r="GT40" s="43"/>
      <c r="GU40" s="43"/>
    </row>
    <row r="41" spans="6:203" ht="15.75" customHeight="1" x14ac:dyDescent="0.25"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N41" s="43"/>
      <c r="GO41" s="43"/>
      <c r="GP41" s="43"/>
      <c r="GR41" s="43"/>
      <c r="GS41" s="43"/>
      <c r="GT41" s="43"/>
      <c r="GU41" s="43"/>
    </row>
    <row r="42" spans="6:203" ht="15.75" customHeight="1" x14ac:dyDescent="0.25">
      <c r="F42" s="43"/>
      <c r="G42" s="43"/>
      <c r="H42" s="43"/>
      <c r="I42" s="43"/>
      <c r="J42" s="43"/>
      <c r="K42" s="43"/>
      <c r="L42" s="43"/>
      <c r="M42" s="43"/>
      <c r="N42" s="43"/>
      <c r="O42" s="43"/>
      <c r="T42" s="43"/>
      <c r="U42" s="43"/>
      <c r="W42" s="43"/>
      <c r="Y42" s="43"/>
      <c r="Z42" s="43"/>
      <c r="AA42" s="43"/>
      <c r="AB42" s="43"/>
      <c r="AC42" s="43"/>
      <c r="AD42" s="43"/>
      <c r="AI42" s="43"/>
      <c r="AK42" s="43"/>
      <c r="AL42" s="43"/>
      <c r="AM42" s="43"/>
      <c r="AN42" s="43"/>
      <c r="AO42" s="43"/>
      <c r="AP42" s="43"/>
      <c r="AU42" s="43"/>
      <c r="AV42" s="43"/>
      <c r="AW42" s="43"/>
      <c r="AX42" s="43"/>
      <c r="AY42" s="43"/>
      <c r="AZ42" s="43"/>
      <c r="BA42" s="43"/>
      <c r="BB42" s="43"/>
      <c r="BC42" s="43"/>
      <c r="BH42" s="43"/>
      <c r="BI42" s="43"/>
      <c r="BJ42" s="43"/>
      <c r="BK42" s="43"/>
      <c r="BM42" s="43"/>
      <c r="BN42" s="43"/>
      <c r="BO42" s="43"/>
      <c r="BP42" s="43"/>
      <c r="BS42" s="43"/>
      <c r="BT42" s="43"/>
      <c r="BU42" s="43"/>
      <c r="BV42" s="43"/>
      <c r="BW42" s="43"/>
      <c r="BX42" s="43"/>
      <c r="CC42" s="43"/>
      <c r="CF42" s="43"/>
      <c r="CG42" s="43"/>
      <c r="CH42" s="43"/>
      <c r="CI42" s="43"/>
      <c r="CJ42" s="43"/>
      <c r="CK42" s="43"/>
      <c r="CP42" s="43"/>
      <c r="CQ42" s="43"/>
      <c r="CR42" s="43"/>
      <c r="CS42" s="43"/>
      <c r="CT42" s="43"/>
      <c r="CU42" s="43"/>
      <c r="CV42" s="43"/>
      <c r="DA42" s="43"/>
      <c r="DB42" s="43"/>
      <c r="DC42" s="43"/>
      <c r="DD42" s="43"/>
      <c r="DE42" s="43"/>
      <c r="DF42" s="43"/>
      <c r="DG42" s="43"/>
      <c r="DM42" s="43"/>
      <c r="DN42" s="43"/>
      <c r="DO42" s="43"/>
      <c r="DP42" s="43"/>
      <c r="DQ42" s="43"/>
      <c r="DR42" s="43"/>
      <c r="DW42" s="43"/>
      <c r="DX42" s="43"/>
      <c r="DY42" s="43"/>
      <c r="DZ42" s="43"/>
      <c r="EA42" s="43"/>
      <c r="EB42" s="43"/>
      <c r="EG42" s="43"/>
      <c r="EI42" s="43"/>
      <c r="EK42" s="43"/>
      <c r="EL42" s="43"/>
      <c r="EM42" s="43"/>
      <c r="EN42" s="43"/>
      <c r="EO42" s="43"/>
      <c r="EP42" s="43"/>
      <c r="EU42" s="43"/>
      <c r="EV42" s="43"/>
      <c r="EW42" s="43"/>
      <c r="EX42" s="43"/>
      <c r="EY42" s="43"/>
      <c r="EZ42" s="43"/>
      <c r="FA42" s="43"/>
      <c r="FC42" s="43"/>
      <c r="FD42" s="43"/>
      <c r="FE42" s="43"/>
      <c r="FF42" s="43"/>
      <c r="FG42" s="43"/>
      <c r="FH42" s="43"/>
      <c r="FN42" s="43"/>
      <c r="FO42" s="43"/>
      <c r="FP42" s="43"/>
      <c r="FQ42" s="43"/>
      <c r="FR42" s="43"/>
      <c r="FS42" s="43"/>
      <c r="FY42" s="43"/>
      <c r="FZ42" s="43"/>
      <c r="GA42" s="43"/>
      <c r="GB42" s="43"/>
      <c r="GC42" s="43"/>
      <c r="GD42" s="43"/>
      <c r="GI42" s="43"/>
      <c r="GL42" s="43"/>
      <c r="GN42" s="43"/>
      <c r="GO42" s="43"/>
      <c r="GP42" s="43"/>
      <c r="GR42" s="43"/>
      <c r="GS42" s="43"/>
      <c r="GT42" s="43"/>
      <c r="GU42" s="43"/>
    </row>
    <row r="43" spans="6:203" ht="15.75" customHeight="1" x14ac:dyDescent="0.25"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N43" s="43"/>
      <c r="GO43" s="43"/>
      <c r="GP43" s="43"/>
      <c r="GR43" s="43"/>
      <c r="GS43" s="43"/>
      <c r="GT43" s="43"/>
      <c r="GU43" s="43"/>
    </row>
    <row r="44" spans="6:203" ht="15.75" customHeight="1" x14ac:dyDescent="0.25"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N44" s="43"/>
      <c r="GO44" s="43"/>
      <c r="GP44" s="43"/>
      <c r="GR44" s="43"/>
      <c r="GS44" s="43"/>
      <c r="GT44" s="43"/>
      <c r="GU44" s="43"/>
    </row>
    <row r="45" spans="6:203" ht="15.75" customHeight="1" x14ac:dyDescent="0.25">
      <c r="F45" s="43"/>
      <c r="J45" s="43"/>
      <c r="K45" s="43"/>
      <c r="T45" s="43"/>
      <c r="W45" s="43"/>
      <c r="Y45" s="43"/>
      <c r="Z45" s="43"/>
      <c r="AI45" s="43"/>
      <c r="AK45" s="43"/>
      <c r="AL45" s="43"/>
      <c r="AU45" s="43"/>
      <c r="AW45" s="43"/>
      <c r="AX45" s="43"/>
      <c r="AY45" s="43"/>
      <c r="BH45" s="43"/>
      <c r="BI45" s="43"/>
      <c r="BM45" s="43"/>
      <c r="BN45" s="43"/>
      <c r="BS45" s="43"/>
      <c r="BT45" s="43"/>
      <c r="CC45" s="43"/>
      <c r="CF45" s="43"/>
      <c r="CG45" s="43"/>
      <c r="CP45" s="43"/>
      <c r="CQ45" s="43"/>
      <c r="CR45" s="43"/>
      <c r="DA45" s="43"/>
      <c r="DB45" s="43"/>
      <c r="DC45" s="43"/>
      <c r="DM45" s="43"/>
      <c r="DN45" s="43"/>
      <c r="DW45" s="43"/>
      <c r="DX45" s="43"/>
      <c r="EG45" s="43"/>
      <c r="EI45" s="43"/>
      <c r="EK45" s="43"/>
      <c r="EL45" s="43"/>
      <c r="EU45" s="43"/>
      <c r="EX45" s="43"/>
      <c r="EY45" s="43"/>
      <c r="FC45" s="43"/>
      <c r="FD45" s="43"/>
      <c r="FN45" s="43"/>
      <c r="FO45" s="43"/>
      <c r="FY45" s="43"/>
      <c r="FZ45" s="43"/>
      <c r="GI45" s="43"/>
      <c r="GJ45" s="43"/>
      <c r="GL45" s="43"/>
      <c r="GO45" s="43"/>
      <c r="GP45" s="43"/>
      <c r="GR45" s="43"/>
      <c r="GS45" s="43"/>
      <c r="GT45" s="43"/>
      <c r="GU45" s="43"/>
    </row>
    <row r="46" spans="6:203" ht="15.75" customHeight="1" x14ac:dyDescent="0.25"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N46" s="43"/>
      <c r="GO46" s="43"/>
      <c r="GP46" s="43"/>
      <c r="GR46" s="43"/>
      <c r="GS46" s="43"/>
      <c r="GT46" s="43"/>
      <c r="GU46" s="43"/>
    </row>
    <row r="47" spans="6:203" ht="15.75" customHeight="1" x14ac:dyDescent="0.25"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N47" s="43"/>
      <c r="GO47" s="43"/>
      <c r="GP47" s="43"/>
      <c r="GR47" s="43"/>
      <c r="GS47" s="43"/>
      <c r="GT47" s="43"/>
      <c r="GU47" s="43"/>
    </row>
    <row r="48" spans="6:203" ht="15.75" customHeight="1" x14ac:dyDescent="0.25"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N48" s="43"/>
      <c r="GO48" s="43"/>
      <c r="GP48" s="43"/>
      <c r="GR48" s="43"/>
      <c r="GS48" s="43"/>
      <c r="GT48" s="43"/>
      <c r="GU48" s="43"/>
    </row>
    <row r="49" spans="6:203" ht="15.75" customHeight="1" x14ac:dyDescent="0.25">
      <c r="F49" s="43"/>
      <c r="G49" s="43"/>
      <c r="H49" s="43"/>
      <c r="I49" s="43"/>
      <c r="J49" s="43"/>
      <c r="K49" s="43"/>
      <c r="N49" s="43"/>
      <c r="O49" s="43"/>
      <c r="P49" s="43"/>
      <c r="Q49" s="43"/>
      <c r="R49" s="43"/>
      <c r="S49" s="43"/>
      <c r="T49" s="43"/>
      <c r="V49" s="43"/>
      <c r="W49" s="43"/>
      <c r="X49" s="43"/>
      <c r="Y49" s="43"/>
      <c r="Z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O49" s="43"/>
      <c r="AP49" s="43"/>
      <c r="AQ49" s="43"/>
      <c r="AR49" s="43"/>
      <c r="AS49" s="43"/>
      <c r="AT49" s="43"/>
      <c r="AU49" s="43"/>
      <c r="AW49" s="43"/>
      <c r="AX49" s="43"/>
      <c r="AY49" s="43"/>
      <c r="BB49" s="43"/>
      <c r="BC49" s="43"/>
      <c r="BD49" s="43"/>
      <c r="BE49" s="43"/>
      <c r="BF49" s="43"/>
      <c r="BG49" s="43"/>
      <c r="BH49" s="43"/>
      <c r="BI49" s="43"/>
      <c r="BK49" s="43"/>
      <c r="BL49" s="43"/>
      <c r="BM49" s="43"/>
      <c r="BN49" s="43"/>
      <c r="BP49" s="43"/>
      <c r="BQ49" s="43"/>
      <c r="BR49" s="43"/>
      <c r="BS49" s="43"/>
      <c r="BT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J49" s="43"/>
      <c r="CK49" s="43"/>
      <c r="CL49" s="43"/>
      <c r="CM49" s="43"/>
      <c r="CN49" s="43"/>
      <c r="CO49" s="43"/>
      <c r="CP49" s="43"/>
      <c r="CQ49" s="43"/>
      <c r="CR49" s="43"/>
      <c r="CU49" s="43"/>
      <c r="CV49" s="43"/>
      <c r="CW49" s="43"/>
      <c r="CX49" s="43"/>
      <c r="CY49" s="43"/>
      <c r="CZ49" s="43"/>
      <c r="DA49" s="43"/>
      <c r="DB49" s="43"/>
      <c r="DC49" s="43"/>
      <c r="DF49" s="43"/>
      <c r="DG49" s="43"/>
      <c r="DH49" s="43"/>
      <c r="DI49" s="43"/>
      <c r="DJ49" s="43"/>
      <c r="DK49" s="43"/>
      <c r="DL49" s="43"/>
      <c r="DM49" s="43"/>
      <c r="DN49" s="43"/>
      <c r="DQ49" s="43"/>
      <c r="DR49" s="43"/>
      <c r="DS49" s="43"/>
      <c r="DT49" s="43"/>
      <c r="DU49" s="43"/>
      <c r="DV49" s="43"/>
      <c r="DW49" s="43"/>
      <c r="DX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O49" s="43"/>
      <c r="EP49" s="43"/>
      <c r="EQ49" s="43"/>
      <c r="ER49" s="43"/>
      <c r="ES49" s="43"/>
      <c r="ET49" s="43"/>
      <c r="EU49" s="43"/>
      <c r="EW49" s="43"/>
      <c r="EX49" s="43"/>
      <c r="EY49" s="43"/>
      <c r="FA49" s="43"/>
      <c r="FB49" s="43"/>
      <c r="FC49" s="43"/>
      <c r="FD49" s="43"/>
      <c r="FG49" s="43"/>
      <c r="FH49" s="43"/>
      <c r="FI49" s="43"/>
      <c r="FJ49" s="43"/>
      <c r="FK49" s="43"/>
      <c r="FL49" s="43"/>
      <c r="FM49" s="43"/>
      <c r="FN49" s="43"/>
      <c r="FO49" s="43"/>
      <c r="FR49" s="43"/>
      <c r="FS49" s="43"/>
      <c r="FT49" s="43"/>
      <c r="FU49" s="43"/>
      <c r="FV49" s="43"/>
      <c r="FW49" s="43"/>
      <c r="FX49" s="43"/>
      <c r="FY49" s="43"/>
      <c r="FZ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N49" s="43"/>
      <c r="GO49" s="43"/>
      <c r="GP49" s="43"/>
      <c r="GR49" s="43"/>
      <c r="GS49" s="43"/>
      <c r="GT49" s="43"/>
      <c r="GU49" s="43"/>
    </row>
    <row r="50" spans="6:203" ht="15.75" customHeight="1" x14ac:dyDescent="0.25">
      <c r="F50" s="43"/>
      <c r="G50" s="43"/>
      <c r="H50" s="43"/>
      <c r="I50" s="43"/>
      <c r="J50" s="43"/>
      <c r="K50" s="43"/>
      <c r="N50" s="43"/>
      <c r="O50" s="43"/>
      <c r="P50" s="43"/>
      <c r="Q50" s="43"/>
      <c r="R50" s="43"/>
      <c r="S50" s="43"/>
      <c r="T50" s="43"/>
      <c r="V50" s="43"/>
      <c r="W50" s="43"/>
      <c r="X50" s="43"/>
      <c r="Y50" s="43"/>
      <c r="Z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O50" s="43"/>
      <c r="AP50" s="43"/>
      <c r="AQ50" s="43"/>
      <c r="AR50" s="43"/>
      <c r="AS50" s="43"/>
      <c r="AT50" s="43"/>
      <c r="AU50" s="43"/>
      <c r="AW50" s="43"/>
      <c r="AX50" s="43"/>
      <c r="AY50" s="43"/>
      <c r="BB50" s="43"/>
      <c r="BC50" s="43"/>
      <c r="BD50" s="43"/>
      <c r="BE50" s="43"/>
      <c r="BF50" s="43"/>
      <c r="BG50" s="43"/>
      <c r="BH50" s="43"/>
      <c r="BI50" s="43"/>
      <c r="BK50" s="43"/>
      <c r="BL50" s="43"/>
      <c r="BM50" s="43"/>
      <c r="BN50" s="43"/>
      <c r="BP50" s="43"/>
      <c r="BQ50" s="43"/>
      <c r="BR50" s="43"/>
      <c r="BS50" s="43"/>
      <c r="BT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J50" s="43"/>
      <c r="CK50" s="43"/>
      <c r="CL50" s="43"/>
      <c r="CM50" s="43"/>
      <c r="CN50" s="43"/>
      <c r="CO50" s="43"/>
      <c r="CP50" s="43"/>
      <c r="CQ50" s="43"/>
      <c r="CR50" s="43"/>
      <c r="CU50" s="43"/>
      <c r="CV50" s="43"/>
      <c r="CW50" s="43"/>
      <c r="CX50" s="43"/>
      <c r="CY50" s="43"/>
      <c r="CZ50" s="43"/>
      <c r="DA50" s="43"/>
      <c r="DB50" s="43"/>
      <c r="DC50" s="43"/>
      <c r="DF50" s="43"/>
      <c r="DG50" s="43"/>
      <c r="DH50" s="43"/>
      <c r="DI50" s="43"/>
      <c r="DJ50" s="43"/>
      <c r="DK50" s="43"/>
      <c r="DL50" s="43"/>
      <c r="DM50" s="43"/>
      <c r="DN50" s="43"/>
      <c r="DQ50" s="43"/>
      <c r="DR50" s="43"/>
      <c r="DS50" s="43"/>
      <c r="DT50" s="43"/>
      <c r="DU50" s="43"/>
      <c r="DV50" s="43"/>
      <c r="DW50" s="43"/>
      <c r="DX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O50" s="43"/>
      <c r="EP50" s="43"/>
      <c r="EQ50" s="43"/>
      <c r="ER50" s="43"/>
      <c r="ES50" s="43"/>
      <c r="ET50" s="43"/>
      <c r="EU50" s="43"/>
      <c r="EW50" s="43"/>
      <c r="EX50" s="43"/>
      <c r="EY50" s="43"/>
      <c r="FA50" s="43"/>
      <c r="FB50" s="43"/>
      <c r="FC50" s="43"/>
      <c r="FD50" s="43"/>
      <c r="FG50" s="43"/>
      <c r="FH50" s="43"/>
      <c r="FI50" s="43"/>
      <c r="FJ50" s="43"/>
      <c r="FK50" s="43"/>
      <c r="FL50" s="43"/>
      <c r="FM50" s="43"/>
      <c r="FN50" s="43"/>
      <c r="FO50" s="43"/>
      <c r="FR50" s="43"/>
      <c r="FS50" s="43"/>
      <c r="FT50" s="43"/>
      <c r="FU50" s="43"/>
      <c r="FV50" s="43"/>
      <c r="FW50" s="43"/>
      <c r="FX50" s="43"/>
      <c r="FY50" s="43"/>
      <c r="FZ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N50" s="43"/>
      <c r="GO50" s="43"/>
      <c r="GP50" s="43"/>
      <c r="GR50" s="43"/>
      <c r="GS50" s="43"/>
      <c r="GT50" s="43"/>
      <c r="GU50" s="43"/>
    </row>
    <row r="51" spans="6:203" ht="15.75" customHeight="1" x14ac:dyDescent="0.25">
      <c r="F51" s="43"/>
      <c r="G51" s="43"/>
      <c r="H51" s="43"/>
      <c r="I51" s="43"/>
      <c r="J51" s="43"/>
      <c r="K51" s="43"/>
      <c r="N51" s="43"/>
      <c r="O51" s="43"/>
      <c r="P51" s="43"/>
      <c r="Q51" s="43"/>
      <c r="R51" s="43"/>
      <c r="S51" s="43"/>
      <c r="T51" s="43"/>
      <c r="V51" s="43"/>
      <c r="W51" s="43"/>
      <c r="X51" s="43"/>
      <c r="Y51" s="43"/>
      <c r="Z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O51" s="43"/>
      <c r="AP51" s="43"/>
      <c r="AQ51" s="43"/>
      <c r="AR51" s="43"/>
      <c r="AS51" s="43"/>
      <c r="AT51" s="43"/>
      <c r="AU51" s="43"/>
      <c r="AW51" s="43"/>
      <c r="AX51" s="43"/>
      <c r="AY51" s="43"/>
      <c r="BB51" s="43"/>
      <c r="BC51" s="43"/>
      <c r="BD51" s="43"/>
      <c r="BE51" s="43"/>
      <c r="BF51" s="43"/>
      <c r="BG51" s="43"/>
      <c r="BH51" s="43"/>
      <c r="BI51" s="43"/>
      <c r="BK51" s="43"/>
      <c r="BL51" s="43"/>
      <c r="BM51" s="43"/>
      <c r="BN51" s="43"/>
      <c r="BP51" s="43"/>
      <c r="BQ51" s="43"/>
      <c r="BR51" s="43"/>
      <c r="BS51" s="43"/>
      <c r="BT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J51" s="43"/>
      <c r="CK51" s="43"/>
      <c r="CL51" s="43"/>
      <c r="CM51" s="43"/>
      <c r="CN51" s="43"/>
      <c r="CO51" s="43"/>
      <c r="CP51" s="43"/>
      <c r="CQ51" s="43"/>
      <c r="CR51" s="43"/>
      <c r="CU51" s="43"/>
      <c r="CV51" s="43"/>
      <c r="CW51" s="43"/>
      <c r="CX51" s="43"/>
      <c r="CY51" s="43"/>
      <c r="CZ51" s="43"/>
      <c r="DA51" s="43"/>
      <c r="DB51" s="43"/>
      <c r="DC51" s="43"/>
      <c r="DF51" s="43"/>
      <c r="DG51" s="43"/>
      <c r="DH51" s="43"/>
      <c r="DI51" s="43"/>
      <c r="DJ51" s="43"/>
      <c r="DK51" s="43"/>
      <c r="DL51" s="43"/>
      <c r="DM51" s="43"/>
      <c r="DN51" s="43"/>
      <c r="DQ51" s="43"/>
      <c r="DR51" s="43"/>
      <c r="DS51" s="43"/>
      <c r="DT51" s="43"/>
      <c r="DU51" s="43"/>
      <c r="DV51" s="43"/>
      <c r="DW51" s="43"/>
      <c r="DX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O51" s="43"/>
      <c r="EP51" s="43"/>
      <c r="EQ51" s="43"/>
      <c r="ER51" s="43"/>
      <c r="ES51" s="43"/>
      <c r="ET51" s="43"/>
      <c r="EU51" s="43"/>
      <c r="EW51" s="43"/>
      <c r="EX51" s="43"/>
      <c r="EY51" s="43"/>
      <c r="FA51" s="43"/>
      <c r="FB51" s="43"/>
      <c r="FC51" s="43"/>
      <c r="FD51" s="43"/>
      <c r="FG51" s="43"/>
      <c r="FH51" s="43"/>
      <c r="FI51" s="43"/>
      <c r="FJ51" s="43"/>
      <c r="FK51" s="43"/>
      <c r="FL51" s="43"/>
      <c r="FM51" s="43"/>
      <c r="FN51" s="43"/>
      <c r="FO51" s="43"/>
      <c r="FR51" s="43"/>
      <c r="FS51" s="43"/>
      <c r="FT51" s="43"/>
      <c r="FU51" s="43"/>
      <c r="FV51" s="43"/>
      <c r="FW51" s="43"/>
      <c r="FX51" s="43"/>
      <c r="FY51" s="43"/>
      <c r="FZ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N51" s="43"/>
      <c r="GO51" s="43"/>
      <c r="GP51" s="43"/>
      <c r="GR51" s="43"/>
      <c r="GS51" s="43"/>
      <c r="GT51" s="43"/>
      <c r="GU51" s="43"/>
    </row>
    <row r="52" spans="6:203" ht="15.75" customHeight="1" x14ac:dyDescent="0.25">
      <c r="F52" s="43"/>
      <c r="G52" s="43"/>
      <c r="H52" s="43"/>
      <c r="I52" s="43"/>
      <c r="J52" s="43"/>
      <c r="K52" s="43"/>
      <c r="N52" s="43"/>
      <c r="O52" s="43"/>
      <c r="P52" s="43"/>
      <c r="Q52" s="43"/>
      <c r="R52" s="43"/>
      <c r="S52" s="43"/>
      <c r="T52" s="43"/>
      <c r="V52" s="43"/>
      <c r="W52" s="43"/>
      <c r="X52" s="43"/>
      <c r="Y52" s="43"/>
      <c r="Z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O52" s="43"/>
      <c r="AP52" s="43"/>
      <c r="AQ52" s="43"/>
      <c r="AR52" s="43"/>
      <c r="AS52" s="43"/>
      <c r="AT52" s="43"/>
      <c r="AU52" s="43"/>
      <c r="AW52" s="43"/>
      <c r="AX52" s="43"/>
      <c r="AY52" s="43"/>
      <c r="BB52" s="43"/>
      <c r="BC52" s="43"/>
      <c r="BD52" s="43"/>
      <c r="BE52" s="43"/>
      <c r="BF52" s="43"/>
      <c r="BG52" s="43"/>
      <c r="BH52" s="43"/>
      <c r="BI52" s="43"/>
      <c r="BK52" s="43"/>
      <c r="BL52" s="43"/>
      <c r="BM52" s="43"/>
      <c r="BN52" s="43"/>
      <c r="BP52" s="43"/>
      <c r="BQ52" s="43"/>
      <c r="BR52" s="43"/>
      <c r="BS52" s="43"/>
      <c r="BT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J52" s="43"/>
      <c r="CK52" s="43"/>
      <c r="CL52" s="43"/>
      <c r="CM52" s="43"/>
      <c r="CN52" s="43"/>
      <c r="CO52" s="43"/>
      <c r="CP52" s="43"/>
      <c r="CQ52" s="43"/>
      <c r="CR52" s="43"/>
      <c r="CU52" s="43"/>
      <c r="CV52" s="43"/>
      <c r="CW52" s="43"/>
      <c r="CX52" s="43"/>
      <c r="CY52" s="43"/>
      <c r="CZ52" s="43"/>
      <c r="DA52" s="43"/>
      <c r="DB52" s="43"/>
      <c r="DC52" s="43"/>
      <c r="DF52" s="43"/>
      <c r="DG52" s="43"/>
      <c r="DH52" s="43"/>
      <c r="DI52" s="43"/>
      <c r="DJ52" s="43"/>
      <c r="DK52" s="43"/>
      <c r="DL52" s="43"/>
      <c r="DM52" s="43"/>
      <c r="DN52" s="43"/>
      <c r="DQ52" s="43"/>
      <c r="DR52" s="43"/>
      <c r="DS52" s="43"/>
      <c r="DT52" s="43"/>
      <c r="DU52" s="43"/>
      <c r="DV52" s="43"/>
      <c r="DW52" s="43"/>
      <c r="DX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O52" s="43"/>
      <c r="EP52" s="43"/>
      <c r="EQ52" s="43"/>
      <c r="ER52" s="43"/>
      <c r="ES52" s="43"/>
      <c r="ET52" s="43"/>
      <c r="EU52" s="43"/>
      <c r="EW52" s="43"/>
      <c r="EX52" s="43"/>
      <c r="EY52" s="43"/>
      <c r="FA52" s="43"/>
      <c r="FB52" s="43"/>
      <c r="FC52" s="43"/>
      <c r="FD52" s="43"/>
      <c r="FG52" s="43"/>
      <c r="FH52" s="43"/>
      <c r="FI52" s="43"/>
      <c r="FJ52" s="43"/>
      <c r="FK52" s="43"/>
      <c r="FL52" s="43"/>
      <c r="FM52" s="43"/>
      <c r="FN52" s="43"/>
      <c r="FO52" s="43"/>
      <c r="FR52" s="43"/>
      <c r="FS52" s="43"/>
      <c r="FT52" s="43"/>
      <c r="FU52" s="43"/>
      <c r="FV52" s="43"/>
      <c r="FW52" s="43"/>
      <c r="FX52" s="43"/>
      <c r="FY52" s="43"/>
      <c r="FZ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N52" s="43"/>
      <c r="GO52" s="43"/>
      <c r="GP52" s="43"/>
      <c r="GR52" s="43"/>
      <c r="GS52" s="43"/>
      <c r="GT52" s="43"/>
      <c r="GU52" s="43"/>
    </row>
    <row r="53" spans="6:203" ht="15.75" customHeight="1" x14ac:dyDescent="0.25">
      <c r="F53" s="43"/>
      <c r="G53" s="43"/>
      <c r="H53" s="43"/>
      <c r="I53" s="43"/>
      <c r="J53" s="43"/>
      <c r="K53" s="43"/>
      <c r="N53" s="43"/>
      <c r="O53" s="43"/>
      <c r="P53" s="43"/>
      <c r="Q53" s="43"/>
      <c r="R53" s="43"/>
      <c r="S53" s="43"/>
      <c r="T53" s="43"/>
      <c r="V53" s="43"/>
      <c r="W53" s="43"/>
      <c r="X53" s="43"/>
      <c r="Y53" s="43"/>
      <c r="Z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O53" s="43"/>
      <c r="AP53" s="43"/>
      <c r="AQ53" s="43"/>
      <c r="AR53" s="43"/>
      <c r="AS53" s="43"/>
      <c r="AT53" s="43"/>
      <c r="AU53" s="43"/>
      <c r="AW53" s="43"/>
      <c r="AX53" s="43"/>
      <c r="AY53" s="43"/>
      <c r="BB53" s="43"/>
      <c r="BC53" s="43"/>
      <c r="BD53" s="43"/>
      <c r="BE53" s="43"/>
      <c r="BF53" s="43"/>
      <c r="BG53" s="43"/>
      <c r="BH53" s="43"/>
      <c r="BI53" s="43"/>
      <c r="BK53" s="43"/>
      <c r="BL53" s="43"/>
      <c r="BM53" s="43"/>
      <c r="BN53" s="43"/>
      <c r="BP53" s="43"/>
      <c r="BQ53" s="43"/>
      <c r="BR53" s="43"/>
      <c r="BS53" s="43"/>
      <c r="BT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J53" s="43"/>
      <c r="CK53" s="43"/>
      <c r="CL53" s="43"/>
      <c r="CM53" s="43"/>
      <c r="CN53" s="43"/>
      <c r="CO53" s="43"/>
      <c r="CP53" s="43"/>
      <c r="CQ53" s="43"/>
      <c r="CR53" s="43"/>
      <c r="CU53" s="43"/>
      <c r="CV53" s="43"/>
      <c r="CW53" s="43"/>
      <c r="CX53" s="43"/>
      <c r="CY53" s="43"/>
      <c r="CZ53" s="43"/>
      <c r="DA53" s="43"/>
      <c r="DB53" s="43"/>
      <c r="DC53" s="43"/>
      <c r="DF53" s="43"/>
      <c r="DG53" s="43"/>
      <c r="DH53" s="43"/>
      <c r="DI53" s="43"/>
      <c r="DJ53" s="43"/>
      <c r="DK53" s="43"/>
      <c r="DL53" s="43"/>
      <c r="DM53" s="43"/>
      <c r="DN53" s="43"/>
      <c r="DQ53" s="43"/>
      <c r="DR53" s="43"/>
      <c r="DS53" s="43"/>
      <c r="DT53" s="43"/>
      <c r="DU53" s="43"/>
      <c r="DV53" s="43"/>
      <c r="DW53" s="43"/>
      <c r="DX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O53" s="43"/>
      <c r="EP53" s="43"/>
      <c r="EQ53" s="43"/>
      <c r="ER53" s="43"/>
      <c r="ES53" s="43"/>
      <c r="ET53" s="43"/>
      <c r="EU53" s="43"/>
      <c r="EW53" s="43"/>
      <c r="EX53" s="43"/>
      <c r="EY53" s="43"/>
      <c r="FA53" s="43"/>
      <c r="FB53" s="43"/>
      <c r="FC53" s="43"/>
      <c r="FD53" s="43"/>
      <c r="FG53" s="43"/>
      <c r="FH53" s="43"/>
      <c r="FI53" s="43"/>
      <c r="FJ53" s="43"/>
      <c r="FK53" s="43"/>
      <c r="FL53" s="43"/>
      <c r="FM53" s="43"/>
      <c r="FN53" s="43"/>
      <c r="FO53" s="43"/>
      <c r="FR53" s="43"/>
      <c r="FS53" s="43"/>
      <c r="FT53" s="43"/>
      <c r="FU53" s="43"/>
      <c r="FV53" s="43"/>
      <c r="FW53" s="43"/>
      <c r="FX53" s="43"/>
      <c r="FY53" s="43"/>
      <c r="FZ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N53" s="43"/>
      <c r="GO53" s="43"/>
      <c r="GP53" s="43"/>
      <c r="GR53" s="43"/>
      <c r="GS53" s="43"/>
      <c r="GT53" s="43"/>
      <c r="GU53" s="43"/>
    </row>
    <row r="54" spans="6:203" ht="15.75" customHeight="1" x14ac:dyDescent="0.25">
      <c r="F54" s="43"/>
      <c r="G54" s="43"/>
      <c r="H54" s="43"/>
      <c r="I54" s="43"/>
      <c r="J54" s="43"/>
      <c r="K54" s="43"/>
      <c r="N54" s="43"/>
      <c r="O54" s="43"/>
      <c r="P54" s="43"/>
      <c r="Q54" s="43"/>
      <c r="R54" s="43"/>
      <c r="S54" s="43"/>
      <c r="T54" s="43"/>
      <c r="V54" s="43"/>
      <c r="W54" s="43"/>
      <c r="X54" s="43"/>
      <c r="Y54" s="43"/>
      <c r="Z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O54" s="43"/>
      <c r="AP54" s="43"/>
      <c r="AQ54" s="43"/>
      <c r="AR54" s="43"/>
      <c r="AS54" s="43"/>
      <c r="AT54" s="43"/>
      <c r="AU54" s="43"/>
      <c r="AW54" s="43"/>
      <c r="AX54" s="43"/>
      <c r="AY54" s="43"/>
      <c r="BB54" s="43"/>
      <c r="BC54" s="43"/>
      <c r="BD54" s="43"/>
      <c r="BE54" s="43"/>
      <c r="BF54" s="43"/>
      <c r="BG54" s="43"/>
      <c r="BH54" s="43"/>
      <c r="BI54" s="43"/>
      <c r="BK54" s="43"/>
      <c r="BL54" s="43"/>
      <c r="BM54" s="43"/>
      <c r="BN54" s="43"/>
      <c r="BP54" s="43"/>
      <c r="BQ54" s="43"/>
      <c r="BR54" s="43"/>
      <c r="BS54" s="43"/>
      <c r="BT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J54" s="43"/>
      <c r="CK54" s="43"/>
      <c r="CL54" s="43"/>
      <c r="CM54" s="43"/>
      <c r="CN54" s="43"/>
      <c r="CO54" s="43"/>
      <c r="CP54" s="43"/>
      <c r="CQ54" s="43"/>
      <c r="CR54" s="43"/>
      <c r="CU54" s="43"/>
      <c r="CV54" s="43"/>
      <c r="CW54" s="43"/>
      <c r="CX54" s="43"/>
      <c r="CY54" s="43"/>
      <c r="CZ54" s="43"/>
      <c r="DA54" s="43"/>
      <c r="DB54" s="43"/>
      <c r="DC54" s="43"/>
      <c r="DF54" s="43"/>
      <c r="DG54" s="43"/>
      <c r="DH54" s="43"/>
      <c r="DI54" s="43"/>
      <c r="DJ54" s="43"/>
      <c r="DK54" s="43"/>
      <c r="DL54" s="43"/>
      <c r="DM54" s="43"/>
      <c r="DN54" s="43"/>
      <c r="DQ54" s="43"/>
      <c r="DR54" s="43"/>
      <c r="DS54" s="43"/>
      <c r="DT54" s="43"/>
      <c r="DU54" s="43"/>
      <c r="DV54" s="43"/>
      <c r="DW54" s="43"/>
      <c r="DX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O54" s="43"/>
      <c r="EP54" s="43"/>
      <c r="EQ54" s="43"/>
      <c r="ER54" s="43"/>
      <c r="ES54" s="43"/>
      <c r="ET54" s="43"/>
      <c r="EU54" s="43"/>
      <c r="EW54" s="43"/>
      <c r="EX54" s="43"/>
      <c r="EY54" s="43"/>
      <c r="FA54" s="43"/>
      <c r="FB54" s="43"/>
      <c r="FC54" s="43"/>
      <c r="FD54" s="43"/>
      <c r="FG54" s="43"/>
      <c r="FH54" s="43"/>
      <c r="FI54" s="43"/>
      <c r="FJ54" s="43"/>
      <c r="FK54" s="43"/>
      <c r="FL54" s="43"/>
      <c r="FM54" s="43"/>
      <c r="FN54" s="43"/>
      <c r="FO54" s="43"/>
      <c r="FR54" s="43"/>
      <c r="FS54" s="43"/>
      <c r="FT54" s="43"/>
      <c r="FU54" s="43"/>
      <c r="FV54" s="43"/>
      <c r="FW54" s="43"/>
      <c r="FX54" s="43"/>
      <c r="FY54" s="43"/>
      <c r="FZ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N54" s="43"/>
      <c r="GO54" s="43"/>
      <c r="GP54" s="43"/>
      <c r="GR54" s="43"/>
      <c r="GS54" s="43"/>
      <c r="GT54" s="43"/>
      <c r="GU54" s="43"/>
    </row>
    <row r="55" spans="6:203" ht="15.75" customHeight="1" x14ac:dyDescent="0.25">
      <c r="F55" s="43"/>
      <c r="G55" s="43"/>
      <c r="H55" s="43"/>
      <c r="I55" s="43"/>
      <c r="J55" s="43"/>
      <c r="K55" s="43"/>
      <c r="N55" s="43"/>
      <c r="O55" s="43"/>
      <c r="P55" s="43"/>
      <c r="Q55" s="43"/>
      <c r="R55" s="43"/>
      <c r="S55" s="43"/>
      <c r="T55" s="43"/>
      <c r="V55" s="43"/>
      <c r="W55" s="43"/>
      <c r="X55" s="43"/>
      <c r="Y55" s="43"/>
      <c r="Z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O55" s="43"/>
      <c r="AP55" s="43"/>
      <c r="AQ55" s="43"/>
      <c r="AR55" s="43"/>
      <c r="AS55" s="43"/>
      <c r="AT55" s="43"/>
      <c r="AU55" s="43"/>
      <c r="AW55" s="43"/>
      <c r="AX55" s="43"/>
      <c r="AY55" s="43"/>
      <c r="BB55" s="43"/>
      <c r="BC55" s="43"/>
      <c r="BD55" s="43"/>
      <c r="BE55" s="43"/>
      <c r="BF55" s="43"/>
      <c r="BG55" s="43"/>
      <c r="BH55" s="43"/>
      <c r="BI55" s="43"/>
      <c r="BK55" s="43"/>
      <c r="BL55" s="43"/>
      <c r="BM55" s="43"/>
      <c r="BN55" s="43"/>
      <c r="BP55" s="43"/>
      <c r="BQ55" s="43"/>
      <c r="BR55" s="43"/>
      <c r="BS55" s="43"/>
      <c r="BT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J55" s="43"/>
      <c r="CK55" s="43"/>
      <c r="CL55" s="43"/>
      <c r="CM55" s="43"/>
      <c r="CN55" s="43"/>
      <c r="CO55" s="43"/>
      <c r="CP55" s="43"/>
      <c r="CQ55" s="43"/>
      <c r="CR55" s="43"/>
      <c r="CU55" s="43"/>
      <c r="CV55" s="43"/>
      <c r="CW55" s="43"/>
      <c r="CX55" s="43"/>
      <c r="CY55" s="43"/>
      <c r="CZ55" s="43"/>
      <c r="DA55" s="43"/>
      <c r="DB55" s="43"/>
      <c r="DC55" s="43"/>
      <c r="DF55" s="43"/>
      <c r="DG55" s="43"/>
      <c r="DH55" s="43"/>
      <c r="DI55" s="43"/>
      <c r="DJ55" s="43"/>
      <c r="DK55" s="43"/>
      <c r="DL55" s="43"/>
      <c r="DM55" s="43"/>
      <c r="DN55" s="43"/>
      <c r="DQ55" s="43"/>
      <c r="DR55" s="43"/>
      <c r="DS55" s="43"/>
      <c r="DT55" s="43"/>
      <c r="DU55" s="43"/>
      <c r="DV55" s="43"/>
      <c r="DW55" s="43"/>
      <c r="DX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O55" s="43"/>
      <c r="EP55" s="43"/>
      <c r="EQ55" s="43"/>
      <c r="ER55" s="43"/>
      <c r="ES55" s="43"/>
      <c r="ET55" s="43"/>
      <c r="EU55" s="43"/>
      <c r="EW55" s="43"/>
      <c r="EX55" s="43"/>
      <c r="EY55" s="43"/>
      <c r="FA55" s="43"/>
      <c r="FB55" s="43"/>
      <c r="FC55" s="43"/>
      <c r="FD55" s="43"/>
      <c r="FG55" s="43"/>
      <c r="FH55" s="43"/>
      <c r="FI55" s="43"/>
      <c r="FJ55" s="43"/>
      <c r="FK55" s="43"/>
      <c r="FL55" s="43"/>
      <c r="FM55" s="43"/>
      <c r="FN55" s="43"/>
      <c r="FO55" s="43"/>
      <c r="FR55" s="43"/>
      <c r="FS55" s="43"/>
      <c r="FT55" s="43"/>
      <c r="FU55" s="43"/>
      <c r="FV55" s="43"/>
      <c r="FW55" s="43"/>
      <c r="FX55" s="43"/>
      <c r="FY55" s="43"/>
      <c r="FZ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N55" s="43"/>
      <c r="GO55" s="43"/>
      <c r="GP55" s="43"/>
      <c r="GR55" s="43"/>
      <c r="GS55" s="43"/>
      <c r="GT55" s="43"/>
      <c r="GU55" s="43"/>
    </row>
    <row r="56" spans="6:203" ht="15.75" customHeight="1" x14ac:dyDescent="0.25">
      <c r="F56" s="43"/>
      <c r="G56" s="43"/>
      <c r="H56" s="43"/>
      <c r="I56" s="43"/>
      <c r="J56" s="43"/>
      <c r="K56" s="43"/>
      <c r="N56" s="43"/>
      <c r="O56" s="43"/>
      <c r="P56" s="43"/>
      <c r="Q56" s="43"/>
      <c r="R56" s="43"/>
      <c r="S56" s="43"/>
      <c r="T56" s="43"/>
      <c r="V56" s="43"/>
      <c r="W56" s="43"/>
      <c r="X56" s="43"/>
      <c r="Y56" s="43"/>
      <c r="Z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O56" s="43"/>
      <c r="AP56" s="43"/>
      <c r="AQ56" s="43"/>
      <c r="AR56" s="43"/>
      <c r="AS56" s="43"/>
      <c r="AT56" s="43"/>
      <c r="AU56" s="43"/>
      <c r="AW56" s="43"/>
      <c r="AX56" s="43"/>
      <c r="AY56" s="43"/>
      <c r="BB56" s="43"/>
      <c r="BC56" s="43"/>
      <c r="BD56" s="43"/>
      <c r="BE56" s="43"/>
      <c r="BF56" s="43"/>
      <c r="BG56" s="43"/>
      <c r="BH56" s="43"/>
      <c r="BI56" s="43"/>
      <c r="BK56" s="43"/>
      <c r="BL56" s="43"/>
      <c r="BM56" s="43"/>
      <c r="BN56" s="43"/>
      <c r="BP56" s="43"/>
      <c r="BQ56" s="43"/>
      <c r="BR56" s="43"/>
      <c r="BS56" s="43"/>
      <c r="BT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J56" s="43"/>
      <c r="CK56" s="43"/>
      <c r="CL56" s="43"/>
      <c r="CM56" s="43"/>
      <c r="CN56" s="43"/>
      <c r="CO56" s="43"/>
      <c r="CP56" s="43"/>
      <c r="CQ56" s="43"/>
      <c r="CR56" s="43"/>
      <c r="CU56" s="43"/>
      <c r="CV56" s="43"/>
      <c r="CW56" s="43"/>
      <c r="CX56" s="43"/>
      <c r="CY56" s="43"/>
      <c r="CZ56" s="43"/>
      <c r="DA56" s="43"/>
      <c r="DB56" s="43"/>
      <c r="DC56" s="43"/>
      <c r="DF56" s="43"/>
      <c r="DG56" s="43"/>
      <c r="DH56" s="43"/>
      <c r="DI56" s="43"/>
      <c r="DJ56" s="43"/>
      <c r="DK56" s="43"/>
      <c r="DL56" s="43"/>
      <c r="DM56" s="43"/>
      <c r="DN56" s="43"/>
      <c r="DQ56" s="43"/>
      <c r="DR56" s="43"/>
      <c r="DS56" s="43"/>
      <c r="DT56" s="43"/>
      <c r="DU56" s="43"/>
      <c r="DV56" s="43"/>
      <c r="DW56" s="43"/>
      <c r="DX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O56" s="43"/>
      <c r="EP56" s="43"/>
      <c r="EQ56" s="43"/>
      <c r="ER56" s="43"/>
      <c r="ES56" s="43"/>
      <c r="ET56" s="43"/>
      <c r="EU56" s="43"/>
      <c r="EW56" s="43"/>
      <c r="EX56" s="43"/>
      <c r="EY56" s="43"/>
      <c r="FA56" s="43"/>
      <c r="FB56" s="43"/>
      <c r="FC56" s="43"/>
      <c r="FD56" s="43"/>
      <c r="FG56" s="43"/>
      <c r="FH56" s="43"/>
      <c r="FI56" s="43"/>
      <c r="FJ56" s="43"/>
      <c r="FK56" s="43"/>
      <c r="FL56" s="43"/>
      <c r="FM56" s="43"/>
      <c r="FN56" s="43"/>
      <c r="FO56" s="43"/>
      <c r="FR56" s="43"/>
      <c r="FS56" s="43"/>
      <c r="FT56" s="43"/>
      <c r="FU56" s="43"/>
      <c r="FV56" s="43"/>
      <c r="FW56" s="43"/>
      <c r="FX56" s="43"/>
      <c r="FY56" s="43"/>
      <c r="FZ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N56" s="43"/>
      <c r="GO56" s="43"/>
      <c r="GP56" s="43"/>
      <c r="GR56" s="43"/>
      <c r="GS56" s="43"/>
      <c r="GT56" s="43"/>
      <c r="GU56" s="43"/>
    </row>
    <row r="57" spans="6:203" ht="15.75" customHeight="1" x14ac:dyDescent="0.25">
      <c r="F57" s="43"/>
      <c r="G57" s="43"/>
      <c r="H57" s="43"/>
      <c r="I57" s="43"/>
      <c r="J57" s="43"/>
      <c r="K57" s="43"/>
      <c r="L57" s="43"/>
      <c r="M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D57" s="43"/>
      <c r="BE57" s="43"/>
      <c r="BF57" s="43"/>
      <c r="BG57" s="43"/>
      <c r="BH57" s="43"/>
      <c r="BI57" s="43"/>
      <c r="BJ57" s="43"/>
      <c r="BL57" s="43"/>
      <c r="BM57" s="43"/>
      <c r="BN57" s="43"/>
      <c r="BO57" s="43"/>
      <c r="BQ57" s="43"/>
      <c r="BR57" s="43"/>
      <c r="BS57" s="43"/>
      <c r="BT57" s="43"/>
      <c r="BU57" s="43"/>
      <c r="BV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L57" s="43"/>
      <c r="CM57" s="43"/>
      <c r="CN57" s="43"/>
      <c r="CO57" s="43"/>
      <c r="CP57" s="43"/>
      <c r="CQ57" s="43"/>
      <c r="CR57" s="43"/>
      <c r="CS57" s="43"/>
      <c r="CT57" s="43"/>
      <c r="CW57" s="43"/>
      <c r="CX57" s="43"/>
      <c r="CY57" s="43"/>
      <c r="CZ57" s="43"/>
      <c r="DA57" s="43"/>
      <c r="DB57" s="43"/>
      <c r="DC57" s="43"/>
      <c r="DD57" s="43"/>
      <c r="DE57" s="43"/>
      <c r="DH57" s="43"/>
      <c r="DI57" s="43"/>
      <c r="DJ57" s="43"/>
      <c r="DK57" s="43"/>
      <c r="DL57" s="43"/>
      <c r="DM57" s="43"/>
      <c r="DN57" s="43"/>
      <c r="DO57" s="43"/>
      <c r="DP57" s="43"/>
      <c r="DS57" s="43"/>
      <c r="DT57" s="43"/>
      <c r="DU57" s="43"/>
      <c r="DV57" s="43"/>
      <c r="DW57" s="43"/>
      <c r="DX57" s="43"/>
      <c r="DY57" s="43"/>
      <c r="DZ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Q57" s="43"/>
      <c r="ER57" s="43"/>
      <c r="ES57" s="43"/>
      <c r="ET57" s="43"/>
      <c r="EU57" s="43"/>
      <c r="EV57" s="43"/>
      <c r="EX57" s="43"/>
      <c r="EY57" s="43"/>
      <c r="EZ57" s="43"/>
      <c r="FB57" s="43"/>
      <c r="FC57" s="43"/>
      <c r="FD57" s="43"/>
      <c r="FE57" s="43"/>
      <c r="FF57" s="43"/>
      <c r="FI57" s="43"/>
      <c r="FJ57" s="43"/>
      <c r="FK57" s="43"/>
      <c r="FL57" s="43"/>
      <c r="FM57" s="43"/>
      <c r="FN57" s="43"/>
      <c r="FO57" s="43"/>
      <c r="FP57" s="43"/>
      <c r="FQ57" s="43"/>
      <c r="FT57" s="43"/>
      <c r="FU57" s="43"/>
      <c r="FV57" s="43"/>
      <c r="FW57" s="43"/>
      <c r="FX57" s="43"/>
      <c r="FY57" s="43"/>
      <c r="FZ57" s="43"/>
      <c r="GA57" s="43"/>
      <c r="GB57" s="43"/>
      <c r="GE57" s="43"/>
      <c r="GF57" s="43"/>
      <c r="GG57" s="43"/>
      <c r="GH57" s="43"/>
      <c r="GI57" s="43"/>
      <c r="GJ57" s="43"/>
      <c r="GK57" s="43"/>
      <c r="GL57" s="43"/>
      <c r="GN57" s="43"/>
      <c r="GO57" s="43"/>
      <c r="GP57" s="43"/>
      <c r="GR57" s="43"/>
      <c r="GS57" s="43"/>
      <c r="GT57" s="43"/>
      <c r="GU57" s="43"/>
    </row>
    <row r="58" spans="6:203" ht="15.75" customHeight="1" x14ac:dyDescent="0.25">
      <c r="F58" s="43"/>
      <c r="G58" s="43"/>
      <c r="H58" s="43"/>
      <c r="I58" s="43"/>
      <c r="BH58" s="43"/>
      <c r="CC58" s="43"/>
      <c r="DA58" s="43"/>
      <c r="EG58" s="43"/>
      <c r="EU58" s="43"/>
      <c r="EX58" s="43"/>
      <c r="GI58" s="43"/>
      <c r="GJ58" s="43"/>
      <c r="GL58" s="43"/>
      <c r="GM58" s="43"/>
      <c r="GN58" s="43"/>
      <c r="GO58" s="43"/>
      <c r="GP58" s="43"/>
      <c r="GR58" s="43"/>
      <c r="GS58" s="43"/>
      <c r="GT58" s="43"/>
      <c r="GU58" s="43"/>
    </row>
    <row r="59" spans="6:203" ht="15.75" customHeight="1" x14ac:dyDescent="0.25"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P59" s="43"/>
      <c r="GR59" s="43"/>
      <c r="GS59" s="43"/>
      <c r="GT59" s="43"/>
      <c r="GU59" s="43"/>
    </row>
    <row r="60" spans="6:203" ht="15.75" customHeight="1" x14ac:dyDescent="0.25"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P60" s="43"/>
      <c r="GR60" s="43"/>
      <c r="GS60" s="43"/>
      <c r="GT60" s="43"/>
      <c r="GU60" s="43"/>
    </row>
    <row r="61" spans="6:203" ht="15.75" customHeight="1" x14ac:dyDescent="0.25"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P61" s="43"/>
      <c r="GR61" s="43"/>
      <c r="GS61" s="43"/>
      <c r="GT61" s="43"/>
      <c r="GU61" s="43"/>
    </row>
    <row r="62" spans="6:203" ht="15.75" customHeight="1" x14ac:dyDescent="0.25"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P62" s="43"/>
      <c r="GR62" s="43"/>
      <c r="GS62" s="43"/>
      <c r="GT62" s="43"/>
      <c r="GU62" s="43"/>
    </row>
    <row r="63" spans="6:203" ht="15.75" customHeight="1" x14ac:dyDescent="0.25"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P63" s="43"/>
      <c r="GR63" s="43"/>
      <c r="GS63" s="43"/>
      <c r="GT63" s="43"/>
      <c r="GU63" s="43"/>
    </row>
    <row r="64" spans="6:203" ht="15.75" customHeight="1" x14ac:dyDescent="0.25"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P64" s="43"/>
      <c r="GR64" s="43"/>
      <c r="GS64" s="43"/>
      <c r="GT64" s="43"/>
      <c r="GU64" s="43"/>
    </row>
    <row r="65" spans="6:203" ht="15.75" customHeight="1" x14ac:dyDescent="0.25"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P65" s="43"/>
      <c r="GR65" s="43"/>
      <c r="GS65" s="43"/>
      <c r="GT65" s="43"/>
      <c r="GU65" s="43"/>
    </row>
    <row r="66" spans="6:203" ht="15.75" customHeight="1" x14ac:dyDescent="0.25"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P66" s="43"/>
      <c r="GR66" s="43"/>
      <c r="GS66" s="43"/>
      <c r="GT66" s="43"/>
      <c r="GU66" s="43"/>
    </row>
    <row r="67" spans="6:203" ht="15.75" customHeight="1" x14ac:dyDescent="0.25"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P67" s="43"/>
      <c r="GR67" s="43"/>
      <c r="GS67" s="43"/>
      <c r="GT67" s="43"/>
      <c r="GU67" s="43"/>
    </row>
    <row r="68" spans="6:203" ht="15.75" customHeight="1" x14ac:dyDescent="0.25"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P68" s="43"/>
      <c r="GR68" s="43"/>
      <c r="GS68" s="43"/>
      <c r="GT68" s="43"/>
      <c r="GU68" s="43"/>
    </row>
    <row r="69" spans="6:203" ht="15.75" customHeight="1" x14ac:dyDescent="0.25"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P69" s="43"/>
      <c r="GR69" s="43"/>
      <c r="GS69" s="43"/>
      <c r="GT69" s="43"/>
      <c r="GU69" s="43"/>
    </row>
    <row r="70" spans="6:203" ht="15.75" customHeight="1" x14ac:dyDescent="0.25"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P70" s="43"/>
      <c r="GR70" s="43"/>
      <c r="GS70" s="43"/>
      <c r="GT70" s="43"/>
      <c r="GU70" s="43"/>
    </row>
    <row r="71" spans="6:203" ht="15.75" customHeight="1" x14ac:dyDescent="0.25"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P71" s="43"/>
      <c r="GR71" s="43"/>
      <c r="GS71" s="43"/>
      <c r="GT71" s="43"/>
      <c r="GU71" s="43"/>
    </row>
    <row r="72" spans="6:203" ht="15.75" customHeight="1" x14ac:dyDescent="0.25"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P72" s="43"/>
      <c r="GR72" s="43"/>
      <c r="GS72" s="43"/>
      <c r="GT72" s="43"/>
      <c r="GU72" s="43"/>
    </row>
    <row r="73" spans="6:203" ht="15.75" customHeight="1" x14ac:dyDescent="0.25"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P73" s="43"/>
      <c r="GR73" s="43"/>
      <c r="GS73" s="43"/>
      <c r="GT73" s="43"/>
      <c r="GU73" s="43"/>
    </row>
    <row r="74" spans="6:203" ht="15.75" customHeight="1" x14ac:dyDescent="0.25"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P74" s="43"/>
      <c r="GR74" s="43"/>
      <c r="GS74" s="43"/>
      <c r="GT74" s="43"/>
      <c r="GU74" s="43"/>
    </row>
    <row r="75" spans="6:203" ht="15.75" customHeight="1" x14ac:dyDescent="0.25"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P75" s="43"/>
      <c r="GR75" s="43"/>
      <c r="GS75" s="43"/>
      <c r="GT75" s="43"/>
      <c r="GU75" s="43"/>
    </row>
    <row r="76" spans="6:203" ht="15.75" customHeight="1" x14ac:dyDescent="0.25">
      <c r="F76" s="43"/>
      <c r="G76" s="43"/>
      <c r="H76" s="43"/>
      <c r="I76" s="43"/>
      <c r="J76" s="43"/>
      <c r="K76" s="43"/>
      <c r="T76" s="43"/>
      <c r="W76" s="43"/>
      <c r="Y76" s="43"/>
      <c r="Z76" s="43"/>
      <c r="AI76" s="43"/>
      <c r="AK76" s="43"/>
      <c r="AL76" s="43"/>
      <c r="AU76" s="43"/>
      <c r="AW76" s="43"/>
      <c r="AX76" s="43"/>
      <c r="AY76" s="43"/>
      <c r="BH76" s="43"/>
      <c r="BI76" s="43"/>
      <c r="BM76" s="43"/>
      <c r="BN76" s="43"/>
      <c r="BQ76" s="43"/>
      <c r="BS76" s="43"/>
      <c r="BT76" s="43"/>
      <c r="CC76" s="43"/>
      <c r="CF76" s="43"/>
      <c r="CG76" s="43"/>
      <c r="CP76" s="43"/>
      <c r="CQ76" s="43"/>
      <c r="CR76" s="43"/>
      <c r="DA76" s="43"/>
      <c r="DB76" s="43"/>
      <c r="DC76" s="43"/>
      <c r="DM76" s="43"/>
      <c r="DN76" s="43"/>
      <c r="DW76" s="43"/>
      <c r="DX76" s="43"/>
      <c r="EG76" s="43"/>
      <c r="EI76" s="43"/>
      <c r="EJ76" s="43"/>
      <c r="EK76" s="43"/>
      <c r="EL76" s="43"/>
      <c r="EU76" s="43"/>
      <c r="EX76" s="43"/>
      <c r="EY76" s="43"/>
      <c r="FB76" s="43"/>
      <c r="FC76" s="43"/>
      <c r="FD76" s="43"/>
      <c r="FM76" s="43"/>
      <c r="FN76" s="43"/>
      <c r="FO76" s="43"/>
      <c r="FX76" s="43"/>
      <c r="FY76" s="43"/>
      <c r="FZ76" s="43"/>
      <c r="GI76" s="43"/>
      <c r="GJ76" s="43"/>
      <c r="GK76" s="43"/>
      <c r="GL76" s="43"/>
      <c r="GN76" s="43"/>
      <c r="GO76" s="43"/>
      <c r="GP76" s="43"/>
      <c r="GR76" s="43"/>
      <c r="GS76" s="43"/>
      <c r="GT76" s="43"/>
      <c r="GU76" s="43"/>
    </row>
    <row r="77" spans="6:203" ht="15.75" customHeight="1" x14ac:dyDescent="0.25">
      <c r="F77" s="43"/>
      <c r="G77" s="43"/>
      <c r="H77" s="43"/>
      <c r="I77" s="43"/>
      <c r="J77" s="43"/>
      <c r="K77" s="43"/>
      <c r="N77" s="43"/>
      <c r="O77" s="43"/>
      <c r="P77" s="43"/>
      <c r="Q77" s="43"/>
      <c r="R77" s="43"/>
      <c r="S77" s="43"/>
      <c r="T77" s="43"/>
      <c r="V77" s="43"/>
      <c r="W77" s="43"/>
      <c r="X77" s="43"/>
      <c r="Y77" s="43"/>
      <c r="Z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O77" s="43"/>
      <c r="AP77" s="43"/>
      <c r="AQ77" s="43"/>
      <c r="AR77" s="43"/>
      <c r="AS77" s="43"/>
      <c r="AT77" s="43"/>
      <c r="AU77" s="43"/>
      <c r="AW77" s="43"/>
      <c r="AX77" s="43"/>
      <c r="AY77" s="43"/>
      <c r="BB77" s="43"/>
      <c r="BC77" s="43"/>
      <c r="BD77" s="43"/>
      <c r="BE77" s="43"/>
      <c r="BF77" s="43"/>
      <c r="BG77" s="43"/>
      <c r="BH77" s="43"/>
      <c r="BI77" s="43"/>
      <c r="BK77" s="43"/>
      <c r="BL77" s="43"/>
      <c r="BM77" s="43"/>
      <c r="BN77" s="43"/>
      <c r="BP77" s="43"/>
      <c r="BQ77" s="43"/>
      <c r="BR77" s="43"/>
      <c r="BS77" s="43"/>
      <c r="BT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J77" s="43"/>
      <c r="CK77" s="43"/>
      <c r="CL77" s="43"/>
      <c r="CM77" s="43"/>
      <c r="CN77" s="43"/>
      <c r="CO77" s="43"/>
      <c r="CP77" s="43"/>
      <c r="CQ77" s="43"/>
      <c r="CR77" s="43"/>
      <c r="CU77" s="43"/>
      <c r="CV77" s="43"/>
      <c r="CW77" s="43"/>
      <c r="CX77" s="43"/>
      <c r="CY77" s="43"/>
      <c r="CZ77" s="43"/>
      <c r="DA77" s="43"/>
      <c r="DB77" s="43"/>
      <c r="DC77" s="43"/>
      <c r="DF77" s="43"/>
      <c r="DG77" s="43"/>
      <c r="DH77" s="43"/>
      <c r="DI77" s="43"/>
      <c r="DJ77" s="43"/>
      <c r="DK77" s="43"/>
      <c r="DL77" s="43"/>
      <c r="DM77" s="43"/>
      <c r="DN77" s="43"/>
      <c r="DQ77" s="43"/>
      <c r="DR77" s="43"/>
      <c r="DS77" s="43"/>
      <c r="DT77" s="43"/>
      <c r="DU77" s="43"/>
      <c r="DV77" s="43"/>
      <c r="DW77" s="43"/>
      <c r="DX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O77" s="43"/>
      <c r="EP77" s="43"/>
      <c r="EQ77" s="43"/>
      <c r="ER77" s="43"/>
      <c r="ES77" s="43"/>
      <c r="ET77" s="43"/>
      <c r="EU77" s="43"/>
      <c r="EW77" s="43"/>
      <c r="EX77" s="43"/>
      <c r="EY77" s="43"/>
      <c r="FA77" s="43"/>
      <c r="FB77" s="43"/>
      <c r="FC77" s="43"/>
      <c r="FD77" s="43"/>
      <c r="FG77" s="43"/>
      <c r="FH77" s="43"/>
      <c r="FI77" s="43"/>
      <c r="FJ77" s="43"/>
      <c r="FK77" s="43"/>
      <c r="FL77" s="43"/>
      <c r="FM77" s="43"/>
      <c r="FN77" s="43"/>
      <c r="FO77" s="43"/>
      <c r="FR77" s="43"/>
      <c r="FS77" s="43"/>
      <c r="FT77" s="43"/>
      <c r="FU77" s="43"/>
      <c r="FV77" s="43"/>
      <c r="FW77" s="43"/>
      <c r="FX77" s="43"/>
      <c r="FY77" s="43"/>
      <c r="FZ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N77" s="43"/>
      <c r="GO77" s="43"/>
      <c r="GP77" s="43"/>
      <c r="GR77" s="43"/>
      <c r="GS77" s="43"/>
      <c r="GT77" s="43"/>
      <c r="GU77" s="43"/>
    </row>
    <row r="78" spans="6:203" ht="15.75" customHeight="1" x14ac:dyDescent="0.25"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N78" s="43"/>
      <c r="GO78" s="43"/>
      <c r="GP78" s="43"/>
      <c r="GR78" s="43"/>
      <c r="GS78" s="43"/>
      <c r="GT78" s="43"/>
      <c r="GU78" s="43"/>
    </row>
    <row r="79" spans="6:203" ht="15.75" customHeight="1" x14ac:dyDescent="0.25">
      <c r="F79" s="43"/>
      <c r="G79" s="43"/>
      <c r="H79" s="43"/>
      <c r="I79" s="43"/>
      <c r="L79" s="43"/>
      <c r="M79" s="43"/>
      <c r="N79" s="43"/>
      <c r="O79" s="43"/>
      <c r="P79" s="43"/>
      <c r="Q79" s="43"/>
      <c r="R79" s="43"/>
      <c r="S79" s="43"/>
      <c r="U79" s="43"/>
      <c r="V79" s="43"/>
      <c r="X79" s="43"/>
      <c r="AA79" s="43"/>
      <c r="AB79" s="43"/>
      <c r="AC79" s="43"/>
      <c r="AD79" s="43"/>
      <c r="AE79" s="43"/>
      <c r="AF79" s="43"/>
      <c r="AG79" s="43"/>
      <c r="AH79" s="43"/>
      <c r="AJ79" s="43"/>
      <c r="AM79" s="43"/>
      <c r="AN79" s="43"/>
      <c r="AO79" s="43"/>
      <c r="AP79" s="43"/>
      <c r="AQ79" s="43"/>
      <c r="AR79" s="43"/>
      <c r="AS79" s="43"/>
      <c r="AT79" s="43"/>
      <c r="AV79" s="43"/>
      <c r="AZ79" s="43"/>
      <c r="BA79" s="43"/>
      <c r="BB79" s="43"/>
      <c r="BC79" s="43"/>
      <c r="BD79" s="43"/>
      <c r="BE79" s="43"/>
      <c r="BF79" s="43"/>
      <c r="BG79" s="43"/>
      <c r="BH79" s="43"/>
      <c r="BJ79" s="43"/>
      <c r="BK79" s="43"/>
      <c r="BL79" s="43"/>
      <c r="BO79" s="43"/>
      <c r="BP79" s="43"/>
      <c r="BQ79" s="43"/>
      <c r="BR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H79" s="43"/>
      <c r="CI79" s="43"/>
      <c r="CJ79" s="43"/>
      <c r="CK79" s="43"/>
      <c r="CL79" s="43"/>
      <c r="CM79" s="43"/>
      <c r="CN79" s="43"/>
      <c r="CO79" s="43"/>
      <c r="CS79" s="43"/>
      <c r="CT79" s="43"/>
      <c r="CU79" s="43"/>
      <c r="CV79" s="43"/>
      <c r="CW79" s="43"/>
      <c r="CX79" s="43"/>
      <c r="CY79" s="43"/>
      <c r="CZ79" s="43"/>
      <c r="DA79" s="43"/>
      <c r="DD79" s="43"/>
      <c r="DE79" s="43"/>
      <c r="DF79" s="43"/>
      <c r="DG79" s="43"/>
      <c r="DH79" s="43"/>
      <c r="DI79" s="43"/>
      <c r="DJ79" s="43"/>
      <c r="DK79" s="43"/>
      <c r="DL79" s="43"/>
      <c r="DO79" s="43"/>
      <c r="DP79" s="43"/>
      <c r="DQ79" s="43"/>
      <c r="DR79" s="43"/>
      <c r="DS79" s="43"/>
      <c r="DT79" s="43"/>
      <c r="DU79" s="43"/>
      <c r="DV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J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Z79" s="43"/>
      <c r="FA79" s="43"/>
      <c r="FB79" s="43"/>
      <c r="FE79" s="43"/>
      <c r="FF79" s="43"/>
      <c r="FG79" s="43"/>
      <c r="FH79" s="43"/>
      <c r="FI79" s="43"/>
      <c r="FJ79" s="43"/>
      <c r="FK79" s="43"/>
      <c r="FL79" s="43"/>
      <c r="FM79" s="43"/>
      <c r="FP79" s="43"/>
      <c r="FQ79" s="43"/>
      <c r="FR79" s="43"/>
      <c r="FS79" s="43"/>
      <c r="FT79" s="43"/>
      <c r="FU79" s="43"/>
      <c r="FV79" s="43"/>
      <c r="FW79" s="43"/>
      <c r="FX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N79" s="43"/>
      <c r="GO79" s="43"/>
      <c r="GP79" s="43"/>
      <c r="GR79" s="43"/>
      <c r="GS79" s="43"/>
      <c r="GT79" s="43"/>
      <c r="GU79" s="43"/>
    </row>
    <row r="80" spans="6:203" ht="15.75" customHeight="1" x14ac:dyDescent="0.25"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N80" s="43"/>
      <c r="GO80" s="43"/>
      <c r="GP80" s="43"/>
      <c r="GR80" s="43"/>
      <c r="GS80" s="43"/>
      <c r="GT80" s="43"/>
      <c r="GU80" s="43"/>
    </row>
    <row r="81" spans="6:203" ht="15.75" customHeight="1" x14ac:dyDescent="0.25">
      <c r="F81" s="43"/>
      <c r="G81" s="43"/>
      <c r="H81" s="43"/>
      <c r="I81" s="43"/>
      <c r="J81" s="43"/>
      <c r="K81" s="43"/>
      <c r="N81" s="43"/>
      <c r="O81" s="43"/>
      <c r="P81" s="43"/>
      <c r="Q81" s="43"/>
      <c r="R81" s="43"/>
      <c r="S81" s="43"/>
      <c r="T81" s="43"/>
      <c r="V81" s="43"/>
      <c r="W81" s="43"/>
      <c r="X81" s="43"/>
      <c r="Y81" s="43"/>
      <c r="Z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O81" s="43"/>
      <c r="AP81" s="43"/>
      <c r="AQ81" s="43"/>
      <c r="AR81" s="43"/>
      <c r="AS81" s="43"/>
      <c r="AT81" s="43"/>
      <c r="AU81" s="43"/>
      <c r="AW81" s="43"/>
      <c r="AX81" s="43"/>
      <c r="AY81" s="43"/>
      <c r="BB81" s="43"/>
      <c r="BC81" s="43"/>
      <c r="BD81" s="43"/>
      <c r="BE81" s="43"/>
      <c r="BF81" s="43"/>
      <c r="BG81" s="43"/>
      <c r="BH81" s="43"/>
      <c r="BI81" s="43"/>
      <c r="BK81" s="43"/>
      <c r="BL81" s="43"/>
      <c r="BM81" s="43"/>
      <c r="BN81" s="43"/>
      <c r="BP81" s="43"/>
      <c r="BQ81" s="43"/>
      <c r="BR81" s="43"/>
      <c r="BS81" s="43"/>
      <c r="BT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J81" s="43"/>
      <c r="CK81" s="43"/>
      <c r="CL81" s="43"/>
      <c r="CM81" s="43"/>
      <c r="CN81" s="43"/>
      <c r="CO81" s="43"/>
      <c r="CP81" s="43"/>
      <c r="CQ81" s="43"/>
      <c r="CR81" s="43"/>
      <c r="CU81" s="43"/>
      <c r="CV81" s="43"/>
      <c r="CW81" s="43"/>
      <c r="CX81" s="43"/>
      <c r="CY81" s="43"/>
      <c r="CZ81" s="43"/>
      <c r="DA81" s="43"/>
      <c r="DB81" s="43"/>
      <c r="DC81" s="43"/>
      <c r="DF81" s="43"/>
      <c r="DG81" s="43"/>
      <c r="DH81" s="43"/>
      <c r="DI81" s="43"/>
      <c r="DJ81" s="43"/>
      <c r="DK81" s="43"/>
      <c r="DL81" s="43"/>
      <c r="DM81" s="43"/>
      <c r="DN81" s="43"/>
      <c r="DQ81" s="43"/>
      <c r="DR81" s="43"/>
      <c r="DS81" s="43"/>
      <c r="DT81" s="43"/>
      <c r="DU81" s="43"/>
      <c r="DV81" s="43"/>
      <c r="DW81" s="43"/>
      <c r="DX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O81" s="43"/>
      <c r="EP81" s="43"/>
      <c r="EQ81" s="43"/>
      <c r="ER81" s="43"/>
      <c r="ES81" s="43"/>
      <c r="ET81" s="43"/>
      <c r="EU81" s="43"/>
      <c r="EW81" s="43"/>
      <c r="EX81" s="43"/>
      <c r="EY81" s="43"/>
      <c r="FA81" s="43"/>
      <c r="FB81" s="43"/>
      <c r="FC81" s="43"/>
      <c r="FD81" s="43"/>
      <c r="FG81" s="43"/>
      <c r="FH81" s="43"/>
      <c r="FI81" s="43"/>
      <c r="FJ81" s="43"/>
      <c r="FK81" s="43"/>
      <c r="FL81" s="43"/>
      <c r="FM81" s="43"/>
      <c r="FN81" s="43"/>
      <c r="FO81" s="43"/>
      <c r="FR81" s="43"/>
      <c r="FS81" s="43"/>
      <c r="FT81" s="43"/>
      <c r="FU81" s="43"/>
      <c r="FV81" s="43"/>
      <c r="FW81" s="43"/>
      <c r="FX81" s="43"/>
      <c r="FY81" s="43"/>
      <c r="FZ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N81" s="43"/>
      <c r="GO81" s="43"/>
      <c r="GP81" s="43"/>
      <c r="GR81" s="43"/>
      <c r="GS81" s="43"/>
      <c r="GT81" s="43"/>
      <c r="GU81" s="43"/>
    </row>
    <row r="82" spans="6:203" ht="15.75" customHeight="1" x14ac:dyDescent="0.25">
      <c r="F82" s="43"/>
      <c r="G82" s="43"/>
      <c r="H82" s="43"/>
      <c r="I82" s="43"/>
      <c r="J82" s="43"/>
      <c r="K82" s="43"/>
      <c r="N82" s="43"/>
      <c r="O82" s="43"/>
      <c r="P82" s="43"/>
      <c r="Q82" s="43"/>
      <c r="R82" s="43"/>
      <c r="S82" s="43"/>
      <c r="T82" s="43"/>
      <c r="V82" s="43"/>
      <c r="W82" s="43"/>
      <c r="X82" s="43"/>
      <c r="Y82" s="43"/>
      <c r="Z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O82" s="43"/>
      <c r="AP82" s="43"/>
      <c r="AQ82" s="43"/>
      <c r="AR82" s="43"/>
      <c r="AS82" s="43"/>
      <c r="AT82" s="43"/>
      <c r="AU82" s="43"/>
      <c r="AW82" s="43"/>
      <c r="AX82" s="43"/>
      <c r="AY82" s="43"/>
      <c r="BB82" s="43"/>
      <c r="BC82" s="43"/>
      <c r="BD82" s="43"/>
      <c r="BE82" s="43"/>
      <c r="BF82" s="43"/>
      <c r="BG82" s="43"/>
      <c r="BH82" s="43"/>
      <c r="BI82" s="43"/>
      <c r="BK82" s="43"/>
      <c r="BL82" s="43"/>
      <c r="BM82" s="43"/>
      <c r="BN82" s="43"/>
      <c r="BP82" s="43"/>
      <c r="BQ82" s="43"/>
      <c r="BR82" s="43"/>
      <c r="BS82" s="43"/>
      <c r="BT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J82" s="43"/>
      <c r="CK82" s="43"/>
      <c r="CL82" s="43"/>
      <c r="CM82" s="43"/>
      <c r="CN82" s="43"/>
      <c r="CO82" s="43"/>
      <c r="CP82" s="43"/>
      <c r="CQ82" s="43"/>
      <c r="CR82" s="43"/>
      <c r="CU82" s="43"/>
      <c r="CV82" s="43"/>
      <c r="CW82" s="43"/>
      <c r="CX82" s="43"/>
      <c r="CY82" s="43"/>
      <c r="CZ82" s="43"/>
      <c r="DA82" s="43"/>
      <c r="DB82" s="43"/>
      <c r="DC82" s="43"/>
      <c r="DF82" s="43"/>
      <c r="DG82" s="43"/>
      <c r="DH82" s="43"/>
      <c r="DI82" s="43"/>
      <c r="DJ82" s="43"/>
      <c r="DK82" s="43"/>
      <c r="DL82" s="43"/>
      <c r="DM82" s="43"/>
      <c r="DN82" s="43"/>
      <c r="DQ82" s="43"/>
      <c r="DR82" s="43"/>
      <c r="DS82" s="43"/>
      <c r="DT82" s="43"/>
      <c r="DU82" s="43"/>
      <c r="DV82" s="43"/>
      <c r="DW82" s="43"/>
      <c r="DX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O82" s="43"/>
      <c r="EP82" s="43"/>
      <c r="EQ82" s="43"/>
      <c r="ER82" s="43"/>
      <c r="ES82" s="43"/>
      <c r="ET82" s="43"/>
      <c r="EU82" s="43"/>
      <c r="EW82" s="43"/>
      <c r="EX82" s="43"/>
      <c r="EY82" s="43"/>
      <c r="FA82" s="43"/>
      <c r="FB82" s="43"/>
      <c r="FC82" s="43"/>
      <c r="FD82" s="43"/>
      <c r="FG82" s="43"/>
      <c r="FH82" s="43"/>
      <c r="FI82" s="43"/>
      <c r="FJ82" s="43"/>
      <c r="FK82" s="43"/>
      <c r="FL82" s="43"/>
      <c r="FM82" s="43"/>
      <c r="FN82" s="43"/>
      <c r="FO82" s="43"/>
      <c r="FR82" s="43"/>
      <c r="FS82" s="43"/>
      <c r="FT82" s="43"/>
      <c r="FU82" s="43"/>
      <c r="FV82" s="43"/>
      <c r="FW82" s="43"/>
      <c r="FX82" s="43"/>
      <c r="FY82" s="43"/>
      <c r="FZ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R82" s="43"/>
      <c r="GS82" s="43"/>
      <c r="GT82" s="43"/>
      <c r="GU82" s="43"/>
    </row>
    <row r="83" spans="6:203" ht="15.75" customHeight="1" x14ac:dyDescent="0.25"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N83" s="43"/>
      <c r="GO83" s="43"/>
      <c r="GP83" s="43"/>
      <c r="GR83" s="43"/>
      <c r="GS83" s="43"/>
      <c r="GT83" s="43"/>
      <c r="GU83" s="43"/>
    </row>
    <row r="84" spans="6:203" ht="15.75" customHeight="1" x14ac:dyDescent="0.25"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N84" s="43"/>
      <c r="GO84" s="43"/>
      <c r="GP84" s="43"/>
      <c r="GR84" s="43"/>
      <c r="GS84" s="43"/>
      <c r="GT84" s="43"/>
      <c r="GU84" s="43"/>
    </row>
    <row r="85" spans="6:203" ht="15.75" customHeight="1" x14ac:dyDescent="0.25"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N85" s="43"/>
      <c r="GO85" s="43"/>
      <c r="GP85" s="43"/>
      <c r="GR85" s="43"/>
      <c r="GS85" s="43"/>
      <c r="GT85" s="43"/>
      <c r="GU85" s="43"/>
    </row>
    <row r="86" spans="6:203" ht="15.75" customHeight="1" x14ac:dyDescent="0.25"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N86" s="43"/>
      <c r="GO86" s="43"/>
      <c r="GP86" s="43"/>
      <c r="GR86" s="43"/>
      <c r="GS86" s="43"/>
      <c r="GT86" s="43"/>
      <c r="GU86" s="43"/>
    </row>
    <row r="87" spans="6:203" ht="15.75" customHeight="1" x14ac:dyDescent="0.25"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N87" s="43"/>
      <c r="GO87" s="43"/>
      <c r="GP87" s="43"/>
      <c r="GR87" s="43"/>
      <c r="GS87" s="43"/>
      <c r="GT87" s="43"/>
      <c r="GU87" s="43"/>
    </row>
    <row r="88" spans="6:203" ht="15.75" customHeight="1" x14ac:dyDescent="0.25"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N88" s="43"/>
      <c r="GO88" s="43"/>
      <c r="GP88" s="43"/>
      <c r="GR88" s="43"/>
      <c r="GS88" s="43"/>
      <c r="GT88" s="43"/>
      <c r="GU88" s="43"/>
    </row>
    <row r="89" spans="6:203" ht="15.75" customHeight="1" x14ac:dyDescent="0.25">
      <c r="F89" s="43"/>
      <c r="G89" s="43"/>
      <c r="H89" s="43"/>
      <c r="I89" s="43"/>
      <c r="L89" s="43"/>
      <c r="M89" s="43"/>
      <c r="N89" s="43"/>
      <c r="O89" s="43"/>
      <c r="P89" s="43"/>
      <c r="Q89" s="43"/>
      <c r="R89" s="43"/>
      <c r="S89" s="43"/>
      <c r="U89" s="43"/>
      <c r="V89" s="43"/>
      <c r="X89" s="43"/>
      <c r="AA89" s="43"/>
      <c r="AB89" s="43"/>
      <c r="AC89" s="43"/>
      <c r="AD89" s="43"/>
      <c r="AE89" s="43"/>
      <c r="AF89" s="43"/>
      <c r="AG89" s="43"/>
      <c r="AH89" s="43"/>
      <c r="AJ89" s="43"/>
      <c r="AM89" s="43"/>
      <c r="AN89" s="43"/>
      <c r="AO89" s="43"/>
      <c r="AP89" s="43"/>
      <c r="AQ89" s="43"/>
      <c r="AR89" s="43"/>
      <c r="AS89" s="43"/>
      <c r="AT89" s="43"/>
      <c r="AV89" s="43"/>
      <c r="AZ89" s="43"/>
      <c r="BA89" s="43"/>
      <c r="BB89" s="43"/>
      <c r="BC89" s="43"/>
      <c r="BD89" s="43"/>
      <c r="BE89" s="43"/>
      <c r="BF89" s="43"/>
      <c r="BG89" s="43"/>
      <c r="BH89" s="43"/>
      <c r="BJ89" s="43"/>
      <c r="BK89" s="43"/>
      <c r="BL89" s="43"/>
      <c r="BO89" s="43"/>
      <c r="BP89" s="43"/>
      <c r="BQ89" s="43"/>
      <c r="BR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H89" s="43"/>
      <c r="CI89" s="43"/>
      <c r="CJ89" s="43"/>
      <c r="CK89" s="43"/>
      <c r="CL89" s="43"/>
      <c r="CM89" s="43"/>
      <c r="CN89" s="43"/>
      <c r="CO89" s="43"/>
      <c r="CS89" s="43"/>
      <c r="CT89" s="43"/>
      <c r="CU89" s="43"/>
      <c r="CV89" s="43"/>
      <c r="CW89" s="43"/>
      <c r="CX89" s="43"/>
      <c r="CY89" s="43"/>
      <c r="CZ89" s="43"/>
      <c r="DA89" s="43"/>
      <c r="DD89" s="43"/>
      <c r="DE89" s="43"/>
      <c r="DF89" s="43"/>
      <c r="DG89" s="43"/>
      <c r="DH89" s="43"/>
      <c r="DI89" s="43"/>
      <c r="DJ89" s="43"/>
      <c r="DK89" s="43"/>
      <c r="DL89" s="43"/>
      <c r="DO89" s="43"/>
      <c r="DP89" s="43"/>
      <c r="DQ89" s="43"/>
      <c r="DR89" s="43"/>
      <c r="DS89" s="43"/>
      <c r="DT89" s="43"/>
      <c r="DU89" s="43"/>
      <c r="DV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J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Z89" s="43"/>
      <c r="FA89" s="43"/>
      <c r="FB89" s="43"/>
      <c r="FE89" s="43"/>
      <c r="FF89" s="43"/>
      <c r="FG89" s="43"/>
      <c r="FH89" s="43"/>
      <c r="FI89" s="43"/>
      <c r="FJ89" s="43"/>
      <c r="FK89" s="43"/>
      <c r="FL89" s="43"/>
      <c r="FM89" s="43"/>
      <c r="FP89" s="43"/>
      <c r="FQ89" s="43"/>
      <c r="FR89" s="43"/>
      <c r="FS89" s="43"/>
      <c r="FT89" s="43"/>
      <c r="FU89" s="43"/>
      <c r="FV89" s="43"/>
      <c r="FW89" s="43"/>
      <c r="FX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N89" s="43"/>
      <c r="GO89" s="43"/>
      <c r="GP89" s="43"/>
      <c r="GR89" s="43"/>
      <c r="GS89" s="43"/>
      <c r="GT89" s="43"/>
      <c r="GU89" s="43"/>
    </row>
    <row r="90" spans="6:203" ht="15.75" customHeight="1" x14ac:dyDescent="0.25">
      <c r="L90" s="43"/>
      <c r="M90" s="43"/>
      <c r="N90" s="43"/>
      <c r="O90" s="43"/>
      <c r="P90" s="43"/>
      <c r="Q90" s="43"/>
      <c r="R90" s="43"/>
      <c r="S90" s="43"/>
      <c r="U90" s="43"/>
      <c r="V90" s="43"/>
      <c r="X90" s="43"/>
      <c r="AA90" s="43"/>
      <c r="AB90" s="43"/>
      <c r="AC90" s="43"/>
      <c r="AD90" s="43"/>
      <c r="AE90" s="43"/>
      <c r="AF90" s="43"/>
      <c r="AG90" s="43"/>
      <c r="AH90" s="43"/>
      <c r="AJ90" s="43"/>
      <c r="AM90" s="43"/>
      <c r="AN90" s="43"/>
      <c r="AO90" s="43"/>
      <c r="AP90" s="43"/>
      <c r="AQ90" s="43"/>
      <c r="AR90" s="43"/>
      <c r="AS90" s="43"/>
      <c r="AT90" s="43"/>
      <c r="AV90" s="43"/>
      <c r="AZ90" s="43"/>
      <c r="BA90" s="43"/>
      <c r="BB90" s="43"/>
      <c r="BC90" s="43"/>
      <c r="BD90" s="43"/>
      <c r="BE90" s="43"/>
      <c r="BF90" s="43"/>
      <c r="BG90" s="43"/>
      <c r="BH90" s="43"/>
      <c r="BJ90" s="43"/>
      <c r="BK90" s="43"/>
      <c r="BL90" s="43"/>
      <c r="BO90" s="43"/>
      <c r="BP90" s="43"/>
      <c r="BQ90" s="43"/>
      <c r="BR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H90" s="43"/>
      <c r="CI90" s="43"/>
      <c r="CJ90" s="43"/>
      <c r="CK90" s="43"/>
      <c r="CL90" s="43"/>
      <c r="CM90" s="43"/>
      <c r="CN90" s="43"/>
      <c r="CO90" s="43"/>
      <c r="CS90" s="43"/>
      <c r="CT90" s="43"/>
      <c r="CU90" s="43"/>
      <c r="CV90" s="43"/>
      <c r="CW90" s="43"/>
      <c r="CX90" s="43"/>
      <c r="CY90" s="43"/>
      <c r="CZ90" s="43"/>
      <c r="DA90" s="43"/>
      <c r="DD90" s="43"/>
      <c r="DE90" s="43"/>
      <c r="DF90" s="43"/>
      <c r="DG90" s="43"/>
      <c r="DH90" s="43"/>
      <c r="DI90" s="43"/>
      <c r="DJ90" s="43"/>
      <c r="DK90" s="43"/>
      <c r="DL90" s="43"/>
      <c r="DO90" s="43"/>
      <c r="DP90" s="43"/>
      <c r="DQ90" s="43"/>
      <c r="DR90" s="43"/>
      <c r="DS90" s="43"/>
      <c r="DT90" s="43"/>
      <c r="DU90" s="43"/>
      <c r="DV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J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Z90" s="43"/>
      <c r="FA90" s="43"/>
      <c r="FB90" s="43"/>
      <c r="FE90" s="43"/>
      <c r="FF90" s="43"/>
      <c r="FG90" s="43"/>
      <c r="FH90" s="43"/>
      <c r="FI90" s="43"/>
      <c r="FJ90" s="43"/>
      <c r="FK90" s="43"/>
      <c r="FL90" s="43"/>
      <c r="FM90" s="43"/>
      <c r="FP90" s="43"/>
      <c r="FQ90" s="43"/>
      <c r="FR90" s="43"/>
      <c r="FS90" s="43"/>
      <c r="FT90" s="43"/>
      <c r="FU90" s="43"/>
      <c r="FV90" s="43"/>
      <c r="FW90" s="43"/>
      <c r="FX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N90" s="43"/>
      <c r="GO90" s="43"/>
      <c r="GP90" s="43"/>
      <c r="GR90" s="43"/>
      <c r="GS90" s="43"/>
      <c r="GT90" s="43"/>
      <c r="GU90" s="43"/>
    </row>
    <row r="91" spans="6:203" ht="15.75" customHeight="1" x14ac:dyDescent="0.25">
      <c r="L91" s="43"/>
      <c r="M91" s="43"/>
      <c r="N91" s="43"/>
      <c r="O91" s="43"/>
      <c r="P91" s="43"/>
      <c r="Q91" s="43"/>
      <c r="R91" s="43"/>
      <c r="S91" s="43"/>
      <c r="U91" s="43"/>
      <c r="V91" s="43"/>
      <c r="X91" s="43"/>
      <c r="AA91" s="43"/>
      <c r="AB91" s="43"/>
      <c r="AC91" s="43"/>
      <c r="AD91" s="43"/>
      <c r="AE91" s="43"/>
      <c r="AF91" s="43"/>
      <c r="AG91" s="43"/>
      <c r="AH91" s="43"/>
      <c r="AJ91" s="43"/>
      <c r="AM91" s="43"/>
      <c r="AN91" s="43"/>
      <c r="AO91" s="43"/>
      <c r="AP91" s="43"/>
      <c r="AQ91" s="43"/>
      <c r="AR91" s="43"/>
      <c r="AS91" s="43"/>
      <c r="AT91" s="43"/>
      <c r="AV91" s="43"/>
      <c r="AZ91" s="43"/>
      <c r="BA91" s="43"/>
      <c r="BB91" s="43"/>
      <c r="BC91" s="43"/>
      <c r="BD91" s="43"/>
      <c r="BE91" s="43"/>
      <c r="BF91" s="43"/>
      <c r="BG91" s="43"/>
      <c r="BH91" s="43"/>
      <c r="BJ91" s="43"/>
      <c r="BK91" s="43"/>
      <c r="BL91" s="43"/>
      <c r="BO91" s="43"/>
      <c r="BP91" s="43"/>
      <c r="BQ91" s="43"/>
      <c r="BR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H91" s="43"/>
      <c r="CI91" s="43"/>
      <c r="CJ91" s="43"/>
      <c r="CK91" s="43"/>
      <c r="CL91" s="43"/>
      <c r="CM91" s="43"/>
      <c r="CN91" s="43"/>
      <c r="CO91" s="43"/>
      <c r="CS91" s="43"/>
      <c r="CT91" s="43"/>
      <c r="CU91" s="43"/>
      <c r="CV91" s="43"/>
      <c r="CW91" s="43"/>
      <c r="CX91" s="43"/>
      <c r="CY91" s="43"/>
      <c r="CZ91" s="43"/>
      <c r="DA91" s="43"/>
      <c r="DD91" s="43"/>
      <c r="DE91" s="43"/>
      <c r="DF91" s="43"/>
      <c r="DG91" s="43"/>
      <c r="DH91" s="43"/>
      <c r="DI91" s="43"/>
      <c r="DJ91" s="43"/>
      <c r="DK91" s="43"/>
      <c r="DL91" s="43"/>
      <c r="DO91" s="43"/>
      <c r="DP91" s="43"/>
      <c r="DQ91" s="43"/>
      <c r="DR91" s="43"/>
      <c r="DS91" s="43"/>
      <c r="DT91" s="43"/>
      <c r="DU91" s="43"/>
      <c r="DV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J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Z91" s="43"/>
      <c r="FA91" s="43"/>
      <c r="FB91" s="43"/>
      <c r="FE91" s="43"/>
      <c r="FF91" s="43"/>
      <c r="FG91" s="43"/>
      <c r="FH91" s="43"/>
      <c r="FI91" s="43"/>
      <c r="FJ91" s="43"/>
      <c r="FK91" s="43"/>
      <c r="FL91" s="43"/>
      <c r="FM91" s="43"/>
      <c r="FP91" s="43"/>
      <c r="FQ91" s="43"/>
      <c r="FR91" s="43"/>
      <c r="FS91" s="43"/>
      <c r="FT91" s="43"/>
      <c r="FU91" s="43"/>
      <c r="FV91" s="43"/>
      <c r="FW91" s="43"/>
      <c r="FX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N91" s="43"/>
      <c r="GO91" s="43"/>
      <c r="GP91" s="43"/>
      <c r="GR91" s="43"/>
      <c r="GS91" s="43"/>
      <c r="GT91" s="43"/>
      <c r="GU91" s="43"/>
    </row>
    <row r="92" spans="6:203" ht="15.75" customHeight="1" x14ac:dyDescent="0.25">
      <c r="L92" s="43"/>
      <c r="M92" s="43"/>
      <c r="N92" s="43"/>
      <c r="O92" s="43"/>
      <c r="P92" s="43"/>
      <c r="Q92" s="43"/>
      <c r="R92" s="43"/>
      <c r="S92" s="43"/>
      <c r="U92" s="43"/>
      <c r="V92" s="43"/>
      <c r="X92" s="43"/>
      <c r="AA92" s="43"/>
      <c r="AB92" s="43"/>
      <c r="AC92" s="43"/>
      <c r="AD92" s="43"/>
      <c r="AE92" s="43"/>
      <c r="AF92" s="43"/>
      <c r="AG92" s="43"/>
      <c r="AH92" s="43"/>
      <c r="AJ92" s="43"/>
      <c r="AM92" s="43"/>
      <c r="AN92" s="43"/>
      <c r="AO92" s="43"/>
      <c r="AP92" s="43"/>
      <c r="AQ92" s="43"/>
      <c r="AR92" s="43"/>
      <c r="AS92" s="43"/>
      <c r="AT92" s="43"/>
      <c r="AV92" s="43"/>
      <c r="AZ92" s="43"/>
      <c r="BA92" s="43"/>
      <c r="BB92" s="43"/>
      <c r="BC92" s="43"/>
      <c r="BD92" s="43"/>
      <c r="BE92" s="43"/>
      <c r="BF92" s="43"/>
      <c r="BG92" s="43"/>
      <c r="BH92" s="43"/>
      <c r="BJ92" s="43"/>
      <c r="BK92" s="43"/>
      <c r="BL92" s="43"/>
      <c r="BO92" s="43"/>
      <c r="BP92" s="43"/>
      <c r="BQ92" s="43"/>
      <c r="BR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H92" s="43"/>
      <c r="CI92" s="43"/>
      <c r="CJ92" s="43"/>
      <c r="CK92" s="43"/>
      <c r="CL92" s="43"/>
      <c r="CM92" s="43"/>
      <c r="CN92" s="43"/>
      <c r="CO92" s="43"/>
      <c r="CS92" s="43"/>
      <c r="CT92" s="43"/>
      <c r="CU92" s="43"/>
      <c r="CV92" s="43"/>
      <c r="CW92" s="43"/>
      <c r="CX92" s="43"/>
      <c r="CY92" s="43"/>
      <c r="CZ92" s="43"/>
      <c r="DA92" s="43"/>
      <c r="DD92" s="43"/>
      <c r="DE92" s="43"/>
      <c r="DF92" s="43"/>
      <c r="DG92" s="43"/>
      <c r="DH92" s="43"/>
      <c r="DI92" s="43"/>
      <c r="DJ92" s="43"/>
      <c r="DK92" s="43"/>
      <c r="DL92" s="43"/>
      <c r="DO92" s="43"/>
      <c r="DP92" s="43"/>
      <c r="DQ92" s="43"/>
      <c r="DR92" s="43"/>
      <c r="DS92" s="43"/>
      <c r="DT92" s="43"/>
      <c r="DU92" s="43"/>
      <c r="DV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J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Z92" s="43"/>
      <c r="FA92" s="43"/>
      <c r="FB92" s="43"/>
      <c r="FE92" s="43"/>
      <c r="FF92" s="43"/>
      <c r="FG92" s="43"/>
      <c r="FH92" s="43"/>
      <c r="FI92" s="43"/>
      <c r="FJ92" s="43"/>
      <c r="FK92" s="43"/>
      <c r="FL92" s="43"/>
      <c r="FM92" s="43"/>
      <c r="FP92" s="43"/>
      <c r="FQ92" s="43"/>
      <c r="FR92" s="43"/>
      <c r="FS92" s="43"/>
      <c r="FT92" s="43"/>
      <c r="FU92" s="43"/>
      <c r="FV92" s="43"/>
      <c r="FW92" s="43"/>
      <c r="FX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N92" s="43"/>
      <c r="GO92" s="43"/>
      <c r="GP92" s="43"/>
      <c r="GR92" s="43"/>
      <c r="GS92" s="43"/>
      <c r="GT92" s="43"/>
      <c r="GU92" s="43"/>
    </row>
    <row r="93" spans="6:203" ht="15.75" customHeight="1" x14ac:dyDescent="0.25"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N93" s="43"/>
      <c r="GO93" s="43"/>
      <c r="GP93" s="43"/>
      <c r="GR93" s="43"/>
      <c r="GS93" s="43"/>
      <c r="GT93" s="43"/>
      <c r="GU93" s="43"/>
    </row>
    <row r="94" spans="6:203" ht="15.75" customHeight="1" x14ac:dyDescent="0.25"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N94" s="43"/>
      <c r="GO94" s="43"/>
      <c r="GP94" s="43"/>
      <c r="GR94" s="43"/>
      <c r="GS94" s="43"/>
      <c r="GT94" s="43"/>
      <c r="GU94" s="43"/>
    </row>
    <row r="95" spans="6:203" ht="15.75" customHeight="1" x14ac:dyDescent="0.25"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N95" s="43"/>
      <c r="GO95" s="43"/>
      <c r="GR95" s="43"/>
      <c r="GS95" s="43"/>
      <c r="GT95" s="43"/>
      <c r="GU95" s="43"/>
    </row>
    <row r="96" spans="6:203" ht="15.75" customHeight="1" x14ac:dyDescent="0.25"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N96" s="43"/>
      <c r="GO96" s="43"/>
      <c r="GP96" s="43"/>
      <c r="GR96" s="43"/>
      <c r="GS96" s="43"/>
      <c r="GT96" s="43"/>
      <c r="GU96" s="43"/>
    </row>
    <row r="97" spans="6:203" ht="15.75" customHeight="1" x14ac:dyDescent="0.25"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N97" s="43"/>
      <c r="GO97" s="43"/>
      <c r="GP97" s="43"/>
      <c r="GR97" s="43"/>
      <c r="GS97" s="43"/>
      <c r="GT97" s="43"/>
      <c r="GU97" s="43"/>
    </row>
    <row r="98" spans="6:203" ht="15.75" customHeight="1" x14ac:dyDescent="0.25">
      <c r="F98" s="43"/>
      <c r="BH98" s="43"/>
      <c r="BM98" s="43"/>
      <c r="BQ98" s="43"/>
      <c r="CC98" s="43"/>
      <c r="DA98" s="43"/>
      <c r="EG98" s="43"/>
      <c r="EI98" s="43"/>
      <c r="EJ98" s="43"/>
      <c r="EU98" s="43"/>
      <c r="EX98" s="43"/>
      <c r="FB98" s="43"/>
      <c r="FM98" s="43"/>
      <c r="FX98" s="43"/>
      <c r="GI98" s="43"/>
      <c r="GJ98" s="43"/>
      <c r="GK98" s="43"/>
      <c r="GL98" s="43"/>
      <c r="GM98" s="43"/>
      <c r="GN98" s="43"/>
      <c r="GO98" s="43"/>
      <c r="GR98" s="43"/>
      <c r="GS98" s="43"/>
      <c r="GT98" s="43"/>
      <c r="GU98" s="43"/>
    </row>
    <row r="99" spans="6:203" ht="15.75" customHeight="1" x14ac:dyDescent="0.25">
      <c r="F99" s="43"/>
      <c r="G99" s="43"/>
      <c r="H99" s="43"/>
      <c r="I99" s="43"/>
      <c r="BH99" s="43"/>
      <c r="CC99" s="43"/>
      <c r="DA99" s="43"/>
      <c r="EG99" s="43"/>
      <c r="EU99" s="43"/>
      <c r="EX99" s="43"/>
      <c r="GI99" s="43"/>
      <c r="GL99" s="43"/>
      <c r="GM99" s="43"/>
      <c r="GN99" s="43"/>
      <c r="GO99" s="43"/>
      <c r="GP99" s="43"/>
      <c r="GR99" s="43"/>
      <c r="GS99" s="43"/>
      <c r="GT99" s="43"/>
      <c r="GU99" s="43"/>
    </row>
    <row r="100" spans="6:203" ht="15.75" customHeight="1" x14ac:dyDescent="0.25">
      <c r="F100" s="43"/>
      <c r="G100" s="43"/>
      <c r="H100" s="43"/>
      <c r="I100" s="43"/>
      <c r="BH100" s="43"/>
      <c r="BM100" s="43"/>
      <c r="BQ100" s="43"/>
      <c r="CC100" s="43"/>
      <c r="DA100" s="43"/>
      <c r="EG100" s="43"/>
      <c r="EI100" s="43"/>
      <c r="EJ100" s="43"/>
      <c r="EU100" s="43"/>
      <c r="EX100" s="43"/>
      <c r="FB100" s="43"/>
      <c r="FM100" s="43"/>
      <c r="FX100" s="43"/>
      <c r="GI100" s="43"/>
      <c r="GJ100" s="43"/>
      <c r="GK100" s="43"/>
      <c r="GL100" s="43"/>
      <c r="GM100" s="43"/>
      <c r="GN100" s="43"/>
      <c r="GO100" s="43"/>
      <c r="GP100" s="43"/>
      <c r="GR100" s="43"/>
      <c r="GS100" s="43"/>
      <c r="GT100" s="43"/>
      <c r="GU100" s="43"/>
    </row>
    <row r="101" spans="6:203" ht="15.75" customHeight="1" x14ac:dyDescent="0.25"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N101" s="43"/>
      <c r="GO101" s="43"/>
      <c r="GP101" s="43"/>
      <c r="GR101" s="43"/>
      <c r="GS101" s="43"/>
      <c r="GT101" s="43"/>
      <c r="GU101" s="43"/>
    </row>
    <row r="102" spans="6:203" ht="15.75" customHeight="1" x14ac:dyDescent="0.25"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N102" s="43"/>
      <c r="GO102" s="43"/>
      <c r="GP102" s="43"/>
      <c r="GR102" s="43"/>
      <c r="GS102" s="43"/>
      <c r="GT102" s="43"/>
      <c r="GU102" s="43"/>
    </row>
    <row r="103" spans="6:203" ht="15.75" customHeight="1" x14ac:dyDescent="0.25">
      <c r="F103" s="43"/>
      <c r="G103" s="43"/>
      <c r="H103" s="43"/>
      <c r="I103" s="43"/>
      <c r="U103" s="43"/>
      <c r="V103" s="43"/>
      <c r="W103" s="43"/>
      <c r="X103" s="43"/>
      <c r="AJ103" s="43"/>
      <c r="AU103" s="43"/>
      <c r="AV103" s="43"/>
      <c r="AW103" s="43"/>
      <c r="BL103" s="43"/>
      <c r="BM103" s="43"/>
      <c r="BN103" s="43"/>
      <c r="BO103" s="43"/>
      <c r="BP103" s="43"/>
      <c r="BQ103" s="43"/>
      <c r="BR103" s="43"/>
      <c r="CD103" s="43"/>
      <c r="CE103" s="43"/>
      <c r="CP103" s="43"/>
      <c r="EI103" s="43"/>
      <c r="EJ103" s="43"/>
      <c r="EW103" s="43"/>
      <c r="EY103" s="43"/>
      <c r="EZ103" s="43"/>
      <c r="FA103" s="43"/>
      <c r="FB103" s="43"/>
      <c r="FM103" s="43"/>
      <c r="FX103" s="43"/>
      <c r="GJ103" s="43"/>
      <c r="GK103" s="43"/>
      <c r="GL103" s="43"/>
      <c r="GM103" s="43"/>
      <c r="GN103" s="43"/>
      <c r="GO103" s="43"/>
      <c r="GP103" s="43"/>
      <c r="GR103" s="43"/>
      <c r="GS103" s="43"/>
      <c r="GT103" s="43"/>
      <c r="GU103" s="43"/>
    </row>
    <row r="104" spans="6:203" ht="15.75" customHeight="1" x14ac:dyDescent="0.25">
      <c r="F104" s="43"/>
      <c r="G104" s="43"/>
      <c r="H104" s="43"/>
      <c r="I104" s="43"/>
      <c r="U104" s="43"/>
      <c r="V104" s="43"/>
      <c r="W104" s="43"/>
      <c r="X104" s="43"/>
      <c r="AJ104" s="43"/>
      <c r="AU104" s="43"/>
      <c r="AV104" s="43"/>
      <c r="AW104" s="43"/>
      <c r="BL104" s="43"/>
      <c r="BM104" s="43"/>
      <c r="BN104" s="43"/>
      <c r="BO104" s="43"/>
      <c r="BP104" s="43"/>
      <c r="BQ104" s="43"/>
      <c r="BR104" s="43"/>
      <c r="CD104" s="43"/>
      <c r="CE104" s="43"/>
      <c r="CP104" s="43"/>
      <c r="EI104" s="43"/>
      <c r="EJ104" s="43"/>
      <c r="EW104" s="43"/>
      <c r="EY104" s="43"/>
      <c r="EZ104" s="43"/>
      <c r="FA104" s="43"/>
      <c r="FB104" s="43"/>
      <c r="FM104" s="43"/>
      <c r="FX104" s="43"/>
      <c r="GJ104" s="43"/>
      <c r="GK104" s="43"/>
      <c r="GL104" s="43"/>
      <c r="GM104" s="43"/>
      <c r="GN104" s="43"/>
      <c r="GO104" s="43"/>
      <c r="GP104" s="43"/>
      <c r="GR104" s="43"/>
      <c r="GS104" s="43"/>
      <c r="GT104" s="43"/>
      <c r="GU104" s="43"/>
    </row>
    <row r="105" spans="6:203" ht="15.75" customHeight="1" x14ac:dyDescent="0.25">
      <c r="F105" s="43"/>
      <c r="G105" s="43"/>
      <c r="H105" s="43"/>
      <c r="I105" s="43"/>
      <c r="U105" s="43"/>
      <c r="V105" s="43"/>
      <c r="W105" s="43"/>
      <c r="X105" s="43"/>
      <c r="AJ105" s="43"/>
      <c r="AU105" s="43"/>
      <c r="AV105" s="43"/>
      <c r="AW105" s="43"/>
      <c r="BL105" s="43"/>
      <c r="BM105" s="43"/>
      <c r="BN105" s="43"/>
      <c r="BO105" s="43"/>
      <c r="BP105" s="43"/>
      <c r="BQ105" s="43"/>
      <c r="BR105" s="43"/>
      <c r="CD105" s="43"/>
      <c r="CE105" s="43"/>
      <c r="CP105" s="43"/>
      <c r="EI105" s="43"/>
      <c r="EJ105" s="43"/>
      <c r="EW105" s="43"/>
      <c r="EY105" s="43"/>
      <c r="EZ105" s="43"/>
      <c r="FA105" s="43"/>
      <c r="FB105" s="43"/>
      <c r="FM105" s="43"/>
      <c r="FX105" s="43"/>
      <c r="GJ105" s="43"/>
      <c r="GK105" s="43"/>
      <c r="GL105" s="43"/>
      <c r="GM105" s="43"/>
      <c r="GN105" s="43"/>
      <c r="GO105" s="43"/>
      <c r="GP105" s="43"/>
      <c r="GR105" s="43"/>
      <c r="GS105" s="43"/>
      <c r="GT105" s="43"/>
      <c r="GU105" s="43"/>
    </row>
    <row r="106" spans="6:203" ht="15.75" customHeight="1" x14ac:dyDescent="0.25">
      <c r="F106" s="43"/>
      <c r="G106" s="43"/>
      <c r="H106" s="43"/>
      <c r="I106" s="43"/>
      <c r="U106" s="43"/>
      <c r="V106" s="43"/>
      <c r="W106" s="43"/>
      <c r="X106" s="43"/>
      <c r="AJ106" s="43"/>
      <c r="AU106" s="43"/>
      <c r="AV106" s="43"/>
      <c r="AW106" s="43"/>
      <c r="BL106" s="43"/>
      <c r="BM106" s="43"/>
      <c r="BN106" s="43"/>
      <c r="BO106" s="43"/>
      <c r="BP106" s="43"/>
      <c r="BQ106" s="43"/>
      <c r="BR106" s="43"/>
      <c r="CD106" s="43"/>
      <c r="CE106" s="43"/>
      <c r="CP106" s="43"/>
      <c r="EI106" s="43"/>
      <c r="EJ106" s="43"/>
      <c r="EW106" s="43"/>
      <c r="EY106" s="43"/>
      <c r="EZ106" s="43"/>
      <c r="FA106" s="43"/>
      <c r="FB106" s="43"/>
      <c r="FM106" s="43"/>
      <c r="FX106" s="43"/>
      <c r="GJ106" s="43"/>
      <c r="GK106" s="43"/>
      <c r="GL106" s="43"/>
      <c r="GM106" s="43"/>
      <c r="GN106" s="43"/>
      <c r="GO106" s="43"/>
      <c r="GP106" s="43"/>
      <c r="GR106" s="43"/>
      <c r="GS106" s="43"/>
      <c r="GT106" s="43"/>
      <c r="GU106" s="43"/>
    </row>
    <row r="107" spans="6:203" ht="15.75" customHeight="1" x14ac:dyDescent="0.25">
      <c r="F107" s="43"/>
      <c r="G107" s="43"/>
      <c r="H107" s="43"/>
      <c r="I107" s="43"/>
      <c r="U107" s="43"/>
      <c r="V107" s="43"/>
      <c r="W107" s="43"/>
      <c r="X107" s="43"/>
      <c r="AJ107" s="43"/>
      <c r="AU107" s="43"/>
      <c r="AV107" s="43"/>
      <c r="AW107" s="43"/>
      <c r="BL107" s="43"/>
      <c r="BM107" s="43"/>
      <c r="BN107" s="43"/>
      <c r="BO107" s="43"/>
      <c r="BP107" s="43"/>
      <c r="BQ107" s="43"/>
      <c r="BR107" s="43"/>
      <c r="CD107" s="43"/>
      <c r="CE107" s="43"/>
      <c r="CP107" s="43"/>
      <c r="EI107" s="43"/>
      <c r="EJ107" s="43"/>
      <c r="EW107" s="43"/>
      <c r="EY107" s="43"/>
      <c r="EZ107" s="43"/>
      <c r="FA107" s="43"/>
      <c r="FB107" s="43"/>
      <c r="FM107" s="43"/>
      <c r="FX107" s="43"/>
      <c r="GJ107" s="43"/>
      <c r="GK107" s="43"/>
      <c r="GL107" s="43"/>
      <c r="GM107" s="43"/>
      <c r="GN107" s="43"/>
      <c r="GO107" s="43"/>
      <c r="GP107" s="43"/>
      <c r="GR107" s="43"/>
      <c r="GS107" s="43"/>
      <c r="GT107" s="43"/>
      <c r="GU107" s="43"/>
    </row>
    <row r="108" spans="6:203" ht="15.75" customHeight="1" x14ac:dyDescent="0.25">
      <c r="F108" s="43"/>
      <c r="G108" s="43"/>
      <c r="H108" s="43"/>
      <c r="I108" s="43"/>
      <c r="U108" s="43"/>
      <c r="V108" s="43"/>
      <c r="W108" s="43"/>
      <c r="X108" s="43"/>
      <c r="AJ108" s="43"/>
      <c r="AU108" s="43"/>
      <c r="AV108" s="43"/>
      <c r="AW108" s="43"/>
      <c r="BL108" s="43"/>
      <c r="BM108" s="43"/>
      <c r="BN108" s="43"/>
      <c r="BO108" s="43"/>
      <c r="BP108" s="43"/>
      <c r="BQ108" s="43"/>
      <c r="BR108" s="43"/>
      <c r="CD108" s="43"/>
      <c r="CE108" s="43"/>
      <c r="CP108" s="43"/>
      <c r="EI108" s="43"/>
      <c r="EJ108" s="43"/>
      <c r="EW108" s="43"/>
      <c r="EY108" s="43"/>
      <c r="EZ108" s="43"/>
      <c r="FA108" s="43"/>
      <c r="FB108" s="43"/>
      <c r="FM108" s="43"/>
      <c r="FX108" s="43"/>
      <c r="GJ108" s="43"/>
      <c r="GK108" s="43"/>
      <c r="GL108" s="43"/>
      <c r="GM108" s="43"/>
      <c r="GN108" s="43"/>
      <c r="GO108" s="43"/>
      <c r="GP108" s="43"/>
      <c r="GR108" s="43"/>
      <c r="GS108" s="43"/>
      <c r="GT108" s="43"/>
      <c r="GU108" s="43"/>
    </row>
    <row r="109" spans="6:203" ht="15.75" customHeight="1" x14ac:dyDescent="0.25">
      <c r="F109" s="43"/>
      <c r="G109" s="43"/>
      <c r="H109" s="43"/>
      <c r="I109" s="43"/>
      <c r="U109" s="43"/>
      <c r="V109" s="43"/>
      <c r="W109" s="43"/>
      <c r="X109" s="43"/>
      <c r="AJ109" s="43"/>
      <c r="AU109" s="43"/>
      <c r="AV109" s="43"/>
      <c r="AW109" s="43"/>
      <c r="BL109" s="43"/>
      <c r="BM109" s="43"/>
      <c r="BN109" s="43"/>
      <c r="BO109" s="43"/>
      <c r="BP109" s="43"/>
      <c r="BQ109" s="43"/>
      <c r="BR109" s="43"/>
      <c r="CD109" s="43"/>
      <c r="CE109" s="43"/>
      <c r="CP109" s="43"/>
      <c r="EI109" s="43"/>
      <c r="EJ109" s="43"/>
      <c r="EW109" s="43"/>
      <c r="EY109" s="43"/>
      <c r="EZ109" s="43"/>
      <c r="FA109" s="43"/>
      <c r="FB109" s="43"/>
      <c r="FM109" s="43"/>
      <c r="FX109" s="43"/>
      <c r="GJ109" s="43"/>
      <c r="GK109" s="43"/>
      <c r="GL109" s="43"/>
      <c r="GM109" s="43"/>
      <c r="GN109" s="43"/>
      <c r="GO109" s="43"/>
      <c r="GP109" s="43"/>
      <c r="GR109" s="43"/>
      <c r="GS109" s="43"/>
      <c r="GT109" s="43"/>
      <c r="GU109" s="43"/>
    </row>
    <row r="110" spans="6:203" ht="15.75" customHeight="1" x14ac:dyDescent="0.25">
      <c r="F110" s="43"/>
      <c r="G110" s="43"/>
      <c r="H110" s="43"/>
      <c r="I110" s="43"/>
      <c r="U110" s="43"/>
      <c r="V110" s="43"/>
      <c r="W110" s="43"/>
      <c r="X110" s="43"/>
      <c r="AJ110" s="43"/>
      <c r="AU110" s="43"/>
      <c r="AV110" s="43"/>
      <c r="AW110" s="43"/>
      <c r="BL110" s="43"/>
      <c r="BM110" s="43"/>
      <c r="BN110" s="43"/>
      <c r="BO110" s="43"/>
      <c r="BP110" s="43"/>
      <c r="BQ110" s="43"/>
      <c r="BR110" s="43"/>
      <c r="CD110" s="43"/>
      <c r="CE110" s="43"/>
      <c r="CP110" s="43"/>
      <c r="EI110" s="43"/>
      <c r="EJ110" s="43"/>
      <c r="EW110" s="43"/>
      <c r="EY110" s="43"/>
      <c r="EZ110" s="43"/>
      <c r="FA110" s="43"/>
      <c r="FB110" s="43"/>
      <c r="FM110" s="43"/>
      <c r="FX110" s="43"/>
      <c r="GJ110" s="43"/>
      <c r="GK110" s="43"/>
      <c r="GL110" s="43"/>
      <c r="GM110" s="43"/>
      <c r="GN110" s="43"/>
      <c r="GO110" s="43"/>
      <c r="GP110" s="43"/>
      <c r="GR110" s="43"/>
      <c r="GS110" s="43"/>
      <c r="GT110" s="43"/>
      <c r="GU110" s="43"/>
    </row>
    <row r="111" spans="6:203" ht="15.75" customHeight="1" x14ac:dyDescent="0.25">
      <c r="F111" s="43"/>
      <c r="G111" s="43"/>
      <c r="H111" s="43"/>
      <c r="I111" s="43"/>
      <c r="U111" s="43"/>
      <c r="V111" s="43"/>
      <c r="W111" s="43"/>
      <c r="X111" s="43"/>
      <c r="AJ111" s="43"/>
      <c r="AU111" s="43"/>
      <c r="AV111" s="43"/>
      <c r="AW111" s="43"/>
      <c r="BL111" s="43"/>
      <c r="BM111" s="43"/>
      <c r="BN111" s="43"/>
      <c r="BO111" s="43"/>
      <c r="BP111" s="43"/>
      <c r="BQ111" s="43"/>
      <c r="BR111" s="43"/>
      <c r="CD111" s="43"/>
      <c r="CE111" s="43"/>
      <c r="CP111" s="43"/>
      <c r="EI111" s="43"/>
      <c r="EJ111" s="43"/>
      <c r="EW111" s="43"/>
      <c r="EY111" s="43"/>
      <c r="EZ111" s="43"/>
      <c r="FA111" s="43"/>
      <c r="FB111" s="43"/>
      <c r="FM111" s="43"/>
      <c r="FX111" s="43"/>
      <c r="GJ111" s="43"/>
      <c r="GK111" s="43"/>
      <c r="GL111" s="43"/>
      <c r="GM111" s="43"/>
      <c r="GN111" s="43"/>
      <c r="GO111" s="43"/>
      <c r="GP111" s="43"/>
      <c r="GR111" s="43"/>
      <c r="GS111" s="43"/>
      <c r="GT111" s="43"/>
      <c r="GU111" s="43"/>
    </row>
    <row r="112" spans="6:203" ht="15.75" customHeight="1" x14ac:dyDescent="0.25">
      <c r="F112" s="43"/>
      <c r="J112" s="43"/>
      <c r="K112" s="43"/>
      <c r="T112" s="43"/>
      <c r="W112" s="43"/>
      <c r="Y112" s="43"/>
      <c r="Z112" s="43"/>
      <c r="AI112" s="43"/>
      <c r="AK112" s="43"/>
      <c r="AL112" s="43"/>
      <c r="AU112" s="43"/>
      <c r="AW112" s="43"/>
      <c r="AX112" s="43"/>
      <c r="AY112" s="43"/>
      <c r="BH112" s="43"/>
      <c r="BI112" s="43"/>
      <c r="BM112" s="43"/>
      <c r="BN112" s="43"/>
      <c r="BS112" s="43"/>
      <c r="BT112" s="43"/>
      <c r="CC112" s="43"/>
      <c r="CF112" s="43"/>
      <c r="CG112" s="43"/>
      <c r="CP112" s="43"/>
      <c r="CQ112" s="43"/>
      <c r="CR112" s="43"/>
      <c r="DA112" s="43"/>
      <c r="DB112" s="43"/>
      <c r="DC112" s="43"/>
      <c r="DM112" s="43"/>
      <c r="DN112" s="43"/>
      <c r="DW112" s="43"/>
      <c r="DX112" s="43"/>
      <c r="EG112" s="43"/>
      <c r="EI112" s="43"/>
      <c r="EK112" s="43"/>
      <c r="EL112" s="43"/>
      <c r="EU112" s="43"/>
      <c r="EX112" s="43"/>
      <c r="EY112" s="43"/>
      <c r="FC112" s="43"/>
      <c r="FD112" s="43"/>
      <c r="FN112" s="43"/>
      <c r="FO112" s="43"/>
      <c r="FY112" s="43"/>
      <c r="FZ112" s="43"/>
      <c r="GI112" s="43"/>
      <c r="GJ112" s="43"/>
      <c r="GK112" s="43"/>
      <c r="GL112" s="43"/>
      <c r="GN112" s="43"/>
      <c r="GO112" s="43"/>
      <c r="GP112" s="43"/>
      <c r="GR112" s="43"/>
      <c r="GS112" s="43"/>
      <c r="GT112" s="43"/>
      <c r="GU112" s="43"/>
    </row>
    <row r="113" spans="6:203" ht="15.75" customHeight="1" x14ac:dyDescent="0.25"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N113" s="43"/>
      <c r="GO113" s="43"/>
      <c r="GP113" s="43"/>
      <c r="GR113" s="43"/>
      <c r="GS113" s="43"/>
      <c r="GT113" s="43"/>
      <c r="GU113" s="43"/>
    </row>
    <row r="114" spans="6:203" ht="15.75" customHeight="1" x14ac:dyDescent="0.25">
      <c r="F114" s="43"/>
      <c r="BH114" s="43"/>
      <c r="BM114" s="43"/>
      <c r="BQ114" s="43"/>
      <c r="CC114" s="43"/>
      <c r="DA114" s="43"/>
      <c r="EG114" s="43"/>
      <c r="EI114" s="43"/>
      <c r="EJ114" s="43"/>
      <c r="EU114" s="43"/>
      <c r="EX114" s="43"/>
      <c r="FB114" s="43"/>
      <c r="FM114" s="43"/>
      <c r="FX114" s="43"/>
      <c r="GI114" s="43"/>
      <c r="GJ114" s="43"/>
      <c r="GK114" s="43"/>
      <c r="GL114" s="43"/>
      <c r="GM114" s="43"/>
      <c r="GN114" s="43"/>
      <c r="GO114" s="43"/>
      <c r="GR114" s="43"/>
      <c r="GS114" s="43"/>
      <c r="GT114" s="43"/>
      <c r="GU114" s="43"/>
    </row>
    <row r="115" spans="6:203" ht="15.75" customHeight="1" x14ac:dyDescent="0.25">
      <c r="F115" s="43"/>
      <c r="G115" s="43"/>
      <c r="H115" s="43"/>
      <c r="I115" s="43"/>
      <c r="J115" s="43"/>
      <c r="K115" s="43"/>
      <c r="T115" s="43"/>
      <c r="W115" s="43"/>
      <c r="Y115" s="43"/>
      <c r="Z115" s="43"/>
      <c r="AI115" s="43"/>
      <c r="AK115" s="43"/>
      <c r="AL115" s="43"/>
      <c r="AU115" s="43"/>
      <c r="AW115" s="43"/>
      <c r="AX115" s="43"/>
      <c r="AY115" s="43"/>
      <c r="BH115" s="43"/>
      <c r="BI115" s="43"/>
      <c r="BM115" s="43"/>
      <c r="BN115" s="43"/>
      <c r="BS115" s="43"/>
      <c r="BT115" s="43"/>
      <c r="CC115" s="43"/>
      <c r="CF115" s="43"/>
      <c r="CG115" s="43"/>
      <c r="CP115" s="43"/>
      <c r="CQ115" s="43"/>
      <c r="CR115" s="43"/>
      <c r="DA115" s="43"/>
      <c r="DB115" s="43"/>
      <c r="DC115" s="43"/>
      <c r="DM115" s="43"/>
      <c r="DN115" s="43"/>
      <c r="DW115" s="43"/>
      <c r="DX115" s="43"/>
      <c r="EG115" s="43"/>
      <c r="EI115" s="43"/>
      <c r="EK115" s="43"/>
      <c r="EL115" s="43"/>
      <c r="EU115" s="43"/>
      <c r="EX115" s="43"/>
      <c r="EY115" s="43"/>
      <c r="FC115" s="43"/>
      <c r="FD115" s="43"/>
      <c r="FN115" s="43"/>
      <c r="FO115" s="43"/>
      <c r="FY115" s="43"/>
      <c r="FZ115" s="43"/>
      <c r="GI115" s="43"/>
      <c r="GJ115" s="43"/>
      <c r="GK115" s="43"/>
      <c r="GL115" s="43"/>
      <c r="GM115" s="43"/>
      <c r="GN115" s="43"/>
      <c r="GO115" s="43"/>
      <c r="GP115" s="43"/>
      <c r="GR115" s="43"/>
      <c r="GS115" s="43"/>
      <c r="GT115" s="43"/>
      <c r="GU115" s="43"/>
    </row>
    <row r="116" spans="6:203" ht="15.75" customHeight="1" x14ac:dyDescent="0.25"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N116" s="43"/>
      <c r="GO116" s="43"/>
      <c r="GP116" s="43"/>
      <c r="GR116" s="43"/>
      <c r="GS116" s="43"/>
      <c r="GT116" s="43"/>
      <c r="GU116" s="43"/>
    </row>
    <row r="117" spans="6:203" ht="15.75" customHeight="1" x14ac:dyDescent="0.25"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N117" s="43"/>
      <c r="GO117" s="43"/>
      <c r="GP117" s="43"/>
      <c r="GR117" s="43"/>
      <c r="GS117" s="43"/>
      <c r="GT117" s="43"/>
      <c r="GU117" s="43"/>
    </row>
    <row r="118" spans="6:203" ht="15.75" customHeight="1" x14ac:dyDescent="0.25"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N118" s="43"/>
      <c r="GO118" s="43"/>
      <c r="GP118" s="43"/>
      <c r="GR118" s="43"/>
      <c r="GS118" s="43"/>
      <c r="GT118" s="43"/>
      <c r="GU118" s="43"/>
    </row>
    <row r="119" spans="6:203" ht="15.75" customHeight="1" x14ac:dyDescent="0.25"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T119" s="43"/>
      <c r="U119" s="43"/>
      <c r="W119" s="43"/>
      <c r="Y119" s="43"/>
      <c r="Z119" s="43"/>
      <c r="AA119" s="43"/>
      <c r="AB119" s="43"/>
      <c r="AC119" s="43"/>
      <c r="AD119" s="43"/>
      <c r="AI119" s="43"/>
      <c r="AK119" s="43"/>
      <c r="AL119" s="43"/>
      <c r="AM119" s="43"/>
      <c r="AN119" s="43"/>
      <c r="AO119" s="43"/>
      <c r="AP119" s="43"/>
      <c r="AU119" s="43"/>
      <c r="AV119" s="43"/>
      <c r="AW119" s="43"/>
      <c r="AX119" s="43"/>
      <c r="AY119" s="43"/>
      <c r="AZ119" s="43"/>
      <c r="BA119" s="43"/>
      <c r="BB119" s="43"/>
      <c r="BC119" s="43"/>
      <c r="BH119" s="43"/>
      <c r="BI119" s="43"/>
      <c r="BJ119" s="43"/>
      <c r="BK119" s="43"/>
      <c r="BM119" s="43"/>
      <c r="BN119" s="43"/>
      <c r="BO119" s="43"/>
      <c r="BP119" s="43"/>
      <c r="BS119" s="43"/>
      <c r="BT119" s="43"/>
      <c r="BU119" s="43"/>
      <c r="BV119" s="43"/>
      <c r="BW119" s="43"/>
      <c r="BX119" s="43"/>
      <c r="CC119" s="43"/>
      <c r="CF119" s="43"/>
      <c r="CG119" s="43"/>
      <c r="CH119" s="43"/>
      <c r="CI119" s="43"/>
      <c r="CJ119" s="43"/>
      <c r="CK119" s="43"/>
      <c r="CP119" s="43"/>
      <c r="CQ119" s="43"/>
      <c r="CR119" s="43"/>
      <c r="CS119" s="43"/>
      <c r="CT119" s="43"/>
      <c r="CU119" s="43"/>
      <c r="CV119" s="43"/>
      <c r="DA119" s="43"/>
      <c r="DB119" s="43"/>
      <c r="DC119" s="43"/>
      <c r="DD119" s="43"/>
      <c r="DE119" s="43"/>
      <c r="DF119" s="43"/>
      <c r="DG119" s="43"/>
      <c r="DM119" s="43"/>
      <c r="DN119" s="43"/>
      <c r="DO119" s="43"/>
      <c r="DP119" s="43"/>
      <c r="DQ119" s="43"/>
      <c r="DR119" s="43"/>
      <c r="DW119" s="43"/>
      <c r="DX119" s="43"/>
      <c r="DY119" s="43"/>
      <c r="DZ119" s="43"/>
      <c r="EA119" s="43"/>
      <c r="EB119" s="43"/>
      <c r="EG119" s="43"/>
      <c r="EI119" s="43"/>
      <c r="EK119" s="43"/>
      <c r="EL119" s="43"/>
      <c r="EM119" s="43"/>
      <c r="EN119" s="43"/>
      <c r="EO119" s="43"/>
      <c r="EP119" s="43"/>
      <c r="EU119" s="43"/>
      <c r="EV119" s="43"/>
      <c r="EW119" s="43"/>
      <c r="EX119" s="43"/>
      <c r="EY119" s="43"/>
      <c r="EZ119" s="43"/>
      <c r="FA119" s="43"/>
      <c r="FC119" s="43"/>
      <c r="FD119" s="43"/>
      <c r="FE119" s="43"/>
      <c r="FF119" s="43"/>
      <c r="FG119" s="43"/>
      <c r="FH119" s="43"/>
      <c r="FN119" s="43"/>
      <c r="FO119" s="43"/>
      <c r="FP119" s="43"/>
      <c r="FQ119" s="43"/>
      <c r="FR119" s="43"/>
      <c r="FS119" s="43"/>
      <c r="FY119" s="43"/>
      <c r="FZ119" s="43"/>
      <c r="GA119" s="43"/>
      <c r="GB119" s="43"/>
      <c r="GC119" s="43"/>
      <c r="GD119" s="43"/>
      <c r="GI119" s="43"/>
      <c r="GL119" s="43"/>
      <c r="GM119" s="43"/>
      <c r="GN119" s="43"/>
      <c r="GO119" s="43"/>
      <c r="GP119" s="43"/>
      <c r="GR119" s="43"/>
      <c r="GS119" s="43"/>
      <c r="GT119" s="43"/>
      <c r="GU119" s="43"/>
    </row>
    <row r="120" spans="6:203" ht="15.75" customHeight="1" x14ac:dyDescent="0.25"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N120" s="43"/>
      <c r="GO120" s="43"/>
      <c r="GP120" s="43"/>
      <c r="GR120" s="43"/>
      <c r="GS120" s="43"/>
      <c r="GT120" s="43"/>
      <c r="GU120" s="43"/>
    </row>
    <row r="121" spans="6:203" ht="15.75" customHeight="1" x14ac:dyDescent="0.25"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N121" s="43"/>
      <c r="GO121" s="43"/>
      <c r="GP121" s="43"/>
      <c r="GR121" s="43"/>
      <c r="GS121" s="43"/>
      <c r="GT121" s="43"/>
      <c r="GU121" s="43"/>
    </row>
    <row r="122" spans="6:203" ht="15.75" customHeight="1" x14ac:dyDescent="0.25">
      <c r="F122" s="43"/>
      <c r="G122" s="43"/>
      <c r="H122" s="43"/>
      <c r="I122" s="43"/>
      <c r="W122" s="43"/>
      <c r="AW122" s="43"/>
      <c r="BH122" s="43"/>
      <c r="BM122" s="43"/>
      <c r="BN122" s="43"/>
      <c r="CC122" s="43"/>
      <c r="CP122" s="43"/>
      <c r="DA122" s="43"/>
      <c r="EG122" s="43"/>
      <c r="EI122" s="43"/>
      <c r="EJ122" s="43"/>
      <c r="EU122" s="43"/>
      <c r="EX122" s="43"/>
      <c r="EY122" s="43"/>
      <c r="FB122" s="43"/>
      <c r="FM122" s="43"/>
      <c r="FX122" s="43"/>
      <c r="GI122" s="43"/>
      <c r="GJ122" s="43"/>
      <c r="GK122" s="43"/>
      <c r="GL122" s="43"/>
      <c r="GM122" s="43"/>
      <c r="GN122" s="43"/>
      <c r="GO122" s="43"/>
      <c r="GR122" s="43"/>
      <c r="GS122" s="43"/>
      <c r="GT122" s="43"/>
      <c r="GU122" s="43"/>
    </row>
    <row r="123" spans="6:203" ht="15.75" customHeight="1" x14ac:dyDescent="0.25"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P123" s="43"/>
      <c r="GR123" s="43"/>
      <c r="GS123" s="43"/>
      <c r="GT123" s="43"/>
      <c r="GU123" s="43"/>
    </row>
    <row r="124" spans="6:203" ht="15.75" customHeight="1" x14ac:dyDescent="0.25"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P124" s="43"/>
      <c r="GR124" s="43"/>
      <c r="GS124" s="43"/>
      <c r="GT124" s="43"/>
      <c r="GU124" s="43"/>
    </row>
    <row r="125" spans="6:203" ht="15.75" customHeight="1" x14ac:dyDescent="0.25"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P125" s="43"/>
      <c r="GR125" s="43"/>
      <c r="GS125" s="43"/>
      <c r="GT125" s="43"/>
      <c r="GU125" s="43"/>
    </row>
    <row r="126" spans="6:203" ht="15.75" customHeight="1" x14ac:dyDescent="0.25">
      <c r="F126" s="43"/>
      <c r="G126" s="43"/>
      <c r="H126" s="43"/>
      <c r="I126" s="43"/>
      <c r="L126" s="43"/>
      <c r="M126" s="43"/>
      <c r="N126" s="43"/>
      <c r="O126" s="43"/>
      <c r="P126" s="43"/>
      <c r="Q126" s="43"/>
      <c r="R126" s="43"/>
      <c r="S126" s="43"/>
      <c r="U126" s="43"/>
      <c r="V126" s="43"/>
      <c r="W126" s="43"/>
      <c r="X126" s="43"/>
      <c r="AA126" s="43"/>
      <c r="AB126" s="43"/>
      <c r="AC126" s="43"/>
      <c r="AD126" s="43"/>
      <c r="AE126" s="43"/>
      <c r="AF126" s="43"/>
      <c r="AG126" s="43"/>
      <c r="AH126" s="43"/>
      <c r="AJ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Z126" s="43"/>
      <c r="BA126" s="43"/>
      <c r="BB126" s="43"/>
      <c r="BC126" s="43"/>
      <c r="BD126" s="43"/>
      <c r="BE126" s="43"/>
      <c r="BF126" s="43"/>
      <c r="BG126" s="43"/>
      <c r="BJ126" s="43"/>
      <c r="BK126" s="43"/>
      <c r="BL126" s="43"/>
      <c r="BM126" s="43"/>
      <c r="BN126" s="43"/>
      <c r="BO126" s="43"/>
      <c r="BP126" s="43"/>
      <c r="BQ126" s="43"/>
      <c r="BR126" s="43"/>
      <c r="BU126" s="43"/>
      <c r="BV126" s="43"/>
      <c r="BW126" s="43"/>
      <c r="BX126" s="43"/>
      <c r="BY126" s="43"/>
      <c r="BZ126" s="43"/>
      <c r="CA126" s="43"/>
      <c r="CB126" s="43"/>
      <c r="CD126" s="43"/>
      <c r="CE126" s="43"/>
      <c r="CH126" s="43"/>
      <c r="CI126" s="43"/>
      <c r="CJ126" s="43"/>
      <c r="CK126" s="43"/>
      <c r="CL126" s="43"/>
      <c r="CM126" s="43"/>
      <c r="CN126" s="43"/>
      <c r="CO126" s="43"/>
      <c r="CP126" s="43"/>
      <c r="CS126" s="43"/>
      <c r="CT126" s="43"/>
      <c r="CU126" s="43"/>
      <c r="CV126" s="43"/>
      <c r="CW126" s="43"/>
      <c r="CX126" s="43"/>
      <c r="CY126" s="43"/>
      <c r="CZ126" s="43"/>
      <c r="DD126" s="43"/>
      <c r="DE126" s="43"/>
      <c r="DF126" s="43"/>
      <c r="DG126" s="43"/>
      <c r="DH126" s="43"/>
      <c r="DI126" s="43"/>
      <c r="DJ126" s="43"/>
      <c r="DK126" s="43"/>
      <c r="DL126" s="43"/>
      <c r="DO126" s="43"/>
      <c r="DP126" s="43"/>
      <c r="DQ126" s="43"/>
      <c r="DR126" s="43"/>
      <c r="DS126" s="43"/>
      <c r="DT126" s="43"/>
      <c r="DU126" s="43"/>
      <c r="DV126" s="43"/>
      <c r="DY126" s="43"/>
      <c r="DZ126" s="43"/>
      <c r="EA126" s="43"/>
      <c r="EB126" s="43"/>
      <c r="EC126" s="43"/>
      <c r="ED126" s="43"/>
      <c r="EE126" s="43"/>
      <c r="EF126" s="43"/>
      <c r="EH126" s="43"/>
      <c r="EI126" s="43"/>
      <c r="EJ126" s="43"/>
      <c r="EM126" s="43"/>
      <c r="EN126" s="43"/>
      <c r="EO126" s="43"/>
      <c r="EP126" s="43"/>
      <c r="EQ126" s="43"/>
      <c r="ER126" s="43"/>
      <c r="ES126" s="43"/>
      <c r="ET126" s="43"/>
      <c r="EV126" s="43"/>
      <c r="EW126" s="43"/>
      <c r="EX126" s="43"/>
      <c r="EY126" s="43"/>
      <c r="EZ126" s="43"/>
      <c r="FA126" s="43"/>
      <c r="FB126" s="43"/>
      <c r="FE126" s="43"/>
      <c r="FF126" s="43"/>
      <c r="FG126" s="43"/>
      <c r="FH126" s="43"/>
      <c r="FI126" s="43"/>
      <c r="FJ126" s="43"/>
      <c r="FK126" s="43"/>
      <c r="FL126" s="43"/>
      <c r="FM126" s="43"/>
      <c r="FP126" s="43"/>
      <c r="FQ126" s="43"/>
      <c r="FR126" s="43"/>
      <c r="FS126" s="43"/>
      <c r="FT126" s="43"/>
      <c r="FU126" s="43"/>
      <c r="FV126" s="43"/>
      <c r="FW126" s="43"/>
      <c r="FX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R126" s="43"/>
      <c r="GS126" s="43"/>
      <c r="GT126" s="43"/>
      <c r="GU126" s="43"/>
    </row>
    <row r="127" spans="6:203" ht="15.75" customHeight="1" x14ac:dyDescent="0.25">
      <c r="F127" s="43"/>
      <c r="G127" s="43"/>
      <c r="H127" s="43"/>
      <c r="I127" s="43"/>
      <c r="L127" s="43"/>
      <c r="M127" s="43"/>
      <c r="N127" s="43"/>
      <c r="O127" s="43"/>
      <c r="P127" s="43"/>
      <c r="Q127" s="43"/>
      <c r="R127" s="43"/>
      <c r="S127" s="43"/>
      <c r="U127" s="43"/>
      <c r="V127" s="43"/>
      <c r="W127" s="43"/>
      <c r="X127" s="43"/>
      <c r="AA127" s="43"/>
      <c r="AB127" s="43"/>
      <c r="AC127" s="43"/>
      <c r="AD127" s="43"/>
      <c r="AE127" s="43"/>
      <c r="AF127" s="43"/>
      <c r="AG127" s="43"/>
      <c r="AH127" s="43"/>
      <c r="AJ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Z127" s="43"/>
      <c r="BA127" s="43"/>
      <c r="BB127" s="43"/>
      <c r="BC127" s="43"/>
      <c r="BD127" s="43"/>
      <c r="BE127" s="43"/>
      <c r="BF127" s="43"/>
      <c r="BG127" s="43"/>
      <c r="BJ127" s="43"/>
      <c r="BK127" s="43"/>
      <c r="BL127" s="43"/>
      <c r="BM127" s="43"/>
      <c r="BN127" s="43"/>
      <c r="BO127" s="43"/>
      <c r="BP127" s="43"/>
      <c r="BQ127" s="43"/>
      <c r="BR127" s="43"/>
      <c r="BU127" s="43"/>
      <c r="BV127" s="43"/>
      <c r="BW127" s="43"/>
      <c r="BX127" s="43"/>
      <c r="BY127" s="43"/>
      <c r="BZ127" s="43"/>
      <c r="CA127" s="43"/>
      <c r="CB127" s="43"/>
      <c r="CD127" s="43"/>
      <c r="CE127" s="43"/>
      <c r="CH127" s="43"/>
      <c r="CI127" s="43"/>
      <c r="CJ127" s="43"/>
      <c r="CK127" s="43"/>
      <c r="CL127" s="43"/>
      <c r="CM127" s="43"/>
      <c r="CN127" s="43"/>
      <c r="CO127" s="43"/>
      <c r="CP127" s="43"/>
      <c r="CS127" s="43"/>
      <c r="CT127" s="43"/>
      <c r="CU127" s="43"/>
      <c r="CV127" s="43"/>
      <c r="CW127" s="43"/>
      <c r="CX127" s="43"/>
      <c r="CY127" s="43"/>
      <c r="CZ127" s="43"/>
      <c r="DD127" s="43"/>
      <c r="DE127" s="43"/>
      <c r="DF127" s="43"/>
      <c r="DG127" s="43"/>
      <c r="DH127" s="43"/>
      <c r="DI127" s="43"/>
      <c r="DJ127" s="43"/>
      <c r="DK127" s="43"/>
      <c r="DL127" s="43"/>
      <c r="DO127" s="43"/>
      <c r="DP127" s="43"/>
      <c r="DQ127" s="43"/>
      <c r="DR127" s="43"/>
      <c r="DS127" s="43"/>
      <c r="DT127" s="43"/>
      <c r="DU127" s="43"/>
      <c r="DV127" s="43"/>
      <c r="DY127" s="43"/>
      <c r="DZ127" s="43"/>
      <c r="EA127" s="43"/>
      <c r="EB127" s="43"/>
      <c r="EC127" s="43"/>
      <c r="ED127" s="43"/>
      <c r="EE127" s="43"/>
      <c r="EF127" s="43"/>
      <c r="EH127" s="43"/>
      <c r="EI127" s="43"/>
      <c r="EJ127" s="43"/>
      <c r="EM127" s="43"/>
      <c r="EN127" s="43"/>
      <c r="EO127" s="43"/>
      <c r="EP127" s="43"/>
      <c r="EQ127" s="43"/>
      <c r="ER127" s="43"/>
      <c r="ES127" s="43"/>
      <c r="ET127" s="43"/>
      <c r="EV127" s="43"/>
      <c r="EW127" s="43"/>
      <c r="EX127" s="43"/>
      <c r="EY127" s="43"/>
      <c r="EZ127" s="43"/>
      <c r="FA127" s="43"/>
      <c r="FB127" s="43"/>
      <c r="FE127" s="43"/>
      <c r="FF127" s="43"/>
      <c r="FG127" s="43"/>
      <c r="FH127" s="43"/>
      <c r="FI127" s="43"/>
      <c r="FJ127" s="43"/>
      <c r="FK127" s="43"/>
      <c r="FL127" s="43"/>
      <c r="FM127" s="43"/>
      <c r="FP127" s="43"/>
      <c r="FQ127" s="43"/>
      <c r="FR127" s="43"/>
      <c r="FS127" s="43"/>
      <c r="FT127" s="43"/>
      <c r="FU127" s="43"/>
      <c r="FV127" s="43"/>
      <c r="FW127" s="43"/>
      <c r="FX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R127" s="43"/>
      <c r="GS127" s="43"/>
      <c r="GT127" s="43"/>
      <c r="GU127" s="43"/>
    </row>
    <row r="128" spans="6:203" ht="15.75" customHeight="1" x14ac:dyDescent="0.25">
      <c r="F128" s="43"/>
      <c r="G128" s="43"/>
      <c r="H128" s="43"/>
      <c r="I128" s="43"/>
      <c r="L128" s="43"/>
      <c r="M128" s="43"/>
      <c r="N128" s="43"/>
      <c r="O128" s="43"/>
      <c r="P128" s="43"/>
      <c r="Q128" s="43"/>
      <c r="R128" s="43"/>
      <c r="S128" s="43"/>
      <c r="U128" s="43"/>
      <c r="V128" s="43"/>
      <c r="W128" s="43"/>
      <c r="X128" s="43"/>
      <c r="AA128" s="43"/>
      <c r="AB128" s="43"/>
      <c r="AC128" s="43"/>
      <c r="AD128" s="43"/>
      <c r="AE128" s="43"/>
      <c r="AF128" s="43"/>
      <c r="AG128" s="43"/>
      <c r="AH128" s="43"/>
      <c r="AJ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Z128" s="43"/>
      <c r="BA128" s="43"/>
      <c r="BB128" s="43"/>
      <c r="BC128" s="43"/>
      <c r="BD128" s="43"/>
      <c r="BE128" s="43"/>
      <c r="BF128" s="43"/>
      <c r="BG128" s="43"/>
      <c r="BJ128" s="43"/>
      <c r="BK128" s="43"/>
      <c r="BL128" s="43"/>
      <c r="BM128" s="43"/>
      <c r="BN128" s="43"/>
      <c r="BO128" s="43"/>
      <c r="BP128" s="43"/>
      <c r="BQ128" s="43"/>
      <c r="BR128" s="43"/>
      <c r="BU128" s="43"/>
      <c r="BV128" s="43"/>
      <c r="BW128" s="43"/>
      <c r="BX128" s="43"/>
      <c r="BY128" s="43"/>
      <c r="BZ128" s="43"/>
      <c r="CA128" s="43"/>
      <c r="CB128" s="43"/>
      <c r="CD128" s="43"/>
      <c r="CE128" s="43"/>
      <c r="CH128" s="43"/>
      <c r="CI128" s="43"/>
      <c r="CJ128" s="43"/>
      <c r="CK128" s="43"/>
      <c r="CL128" s="43"/>
      <c r="CM128" s="43"/>
      <c r="CN128" s="43"/>
      <c r="CO128" s="43"/>
      <c r="CP128" s="43"/>
      <c r="CS128" s="43"/>
      <c r="CT128" s="43"/>
      <c r="CU128" s="43"/>
      <c r="CV128" s="43"/>
      <c r="CW128" s="43"/>
      <c r="CX128" s="43"/>
      <c r="CY128" s="43"/>
      <c r="CZ128" s="43"/>
      <c r="DD128" s="43"/>
      <c r="DE128" s="43"/>
      <c r="DF128" s="43"/>
      <c r="DG128" s="43"/>
      <c r="DH128" s="43"/>
      <c r="DI128" s="43"/>
      <c r="DJ128" s="43"/>
      <c r="DK128" s="43"/>
      <c r="DL128" s="43"/>
      <c r="DO128" s="43"/>
      <c r="DP128" s="43"/>
      <c r="DQ128" s="43"/>
      <c r="DR128" s="43"/>
      <c r="DS128" s="43"/>
      <c r="DT128" s="43"/>
      <c r="DU128" s="43"/>
      <c r="DV128" s="43"/>
      <c r="DY128" s="43"/>
      <c r="DZ128" s="43"/>
      <c r="EA128" s="43"/>
      <c r="EB128" s="43"/>
      <c r="EC128" s="43"/>
      <c r="ED128" s="43"/>
      <c r="EE128" s="43"/>
      <c r="EF128" s="43"/>
      <c r="EH128" s="43"/>
      <c r="EI128" s="43"/>
      <c r="EJ128" s="43"/>
      <c r="EM128" s="43"/>
      <c r="EN128" s="43"/>
      <c r="EO128" s="43"/>
      <c r="EP128" s="43"/>
      <c r="EQ128" s="43"/>
      <c r="ER128" s="43"/>
      <c r="ES128" s="43"/>
      <c r="ET128" s="43"/>
      <c r="EV128" s="43"/>
      <c r="EW128" s="43"/>
      <c r="EX128" s="43"/>
      <c r="EY128" s="43"/>
      <c r="EZ128" s="43"/>
      <c r="FA128" s="43"/>
      <c r="FB128" s="43"/>
      <c r="FE128" s="43"/>
      <c r="FF128" s="43"/>
      <c r="FG128" s="43"/>
      <c r="FH128" s="43"/>
      <c r="FI128" s="43"/>
      <c r="FJ128" s="43"/>
      <c r="FK128" s="43"/>
      <c r="FL128" s="43"/>
      <c r="FM128" s="43"/>
      <c r="FP128" s="43"/>
      <c r="FQ128" s="43"/>
      <c r="FR128" s="43"/>
      <c r="FS128" s="43"/>
      <c r="FT128" s="43"/>
      <c r="FU128" s="43"/>
      <c r="FV128" s="43"/>
      <c r="FW128" s="43"/>
      <c r="FX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R128" s="43"/>
      <c r="GS128" s="43"/>
      <c r="GT128" s="43"/>
      <c r="GU128" s="43"/>
    </row>
    <row r="129" spans="6:203" ht="15.75" customHeight="1" x14ac:dyDescent="0.25">
      <c r="F129" s="43"/>
      <c r="G129" s="43"/>
      <c r="H129" s="43"/>
      <c r="I129" s="43"/>
      <c r="L129" s="43"/>
      <c r="M129" s="43"/>
      <c r="N129" s="43"/>
      <c r="O129" s="43"/>
      <c r="P129" s="43"/>
      <c r="Q129" s="43"/>
      <c r="R129" s="43"/>
      <c r="S129" s="43"/>
      <c r="U129" s="43"/>
      <c r="V129" s="43"/>
      <c r="W129" s="43"/>
      <c r="X129" s="43"/>
      <c r="AA129" s="43"/>
      <c r="AB129" s="43"/>
      <c r="AC129" s="43"/>
      <c r="AD129" s="43"/>
      <c r="AE129" s="43"/>
      <c r="AF129" s="43"/>
      <c r="AG129" s="43"/>
      <c r="AH129" s="43"/>
      <c r="AJ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Z129" s="43"/>
      <c r="BA129" s="43"/>
      <c r="BB129" s="43"/>
      <c r="BC129" s="43"/>
      <c r="BD129" s="43"/>
      <c r="BE129" s="43"/>
      <c r="BF129" s="43"/>
      <c r="BG129" s="43"/>
      <c r="BJ129" s="43"/>
      <c r="BK129" s="43"/>
      <c r="BL129" s="43"/>
      <c r="BM129" s="43"/>
      <c r="BN129" s="43"/>
      <c r="BO129" s="43"/>
      <c r="BP129" s="43"/>
      <c r="BQ129" s="43"/>
      <c r="BR129" s="43"/>
      <c r="BU129" s="43"/>
      <c r="BV129" s="43"/>
      <c r="BW129" s="43"/>
      <c r="BX129" s="43"/>
      <c r="BY129" s="43"/>
      <c r="BZ129" s="43"/>
      <c r="CA129" s="43"/>
      <c r="CB129" s="43"/>
      <c r="CD129" s="43"/>
      <c r="CE129" s="43"/>
      <c r="CH129" s="43"/>
      <c r="CI129" s="43"/>
      <c r="CJ129" s="43"/>
      <c r="CK129" s="43"/>
      <c r="CL129" s="43"/>
      <c r="CM129" s="43"/>
      <c r="CN129" s="43"/>
      <c r="CO129" s="43"/>
      <c r="CP129" s="43"/>
      <c r="CS129" s="43"/>
      <c r="CT129" s="43"/>
      <c r="CU129" s="43"/>
      <c r="CV129" s="43"/>
      <c r="CW129" s="43"/>
      <c r="CX129" s="43"/>
      <c r="CY129" s="43"/>
      <c r="CZ129" s="43"/>
      <c r="DD129" s="43"/>
      <c r="DE129" s="43"/>
      <c r="DF129" s="43"/>
      <c r="DG129" s="43"/>
      <c r="DH129" s="43"/>
      <c r="DI129" s="43"/>
      <c r="DJ129" s="43"/>
      <c r="DK129" s="43"/>
      <c r="DL129" s="43"/>
      <c r="DO129" s="43"/>
      <c r="DP129" s="43"/>
      <c r="DQ129" s="43"/>
      <c r="DR129" s="43"/>
      <c r="DS129" s="43"/>
      <c r="DT129" s="43"/>
      <c r="DU129" s="43"/>
      <c r="DV129" s="43"/>
      <c r="DY129" s="43"/>
      <c r="DZ129" s="43"/>
      <c r="EA129" s="43"/>
      <c r="EB129" s="43"/>
      <c r="EC129" s="43"/>
      <c r="ED129" s="43"/>
      <c r="EE129" s="43"/>
      <c r="EF129" s="43"/>
      <c r="EH129" s="43"/>
      <c r="EI129" s="43"/>
      <c r="EJ129" s="43"/>
      <c r="EM129" s="43"/>
      <c r="EN129" s="43"/>
      <c r="EO129" s="43"/>
      <c r="EP129" s="43"/>
      <c r="EQ129" s="43"/>
      <c r="ER129" s="43"/>
      <c r="ES129" s="43"/>
      <c r="ET129" s="43"/>
      <c r="EV129" s="43"/>
      <c r="EW129" s="43"/>
      <c r="EX129" s="43"/>
      <c r="EY129" s="43"/>
      <c r="EZ129" s="43"/>
      <c r="FA129" s="43"/>
      <c r="FB129" s="43"/>
      <c r="FE129" s="43"/>
      <c r="FF129" s="43"/>
      <c r="FG129" s="43"/>
      <c r="FH129" s="43"/>
      <c r="FI129" s="43"/>
      <c r="FJ129" s="43"/>
      <c r="FK129" s="43"/>
      <c r="FL129" s="43"/>
      <c r="FM129" s="43"/>
      <c r="FP129" s="43"/>
      <c r="FQ129" s="43"/>
      <c r="FR129" s="43"/>
      <c r="FS129" s="43"/>
      <c r="FT129" s="43"/>
      <c r="FU129" s="43"/>
      <c r="FV129" s="43"/>
      <c r="FW129" s="43"/>
      <c r="FX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R129" s="43"/>
      <c r="GS129" s="43"/>
      <c r="GT129" s="43"/>
      <c r="GU129" s="43"/>
    </row>
    <row r="130" spans="6:203" ht="15.75" customHeight="1" x14ac:dyDescent="0.25">
      <c r="F130" s="43"/>
      <c r="G130" s="43"/>
      <c r="H130" s="43"/>
      <c r="I130" s="43"/>
      <c r="L130" s="43"/>
      <c r="M130" s="43"/>
      <c r="N130" s="43"/>
      <c r="O130" s="43"/>
      <c r="P130" s="43"/>
      <c r="Q130" s="43"/>
      <c r="R130" s="43"/>
      <c r="S130" s="43"/>
      <c r="U130" s="43"/>
      <c r="V130" s="43"/>
      <c r="W130" s="43"/>
      <c r="X130" s="43"/>
      <c r="AA130" s="43"/>
      <c r="AB130" s="43"/>
      <c r="AC130" s="43"/>
      <c r="AD130" s="43"/>
      <c r="AE130" s="43"/>
      <c r="AF130" s="43"/>
      <c r="AG130" s="43"/>
      <c r="AH130" s="43"/>
      <c r="AJ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Z130" s="43"/>
      <c r="BA130" s="43"/>
      <c r="BB130" s="43"/>
      <c r="BC130" s="43"/>
      <c r="BD130" s="43"/>
      <c r="BE130" s="43"/>
      <c r="BF130" s="43"/>
      <c r="BG130" s="43"/>
      <c r="BJ130" s="43"/>
      <c r="BK130" s="43"/>
      <c r="BL130" s="43"/>
      <c r="BM130" s="43"/>
      <c r="BN130" s="43"/>
      <c r="BO130" s="43"/>
      <c r="BP130" s="43"/>
      <c r="BQ130" s="43"/>
      <c r="BR130" s="43"/>
      <c r="BU130" s="43"/>
      <c r="BV130" s="43"/>
      <c r="BW130" s="43"/>
      <c r="BX130" s="43"/>
      <c r="BY130" s="43"/>
      <c r="BZ130" s="43"/>
      <c r="CA130" s="43"/>
      <c r="CB130" s="43"/>
      <c r="CD130" s="43"/>
      <c r="CE130" s="43"/>
      <c r="CH130" s="43"/>
      <c r="CI130" s="43"/>
      <c r="CJ130" s="43"/>
      <c r="CK130" s="43"/>
      <c r="CL130" s="43"/>
      <c r="CM130" s="43"/>
      <c r="CN130" s="43"/>
      <c r="CO130" s="43"/>
      <c r="CP130" s="43"/>
      <c r="CS130" s="43"/>
      <c r="CT130" s="43"/>
      <c r="CU130" s="43"/>
      <c r="CV130" s="43"/>
      <c r="CW130" s="43"/>
      <c r="CX130" s="43"/>
      <c r="CY130" s="43"/>
      <c r="CZ130" s="43"/>
      <c r="DD130" s="43"/>
      <c r="DE130" s="43"/>
      <c r="DF130" s="43"/>
      <c r="DG130" s="43"/>
      <c r="DH130" s="43"/>
      <c r="DI130" s="43"/>
      <c r="DJ130" s="43"/>
      <c r="DK130" s="43"/>
      <c r="DL130" s="43"/>
      <c r="DO130" s="43"/>
      <c r="DP130" s="43"/>
      <c r="DQ130" s="43"/>
      <c r="DR130" s="43"/>
      <c r="DS130" s="43"/>
      <c r="DT130" s="43"/>
      <c r="DU130" s="43"/>
      <c r="DV130" s="43"/>
      <c r="DY130" s="43"/>
      <c r="DZ130" s="43"/>
      <c r="EA130" s="43"/>
      <c r="EB130" s="43"/>
      <c r="EC130" s="43"/>
      <c r="ED130" s="43"/>
      <c r="EE130" s="43"/>
      <c r="EF130" s="43"/>
      <c r="EH130" s="43"/>
      <c r="EI130" s="43"/>
      <c r="EJ130" s="43"/>
      <c r="EM130" s="43"/>
      <c r="EN130" s="43"/>
      <c r="EO130" s="43"/>
      <c r="EP130" s="43"/>
      <c r="EQ130" s="43"/>
      <c r="ER130" s="43"/>
      <c r="ES130" s="43"/>
      <c r="ET130" s="43"/>
      <c r="EV130" s="43"/>
      <c r="EW130" s="43"/>
      <c r="EX130" s="43"/>
      <c r="EY130" s="43"/>
      <c r="EZ130" s="43"/>
      <c r="FA130" s="43"/>
      <c r="FB130" s="43"/>
      <c r="FE130" s="43"/>
      <c r="FF130" s="43"/>
      <c r="FG130" s="43"/>
      <c r="FH130" s="43"/>
      <c r="FI130" s="43"/>
      <c r="FJ130" s="43"/>
      <c r="FK130" s="43"/>
      <c r="FL130" s="43"/>
      <c r="FM130" s="43"/>
      <c r="FP130" s="43"/>
      <c r="FQ130" s="43"/>
      <c r="FR130" s="43"/>
      <c r="FS130" s="43"/>
      <c r="FT130" s="43"/>
      <c r="FU130" s="43"/>
      <c r="FV130" s="43"/>
      <c r="FW130" s="43"/>
      <c r="FX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R130" s="43"/>
      <c r="GS130" s="43"/>
      <c r="GT130" s="43"/>
      <c r="GU130" s="43"/>
    </row>
    <row r="131" spans="6:203" ht="15.75" customHeight="1" x14ac:dyDescent="0.25">
      <c r="F131" s="43"/>
      <c r="G131" s="43"/>
      <c r="H131" s="43"/>
      <c r="I131" s="43"/>
      <c r="L131" s="43"/>
      <c r="M131" s="43"/>
      <c r="N131" s="43"/>
      <c r="O131" s="43"/>
      <c r="P131" s="43"/>
      <c r="Q131" s="43"/>
      <c r="R131" s="43"/>
      <c r="S131" s="43"/>
      <c r="U131" s="43"/>
      <c r="V131" s="43"/>
      <c r="W131" s="43"/>
      <c r="X131" s="43"/>
      <c r="AA131" s="43"/>
      <c r="AB131" s="43"/>
      <c r="AC131" s="43"/>
      <c r="AD131" s="43"/>
      <c r="AE131" s="43"/>
      <c r="AF131" s="43"/>
      <c r="AG131" s="43"/>
      <c r="AH131" s="43"/>
      <c r="AJ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Z131" s="43"/>
      <c r="BA131" s="43"/>
      <c r="BB131" s="43"/>
      <c r="BC131" s="43"/>
      <c r="BD131" s="43"/>
      <c r="BE131" s="43"/>
      <c r="BF131" s="43"/>
      <c r="BG131" s="43"/>
      <c r="BJ131" s="43"/>
      <c r="BK131" s="43"/>
      <c r="BL131" s="43"/>
      <c r="BM131" s="43"/>
      <c r="BN131" s="43"/>
      <c r="BO131" s="43"/>
      <c r="BP131" s="43"/>
      <c r="BQ131" s="43"/>
      <c r="BR131" s="43"/>
      <c r="BU131" s="43"/>
      <c r="BV131" s="43"/>
      <c r="BW131" s="43"/>
      <c r="BX131" s="43"/>
      <c r="BY131" s="43"/>
      <c r="BZ131" s="43"/>
      <c r="CA131" s="43"/>
      <c r="CB131" s="43"/>
      <c r="CD131" s="43"/>
      <c r="CE131" s="43"/>
      <c r="CH131" s="43"/>
      <c r="CI131" s="43"/>
      <c r="CJ131" s="43"/>
      <c r="CK131" s="43"/>
      <c r="CL131" s="43"/>
      <c r="CM131" s="43"/>
      <c r="CN131" s="43"/>
      <c r="CO131" s="43"/>
      <c r="CP131" s="43"/>
      <c r="CS131" s="43"/>
      <c r="CT131" s="43"/>
      <c r="CU131" s="43"/>
      <c r="CV131" s="43"/>
      <c r="CW131" s="43"/>
      <c r="CX131" s="43"/>
      <c r="CY131" s="43"/>
      <c r="CZ131" s="43"/>
      <c r="DD131" s="43"/>
      <c r="DE131" s="43"/>
      <c r="DF131" s="43"/>
      <c r="DG131" s="43"/>
      <c r="DH131" s="43"/>
      <c r="DI131" s="43"/>
      <c r="DJ131" s="43"/>
      <c r="DK131" s="43"/>
      <c r="DL131" s="43"/>
      <c r="DO131" s="43"/>
      <c r="DP131" s="43"/>
      <c r="DQ131" s="43"/>
      <c r="DR131" s="43"/>
      <c r="DS131" s="43"/>
      <c r="DT131" s="43"/>
      <c r="DU131" s="43"/>
      <c r="DV131" s="43"/>
      <c r="DY131" s="43"/>
      <c r="DZ131" s="43"/>
      <c r="EA131" s="43"/>
      <c r="EB131" s="43"/>
      <c r="EC131" s="43"/>
      <c r="ED131" s="43"/>
      <c r="EE131" s="43"/>
      <c r="EF131" s="43"/>
      <c r="EH131" s="43"/>
      <c r="EI131" s="43"/>
      <c r="EJ131" s="43"/>
      <c r="EM131" s="43"/>
      <c r="EN131" s="43"/>
      <c r="EO131" s="43"/>
      <c r="EP131" s="43"/>
      <c r="EQ131" s="43"/>
      <c r="ER131" s="43"/>
      <c r="ES131" s="43"/>
      <c r="ET131" s="43"/>
      <c r="EV131" s="43"/>
      <c r="EW131" s="43"/>
      <c r="EX131" s="43"/>
      <c r="EY131" s="43"/>
      <c r="EZ131" s="43"/>
      <c r="FA131" s="43"/>
      <c r="FB131" s="43"/>
      <c r="FE131" s="43"/>
      <c r="FF131" s="43"/>
      <c r="FG131" s="43"/>
      <c r="FH131" s="43"/>
      <c r="FI131" s="43"/>
      <c r="FJ131" s="43"/>
      <c r="FK131" s="43"/>
      <c r="FL131" s="43"/>
      <c r="FM131" s="43"/>
      <c r="FP131" s="43"/>
      <c r="FQ131" s="43"/>
      <c r="FR131" s="43"/>
      <c r="FS131" s="43"/>
      <c r="FT131" s="43"/>
      <c r="FU131" s="43"/>
      <c r="FV131" s="43"/>
      <c r="FW131" s="43"/>
      <c r="FX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R131" s="43"/>
      <c r="GS131" s="43"/>
      <c r="GT131" s="43"/>
      <c r="GU131" s="43"/>
    </row>
    <row r="132" spans="6:203" ht="15.75" customHeight="1" x14ac:dyDescent="0.25">
      <c r="F132" s="43"/>
      <c r="G132" s="43"/>
      <c r="H132" s="43"/>
      <c r="I132" s="43"/>
      <c r="L132" s="43"/>
      <c r="M132" s="43"/>
      <c r="N132" s="43"/>
      <c r="O132" s="43"/>
      <c r="P132" s="43"/>
      <c r="Q132" s="43"/>
      <c r="R132" s="43"/>
      <c r="S132" s="43"/>
      <c r="U132" s="43"/>
      <c r="V132" s="43"/>
      <c r="W132" s="43"/>
      <c r="X132" s="43"/>
      <c r="AA132" s="43"/>
      <c r="AB132" s="43"/>
      <c r="AC132" s="43"/>
      <c r="AD132" s="43"/>
      <c r="AE132" s="43"/>
      <c r="AF132" s="43"/>
      <c r="AG132" s="43"/>
      <c r="AH132" s="43"/>
      <c r="AJ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Z132" s="43"/>
      <c r="BA132" s="43"/>
      <c r="BB132" s="43"/>
      <c r="BC132" s="43"/>
      <c r="BD132" s="43"/>
      <c r="BE132" s="43"/>
      <c r="BF132" s="43"/>
      <c r="BG132" s="43"/>
      <c r="BJ132" s="43"/>
      <c r="BK132" s="43"/>
      <c r="BL132" s="43"/>
      <c r="BM132" s="43"/>
      <c r="BN132" s="43"/>
      <c r="BO132" s="43"/>
      <c r="BP132" s="43"/>
      <c r="BQ132" s="43"/>
      <c r="BR132" s="43"/>
      <c r="BU132" s="43"/>
      <c r="BV132" s="43"/>
      <c r="BW132" s="43"/>
      <c r="BX132" s="43"/>
      <c r="BY132" s="43"/>
      <c r="BZ132" s="43"/>
      <c r="CA132" s="43"/>
      <c r="CB132" s="43"/>
      <c r="CD132" s="43"/>
      <c r="CE132" s="43"/>
      <c r="CH132" s="43"/>
      <c r="CI132" s="43"/>
      <c r="CJ132" s="43"/>
      <c r="CK132" s="43"/>
      <c r="CL132" s="43"/>
      <c r="CM132" s="43"/>
      <c r="CN132" s="43"/>
      <c r="CO132" s="43"/>
      <c r="CP132" s="43"/>
      <c r="CS132" s="43"/>
      <c r="CT132" s="43"/>
      <c r="CU132" s="43"/>
      <c r="CV132" s="43"/>
      <c r="CW132" s="43"/>
      <c r="CX132" s="43"/>
      <c r="CY132" s="43"/>
      <c r="CZ132" s="43"/>
      <c r="DD132" s="43"/>
      <c r="DE132" s="43"/>
      <c r="DF132" s="43"/>
      <c r="DG132" s="43"/>
      <c r="DH132" s="43"/>
      <c r="DI132" s="43"/>
      <c r="DJ132" s="43"/>
      <c r="DK132" s="43"/>
      <c r="DL132" s="43"/>
      <c r="DO132" s="43"/>
      <c r="DP132" s="43"/>
      <c r="DQ132" s="43"/>
      <c r="DR132" s="43"/>
      <c r="DS132" s="43"/>
      <c r="DT132" s="43"/>
      <c r="DU132" s="43"/>
      <c r="DV132" s="43"/>
      <c r="DY132" s="43"/>
      <c r="DZ132" s="43"/>
      <c r="EA132" s="43"/>
      <c r="EB132" s="43"/>
      <c r="EC132" s="43"/>
      <c r="ED132" s="43"/>
      <c r="EE132" s="43"/>
      <c r="EF132" s="43"/>
      <c r="EH132" s="43"/>
      <c r="EI132" s="43"/>
      <c r="EJ132" s="43"/>
      <c r="EM132" s="43"/>
      <c r="EN132" s="43"/>
      <c r="EO132" s="43"/>
      <c r="EP132" s="43"/>
      <c r="EQ132" s="43"/>
      <c r="ER132" s="43"/>
      <c r="ES132" s="43"/>
      <c r="ET132" s="43"/>
      <c r="EV132" s="43"/>
      <c r="EW132" s="43"/>
      <c r="EX132" s="43"/>
      <c r="EY132" s="43"/>
      <c r="EZ132" s="43"/>
      <c r="FA132" s="43"/>
      <c r="FB132" s="43"/>
      <c r="FE132" s="43"/>
      <c r="FF132" s="43"/>
      <c r="FG132" s="43"/>
      <c r="FH132" s="43"/>
      <c r="FI132" s="43"/>
      <c r="FJ132" s="43"/>
      <c r="FK132" s="43"/>
      <c r="FL132" s="43"/>
      <c r="FM132" s="43"/>
      <c r="FP132" s="43"/>
      <c r="FQ132" s="43"/>
      <c r="FR132" s="43"/>
      <c r="FS132" s="43"/>
      <c r="FT132" s="43"/>
      <c r="FU132" s="43"/>
      <c r="FV132" s="43"/>
      <c r="FW132" s="43"/>
      <c r="FX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R132" s="43"/>
      <c r="GS132" s="43"/>
      <c r="GT132" s="43"/>
      <c r="GU132" s="43"/>
    </row>
    <row r="133" spans="6:203" ht="15.75" customHeight="1" x14ac:dyDescent="0.25">
      <c r="F133" s="43"/>
      <c r="G133" s="43"/>
      <c r="H133" s="43"/>
      <c r="I133" s="43"/>
      <c r="L133" s="43"/>
      <c r="M133" s="43"/>
      <c r="N133" s="43"/>
      <c r="O133" s="43"/>
      <c r="P133" s="43"/>
      <c r="Q133" s="43"/>
      <c r="R133" s="43"/>
      <c r="S133" s="43"/>
      <c r="U133" s="43"/>
      <c r="V133" s="43"/>
      <c r="W133" s="43"/>
      <c r="X133" s="43"/>
      <c r="AA133" s="43"/>
      <c r="AB133" s="43"/>
      <c r="AC133" s="43"/>
      <c r="AD133" s="43"/>
      <c r="AE133" s="43"/>
      <c r="AF133" s="43"/>
      <c r="AG133" s="43"/>
      <c r="AH133" s="43"/>
      <c r="AJ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Z133" s="43"/>
      <c r="BA133" s="43"/>
      <c r="BB133" s="43"/>
      <c r="BC133" s="43"/>
      <c r="BD133" s="43"/>
      <c r="BE133" s="43"/>
      <c r="BF133" s="43"/>
      <c r="BG133" s="43"/>
      <c r="BJ133" s="43"/>
      <c r="BK133" s="43"/>
      <c r="BL133" s="43"/>
      <c r="BM133" s="43"/>
      <c r="BN133" s="43"/>
      <c r="BO133" s="43"/>
      <c r="BP133" s="43"/>
      <c r="BQ133" s="43"/>
      <c r="BR133" s="43"/>
      <c r="BU133" s="43"/>
      <c r="BV133" s="43"/>
      <c r="BW133" s="43"/>
      <c r="BX133" s="43"/>
      <c r="BY133" s="43"/>
      <c r="BZ133" s="43"/>
      <c r="CA133" s="43"/>
      <c r="CB133" s="43"/>
      <c r="CD133" s="43"/>
      <c r="CE133" s="43"/>
      <c r="CH133" s="43"/>
      <c r="CI133" s="43"/>
      <c r="CJ133" s="43"/>
      <c r="CK133" s="43"/>
      <c r="CL133" s="43"/>
      <c r="CM133" s="43"/>
      <c r="CN133" s="43"/>
      <c r="CO133" s="43"/>
      <c r="CP133" s="43"/>
      <c r="CS133" s="43"/>
      <c r="CT133" s="43"/>
      <c r="CU133" s="43"/>
      <c r="CV133" s="43"/>
      <c r="CW133" s="43"/>
      <c r="CX133" s="43"/>
      <c r="CY133" s="43"/>
      <c r="CZ133" s="43"/>
      <c r="DD133" s="43"/>
      <c r="DE133" s="43"/>
      <c r="DF133" s="43"/>
      <c r="DG133" s="43"/>
      <c r="DH133" s="43"/>
      <c r="DI133" s="43"/>
      <c r="DJ133" s="43"/>
      <c r="DK133" s="43"/>
      <c r="DL133" s="43"/>
      <c r="DO133" s="43"/>
      <c r="DP133" s="43"/>
      <c r="DQ133" s="43"/>
      <c r="DR133" s="43"/>
      <c r="DS133" s="43"/>
      <c r="DT133" s="43"/>
      <c r="DU133" s="43"/>
      <c r="DV133" s="43"/>
      <c r="DY133" s="43"/>
      <c r="DZ133" s="43"/>
      <c r="EA133" s="43"/>
      <c r="EB133" s="43"/>
      <c r="EC133" s="43"/>
      <c r="ED133" s="43"/>
      <c r="EE133" s="43"/>
      <c r="EF133" s="43"/>
      <c r="EH133" s="43"/>
      <c r="EI133" s="43"/>
      <c r="EJ133" s="43"/>
      <c r="EM133" s="43"/>
      <c r="EN133" s="43"/>
      <c r="EO133" s="43"/>
      <c r="EP133" s="43"/>
      <c r="EQ133" s="43"/>
      <c r="ER133" s="43"/>
      <c r="ES133" s="43"/>
      <c r="ET133" s="43"/>
      <c r="EV133" s="43"/>
      <c r="EW133" s="43"/>
      <c r="EX133" s="43"/>
      <c r="EY133" s="43"/>
      <c r="EZ133" s="43"/>
      <c r="FA133" s="43"/>
      <c r="FB133" s="43"/>
      <c r="FE133" s="43"/>
      <c r="FF133" s="43"/>
      <c r="FG133" s="43"/>
      <c r="FH133" s="43"/>
      <c r="FI133" s="43"/>
      <c r="FJ133" s="43"/>
      <c r="FK133" s="43"/>
      <c r="FL133" s="43"/>
      <c r="FM133" s="43"/>
      <c r="FP133" s="43"/>
      <c r="FQ133" s="43"/>
      <c r="FR133" s="43"/>
      <c r="FS133" s="43"/>
      <c r="FT133" s="43"/>
      <c r="FU133" s="43"/>
      <c r="FV133" s="43"/>
      <c r="FW133" s="43"/>
      <c r="FX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R133" s="43"/>
      <c r="GS133" s="43"/>
      <c r="GT133" s="43"/>
      <c r="GU133" s="43"/>
    </row>
    <row r="134" spans="6:203" ht="15.75" customHeight="1" x14ac:dyDescent="0.25">
      <c r="F134" s="43"/>
      <c r="G134" s="43"/>
      <c r="H134" s="43"/>
      <c r="I134" s="43"/>
      <c r="L134" s="43"/>
      <c r="M134" s="43"/>
      <c r="N134" s="43"/>
      <c r="O134" s="43"/>
      <c r="P134" s="43"/>
      <c r="Q134" s="43"/>
      <c r="R134" s="43"/>
      <c r="S134" s="43"/>
      <c r="U134" s="43"/>
      <c r="V134" s="43"/>
      <c r="W134" s="43"/>
      <c r="X134" s="43"/>
      <c r="AA134" s="43"/>
      <c r="AB134" s="43"/>
      <c r="AC134" s="43"/>
      <c r="AD134" s="43"/>
      <c r="AE134" s="43"/>
      <c r="AF134" s="43"/>
      <c r="AG134" s="43"/>
      <c r="AH134" s="43"/>
      <c r="AJ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Z134" s="43"/>
      <c r="BA134" s="43"/>
      <c r="BB134" s="43"/>
      <c r="BC134" s="43"/>
      <c r="BD134" s="43"/>
      <c r="BE134" s="43"/>
      <c r="BF134" s="43"/>
      <c r="BG134" s="43"/>
      <c r="BJ134" s="43"/>
      <c r="BK134" s="43"/>
      <c r="BL134" s="43"/>
      <c r="BM134" s="43"/>
      <c r="BN134" s="43"/>
      <c r="BO134" s="43"/>
      <c r="BP134" s="43"/>
      <c r="BQ134" s="43"/>
      <c r="BR134" s="43"/>
      <c r="BU134" s="43"/>
      <c r="BV134" s="43"/>
      <c r="BW134" s="43"/>
      <c r="BX134" s="43"/>
      <c r="BY134" s="43"/>
      <c r="BZ134" s="43"/>
      <c r="CA134" s="43"/>
      <c r="CB134" s="43"/>
      <c r="CD134" s="43"/>
      <c r="CE134" s="43"/>
      <c r="CH134" s="43"/>
      <c r="CI134" s="43"/>
      <c r="CJ134" s="43"/>
      <c r="CK134" s="43"/>
      <c r="CL134" s="43"/>
      <c r="CM134" s="43"/>
      <c r="CN134" s="43"/>
      <c r="CO134" s="43"/>
      <c r="CP134" s="43"/>
      <c r="CS134" s="43"/>
      <c r="CT134" s="43"/>
      <c r="CU134" s="43"/>
      <c r="CV134" s="43"/>
      <c r="CW134" s="43"/>
      <c r="CX134" s="43"/>
      <c r="CY134" s="43"/>
      <c r="CZ134" s="43"/>
      <c r="DD134" s="43"/>
      <c r="DE134" s="43"/>
      <c r="DF134" s="43"/>
      <c r="DG134" s="43"/>
      <c r="DH134" s="43"/>
      <c r="DI134" s="43"/>
      <c r="DJ134" s="43"/>
      <c r="DK134" s="43"/>
      <c r="DL134" s="43"/>
      <c r="DO134" s="43"/>
      <c r="DP134" s="43"/>
      <c r="DQ134" s="43"/>
      <c r="DR134" s="43"/>
      <c r="DS134" s="43"/>
      <c r="DT134" s="43"/>
      <c r="DU134" s="43"/>
      <c r="DV134" s="43"/>
      <c r="DY134" s="43"/>
      <c r="DZ134" s="43"/>
      <c r="EA134" s="43"/>
      <c r="EB134" s="43"/>
      <c r="EC134" s="43"/>
      <c r="ED134" s="43"/>
      <c r="EE134" s="43"/>
      <c r="EF134" s="43"/>
      <c r="EH134" s="43"/>
      <c r="EI134" s="43"/>
      <c r="EJ134" s="43"/>
      <c r="EM134" s="43"/>
      <c r="EN134" s="43"/>
      <c r="EO134" s="43"/>
      <c r="EP134" s="43"/>
      <c r="EQ134" s="43"/>
      <c r="ER134" s="43"/>
      <c r="ES134" s="43"/>
      <c r="ET134" s="43"/>
      <c r="EV134" s="43"/>
      <c r="EW134" s="43"/>
      <c r="EX134" s="43"/>
      <c r="EY134" s="43"/>
      <c r="EZ134" s="43"/>
      <c r="FA134" s="43"/>
      <c r="FB134" s="43"/>
      <c r="FE134" s="43"/>
      <c r="FF134" s="43"/>
      <c r="FG134" s="43"/>
      <c r="FH134" s="43"/>
      <c r="FI134" s="43"/>
      <c r="FJ134" s="43"/>
      <c r="FK134" s="43"/>
      <c r="FL134" s="43"/>
      <c r="FM134" s="43"/>
      <c r="FP134" s="43"/>
      <c r="FQ134" s="43"/>
      <c r="FR134" s="43"/>
      <c r="FS134" s="43"/>
      <c r="FT134" s="43"/>
      <c r="FU134" s="43"/>
      <c r="FV134" s="43"/>
      <c r="FW134" s="43"/>
      <c r="FX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R134" s="43"/>
      <c r="GS134" s="43"/>
      <c r="GT134" s="43"/>
      <c r="GU134" s="43"/>
    </row>
    <row r="135" spans="6:203" ht="15.75" customHeight="1" x14ac:dyDescent="0.25"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N135" s="43"/>
      <c r="GP135" s="43"/>
      <c r="GR135" s="43"/>
      <c r="GS135" s="43"/>
      <c r="GT135" s="43"/>
      <c r="GU135" s="43"/>
    </row>
    <row r="136" spans="6:203" ht="15.75" customHeight="1" x14ac:dyDescent="0.25"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N136" s="43"/>
      <c r="GP136" s="43"/>
      <c r="GR136" s="43"/>
      <c r="GS136" s="43"/>
      <c r="GT136" s="43"/>
      <c r="GU136" s="43"/>
    </row>
    <row r="137" spans="6:203" ht="15.75" customHeight="1" x14ac:dyDescent="0.25"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N137" s="43"/>
      <c r="GP137" s="43"/>
      <c r="GR137" s="43"/>
      <c r="GS137" s="43"/>
      <c r="GT137" s="43"/>
      <c r="GU137" s="43"/>
    </row>
    <row r="138" spans="6:203" ht="15.75" customHeight="1" x14ac:dyDescent="0.25"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N138" s="43"/>
      <c r="GP138" s="43"/>
      <c r="GR138" s="43"/>
      <c r="GS138" s="43"/>
      <c r="GT138" s="43"/>
      <c r="GU138" s="43"/>
    </row>
    <row r="139" spans="6:203" ht="15.75" customHeight="1" x14ac:dyDescent="0.25"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N139" s="43"/>
      <c r="GP139" s="43"/>
      <c r="GR139" s="43"/>
      <c r="GS139" s="43"/>
      <c r="GT139" s="43"/>
      <c r="GU139" s="43"/>
    </row>
    <row r="140" spans="6:203" ht="15.75" customHeight="1" x14ac:dyDescent="0.25"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N140" s="43"/>
      <c r="GP140" s="43"/>
      <c r="GR140" s="43"/>
      <c r="GS140" s="43"/>
      <c r="GT140" s="43"/>
      <c r="GU140" s="43"/>
    </row>
    <row r="141" spans="6:203" ht="15.75" customHeight="1" x14ac:dyDescent="0.25"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N141" s="43"/>
      <c r="GO141" s="43"/>
      <c r="GP141" s="43"/>
      <c r="GR141" s="43"/>
      <c r="GS141" s="43"/>
      <c r="GT141" s="43"/>
      <c r="GU141" s="43"/>
    </row>
    <row r="142" spans="6:203" ht="15.75" customHeight="1" x14ac:dyDescent="0.25"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N142" s="43"/>
      <c r="GO142" s="43"/>
      <c r="GP142" s="43"/>
      <c r="GR142" s="43"/>
      <c r="GS142" s="43"/>
      <c r="GT142" s="43"/>
      <c r="GU142" s="43"/>
    </row>
    <row r="143" spans="6:203" ht="15.75" customHeight="1" x14ac:dyDescent="0.25"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N143" s="43"/>
      <c r="GP143" s="43"/>
      <c r="GR143" s="43"/>
      <c r="GS143" s="43"/>
      <c r="GT143" s="43"/>
      <c r="GU143" s="43"/>
    </row>
    <row r="144" spans="6:203" ht="15.75" customHeight="1" x14ac:dyDescent="0.25"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N144" s="43"/>
      <c r="GP144" s="43"/>
      <c r="GR144" s="43"/>
      <c r="GS144" s="43"/>
      <c r="GT144" s="43"/>
      <c r="GU144" s="43"/>
    </row>
    <row r="145" spans="6:203" ht="15.75" customHeight="1" x14ac:dyDescent="0.25"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43"/>
      <c r="CY145" s="43"/>
      <c r="CZ145" s="43"/>
      <c r="DA145" s="43"/>
      <c r="DB145" s="43"/>
      <c r="DC145" s="43"/>
      <c r="DD145" s="43"/>
      <c r="DE145" s="43"/>
      <c r="DF145" s="43"/>
      <c r="DG145" s="43"/>
      <c r="DH145" s="43"/>
      <c r="DI145" s="43"/>
      <c r="DJ145" s="43"/>
      <c r="DK145" s="43"/>
      <c r="DL145" s="43"/>
      <c r="DM145" s="43"/>
      <c r="DN145" s="43"/>
      <c r="DO145" s="43"/>
      <c r="DP145" s="43"/>
      <c r="DQ145" s="4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3"/>
      <c r="EM145" s="43"/>
      <c r="EN145" s="43"/>
      <c r="EO145" s="43"/>
      <c r="EP145" s="43"/>
      <c r="EQ145" s="43"/>
      <c r="ER145" s="43"/>
      <c r="ES145" s="43"/>
      <c r="ET145" s="43"/>
      <c r="EU145" s="43"/>
      <c r="EV145" s="43"/>
      <c r="EW145" s="43"/>
      <c r="EX145" s="43"/>
      <c r="EY145" s="43"/>
      <c r="EZ145" s="43"/>
      <c r="FA145" s="43"/>
      <c r="FB145" s="43"/>
      <c r="FC145" s="43"/>
      <c r="FD145" s="43"/>
      <c r="FE145" s="43"/>
      <c r="FF145" s="43"/>
      <c r="FG145" s="43"/>
      <c r="FH145" s="43"/>
      <c r="FI145" s="43"/>
      <c r="FJ145" s="43"/>
      <c r="FK145" s="43"/>
      <c r="FL145" s="43"/>
      <c r="FM145" s="43"/>
      <c r="FN145" s="43"/>
      <c r="FO145" s="43"/>
      <c r="FP145" s="43"/>
      <c r="FQ145" s="43"/>
      <c r="FR145" s="43"/>
      <c r="FS145" s="43"/>
      <c r="FT145" s="43"/>
      <c r="FU145" s="43"/>
      <c r="FV145" s="43"/>
      <c r="FW145" s="43"/>
      <c r="FX145" s="43"/>
      <c r="FY145" s="43"/>
      <c r="FZ145" s="43"/>
      <c r="GA145" s="43"/>
      <c r="GB145" s="43"/>
      <c r="GC145" s="43"/>
      <c r="GD145" s="43"/>
      <c r="GE145" s="43"/>
      <c r="GF145" s="43"/>
      <c r="GG145" s="43"/>
      <c r="GH145" s="43"/>
      <c r="GI145" s="43"/>
      <c r="GJ145" s="43"/>
      <c r="GK145" s="43"/>
      <c r="GL145" s="43"/>
      <c r="GN145" s="43"/>
      <c r="GP145" s="43"/>
      <c r="GR145" s="43"/>
      <c r="GS145" s="43"/>
      <c r="GT145" s="43"/>
      <c r="GU145" s="43"/>
    </row>
    <row r="146" spans="6:203" ht="15.75" customHeight="1" x14ac:dyDescent="0.25"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/>
      <c r="FG146" s="43"/>
      <c r="FH146" s="43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N146" s="43"/>
      <c r="GP146" s="43"/>
      <c r="GR146" s="43"/>
      <c r="GS146" s="43"/>
      <c r="GT146" s="43"/>
      <c r="GU146" s="43"/>
    </row>
    <row r="147" spans="6:203" ht="15.75" customHeight="1" x14ac:dyDescent="0.25"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43"/>
      <c r="CY147" s="43"/>
      <c r="CZ147" s="43"/>
      <c r="DA147" s="43"/>
      <c r="DB147" s="43"/>
      <c r="DC147" s="43"/>
      <c r="DD147" s="43"/>
      <c r="DE147" s="43"/>
      <c r="DF147" s="43"/>
      <c r="DG147" s="43"/>
      <c r="DH147" s="43"/>
      <c r="DI147" s="43"/>
      <c r="DJ147" s="43"/>
      <c r="DK147" s="43"/>
      <c r="DL147" s="43"/>
      <c r="DM147" s="43"/>
      <c r="DN147" s="43"/>
      <c r="DO147" s="43"/>
      <c r="DP147" s="43"/>
      <c r="DQ147" s="43"/>
      <c r="DR147" s="43"/>
      <c r="DS147" s="43"/>
      <c r="DT147" s="43"/>
      <c r="DU147" s="43"/>
      <c r="DV147" s="43"/>
      <c r="DW147" s="43"/>
      <c r="DX147" s="43"/>
      <c r="DY147" s="43"/>
      <c r="DZ147" s="43"/>
      <c r="EA147" s="43"/>
      <c r="EB147" s="43"/>
      <c r="EC147" s="43"/>
      <c r="ED147" s="43"/>
      <c r="EE147" s="43"/>
      <c r="EF147" s="43"/>
      <c r="EG147" s="43"/>
      <c r="EH147" s="43"/>
      <c r="EI147" s="43"/>
      <c r="EJ147" s="43"/>
      <c r="EK147" s="43"/>
      <c r="EL147" s="43"/>
      <c r="EM147" s="43"/>
      <c r="EN147" s="43"/>
      <c r="EO147" s="43"/>
      <c r="EP147" s="43"/>
      <c r="EQ147" s="43"/>
      <c r="ER147" s="43"/>
      <c r="ES147" s="43"/>
      <c r="ET147" s="43"/>
      <c r="EU147" s="43"/>
      <c r="EV147" s="43"/>
      <c r="EW147" s="43"/>
      <c r="EX147" s="43"/>
      <c r="EY147" s="43"/>
      <c r="EZ147" s="43"/>
      <c r="FA147" s="43"/>
      <c r="FB147" s="43"/>
      <c r="FC147" s="43"/>
      <c r="FD147" s="43"/>
      <c r="FE147" s="43"/>
      <c r="FF147" s="43"/>
      <c r="FG147" s="43"/>
      <c r="FH147" s="43"/>
      <c r="FI147" s="43"/>
      <c r="FJ147" s="43"/>
      <c r="FK147" s="43"/>
      <c r="FL147" s="43"/>
      <c r="FM147" s="43"/>
      <c r="FN147" s="43"/>
      <c r="FO147" s="43"/>
      <c r="FP147" s="43"/>
      <c r="FQ147" s="43"/>
      <c r="FR147" s="43"/>
      <c r="FS147" s="43"/>
      <c r="FT147" s="43"/>
      <c r="FU147" s="43"/>
      <c r="FV147" s="43"/>
      <c r="FW147" s="43"/>
      <c r="FX147" s="43"/>
      <c r="FY147" s="43"/>
      <c r="FZ147" s="43"/>
      <c r="GA147" s="43"/>
      <c r="GB147" s="43"/>
      <c r="GC147" s="43"/>
      <c r="GD147" s="43"/>
      <c r="GE147" s="43"/>
      <c r="GF147" s="43"/>
      <c r="GG147" s="43"/>
      <c r="GH147" s="43"/>
      <c r="GI147" s="43"/>
      <c r="GJ147" s="43"/>
      <c r="GK147" s="43"/>
      <c r="GL147" s="43"/>
      <c r="GN147" s="43"/>
      <c r="GO147" s="43"/>
      <c r="GP147" s="43"/>
      <c r="GR147" s="43"/>
      <c r="GS147" s="43"/>
      <c r="GT147" s="43"/>
      <c r="GU147" s="43"/>
    </row>
    <row r="148" spans="6:203" ht="15.75" customHeight="1" x14ac:dyDescent="0.25"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43"/>
      <c r="CY148" s="43"/>
      <c r="CZ148" s="43"/>
      <c r="DA148" s="43"/>
      <c r="DB148" s="43"/>
      <c r="DC148" s="43"/>
      <c r="DD148" s="43"/>
      <c r="DE148" s="43"/>
      <c r="DF148" s="43"/>
      <c r="DG148" s="43"/>
      <c r="DH148" s="43"/>
      <c r="DI148" s="43"/>
      <c r="DJ148" s="43"/>
      <c r="DK148" s="43"/>
      <c r="DL148" s="43"/>
      <c r="DM148" s="43"/>
      <c r="DN148" s="43"/>
      <c r="DO148" s="43"/>
      <c r="DP148" s="43"/>
      <c r="DQ148" s="4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3"/>
      <c r="EM148" s="43"/>
      <c r="EN148" s="43"/>
      <c r="EO148" s="43"/>
      <c r="EP148" s="43"/>
      <c r="EQ148" s="43"/>
      <c r="ER148" s="43"/>
      <c r="ES148" s="43"/>
      <c r="ET148" s="43"/>
      <c r="EU148" s="43"/>
      <c r="EV148" s="43"/>
      <c r="EW148" s="43"/>
      <c r="EX148" s="43"/>
      <c r="EY148" s="43"/>
      <c r="EZ148" s="43"/>
      <c r="FA148" s="43"/>
      <c r="FB148" s="43"/>
      <c r="FC148" s="43"/>
      <c r="FD148" s="43"/>
      <c r="FE148" s="43"/>
      <c r="FF148" s="43"/>
      <c r="FG148" s="43"/>
      <c r="FH148" s="43"/>
      <c r="FI148" s="43"/>
      <c r="FJ148" s="43"/>
      <c r="FK148" s="43"/>
      <c r="FL148" s="43"/>
      <c r="FM148" s="43"/>
      <c r="FN148" s="43"/>
      <c r="FO148" s="43"/>
      <c r="FP148" s="43"/>
      <c r="FQ148" s="43"/>
      <c r="FR148" s="43"/>
      <c r="FS148" s="43"/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3"/>
      <c r="GE148" s="43"/>
      <c r="GF148" s="43"/>
      <c r="GG148" s="43"/>
      <c r="GH148" s="43"/>
      <c r="GI148" s="43"/>
      <c r="GJ148" s="43"/>
      <c r="GK148" s="43"/>
      <c r="GL148" s="43"/>
      <c r="GN148" s="43"/>
      <c r="GO148" s="43"/>
      <c r="GP148" s="43"/>
      <c r="GR148" s="43"/>
      <c r="GS148" s="43"/>
      <c r="GT148" s="43"/>
      <c r="GU148" s="43"/>
    </row>
    <row r="149" spans="6:203" ht="15.75" customHeight="1" x14ac:dyDescent="0.25"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43"/>
      <c r="CY149" s="43"/>
      <c r="CZ149" s="43"/>
      <c r="DA149" s="43"/>
      <c r="DB149" s="43"/>
      <c r="DC149" s="43"/>
      <c r="DD149" s="43"/>
      <c r="DE149" s="43"/>
      <c r="DF149" s="43"/>
      <c r="DG149" s="43"/>
      <c r="DH149" s="43"/>
      <c r="DI149" s="43"/>
      <c r="DJ149" s="43"/>
      <c r="DK149" s="43"/>
      <c r="DL149" s="43"/>
      <c r="DM149" s="43"/>
      <c r="DN149" s="43"/>
      <c r="DO149" s="43"/>
      <c r="DP149" s="43"/>
      <c r="DQ149" s="4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3"/>
      <c r="EM149" s="43"/>
      <c r="EN149" s="43"/>
      <c r="EO149" s="43"/>
      <c r="EP149" s="43"/>
      <c r="EQ149" s="43"/>
      <c r="ER149" s="43"/>
      <c r="ES149" s="43"/>
      <c r="ET149" s="43"/>
      <c r="EU149" s="43"/>
      <c r="EV149" s="43"/>
      <c r="EW149" s="43"/>
      <c r="EX149" s="43"/>
      <c r="EY149" s="43"/>
      <c r="EZ149" s="43"/>
      <c r="FA149" s="43"/>
      <c r="FB149" s="43"/>
      <c r="FC149" s="43"/>
      <c r="FD149" s="43"/>
      <c r="FE149" s="43"/>
      <c r="FF149" s="43"/>
      <c r="FG149" s="43"/>
      <c r="FH149" s="43"/>
      <c r="FI149" s="43"/>
      <c r="FJ149" s="43"/>
      <c r="FK149" s="43"/>
      <c r="FL149" s="43"/>
      <c r="FM149" s="43"/>
      <c r="FN149" s="43"/>
      <c r="FO149" s="43"/>
      <c r="FP149" s="43"/>
      <c r="FQ149" s="43"/>
      <c r="FR149" s="43"/>
      <c r="FS149" s="43"/>
      <c r="FT149" s="43"/>
      <c r="FU149" s="43"/>
      <c r="FV149" s="43"/>
      <c r="FW149" s="43"/>
      <c r="FX149" s="43"/>
      <c r="FY149" s="43"/>
      <c r="FZ149" s="43"/>
      <c r="GA149" s="43"/>
      <c r="GB149" s="43"/>
      <c r="GC149" s="43"/>
      <c r="GD149" s="43"/>
      <c r="GE149" s="43"/>
      <c r="GF149" s="43"/>
      <c r="GG149" s="43"/>
      <c r="GH149" s="43"/>
      <c r="GI149" s="43"/>
      <c r="GJ149" s="43"/>
      <c r="GK149" s="43"/>
      <c r="GL149" s="43"/>
      <c r="GN149" s="43"/>
      <c r="GO149" s="43"/>
      <c r="GP149" s="43"/>
      <c r="GR149" s="43"/>
      <c r="GS149" s="43"/>
      <c r="GT149" s="43"/>
      <c r="GU149" s="43"/>
    </row>
    <row r="150" spans="6:203" ht="15.75" customHeight="1" x14ac:dyDescent="0.25"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43"/>
      <c r="CY150" s="43"/>
      <c r="CZ150" s="43"/>
      <c r="DA150" s="43"/>
      <c r="DB150" s="43"/>
      <c r="DC150" s="43"/>
      <c r="DD150" s="43"/>
      <c r="DE150" s="43"/>
      <c r="DF150" s="43"/>
      <c r="DG150" s="43"/>
      <c r="DH150" s="43"/>
      <c r="DI150" s="43"/>
      <c r="DJ150" s="43"/>
      <c r="DK150" s="43"/>
      <c r="DL150" s="43"/>
      <c r="DM150" s="43"/>
      <c r="DN150" s="43"/>
      <c r="DO150" s="43"/>
      <c r="DP150" s="43"/>
      <c r="DQ150" s="4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3"/>
      <c r="EM150" s="43"/>
      <c r="EN150" s="43"/>
      <c r="EO150" s="43"/>
      <c r="EP150" s="43"/>
      <c r="EQ150" s="43"/>
      <c r="ER150" s="43"/>
      <c r="ES150" s="43"/>
      <c r="ET150" s="43"/>
      <c r="EU150" s="43"/>
      <c r="EV150" s="43"/>
      <c r="EW150" s="43"/>
      <c r="EX150" s="43"/>
      <c r="EY150" s="43"/>
      <c r="EZ150" s="43"/>
      <c r="FA150" s="43"/>
      <c r="FB150" s="43"/>
      <c r="FC150" s="43"/>
      <c r="FD150" s="43"/>
      <c r="FE150" s="43"/>
      <c r="FF150" s="43"/>
      <c r="FG150" s="43"/>
      <c r="FH150" s="43"/>
      <c r="FI150" s="43"/>
      <c r="FJ150" s="43"/>
      <c r="FK150" s="43"/>
      <c r="FL150" s="43"/>
      <c r="FM150" s="43"/>
      <c r="FN150" s="43"/>
      <c r="FO150" s="43"/>
      <c r="FP150" s="43"/>
      <c r="FQ150" s="43"/>
      <c r="FR150" s="43"/>
      <c r="FS150" s="43"/>
      <c r="FT150" s="43"/>
      <c r="FU150" s="43"/>
      <c r="FV150" s="43"/>
      <c r="FW150" s="43"/>
      <c r="FX150" s="43"/>
      <c r="FY150" s="43"/>
      <c r="FZ150" s="43"/>
      <c r="GA150" s="43"/>
      <c r="GB150" s="43"/>
      <c r="GC150" s="43"/>
      <c r="GD150" s="43"/>
      <c r="GE150" s="43"/>
      <c r="GF150" s="43"/>
      <c r="GG150" s="43"/>
      <c r="GH150" s="43"/>
      <c r="GI150" s="43"/>
      <c r="GJ150" s="43"/>
      <c r="GK150" s="43"/>
      <c r="GL150" s="43"/>
      <c r="GN150" s="43"/>
      <c r="GO150" s="43"/>
      <c r="GP150" s="43"/>
      <c r="GR150" s="43"/>
      <c r="GS150" s="43"/>
      <c r="GT150" s="43"/>
      <c r="GU150" s="43"/>
    </row>
    <row r="151" spans="6:203" ht="15.75" customHeight="1" x14ac:dyDescent="0.25">
      <c r="F151" s="43"/>
      <c r="G151" s="43"/>
      <c r="H151" s="43"/>
      <c r="I151" s="43"/>
      <c r="EX151" s="43"/>
      <c r="GI151" s="43"/>
      <c r="GJ151" s="43"/>
      <c r="GL151" s="43"/>
      <c r="GM151" s="43"/>
      <c r="GN151" s="43"/>
      <c r="GO151" s="43"/>
      <c r="GR151" s="43"/>
      <c r="GS151" s="43"/>
      <c r="GT151" s="43"/>
      <c r="GU151" s="43"/>
    </row>
    <row r="152" spans="6:203" ht="15.75" customHeight="1" x14ac:dyDescent="0.25">
      <c r="F152" s="43"/>
      <c r="G152" s="43"/>
      <c r="H152" s="43"/>
      <c r="I152" s="43"/>
      <c r="J152" s="43"/>
      <c r="K152" s="43"/>
      <c r="L152" s="43"/>
      <c r="M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Q152" s="43"/>
      <c r="BR152" s="43"/>
      <c r="BS152" s="43"/>
      <c r="BT152" s="43"/>
      <c r="BU152" s="43"/>
      <c r="BV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L152" s="43"/>
      <c r="CM152" s="43"/>
      <c r="CN152" s="43"/>
      <c r="CO152" s="43"/>
      <c r="CP152" s="43"/>
      <c r="CQ152" s="43"/>
      <c r="CR152" s="43"/>
      <c r="CS152" s="43"/>
      <c r="CT152" s="43"/>
      <c r="CW152" s="43"/>
      <c r="CX152" s="43"/>
      <c r="CY152" s="43"/>
      <c r="CZ152" s="43"/>
      <c r="DA152" s="43"/>
      <c r="DB152" s="43"/>
      <c r="DC152" s="43"/>
      <c r="DD152" s="43"/>
      <c r="DE152" s="43"/>
      <c r="DH152" s="43"/>
      <c r="DI152" s="43"/>
      <c r="DJ152" s="43"/>
      <c r="DK152" s="43"/>
      <c r="DL152" s="43"/>
      <c r="DM152" s="43"/>
      <c r="DN152" s="43"/>
      <c r="DO152" s="43"/>
      <c r="DP152" s="43"/>
      <c r="DS152" s="43"/>
      <c r="DT152" s="43"/>
      <c r="DU152" s="43"/>
      <c r="DV152" s="43"/>
      <c r="DW152" s="43"/>
      <c r="DX152" s="43"/>
      <c r="DY152" s="43"/>
      <c r="DZ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3"/>
      <c r="EM152" s="43"/>
      <c r="EN152" s="43"/>
      <c r="EQ152" s="43"/>
      <c r="ER152" s="43"/>
      <c r="ES152" s="43"/>
      <c r="ET152" s="43"/>
      <c r="EU152" s="43"/>
      <c r="EV152" s="43"/>
      <c r="EW152" s="43"/>
      <c r="EX152" s="43"/>
      <c r="EY152" s="43"/>
      <c r="EZ152" s="43"/>
      <c r="FB152" s="43"/>
      <c r="FC152" s="43"/>
      <c r="FD152" s="43"/>
      <c r="FE152" s="43"/>
      <c r="FF152" s="43"/>
      <c r="FI152" s="43"/>
      <c r="FJ152" s="43"/>
      <c r="FK152" s="43"/>
      <c r="FL152" s="43"/>
      <c r="FM152" s="43"/>
      <c r="FN152" s="43"/>
      <c r="FO152" s="43"/>
      <c r="FP152" s="43"/>
      <c r="FQ152" s="43"/>
      <c r="FT152" s="43"/>
      <c r="FU152" s="43"/>
      <c r="FV152" s="43"/>
      <c r="FW152" s="43"/>
      <c r="FX152" s="43"/>
      <c r="FY152" s="43"/>
      <c r="FZ152" s="43"/>
      <c r="GA152" s="43"/>
      <c r="GB152" s="43"/>
      <c r="GE152" s="43"/>
      <c r="GF152" s="43"/>
      <c r="GG152" s="43"/>
      <c r="GH152" s="43"/>
      <c r="GI152" s="43"/>
      <c r="GJ152" s="43"/>
      <c r="GK152" s="43"/>
      <c r="GL152" s="43"/>
      <c r="GM152" s="43"/>
      <c r="GN152" s="43"/>
      <c r="GO152" s="43"/>
      <c r="GP152" s="43"/>
      <c r="GR152" s="43"/>
      <c r="GS152" s="43"/>
      <c r="GT152" s="43"/>
      <c r="GU152" s="43"/>
    </row>
    <row r="153" spans="6:203" ht="15.75" customHeight="1" x14ac:dyDescent="0.25">
      <c r="F153" s="43"/>
      <c r="G153" s="43"/>
      <c r="H153" s="43"/>
      <c r="I153" s="43"/>
      <c r="P153" s="43"/>
      <c r="Q153" s="43"/>
      <c r="AE153" s="43"/>
      <c r="AF153" s="43"/>
      <c r="AQ153" s="43"/>
      <c r="AR153" s="43"/>
      <c r="BD153" s="43"/>
      <c r="BE153" s="43"/>
      <c r="BH153" s="43"/>
      <c r="BQ153" s="43"/>
      <c r="BY153" s="43"/>
      <c r="BZ153" s="43"/>
      <c r="CC153" s="43"/>
      <c r="CL153" s="43"/>
      <c r="CM153" s="43"/>
      <c r="CW153" s="43"/>
      <c r="CX153" s="43"/>
      <c r="DA153" s="43"/>
      <c r="DH153" s="43"/>
      <c r="DI153" s="43"/>
      <c r="DS153" s="43"/>
      <c r="DT153" s="43"/>
      <c r="EC153" s="43"/>
      <c r="ED153" s="43"/>
      <c r="EG153" s="43"/>
      <c r="EQ153" s="43"/>
      <c r="ER153" s="43"/>
      <c r="EU153" s="43"/>
      <c r="EX153" s="43"/>
      <c r="FI153" s="43"/>
      <c r="FJ153" s="43"/>
      <c r="FT153" s="43"/>
      <c r="FU153" s="43"/>
      <c r="GE153" s="43"/>
      <c r="GF153" s="43"/>
      <c r="GI153" s="43"/>
      <c r="GJ153" s="43"/>
      <c r="GL153" s="43"/>
      <c r="GM153" s="43"/>
      <c r="GN153" s="43"/>
      <c r="GO153" s="43"/>
      <c r="GP153" s="43"/>
      <c r="GR153" s="43"/>
      <c r="GS153" s="43"/>
      <c r="GT153" s="43"/>
      <c r="GU153" s="43"/>
    </row>
    <row r="154" spans="6:203" ht="15.75" customHeight="1" x14ac:dyDescent="0.25"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3"/>
      <c r="EM154" s="43"/>
      <c r="EN154" s="43"/>
      <c r="EO154" s="43"/>
      <c r="EP154" s="43"/>
      <c r="EQ154" s="43"/>
      <c r="ER154" s="43"/>
      <c r="ES154" s="43"/>
      <c r="ET154" s="43"/>
      <c r="EU154" s="43"/>
      <c r="EV154" s="43"/>
      <c r="EW154" s="43"/>
      <c r="EX154" s="43"/>
      <c r="EY154" s="43"/>
      <c r="EZ154" s="43"/>
      <c r="FA154" s="43"/>
      <c r="FB154" s="43"/>
      <c r="FC154" s="43"/>
      <c r="FD154" s="43"/>
      <c r="FE154" s="43"/>
      <c r="FF154" s="43"/>
      <c r="FG154" s="43"/>
      <c r="FH154" s="43"/>
      <c r="FI154" s="43"/>
      <c r="FJ154" s="43"/>
      <c r="FK154" s="43"/>
      <c r="FL154" s="43"/>
      <c r="FM154" s="43"/>
      <c r="FN154" s="43"/>
      <c r="FO154" s="43"/>
      <c r="FP154" s="43"/>
      <c r="FQ154" s="43"/>
      <c r="FR154" s="43"/>
      <c r="FS154" s="43"/>
      <c r="FT154" s="43"/>
      <c r="FU154" s="43"/>
      <c r="FV154" s="43"/>
      <c r="FW154" s="43"/>
      <c r="FX154" s="43"/>
      <c r="FY154" s="43"/>
      <c r="FZ154" s="43"/>
      <c r="GA154" s="43"/>
      <c r="GB154" s="43"/>
      <c r="GC154" s="43"/>
      <c r="GD154" s="43"/>
      <c r="GE154" s="43"/>
      <c r="GF154" s="43"/>
      <c r="GG154" s="43"/>
      <c r="GH154" s="43"/>
      <c r="GI154" s="43"/>
      <c r="GJ154" s="43"/>
      <c r="GK154" s="43"/>
      <c r="GL154" s="43"/>
      <c r="GN154" s="43"/>
      <c r="GO154" s="43"/>
      <c r="GP154" s="43"/>
      <c r="GR154" s="43"/>
      <c r="GS154" s="43"/>
      <c r="GT154" s="43"/>
      <c r="GU154" s="43"/>
    </row>
    <row r="155" spans="6:203" ht="15.75" customHeight="1" x14ac:dyDescent="0.25"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N155" s="43"/>
      <c r="GO155" s="43"/>
      <c r="GP155" s="43"/>
      <c r="GR155" s="43"/>
      <c r="GS155" s="43"/>
      <c r="GT155" s="43"/>
      <c r="GU155" s="43"/>
    </row>
    <row r="156" spans="6:203" ht="15.75" customHeight="1" x14ac:dyDescent="0.25"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N156" s="43"/>
      <c r="GO156" s="43"/>
      <c r="GP156" s="43"/>
      <c r="GR156" s="43"/>
      <c r="GS156" s="43"/>
      <c r="GT156" s="43"/>
      <c r="GU156" s="43"/>
    </row>
    <row r="157" spans="6:203" ht="15.75" customHeight="1" x14ac:dyDescent="0.25"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43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N157" s="43"/>
      <c r="GO157" s="43"/>
      <c r="GP157" s="43"/>
      <c r="GR157" s="43"/>
      <c r="GS157" s="43"/>
      <c r="GT157" s="43"/>
      <c r="GU157" s="43"/>
    </row>
    <row r="158" spans="6:203" ht="15.75" customHeight="1" x14ac:dyDescent="0.25"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43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N158" s="43"/>
      <c r="GO158" s="43"/>
      <c r="GP158" s="43"/>
      <c r="GR158" s="43"/>
      <c r="GS158" s="43"/>
      <c r="GT158" s="43"/>
      <c r="GU158" s="43"/>
    </row>
    <row r="159" spans="6:203" ht="15.75" customHeight="1" x14ac:dyDescent="0.25"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43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N159" s="43"/>
      <c r="GO159" s="43"/>
      <c r="GP159" s="43"/>
      <c r="GR159" s="43"/>
      <c r="GS159" s="43"/>
      <c r="GT159" s="43"/>
      <c r="GU159" s="43"/>
    </row>
    <row r="160" spans="6:203" ht="15.75" customHeight="1" x14ac:dyDescent="0.25"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43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N160" s="43"/>
      <c r="GO160" s="43"/>
      <c r="GP160" s="43"/>
      <c r="GR160" s="43"/>
      <c r="GS160" s="43"/>
      <c r="GT160" s="43"/>
      <c r="GU160" s="43"/>
    </row>
    <row r="161" spans="6:203" ht="15.75" customHeight="1" x14ac:dyDescent="0.25">
      <c r="F161" s="43"/>
      <c r="H161" s="43"/>
      <c r="I161" s="43"/>
      <c r="J161" s="43"/>
      <c r="K161" s="43"/>
      <c r="T161" s="43"/>
      <c r="W161" s="43"/>
      <c r="Y161" s="43"/>
      <c r="Z161" s="43"/>
      <c r="AI161" s="43"/>
      <c r="AK161" s="43"/>
      <c r="AL161" s="43"/>
      <c r="AU161" s="43"/>
      <c r="AW161" s="43"/>
      <c r="AX161" s="43"/>
      <c r="AY161" s="43"/>
      <c r="BH161" s="43"/>
      <c r="BI161" s="43"/>
      <c r="BM161" s="43"/>
      <c r="BN161" s="43"/>
      <c r="BS161" s="43"/>
      <c r="BT161" s="43"/>
      <c r="CC161" s="43"/>
      <c r="CF161" s="43"/>
      <c r="CG161" s="43"/>
      <c r="CP161" s="43"/>
      <c r="CQ161" s="43"/>
      <c r="CR161" s="43"/>
      <c r="DA161" s="43"/>
      <c r="DB161" s="43"/>
      <c r="DC161" s="43"/>
      <c r="DM161" s="43"/>
      <c r="DN161" s="43"/>
      <c r="DW161" s="43"/>
      <c r="DX161" s="43"/>
      <c r="EG161" s="43"/>
      <c r="EI161" s="43"/>
      <c r="EK161" s="43"/>
      <c r="EL161" s="43"/>
      <c r="EU161" s="43"/>
      <c r="EX161" s="43"/>
      <c r="EY161" s="43"/>
      <c r="FC161" s="43"/>
      <c r="FD161" s="43"/>
      <c r="FN161" s="43"/>
      <c r="FO161" s="43"/>
      <c r="FY161" s="43"/>
      <c r="FZ161" s="43"/>
      <c r="GI161" s="43"/>
      <c r="GJ161" s="43"/>
      <c r="GK161" s="43"/>
      <c r="GL161" s="43"/>
      <c r="GM161" s="43"/>
      <c r="GN161" s="43"/>
      <c r="GO161" s="43"/>
      <c r="GP161" s="43"/>
      <c r="GR161" s="43"/>
      <c r="GS161" s="43"/>
      <c r="GT161" s="43"/>
      <c r="GU161" s="43"/>
    </row>
    <row r="162" spans="6:203" ht="15.75" customHeight="1" x14ac:dyDescent="0.25">
      <c r="F162" s="43"/>
      <c r="G162" s="43"/>
      <c r="H162" s="43"/>
      <c r="I162" s="43"/>
      <c r="EX162" s="43"/>
      <c r="GI162" s="43"/>
      <c r="GJ162" s="43"/>
      <c r="GL162" s="43"/>
      <c r="GM162" s="43"/>
      <c r="GN162" s="43"/>
      <c r="GO162" s="43"/>
      <c r="GR162" s="43"/>
      <c r="GS162" s="43"/>
      <c r="GT162" s="43"/>
      <c r="GU162" s="43"/>
    </row>
    <row r="163" spans="6:203" ht="15.75" customHeight="1" x14ac:dyDescent="0.25"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N163" s="43"/>
      <c r="GO163" s="43"/>
      <c r="GP163" s="43"/>
      <c r="GR163" s="43"/>
      <c r="GS163" s="43"/>
      <c r="GT163" s="43"/>
      <c r="GU163" s="43"/>
    </row>
    <row r="164" spans="6:203" ht="15.75" customHeight="1" x14ac:dyDescent="0.25"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N164" s="43"/>
      <c r="GO164" s="43"/>
      <c r="GP164" s="43"/>
      <c r="GR164" s="43"/>
      <c r="GS164" s="43"/>
      <c r="GT164" s="43"/>
      <c r="GU164" s="43"/>
    </row>
    <row r="165" spans="6:203" ht="15.75" customHeight="1" x14ac:dyDescent="0.25"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43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N165" s="43"/>
      <c r="GO165" s="43"/>
      <c r="GP165" s="43"/>
      <c r="GR165" s="43"/>
      <c r="GS165" s="43"/>
      <c r="GT165" s="43"/>
      <c r="GU165" s="43"/>
    </row>
    <row r="166" spans="6:203" ht="15.75" customHeight="1" x14ac:dyDescent="0.25">
      <c r="F166" s="43"/>
      <c r="G166" s="43"/>
      <c r="H166" s="43"/>
      <c r="I166" s="43"/>
      <c r="P166" s="43"/>
      <c r="Q166" s="43"/>
      <c r="AE166" s="43"/>
      <c r="AF166" s="43"/>
      <c r="AQ166" s="43"/>
      <c r="AR166" s="43"/>
      <c r="BD166" s="43"/>
      <c r="BE166" s="43"/>
      <c r="BH166" s="43"/>
      <c r="BQ166" s="43"/>
      <c r="BY166" s="43"/>
      <c r="BZ166" s="43"/>
      <c r="CC166" s="43"/>
      <c r="CL166" s="43"/>
      <c r="CM166" s="43"/>
      <c r="CW166" s="43"/>
      <c r="CX166" s="43"/>
      <c r="DA166" s="43"/>
      <c r="DH166" s="43"/>
      <c r="DI166" s="43"/>
      <c r="DS166" s="43"/>
      <c r="DT166" s="43"/>
      <c r="EC166" s="43"/>
      <c r="ED166" s="43"/>
      <c r="EG166" s="43"/>
      <c r="EQ166" s="43"/>
      <c r="ER166" s="43"/>
      <c r="EU166" s="43"/>
      <c r="EX166" s="43"/>
      <c r="FI166" s="43"/>
      <c r="FJ166" s="43"/>
      <c r="FT166" s="43"/>
      <c r="FU166" s="43"/>
      <c r="GE166" s="43"/>
      <c r="GF166" s="43"/>
      <c r="GI166" s="43"/>
      <c r="GJ166" s="43"/>
      <c r="GL166" s="43"/>
      <c r="GN166" s="43"/>
      <c r="GO166" s="43"/>
      <c r="GP166" s="43"/>
      <c r="GR166" s="43"/>
      <c r="GS166" s="43"/>
      <c r="GT166" s="43"/>
      <c r="GU166" s="43"/>
    </row>
    <row r="167" spans="6:203" ht="15.75" customHeight="1" x14ac:dyDescent="0.25">
      <c r="F167" s="43"/>
      <c r="G167" s="43"/>
      <c r="H167" s="43"/>
      <c r="I167" s="43"/>
      <c r="P167" s="43"/>
      <c r="Q167" s="43"/>
      <c r="AE167" s="43"/>
      <c r="AF167" s="43"/>
      <c r="AQ167" s="43"/>
      <c r="AR167" s="43"/>
      <c r="BD167" s="43"/>
      <c r="BE167" s="43"/>
      <c r="BH167" s="43"/>
      <c r="BQ167" s="43"/>
      <c r="BY167" s="43"/>
      <c r="BZ167" s="43"/>
      <c r="CC167" s="43"/>
      <c r="CL167" s="43"/>
      <c r="CM167" s="43"/>
      <c r="CW167" s="43"/>
      <c r="CX167" s="43"/>
      <c r="DA167" s="43"/>
      <c r="DH167" s="43"/>
      <c r="DI167" s="43"/>
      <c r="DS167" s="43"/>
      <c r="DT167" s="43"/>
      <c r="EC167" s="43"/>
      <c r="ED167" s="43"/>
      <c r="EG167" s="43"/>
      <c r="EQ167" s="43"/>
      <c r="ER167" s="43"/>
      <c r="EU167" s="43"/>
      <c r="EX167" s="43"/>
      <c r="FI167" s="43"/>
      <c r="FJ167" s="43"/>
      <c r="FT167" s="43"/>
      <c r="FU167" s="43"/>
      <c r="GE167" s="43"/>
      <c r="GF167" s="43"/>
      <c r="GI167" s="43"/>
      <c r="GJ167" s="43"/>
      <c r="GL167" s="43"/>
      <c r="GN167" s="43"/>
      <c r="GO167" s="43"/>
      <c r="GP167" s="43"/>
      <c r="GR167" s="43"/>
      <c r="GS167" s="43"/>
      <c r="GT167" s="43"/>
      <c r="GU167" s="43"/>
    </row>
    <row r="168" spans="6:203" ht="15.75" customHeight="1" x14ac:dyDescent="0.25">
      <c r="F168" s="43"/>
      <c r="G168" s="43"/>
      <c r="H168" s="43"/>
      <c r="I168" s="43"/>
      <c r="P168" s="43"/>
      <c r="Q168" s="43"/>
      <c r="R168" s="43"/>
      <c r="S168" s="43"/>
      <c r="V168" s="43"/>
      <c r="X168" s="43"/>
      <c r="AE168" s="43"/>
      <c r="AF168" s="43"/>
      <c r="AG168" s="43"/>
      <c r="AH168" s="43"/>
      <c r="AJ168" s="43"/>
      <c r="AQ168" s="43"/>
      <c r="AR168" s="43"/>
      <c r="AS168" s="43"/>
      <c r="AT168" s="43"/>
      <c r="BD168" s="43"/>
      <c r="BE168" s="43"/>
      <c r="BF168" s="43"/>
      <c r="BG168" s="43"/>
      <c r="BH168" s="43"/>
      <c r="BL168" s="43"/>
      <c r="BQ168" s="43"/>
      <c r="BR168" s="43"/>
      <c r="BY168" s="43"/>
      <c r="BZ168" s="43"/>
      <c r="CA168" s="43"/>
      <c r="CB168" s="43"/>
      <c r="CC168" s="43"/>
      <c r="CD168" s="43"/>
      <c r="CE168" s="43"/>
      <c r="CL168" s="43"/>
      <c r="CM168" s="43"/>
      <c r="CN168" s="43"/>
      <c r="CO168" s="43"/>
      <c r="CW168" s="43"/>
      <c r="CX168" s="43"/>
      <c r="CY168" s="43"/>
      <c r="CZ168" s="43"/>
      <c r="DA168" s="43"/>
      <c r="DH168" s="43"/>
      <c r="DI168" s="43"/>
      <c r="DJ168" s="43"/>
      <c r="DK168" s="43"/>
      <c r="DL168" s="43"/>
      <c r="DS168" s="43"/>
      <c r="DT168" s="43"/>
      <c r="DU168" s="43"/>
      <c r="DV168" s="43"/>
      <c r="EC168" s="43"/>
      <c r="ED168" s="43"/>
      <c r="EE168" s="43"/>
      <c r="EF168" s="43"/>
      <c r="EG168" s="43"/>
      <c r="EH168" s="43"/>
      <c r="EJ168" s="43"/>
      <c r="EQ168" s="43"/>
      <c r="ER168" s="43"/>
      <c r="ES168" s="43"/>
      <c r="ET168" s="43"/>
      <c r="EU168" s="43"/>
      <c r="EX168" s="43"/>
      <c r="FB168" s="43"/>
      <c r="FI168" s="43"/>
      <c r="FJ168" s="43"/>
      <c r="FK168" s="43"/>
      <c r="FL168" s="43"/>
      <c r="FM168" s="43"/>
      <c r="FT168" s="43"/>
      <c r="FU168" s="43"/>
      <c r="FV168" s="43"/>
      <c r="FW168" s="43"/>
      <c r="FX168" s="43"/>
      <c r="GE168" s="43"/>
      <c r="GF168" s="43"/>
      <c r="GG168" s="43"/>
      <c r="GH168" s="43"/>
      <c r="GI168" s="43"/>
      <c r="GJ168" s="43"/>
      <c r="GK168" s="43"/>
      <c r="GL168" s="43"/>
      <c r="GN168" s="43"/>
      <c r="GO168" s="43"/>
      <c r="GP168" s="43"/>
      <c r="GR168" s="43"/>
      <c r="GS168" s="43"/>
      <c r="GT168" s="43"/>
      <c r="GU168" s="43"/>
    </row>
    <row r="169" spans="6:203" ht="15.75" customHeight="1" x14ac:dyDescent="0.25"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N169" s="43"/>
      <c r="GO169" s="43"/>
      <c r="GP169" s="43"/>
      <c r="GR169" s="43"/>
      <c r="GS169" s="43"/>
      <c r="GT169" s="43"/>
      <c r="GU169" s="43"/>
    </row>
    <row r="170" spans="6:203" ht="15.75" customHeight="1" x14ac:dyDescent="0.25"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N170" s="43"/>
      <c r="GO170" s="43"/>
      <c r="GP170" s="43"/>
      <c r="GR170" s="43"/>
      <c r="GS170" s="43"/>
      <c r="GT170" s="43"/>
      <c r="GU170" s="43"/>
    </row>
    <row r="171" spans="6:203" ht="15.75" customHeight="1" x14ac:dyDescent="0.25"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  <c r="EU171" s="43"/>
      <c r="EV171" s="43"/>
      <c r="EW171" s="43"/>
      <c r="EX171" s="43"/>
      <c r="EY171" s="43"/>
      <c r="EZ171" s="43"/>
      <c r="FA171" s="43"/>
      <c r="FB171" s="43"/>
      <c r="FC171" s="43"/>
      <c r="FD171" s="43"/>
      <c r="FE171" s="43"/>
      <c r="FF171" s="43"/>
      <c r="FG171" s="43"/>
      <c r="FH171" s="43"/>
      <c r="FI171" s="43"/>
      <c r="FJ171" s="43"/>
      <c r="FK171" s="43"/>
      <c r="FL171" s="43"/>
      <c r="FM171" s="43"/>
      <c r="FN171" s="43"/>
      <c r="FO171" s="43"/>
      <c r="FP171" s="43"/>
      <c r="FQ171" s="43"/>
      <c r="FR171" s="43"/>
      <c r="FS171" s="43"/>
      <c r="FT171" s="43"/>
      <c r="FU171" s="43"/>
      <c r="FV171" s="43"/>
      <c r="FW171" s="43"/>
      <c r="FX171" s="43"/>
      <c r="FY171" s="43"/>
      <c r="FZ171" s="43"/>
      <c r="GA171" s="43"/>
      <c r="GB171" s="43"/>
      <c r="GC171" s="43"/>
      <c r="GD171" s="43"/>
      <c r="GE171" s="43"/>
      <c r="GF171" s="43"/>
      <c r="GG171" s="43"/>
      <c r="GH171" s="43"/>
      <c r="GI171" s="43"/>
      <c r="GJ171" s="43"/>
      <c r="GK171" s="43"/>
      <c r="GL171" s="43"/>
      <c r="GN171" s="43"/>
      <c r="GO171" s="43"/>
      <c r="GP171" s="43"/>
      <c r="GR171" s="43"/>
      <c r="GS171" s="43"/>
      <c r="GT171" s="43"/>
      <c r="GU171" s="43"/>
    </row>
    <row r="172" spans="6:203" ht="15.75" customHeight="1" x14ac:dyDescent="0.25">
      <c r="F172" s="43"/>
      <c r="I172" s="43"/>
      <c r="N172" s="43"/>
      <c r="O172" s="43"/>
      <c r="P172" s="43"/>
      <c r="Q172" s="43"/>
      <c r="R172" s="43"/>
      <c r="S172" s="43"/>
      <c r="V172" s="43"/>
      <c r="X172" s="43"/>
      <c r="AC172" s="43"/>
      <c r="AD172" s="43"/>
      <c r="AE172" s="43"/>
      <c r="AF172" s="43"/>
      <c r="AG172" s="43"/>
      <c r="AH172" s="43"/>
      <c r="AJ172" s="43"/>
      <c r="AO172" s="43"/>
      <c r="AP172" s="43"/>
      <c r="AQ172" s="43"/>
      <c r="AR172" s="43"/>
      <c r="AS172" s="43"/>
      <c r="AT172" s="43"/>
      <c r="BB172" s="43"/>
      <c r="BC172" s="43"/>
      <c r="BD172" s="43"/>
      <c r="BE172" s="43"/>
      <c r="BF172" s="43"/>
      <c r="BG172" s="43"/>
      <c r="BK172" s="43"/>
      <c r="BL172" s="43"/>
      <c r="BP172" s="43"/>
      <c r="BQ172" s="43"/>
      <c r="BR172" s="43"/>
      <c r="BW172" s="43"/>
      <c r="BX172" s="43"/>
      <c r="BY172" s="43"/>
      <c r="BZ172" s="43"/>
      <c r="CA172" s="43"/>
      <c r="CB172" s="43"/>
      <c r="CD172" s="43"/>
      <c r="CE172" s="43"/>
      <c r="CJ172" s="43"/>
      <c r="CK172" s="43"/>
      <c r="CL172" s="43"/>
      <c r="CM172" s="43"/>
      <c r="CN172" s="43"/>
      <c r="CO172" s="43"/>
      <c r="CU172" s="43"/>
      <c r="CV172" s="43"/>
      <c r="CW172" s="43"/>
      <c r="CX172" s="43"/>
      <c r="CY172" s="43"/>
      <c r="CZ172" s="43"/>
      <c r="DF172" s="43"/>
      <c r="DG172" s="43"/>
      <c r="DH172" s="43"/>
      <c r="DI172" s="43"/>
      <c r="DJ172" s="43"/>
      <c r="DK172" s="43"/>
      <c r="DL172" s="43"/>
      <c r="DQ172" s="43"/>
      <c r="DR172" s="43"/>
      <c r="DS172" s="43"/>
      <c r="DT172" s="43"/>
      <c r="DU172" s="43"/>
      <c r="DV172" s="43"/>
      <c r="EA172" s="43"/>
      <c r="EB172" s="43"/>
      <c r="EC172" s="43"/>
      <c r="ED172" s="43"/>
      <c r="EE172" s="43"/>
      <c r="EF172" s="43"/>
      <c r="EH172" s="43"/>
      <c r="EJ172" s="43"/>
      <c r="EO172" s="43"/>
      <c r="EP172" s="43"/>
      <c r="EQ172" s="43"/>
      <c r="ER172" s="43"/>
      <c r="ES172" s="43"/>
      <c r="ET172" s="43"/>
      <c r="EW172" s="43"/>
      <c r="EX172" s="43"/>
      <c r="FA172" s="43"/>
      <c r="FB172" s="43"/>
      <c r="FG172" s="43"/>
      <c r="FH172" s="43"/>
      <c r="FI172" s="43"/>
      <c r="FJ172" s="43"/>
      <c r="FK172" s="43"/>
      <c r="FL172" s="43"/>
      <c r="FM172" s="43"/>
      <c r="FR172" s="43"/>
      <c r="FS172" s="43"/>
      <c r="FT172" s="43"/>
      <c r="FU172" s="43"/>
      <c r="FV172" s="43"/>
      <c r="FW172" s="43"/>
      <c r="FX172" s="43"/>
      <c r="GC172" s="43"/>
      <c r="GD172" s="43"/>
      <c r="GE172" s="43"/>
      <c r="GF172" s="43"/>
      <c r="GG172" s="43"/>
      <c r="GH172" s="43"/>
      <c r="GI172" s="43"/>
      <c r="GJ172" s="43"/>
      <c r="GK172" s="43"/>
      <c r="GL172" s="43"/>
      <c r="GM172" s="43"/>
      <c r="GN172" s="43"/>
      <c r="GO172" s="43"/>
      <c r="GR172" s="43"/>
      <c r="GS172" s="43"/>
      <c r="GT172" s="43"/>
      <c r="GU172" s="43"/>
    </row>
    <row r="173" spans="6:203" ht="15.75" customHeight="1" x14ac:dyDescent="0.25">
      <c r="F173" s="43"/>
      <c r="H173" s="43"/>
      <c r="I173" s="43"/>
      <c r="L173" s="43"/>
      <c r="M173" s="43"/>
      <c r="N173" s="43"/>
      <c r="O173" s="43"/>
      <c r="P173" s="43"/>
      <c r="Q173" s="43"/>
      <c r="R173" s="43"/>
      <c r="S173" s="43"/>
      <c r="U173" s="43"/>
      <c r="V173" s="43"/>
      <c r="X173" s="43"/>
      <c r="AA173" s="43"/>
      <c r="AB173" s="43"/>
      <c r="AC173" s="43"/>
      <c r="AD173" s="43"/>
      <c r="AE173" s="43"/>
      <c r="AF173" s="43"/>
      <c r="AG173" s="43"/>
      <c r="AH173" s="43"/>
      <c r="AJ173" s="43"/>
      <c r="AM173" s="43"/>
      <c r="AN173" s="43"/>
      <c r="AO173" s="43"/>
      <c r="AP173" s="43"/>
      <c r="AQ173" s="43"/>
      <c r="AR173" s="43"/>
      <c r="AS173" s="43"/>
      <c r="AT173" s="43"/>
      <c r="AV173" s="43"/>
      <c r="AZ173" s="43"/>
      <c r="BA173" s="43"/>
      <c r="BB173" s="43"/>
      <c r="BC173" s="43"/>
      <c r="BD173" s="43"/>
      <c r="BE173" s="43"/>
      <c r="BF173" s="43"/>
      <c r="BG173" s="43"/>
      <c r="BJ173" s="43"/>
      <c r="BK173" s="43"/>
      <c r="BL173" s="43"/>
      <c r="BO173" s="43"/>
      <c r="BP173" s="43"/>
      <c r="BQ173" s="43"/>
      <c r="BR173" s="43"/>
      <c r="BU173" s="43"/>
      <c r="BV173" s="43"/>
      <c r="BW173" s="43"/>
      <c r="BX173" s="43"/>
      <c r="BY173" s="43"/>
      <c r="BZ173" s="43"/>
      <c r="CA173" s="43"/>
      <c r="CB173" s="43"/>
      <c r="CD173" s="43"/>
      <c r="CE173" s="43"/>
      <c r="CH173" s="43"/>
      <c r="CI173" s="43"/>
      <c r="CJ173" s="43"/>
      <c r="CK173" s="43"/>
      <c r="CL173" s="43"/>
      <c r="CM173" s="43"/>
      <c r="CN173" s="43"/>
      <c r="CO173" s="43"/>
      <c r="CS173" s="43"/>
      <c r="CT173" s="43"/>
      <c r="CU173" s="43"/>
      <c r="CV173" s="43"/>
      <c r="CW173" s="43"/>
      <c r="CX173" s="43"/>
      <c r="CY173" s="43"/>
      <c r="CZ173" s="43"/>
      <c r="DD173" s="43"/>
      <c r="DE173" s="43"/>
      <c r="DF173" s="43"/>
      <c r="DG173" s="43"/>
      <c r="DH173" s="43"/>
      <c r="DI173" s="43"/>
      <c r="DJ173" s="43"/>
      <c r="DK173" s="43"/>
      <c r="DL173" s="43"/>
      <c r="DO173" s="43"/>
      <c r="DP173" s="43"/>
      <c r="DQ173" s="43"/>
      <c r="DR173" s="43"/>
      <c r="DS173" s="43"/>
      <c r="DT173" s="43"/>
      <c r="DU173" s="43"/>
      <c r="DV173" s="43"/>
      <c r="DY173" s="43"/>
      <c r="DZ173" s="43"/>
      <c r="EA173" s="43"/>
      <c r="EB173" s="43"/>
      <c r="EC173" s="43"/>
      <c r="ED173" s="43"/>
      <c r="EE173" s="43"/>
      <c r="EF173" s="43"/>
      <c r="EH173" s="43"/>
      <c r="EJ173" s="43"/>
      <c r="EM173" s="43"/>
      <c r="EN173" s="43"/>
      <c r="EO173" s="43"/>
      <c r="EP173" s="43"/>
      <c r="EQ173" s="43"/>
      <c r="ER173" s="43"/>
      <c r="ES173" s="43"/>
      <c r="ET173" s="43"/>
      <c r="EV173" s="43"/>
      <c r="EW173" s="43"/>
      <c r="EX173" s="43"/>
      <c r="EZ173" s="43"/>
      <c r="FA173" s="43"/>
      <c r="FB173" s="43"/>
      <c r="FE173" s="43"/>
      <c r="FF173" s="43"/>
      <c r="FG173" s="43"/>
      <c r="FH173" s="43"/>
      <c r="FI173" s="43"/>
      <c r="FJ173" s="43"/>
      <c r="FK173" s="43"/>
      <c r="FL173" s="43"/>
      <c r="FM173" s="43"/>
      <c r="FP173" s="43"/>
      <c r="FQ173" s="43"/>
      <c r="FR173" s="43"/>
      <c r="FS173" s="43"/>
      <c r="FT173" s="43"/>
      <c r="FU173" s="43"/>
      <c r="FV173" s="43"/>
      <c r="FW173" s="43"/>
      <c r="FX173" s="43"/>
      <c r="GA173" s="43"/>
      <c r="GB173" s="43"/>
      <c r="GC173" s="43"/>
      <c r="GD173" s="43"/>
      <c r="GE173" s="43"/>
      <c r="GF173" s="43"/>
      <c r="GG173" s="43"/>
      <c r="GH173" s="43"/>
      <c r="GI173" s="43"/>
      <c r="GJ173" s="43"/>
      <c r="GK173" s="43"/>
      <c r="GL173" s="43"/>
      <c r="GM173" s="43"/>
      <c r="GN173" s="43"/>
      <c r="GO173" s="43"/>
      <c r="GR173" s="43"/>
      <c r="GS173" s="43"/>
      <c r="GT173" s="43"/>
      <c r="GU173" s="43"/>
    </row>
    <row r="174" spans="6:203" ht="15.75" customHeight="1" x14ac:dyDescent="0.25"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GL174" s="43"/>
      <c r="GM174" s="43"/>
      <c r="GN174" s="43"/>
      <c r="GO174" s="43"/>
      <c r="GP174" s="43"/>
      <c r="GR174" s="43"/>
      <c r="GS174" s="43"/>
      <c r="GT174" s="43"/>
      <c r="GU174" s="43"/>
    </row>
    <row r="175" spans="6:203" ht="15.75" customHeight="1" x14ac:dyDescent="0.25">
      <c r="F175" s="43"/>
      <c r="H175" s="43"/>
      <c r="I175" s="43"/>
      <c r="L175" s="43"/>
      <c r="M175" s="43"/>
      <c r="N175" s="43"/>
      <c r="O175" s="43"/>
      <c r="P175" s="43"/>
      <c r="Q175" s="43"/>
      <c r="R175" s="43"/>
      <c r="S175" s="43"/>
      <c r="U175" s="43"/>
      <c r="V175" s="43"/>
      <c r="X175" s="43"/>
      <c r="AA175" s="43"/>
      <c r="AB175" s="43"/>
      <c r="AC175" s="43"/>
      <c r="AD175" s="43"/>
      <c r="AE175" s="43"/>
      <c r="AF175" s="43"/>
      <c r="AG175" s="43"/>
      <c r="AH175" s="43"/>
      <c r="AJ175" s="43"/>
      <c r="AM175" s="43"/>
      <c r="AN175" s="43"/>
      <c r="AO175" s="43"/>
      <c r="AP175" s="43"/>
      <c r="AQ175" s="43"/>
      <c r="AR175" s="43"/>
      <c r="AS175" s="43"/>
      <c r="AT175" s="43"/>
      <c r="AV175" s="43"/>
      <c r="AZ175" s="43"/>
      <c r="BA175" s="43"/>
      <c r="BB175" s="43"/>
      <c r="BC175" s="43"/>
      <c r="BD175" s="43"/>
      <c r="BE175" s="43"/>
      <c r="BF175" s="43"/>
      <c r="BG175" s="43"/>
      <c r="BJ175" s="43"/>
      <c r="BK175" s="43"/>
      <c r="BL175" s="43"/>
      <c r="BO175" s="43"/>
      <c r="BP175" s="43"/>
      <c r="BQ175" s="43"/>
      <c r="BR175" s="43"/>
      <c r="BU175" s="43"/>
      <c r="BV175" s="43"/>
      <c r="BW175" s="43"/>
      <c r="BX175" s="43"/>
      <c r="BY175" s="43"/>
      <c r="BZ175" s="43"/>
      <c r="CA175" s="43"/>
      <c r="CB175" s="43"/>
      <c r="CD175" s="43"/>
      <c r="CE175" s="43"/>
      <c r="CH175" s="43"/>
      <c r="CI175" s="43"/>
      <c r="CJ175" s="43"/>
      <c r="CK175" s="43"/>
      <c r="CL175" s="43"/>
      <c r="CM175" s="43"/>
      <c r="CN175" s="43"/>
      <c r="CO175" s="43"/>
      <c r="CS175" s="43"/>
      <c r="CT175" s="43"/>
      <c r="CU175" s="43"/>
      <c r="CV175" s="43"/>
      <c r="CW175" s="43"/>
      <c r="CX175" s="43"/>
      <c r="CY175" s="43"/>
      <c r="CZ175" s="43"/>
      <c r="DD175" s="43"/>
      <c r="DE175" s="43"/>
      <c r="DF175" s="43"/>
      <c r="DG175" s="43"/>
      <c r="DH175" s="43"/>
      <c r="DI175" s="43"/>
      <c r="DJ175" s="43"/>
      <c r="DK175" s="43"/>
      <c r="DL175" s="43"/>
      <c r="DO175" s="43"/>
      <c r="DP175" s="43"/>
      <c r="DQ175" s="43"/>
      <c r="DR175" s="43"/>
      <c r="DS175" s="43"/>
      <c r="DT175" s="43"/>
      <c r="DU175" s="43"/>
      <c r="DV175" s="43"/>
      <c r="DY175" s="43"/>
      <c r="DZ175" s="43"/>
      <c r="EA175" s="43"/>
      <c r="EB175" s="43"/>
      <c r="EC175" s="43"/>
      <c r="ED175" s="43"/>
      <c r="EE175" s="43"/>
      <c r="EF175" s="43"/>
      <c r="EH175" s="43"/>
      <c r="EJ175" s="43"/>
      <c r="EM175" s="43"/>
      <c r="EN175" s="43"/>
      <c r="EO175" s="43"/>
      <c r="EP175" s="43"/>
      <c r="EQ175" s="43"/>
      <c r="ER175" s="43"/>
      <c r="ES175" s="43"/>
      <c r="ET175" s="43"/>
      <c r="EV175" s="43"/>
      <c r="EW175" s="43"/>
      <c r="EX175" s="43"/>
      <c r="EZ175" s="43"/>
      <c r="FA175" s="43"/>
      <c r="FB175" s="43"/>
      <c r="FE175" s="43"/>
      <c r="FF175" s="43"/>
      <c r="FG175" s="43"/>
      <c r="FH175" s="43"/>
      <c r="FI175" s="43"/>
      <c r="FJ175" s="43"/>
      <c r="FK175" s="43"/>
      <c r="FL175" s="43"/>
      <c r="FM175" s="43"/>
      <c r="FP175" s="43"/>
      <c r="FQ175" s="43"/>
      <c r="FR175" s="43"/>
      <c r="FS175" s="43"/>
      <c r="FT175" s="43"/>
      <c r="FU175" s="43"/>
      <c r="FV175" s="43"/>
      <c r="FW175" s="43"/>
      <c r="FX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R175" s="43"/>
      <c r="GS175" s="43"/>
      <c r="GT175" s="43"/>
      <c r="GU175" s="43"/>
    </row>
    <row r="176" spans="6:203" ht="15.75" customHeight="1" x14ac:dyDescent="0.25">
      <c r="F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D176" s="43"/>
      <c r="DE176" s="43"/>
      <c r="DF176" s="43"/>
      <c r="DG176" s="43"/>
      <c r="DH176" s="43"/>
      <c r="DI176" s="43"/>
      <c r="DJ176" s="43"/>
      <c r="DK176" s="43"/>
      <c r="DL176" s="43"/>
      <c r="DO176" s="43"/>
      <c r="DP176" s="43"/>
      <c r="DQ176" s="43"/>
      <c r="DR176" s="43"/>
      <c r="DS176" s="43"/>
      <c r="DT176" s="43"/>
      <c r="DU176" s="43"/>
      <c r="DV176" s="43"/>
      <c r="DY176" s="43"/>
      <c r="DZ176" s="43"/>
      <c r="EA176" s="43"/>
      <c r="EB176" s="43"/>
      <c r="EC176" s="43"/>
      <c r="ED176" s="43"/>
      <c r="EE176" s="43"/>
      <c r="EF176" s="43"/>
      <c r="EH176" s="43"/>
      <c r="EJ176" s="43"/>
      <c r="EM176" s="43"/>
      <c r="EN176" s="43"/>
      <c r="EO176" s="43"/>
      <c r="EP176" s="43"/>
      <c r="EQ176" s="43"/>
      <c r="ER176" s="43"/>
      <c r="ES176" s="43"/>
      <c r="ET176" s="43"/>
      <c r="EV176" s="43"/>
      <c r="EW176" s="43"/>
      <c r="EX176" s="43"/>
      <c r="EZ176" s="43"/>
      <c r="FA176" s="43"/>
      <c r="FB176" s="43"/>
      <c r="FE176" s="43"/>
      <c r="FF176" s="43"/>
      <c r="FG176" s="43"/>
      <c r="FH176" s="43"/>
      <c r="FI176" s="43"/>
      <c r="FJ176" s="43"/>
      <c r="FK176" s="43"/>
      <c r="FL176" s="43"/>
      <c r="FM176" s="43"/>
      <c r="FP176" s="43"/>
      <c r="FQ176" s="43"/>
      <c r="FR176" s="43"/>
      <c r="FS176" s="43"/>
      <c r="FT176" s="43"/>
      <c r="FU176" s="43"/>
      <c r="FV176" s="43"/>
      <c r="FW176" s="43"/>
      <c r="FX176" s="43"/>
      <c r="GA176" s="43"/>
      <c r="GB176" s="43"/>
      <c r="GC176" s="43"/>
      <c r="GD176" s="43"/>
      <c r="GE176" s="43"/>
      <c r="GF176" s="43"/>
      <c r="GG176" s="43"/>
      <c r="GH176" s="43"/>
      <c r="GI176" s="43"/>
      <c r="GJ176" s="43"/>
      <c r="GK176" s="43"/>
      <c r="GL176" s="43"/>
      <c r="GM176" s="43"/>
      <c r="GN176" s="43"/>
      <c r="GO176" s="43"/>
      <c r="GP176" s="43"/>
      <c r="GR176" s="43"/>
      <c r="GS176" s="43"/>
      <c r="GT176" s="43"/>
      <c r="GU176" s="43"/>
    </row>
    <row r="177" spans="2:203" ht="15.75" customHeight="1" x14ac:dyDescent="0.25">
      <c r="F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D177" s="43"/>
      <c r="DE177" s="43"/>
      <c r="DF177" s="43"/>
      <c r="DG177" s="43"/>
      <c r="DH177" s="43"/>
      <c r="DI177" s="43"/>
      <c r="DJ177" s="43"/>
      <c r="DK177" s="43"/>
      <c r="DL177" s="43"/>
      <c r="DO177" s="43"/>
      <c r="DP177" s="43"/>
      <c r="DQ177" s="43"/>
      <c r="DR177" s="43"/>
      <c r="DS177" s="43"/>
      <c r="DT177" s="43"/>
      <c r="DU177" s="43"/>
      <c r="DV177" s="43"/>
      <c r="DY177" s="43"/>
      <c r="DZ177" s="43"/>
      <c r="EA177" s="43"/>
      <c r="EB177" s="43"/>
      <c r="EC177" s="43"/>
      <c r="ED177" s="43"/>
      <c r="EE177" s="43"/>
      <c r="EF177" s="43"/>
      <c r="EH177" s="43"/>
      <c r="EJ177" s="43"/>
      <c r="EM177" s="43"/>
      <c r="EN177" s="43"/>
      <c r="EO177" s="43"/>
      <c r="EP177" s="43"/>
      <c r="EQ177" s="43"/>
      <c r="ER177" s="43"/>
      <c r="ES177" s="43"/>
      <c r="ET177" s="43"/>
      <c r="EV177" s="43"/>
      <c r="EW177" s="43"/>
      <c r="EX177" s="43"/>
      <c r="EZ177" s="43"/>
      <c r="FA177" s="43"/>
      <c r="FB177" s="43"/>
      <c r="FE177" s="43"/>
      <c r="FF177" s="43"/>
      <c r="FG177" s="43"/>
      <c r="FH177" s="43"/>
      <c r="FI177" s="43"/>
      <c r="FJ177" s="43"/>
      <c r="FK177" s="43"/>
      <c r="FL177" s="43"/>
      <c r="FM177" s="43"/>
      <c r="FP177" s="43"/>
      <c r="FQ177" s="43"/>
      <c r="FR177" s="43"/>
      <c r="FS177" s="43"/>
      <c r="FT177" s="43"/>
      <c r="FU177" s="43"/>
      <c r="FV177" s="43"/>
      <c r="FW177" s="43"/>
      <c r="FX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R177" s="43"/>
      <c r="GS177" s="43"/>
      <c r="GT177" s="43"/>
      <c r="GU177" s="43"/>
    </row>
    <row r="178" spans="2:203" ht="15.75" customHeight="1" x14ac:dyDescent="0.25">
      <c r="F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D178" s="43"/>
      <c r="DE178" s="43"/>
      <c r="DF178" s="43"/>
      <c r="DG178" s="43"/>
      <c r="DH178" s="43"/>
      <c r="DI178" s="43"/>
      <c r="DJ178" s="43"/>
      <c r="DK178" s="43"/>
      <c r="DL178" s="43"/>
      <c r="DO178" s="43"/>
      <c r="DP178" s="43"/>
      <c r="DQ178" s="43"/>
      <c r="DR178" s="43"/>
      <c r="DS178" s="43"/>
      <c r="DT178" s="43"/>
      <c r="DU178" s="43"/>
      <c r="DV178" s="43"/>
      <c r="DY178" s="43"/>
      <c r="DZ178" s="43"/>
      <c r="EA178" s="43"/>
      <c r="EB178" s="43"/>
      <c r="EC178" s="43"/>
      <c r="ED178" s="43"/>
      <c r="EE178" s="43"/>
      <c r="EF178" s="43"/>
      <c r="EH178" s="43"/>
      <c r="EJ178" s="43"/>
      <c r="EM178" s="43"/>
      <c r="EN178" s="43"/>
      <c r="EO178" s="43"/>
      <c r="EP178" s="43"/>
      <c r="EQ178" s="43"/>
      <c r="ER178" s="43"/>
      <c r="ES178" s="43"/>
      <c r="ET178" s="43"/>
      <c r="EV178" s="43"/>
      <c r="EW178" s="43"/>
      <c r="EX178" s="43"/>
      <c r="EZ178" s="43"/>
      <c r="FA178" s="43"/>
      <c r="FB178" s="43"/>
      <c r="FE178" s="43"/>
      <c r="FF178" s="43"/>
      <c r="FG178" s="43"/>
      <c r="FH178" s="43"/>
      <c r="FI178" s="43"/>
      <c r="FJ178" s="43"/>
      <c r="FK178" s="43"/>
      <c r="FL178" s="43"/>
      <c r="FM178" s="43"/>
      <c r="FP178" s="43"/>
      <c r="FQ178" s="43"/>
      <c r="FR178" s="43"/>
      <c r="FS178" s="43"/>
      <c r="FT178" s="43"/>
      <c r="FU178" s="43"/>
      <c r="FV178" s="43"/>
      <c r="FW178" s="43"/>
      <c r="FX178" s="43"/>
      <c r="GA178" s="43"/>
      <c r="GB178" s="43"/>
      <c r="GC178" s="43"/>
      <c r="GD178" s="43"/>
      <c r="GE178" s="43"/>
      <c r="GF178" s="43"/>
      <c r="GG178" s="43"/>
      <c r="GH178" s="43"/>
      <c r="GI178" s="43"/>
      <c r="GJ178" s="43"/>
      <c r="GK178" s="43"/>
      <c r="GL178" s="43"/>
      <c r="GM178" s="43"/>
      <c r="GN178" s="43"/>
      <c r="GO178" s="43"/>
      <c r="GP178" s="43"/>
      <c r="GR178" s="43"/>
      <c r="GS178" s="43"/>
      <c r="GT178" s="43"/>
      <c r="GU178" s="43"/>
    </row>
    <row r="179" spans="2:203" ht="15.75" customHeight="1" x14ac:dyDescent="0.25">
      <c r="B179" s="43"/>
      <c r="C179" s="43"/>
      <c r="D179" s="43"/>
      <c r="E179" s="43"/>
      <c r="GR179" s="43"/>
      <c r="GS179" s="43"/>
      <c r="GT179" s="43"/>
      <c r="GU179" s="43"/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2303"/>
  <sheetViews>
    <sheetView topLeftCell="S1" workbookViewId="0">
      <selection activeCell="T14" sqref="T14"/>
    </sheetView>
  </sheetViews>
  <sheetFormatPr defaultColWidth="12.625" defaultRowHeight="15" customHeight="1" x14ac:dyDescent="0.2"/>
  <cols>
    <col min="1" max="1" width="10.25" customWidth="1"/>
    <col min="2" max="2" width="7.375" customWidth="1"/>
    <col min="3" max="3" width="13.5" customWidth="1"/>
    <col min="4" max="4" width="14" customWidth="1"/>
    <col min="5" max="5" width="11.75" customWidth="1"/>
    <col min="6" max="6" width="25.125" customWidth="1"/>
    <col min="7" max="7" width="17.25" customWidth="1"/>
    <col min="8" max="8" width="15.125" customWidth="1"/>
    <col min="9" max="9" width="31" customWidth="1"/>
    <col min="10" max="10" width="13.75" customWidth="1"/>
    <col min="11" max="11" width="15.125" customWidth="1"/>
    <col min="12" max="12" width="10" customWidth="1"/>
    <col min="13" max="13" width="10.875" customWidth="1"/>
    <col min="14" max="14" width="13.625" customWidth="1"/>
    <col min="15" max="15" width="9" customWidth="1"/>
    <col min="16" max="16" width="11.25" customWidth="1"/>
    <col min="17" max="17" width="8.875" customWidth="1"/>
    <col min="18" max="18" width="23.75" customWidth="1"/>
    <col min="19" max="19" width="25" customWidth="1"/>
    <col min="20" max="21" width="30" customWidth="1"/>
    <col min="22" max="26" width="7.625" customWidth="1"/>
  </cols>
  <sheetData>
    <row r="1" spans="1:24" x14ac:dyDescent="0.25">
      <c r="A1" s="77" t="s">
        <v>186</v>
      </c>
      <c r="B1" s="78" t="s">
        <v>187</v>
      </c>
      <c r="C1" s="78" t="s">
        <v>182</v>
      </c>
      <c r="D1" s="78" t="s">
        <v>183</v>
      </c>
      <c r="E1" s="78" t="s">
        <v>181</v>
      </c>
      <c r="F1" s="78" t="s">
        <v>184</v>
      </c>
      <c r="G1" s="78" t="s">
        <v>185</v>
      </c>
      <c r="H1" s="78" t="s">
        <v>196</v>
      </c>
      <c r="I1" s="78" t="s">
        <v>197</v>
      </c>
      <c r="J1" s="78" t="s">
        <v>199</v>
      </c>
      <c r="K1" s="78" t="s">
        <v>198</v>
      </c>
      <c r="L1" s="78" t="s">
        <v>200</v>
      </c>
      <c r="M1" s="78" t="s">
        <v>201</v>
      </c>
      <c r="N1" s="78" t="s">
        <v>1035</v>
      </c>
      <c r="O1" s="78" t="s">
        <v>205</v>
      </c>
      <c r="P1" s="78" t="s">
        <v>207</v>
      </c>
      <c r="Q1" s="78" t="s">
        <v>206</v>
      </c>
      <c r="R1" s="78" t="s">
        <v>1036</v>
      </c>
      <c r="S1" s="78" t="s">
        <v>1037</v>
      </c>
      <c r="T1" s="78" t="s">
        <v>1038</v>
      </c>
      <c r="U1" s="78" t="s">
        <v>209</v>
      </c>
      <c r="V1" s="78" t="s">
        <v>210</v>
      </c>
      <c r="W1" s="78" t="s">
        <v>211</v>
      </c>
      <c r="X1" s="78" t="s">
        <v>212</v>
      </c>
    </row>
    <row r="2" spans="1:24" x14ac:dyDescent="0.25">
      <c r="A2" s="81"/>
      <c r="B2" s="81"/>
      <c r="C2" s="81"/>
      <c r="D2" s="81"/>
      <c r="E2" s="81"/>
      <c r="F2" s="82"/>
      <c r="G2" s="83"/>
      <c r="H2" s="81"/>
      <c r="I2" s="82"/>
      <c r="J2" s="82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4"/>
      <c r="W2" s="84"/>
      <c r="X2" s="84"/>
    </row>
    <row r="3" spans="1:24" x14ac:dyDescent="0.25">
      <c r="A3" s="81"/>
      <c r="B3" s="81"/>
      <c r="C3" s="81"/>
      <c r="D3" s="81"/>
      <c r="E3" s="81"/>
      <c r="F3" s="82"/>
      <c r="G3" s="83"/>
      <c r="H3" s="81"/>
      <c r="I3" s="82"/>
      <c r="J3" s="82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4"/>
      <c r="W3" s="84"/>
      <c r="X3" s="84"/>
    </row>
    <row r="4" spans="1:24" x14ac:dyDescent="0.25">
      <c r="A4" s="81"/>
      <c r="B4" s="81"/>
      <c r="C4" s="81"/>
      <c r="D4" s="81"/>
      <c r="E4" s="81"/>
      <c r="F4" s="82"/>
      <c r="G4" s="83"/>
      <c r="H4" s="81"/>
      <c r="I4" s="82"/>
      <c r="J4" s="82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4"/>
      <c r="W4" s="84"/>
      <c r="X4" s="84"/>
    </row>
    <row r="5" spans="1:24" x14ac:dyDescent="0.25">
      <c r="A5" s="81"/>
      <c r="B5" s="81"/>
      <c r="C5" s="81"/>
      <c r="D5" s="81"/>
      <c r="E5" s="81"/>
      <c r="F5" s="82"/>
      <c r="G5" s="83"/>
      <c r="H5" s="81"/>
      <c r="I5" s="82"/>
      <c r="J5" s="82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4"/>
      <c r="W5" s="84"/>
      <c r="X5" s="84"/>
    </row>
    <row r="6" spans="1:24" x14ac:dyDescent="0.25">
      <c r="A6" s="81"/>
      <c r="B6" s="81"/>
      <c r="C6" s="81"/>
      <c r="D6" s="81"/>
      <c r="E6" s="81"/>
      <c r="F6" s="82"/>
      <c r="G6" s="83"/>
      <c r="H6" s="81"/>
      <c r="I6" s="82"/>
      <c r="J6" s="82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4"/>
      <c r="W6" s="84"/>
      <c r="X6" s="84"/>
    </row>
    <row r="7" spans="1:24" x14ac:dyDescent="0.25">
      <c r="A7" s="81"/>
      <c r="B7" s="81"/>
      <c r="C7" s="81"/>
      <c r="D7" s="81"/>
      <c r="E7" s="81"/>
      <c r="F7" s="82"/>
      <c r="G7" s="83"/>
      <c r="H7" s="81"/>
      <c r="I7" s="82"/>
      <c r="J7" s="82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4"/>
      <c r="W7" s="84"/>
      <c r="X7" s="84"/>
    </row>
    <row r="8" spans="1:24" x14ac:dyDescent="0.25">
      <c r="A8" s="81"/>
      <c r="B8" s="81"/>
      <c r="C8" s="81"/>
      <c r="D8" s="81"/>
      <c r="E8" s="81"/>
      <c r="F8" s="82"/>
      <c r="G8" s="83"/>
      <c r="H8" s="81"/>
      <c r="I8" s="82"/>
      <c r="J8" s="82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4"/>
      <c r="W8" s="84"/>
      <c r="X8" s="84"/>
    </row>
    <row r="9" spans="1:24" x14ac:dyDescent="0.25">
      <c r="A9" s="81"/>
      <c r="B9" s="81"/>
      <c r="C9" s="81"/>
      <c r="D9" s="81"/>
      <c r="E9" s="81"/>
      <c r="F9" s="82"/>
      <c r="G9" s="83"/>
      <c r="H9" s="81"/>
      <c r="I9" s="82"/>
      <c r="J9" s="82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4"/>
      <c r="W9" s="84"/>
      <c r="X9" s="84"/>
    </row>
    <row r="10" spans="1:24" x14ac:dyDescent="0.25">
      <c r="A10" s="81"/>
      <c r="B10" s="81"/>
      <c r="C10" s="81"/>
      <c r="D10" s="81"/>
      <c r="E10" s="81"/>
      <c r="F10" s="82"/>
      <c r="G10" s="83"/>
      <c r="H10" s="81"/>
      <c r="I10" s="82"/>
      <c r="J10" s="82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4"/>
      <c r="W10" s="84"/>
      <c r="X10" s="84"/>
    </row>
    <row r="11" spans="1:24" x14ac:dyDescent="0.25">
      <c r="A11" s="81"/>
      <c r="B11" s="81"/>
      <c r="C11" s="81"/>
      <c r="D11" s="81"/>
      <c r="E11" s="81"/>
      <c r="F11" s="82"/>
      <c r="G11" s="83"/>
      <c r="H11" s="81"/>
      <c r="I11" s="82"/>
      <c r="J11" s="82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4"/>
      <c r="W11" s="84"/>
      <c r="X11" s="84"/>
    </row>
    <row r="12" spans="1:24" x14ac:dyDescent="0.25">
      <c r="A12" s="81"/>
      <c r="B12" s="81"/>
      <c r="C12" s="81"/>
      <c r="D12" s="81"/>
      <c r="E12" s="81"/>
      <c r="F12" s="82"/>
      <c r="G12" s="83"/>
      <c r="H12" s="81"/>
      <c r="I12" s="82"/>
      <c r="J12" s="82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4"/>
      <c r="W12" s="84"/>
      <c r="X12" s="84"/>
    </row>
    <row r="13" spans="1:24" x14ac:dyDescent="0.25">
      <c r="A13" s="81"/>
      <c r="B13" s="81"/>
      <c r="C13" s="81"/>
      <c r="D13" s="81"/>
      <c r="E13" s="81"/>
      <c r="F13" s="82"/>
      <c r="G13" s="83"/>
      <c r="H13" s="81"/>
      <c r="I13" s="82"/>
      <c r="J13" s="82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4"/>
      <c r="W13" s="84"/>
      <c r="X13" s="84"/>
    </row>
    <row r="14" spans="1:24" x14ac:dyDescent="0.25">
      <c r="A14" s="81"/>
      <c r="B14" s="81"/>
      <c r="C14" s="81"/>
      <c r="D14" s="81"/>
      <c r="E14" s="81"/>
      <c r="F14" s="82"/>
      <c r="G14" s="83"/>
      <c r="H14" s="81"/>
      <c r="I14" s="82"/>
      <c r="J14" s="82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4"/>
      <c r="W14" s="84"/>
      <c r="X14" s="84"/>
    </row>
    <row r="15" spans="1:24" x14ac:dyDescent="0.25">
      <c r="A15" s="81"/>
      <c r="B15" s="81"/>
      <c r="C15" s="81"/>
      <c r="D15" s="81"/>
      <c r="E15" s="81"/>
      <c r="F15" s="82"/>
      <c r="G15" s="83"/>
      <c r="H15" s="81"/>
      <c r="I15" s="82"/>
      <c r="J15" s="82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4"/>
      <c r="W15" s="84"/>
      <c r="X15" s="84"/>
    </row>
    <row r="16" spans="1:24" x14ac:dyDescent="0.25">
      <c r="A16" s="81"/>
      <c r="B16" s="81"/>
      <c r="C16" s="81"/>
      <c r="D16" s="81"/>
      <c r="E16" s="81"/>
      <c r="F16" s="82"/>
      <c r="G16" s="83"/>
      <c r="H16" s="81"/>
      <c r="I16" s="82"/>
      <c r="J16" s="82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4"/>
      <c r="W16" s="84"/>
      <c r="X16" s="84"/>
    </row>
    <row r="17" spans="1:24" x14ac:dyDescent="0.25">
      <c r="A17" s="81"/>
      <c r="B17" s="81"/>
      <c r="C17" s="81"/>
      <c r="D17" s="81"/>
      <c r="E17" s="81"/>
      <c r="F17" s="82"/>
      <c r="G17" s="83"/>
      <c r="H17" s="81"/>
      <c r="I17" s="82"/>
      <c r="J17" s="82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4"/>
      <c r="W17" s="84"/>
      <c r="X17" s="84"/>
    </row>
    <row r="18" spans="1:24" x14ac:dyDescent="0.25">
      <c r="A18" s="81"/>
      <c r="B18" s="81"/>
      <c r="C18" s="81"/>
      <c r="D18" s="81"/>
      <c r="E18" s="81"/>
      <c r="F18" s="82"/>
      <c r="G18" s="83"/>
      <c r="H18" s="81"/>
      <c r="I18" s="82"/>
      <c r="J18" s="82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4"/>
      <c r="W18" s="84"/>
      <c r="X18" s="84"/>
    </row>
    <row r="19" spans="1:24" x14ac:dyDescent="0.25">
      <c r="A19" s="81"/>
      <c r="B19" s="81"/>
      <c r="C19" s="81"/>
      <c r="D19" s="81"/>
      <c r="E19" s="81"/>
      <c r="F19" s="82"/>
      <c r="G19" s="83"/>
      <c r="H19" s="81"/>
      <c r="I19" s="82"/>
      <c r="J19" s="82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4"/>
      <c r="W19" s="84"/>
      <c r="X19" s="84"/>
    </row>
    <row r="20" spans="1:24" ht="15.75" customHeight="1" x14ac:dyDescent="0.25">
      <c r="A20" s="81"/>
      <c r="B20" s="81"/>
      <c r="C20" s="81"/>
      <c r="D20" s="81"/>
      <c r="E20" s="81"/>
      <c r="F20" s="82"/>
      <c r="G20" s="83"/>
      <c r="H20" s="81"/>
      <c r="I20" s="82"/>
      <c r="J20" s="82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4"/>
      <c r="W20" s="84"/>
      <c r="X20" s="84"/>
    </row>
    <row r="21" spans="1:24" ht="15.75" customHeight="1" x14ac:dyDescent="0.25">
      <c r="A21" s="81"/>
      <c r="B21" s="81"/>
      <c r="C21" s="81"/>
      <c r="D21" s="81"/>
      <c r="E21" s="81"/>
      <c r="F21" s="82"/>
      <c r="G21" s="83"/>
      <c r="H21" s="81"/>
      <c r="I21" s="82"/>
      <c r="J21" s="82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4"/>
      <c r="W21" s="84"/>
      <c r="X21" s="84"/>
    </row>
    <row r="22" spans="1:24" ht="15.75" customHeight="1" x14ac:dyDescent="0.25">
      <c r="A22" s="81"/>
      <c r="B22" s="81"/>
      <c r="C22" s="81"/>
      <c r="D22" s="81"/>
      <c r="E22" s="81"/>
      <c r="F22" s="82"/>
      <c r="G22" s="83"/>
      <c r="H22" s="81"/>
      <c r="I22" s="82"/>
      <c r="J22" s="82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4"/>
      <c r="W22" s="84"/>
      <c r="X22" s="84"/>
    </row>
    <row r="23" spans="1:24" ht="15.75" customHeight="1" x14ac:dyDescent="0.25">
      <c r="A23" s="81"/>
      <c r="B23" s="81"/>
      <c r="C23" s="81"/>
      <c r="D23" s="81"/>
      <c r="E23" s="81"/>
      <c r="F23" s="82"/>
      <c r="G23" s="83"/>
      <c r="H23" s="81"/>
      <c r="I23" s="82"/>
      <c r="J23" s="82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4"/>
      <c r="W23" s="84"/>
      <c r="X23" s="84"/>
    </row>
    <row r="24" spans="1:24" ht="15.75" customHeight="1" x14ac:dyDescent="0.25">
      <c r="A24" s="81"/>
      <c r="B24" s="81"/>
      <c r="C24" s="81"/>
      <c r="D24" s="81"/>
      <c r="E24" s="81"/>
      <c r="F24" s="82"/>
      <c r="G24" s="83"/>
      <c r="H24" s="81"/>
      <c r="I24" s="82"/>
      <c r="J24" s="82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4"/>
      <c r="W24" s="84"/>
      <c r="X24" s="84"/>
    </row>
    <row r="25" spans="1:24" ht="15.75" customHeight="1" x14ac:dyDescent="0.25">
      <c r="A25" s="81"/>
      <c r="B25" s="81"/>
      <c r="C25" s="81"/>
      <c r="D25" s="81"/>
      <c r="E25" s="81"/>
      <c r="F25" s="82"/>
      <c r="G25" s="83"/>
      <c r="H25" s="81"/>
      <c r="I25" s="82"/>
      <c r="J25" s="82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4"/>
      <c r="W25" s="84"/>
      <c r="X25" s="84"/>
    </row>
    <row r="26" spans="1:24" ht="15.75" customHeight="1" x14ac:dyDescent="0.25">
      <c r="A26" s="81"/>
      <c r="B26" s="81"/>
      <c r="C26" s="81"/>
      <c r="D26" s="81"/>
      <c r="E26" s="81"/>
      <c r="F26" s="82"/>
      <c r="G26" s="83"/>
      <c r="H26" s="81"/>
      <c r="I26" s="82"/>
      <c r="J26" s="82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4"/>
      <c r="W26" s="84"/>
      <c r="X26" s="84"/>
    </row>
    <row r="27" spans="1:24" ht="15.75" customHeight="1" x14ac:dyDescent="0.25">
      <c r="A27" s="81"/>
      <c r="B27" s="81"/>
      <c r="C27" s="81"/>
      <c r="D27" s="81"/>
      <c r="E27" s="81"/>
      <c r="F27" s="82"/>
      <c r="G27" s="83"/>
      <c r="H27" s="81"/>
      <c r="I27" s="82"/>
      <c r="J27" s="82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4"/>
      <c r="W27" s="84"/>
      <c r="X27" s="84"/>
    </row>
    <row r="28" spans="1:24" ht="15.75" customHeight="1" x14ac:dyDescent="0.25">
      <c r="A28" s="81"/>
      <c r="B28" s="81"/>
      <c r="C28" s="81"/>
      <c r="D28" s="81"/>
      <c r="E28" s="81"/>
      <c r="F28" s="82"/>
      <c r="G28" s="83"/>
      <c r="H28" s="81"/>
      <c r="I28" s="82"/>
      <c r="J28" s="82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4"/>
      <c r="W28" s="84"/>
      <c r="X28" s="84"/>
    </row>
    <row r="29" spans="1:24" ht="15.75" customHeight="1" x14ac:dyDescent="0.25">
      <c r="A29" s="81"/>
      <c r="B29" s="81"/>
      <c r="C29" s="81"/>
      <c r="D29" s="81"/>
      <c r="E29" s="81"/>
      <c r="F29" s="82"/>
      <c r="G29" s="83"/>
      <c r="H29" s="81"/>
      <c r="I29" s="82"/>
      <c r="J29" s="82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4"/>
      <c r="W29" s="84"/>
      <c r="X29" s="84"/>
    </row>
    <row r="30" spans="1:24" ht="15.75" customHeight="1" x14ac:dyDescent="0.25">
      <c r="A30" s="81"/>
      <c r="B30" s="81"/>
      <c r="C30" s="81"/>
      <c r="D30" s="81"/>
      <c r="E30" s="81"/>
      <c r="F30" s="82"/>
      <c r="G30" s="83"/>
      <c r="H30" s="81"/>
      <c r="I30" s="82"/>
      <c r="J30" s="82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4"/>
      <c r="W30" s="84"/>
      <c r="X30" s="84"/>
    </row>
    <row r="31" spans="1:24" ht="15.75" customHeight="1" x14ac:dyDescent="0.25">
      <c r="A31" s="81"/>
      <c r="B31" s="81"/>
      <c r="C31" s="81"/>
      <c r="D31" s="81"/>
      <c r="E31" s="81"/>
      <c r="F31" s="82"/>
      <c r="G31" s="83"/>
      <c r="H31" s="81"/>
      <c r="I31" s="82"/>
      <c r="J31" s="82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4"/>
      <c r="W31" s="84"/>
      <c r="X31" s="84"/>
    </row>
    <row r="32" spans="1:24" ht="15.75" customHeight="1" x14ac:dyDescent="0.25">
      <c r="A32" s="81"/>
      <c r="B32" s="81"/>
      <c r="C32" s="81"/>
      <c r="D32" s="81"/>
      <c r="E32" s="81"/>
      <c r="F32" s="82"/>
      <c r="G32" s="83"/>
      <c r="H32" s="81"/>
      <c r="I32" s="82"/>
      <c r="J32" s="82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4"/>
      <c r="W32" s="84"/>
      <c r="X32" s="84"/>
    </row>
    <row r="33" spans="1:24" ht="15.75" customHeight="1" x14ac:dyDescent="0.25">
      <c r="A33" s="81"/>
      <c r="B33" s="81"/>
      <c r="C33" s="81"/>
      <c r="D33" s="81"/>
      <c r="E33" s="81"/>
      <c r="F33" s="82"/>
      <c r="G33" s="83"/>
      <c r="H33" s="81"/>
      <c r="I33" s="82"/>
      <c r="J33" s="82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4"/>
      <c r="W33" s="84"/>
      <c r="X33" s="84"/>
    </row>
    <row r="34" spans="1:24" ht="15.75" customHeight="1" x14ac:dyDescent="0.25">
      <c r="A34" s="81"/>
      <c r="B34" s="81"/>
      <c r="C34" s="81"/>
      <c r="D34" s="81"/>
      <c r="E34" s="81"/>
      <c r="F34" s="82"/>
      <c r="G34" s="83"/>
      <c r="H34" s="81"/>
      <c r="I34" s="82"/>
      <c r="J34" s="82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4"/>
      <c r="W34" s="84"/>
      <c r="X34" s="84"/>
    </row>
    <row r="35" spans="1:24" ht="15.75" customHeight="1" x14ac:dyDescent="0.25">
      <c r="A35" s="81"/>
      <c r="B35" s="81"/>
      <c r="C35" s="81"/>
      <c r="D35" s="81"/>
      <c r="E35" s="81"/>
      <c r="F35" s="82"/>
      <c r="G35" s="83"/>
      <c r="H35" s="81"/>
      <c r="I35" s="82"/>
      <c r="J35" s="82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4"/>
      <c r="W35" s="84"/>
      <c r="X35" s="84"/>
    </row>
    <row r="36" spans="1:24" ht="15.75" customHeight="1" x14ac:dyDescent="0.25">
      <c r="A36" s="81"/>
      <c r="B36" s="81"/>
      <c r="C36" s="81"/>
      <c r="D36" s="81"/>
      <c r="E36" s="81"/>
      <c r="F36" s="82"/>
      <c r="G36" s="83"/>
      <c r="H36" s="81"/>
      <c r="I36" s="82"/>
      <c r="J36" s="82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4"/>
      <c r="W36" s="84"/>
      <c r="X36" s="84"/>
    </row>
    <row r="37" spans="1:24" ht="15.75" customHeight="1" x14ac:dyDescent="0.25">
      <c r="A37" s="81"/>
      <c r="B37" s="81"/>
      <c r="C37" s="81"/>
      <c r="D37" s="81"/>
      <c r="E37" s="81"/>
      <c r="F37" s="82"/>
      <c r="G37" s="83"/>
      <c r="H37" s="81"/>
      <c r="I37" s="82"/>
      <c r="J37" s="82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4"/>
      <c r="W37" s="84"/>
      <c r="X37" s="84"/>
    </row>
    <row r="38" spans="1:24" ht="15.75" customHeight="1" x14ac:dyDescent="0.25">
      <c r="A38" s="81"/>
      <c r="B38" s="81"/>
      <c r="C38" s="81"/>
      <c r="D38" s="81"/>
      <c r="E38" s="81"/>
      <c r="F38" s="82"/>
      <c r="G38" s="83"/>
      <c r="H38" s="81"/>
      <c r="I38" s="82"/>
      <c r="J38" s="82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4"/>
      <c r="W38" s="84"/>
      <c r="X38" s="84"/>
    </row>
    <row r="39" spans="1:24" ht="15.75" customHeight="1" x14ac:dyDescent="0.25">
      <c r="A39" s="81"/>
      <c r="B39" s="81"/>
      <c r="C39" s="81"/>
      <c r="D39" s="81"/>
      <c r="E39" s="81"/>
      <c r="F39" s="82"/>
      <c r="G39" s="83"/>
      <c r="H39" s="81"/>
      <c r="I39" s="82"/>
      <c r="J39" s="82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4"/>
      <c r="W39" s="84"/>
      <c r="X39" s="84"/>
    </row>
    <row r="40" spans="1:24" ht="15.75" customHeight="1" x14ac:dyDescent="0.25">
      <c r="A40" s="81"/>
      <c r="B40" s="81"/>
      <c r="C40" s="81"/>
      <c r="D40" s="81"/>
      <c r="E40" s="81"/>
      <c r="F40" s="82"/>
      <c r="G40" s="83"/>
      <c r="H40" s="81"/>
      <c r="I40" s="82"/>
      <c r="J40" s="82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4"/>
      <c r="W40" s="84"/>
      <c r="X40" s="84"/>
    </row>
    <row r="41" spans="1:24" ht="15.75" customHeight="1" x14ac:dyDescent="0.25">
      <c r="A41" s="81"/>
      <c r="B41" s="81"/>
      <c r="C41" s="81"/>
      <c r="D41" s="81"/>
      <c r="E41" s="81"/>
      <c r="F41" s="82"/>
      <c r="G41" s="83"/>
      <c r="H41" s="81"/>
      <c r="I41" s="82"/>
      <c r="J41" s="82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4"/>
      <c r="W41" s="84"/>
      <c r="X41" s="84"/>
    </row>
    <row r="42" spans="1:24" ht="15.75" customHeight="1" x14ac:dyDescent="0.25">
      <c r="A42" s="81"/>
      <c r="B42" s="81"/>
      <c r="C42" s="81"/>
      <c r="D42" s="81"/>
      <c r="E42" s="81"/>
      <c r="F42" s="82"/>
      <c r="G42" s="83"/>
      <c r="H42" s="81"/>
      <c r="I42" s="82"/>
      <c r="J42" s="82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4"/>
      <c r="W42" s="84"/>
      <c r="X42" s="84"/>
    </row>
    <row r="43" spans="1:24" ht="15.75" customHeight="1" x14ac:dyDescent="0.25">
      <c r="A43" s="81"/>
      <c r="B43" s="81"/>
      <c r="C43" s="81"/>
      <c r="D43" s="81"/>
      <c r="E43" s="81"/>
      <c r="F43" s="82"/>
      <c r="G43" s="83"/>
      <c r="H43" s="81"/>
      <c r="I43" s="82"/>
      <c r="J43" s="82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4"/>
      <c r="W43" s="84"/>
      <c r="X43" s="84"/>
    </row>
    <row r="44" spans="1:24" ht="15.75" customHeight="1" x14ac:dyDescent="0.25">
      <c r="A44" s="81"/>
      <c r="B44" s="81"/>
      <c r="C44" s="81"/>
      <c r="D44" s="81"/>
      <c r="E44" s="81"/>
      <c r="F44" s="82"/>
      <c r="G44" s="83"/>
      <c r="H44" s="81"/>
      <c r="I44" s="82"/>
      <c r="J44" s="82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4"/>
      <c r="W44" s="84"/>
      <c r="X44" s="84"/>
    </row>
    <row r="45" spans="1:24" ht="15.75" customHeight="1" x14ac:dyDescent="0.25">
      <c r="A45" s="81"/>
      <c r="B45" s="81"/>
      <c r="C45" s="81"/>
      <c r="D45" s="81"/>
      <c r="E45" s="81"/>
      <c r="F45" s="82"/>
      <c r="G45" s="83"/>
      <c r="H45" s="81"/>
      <c r="I45" s="82"/>
      <c r="J45" s="82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4"/>
      <c r="W45" s="84"/>
      <c r="X45" s="84"/>
    </row>
    <row r="46" spans="1:24" ht="15.75" customHeight="1" x14ac:dyDescent="0.25">
      <c r="A46" s="81"/>
      <c r="B46" s="81"/>
      <c r="C46" s="81"/>
      <c r="D46" s="81"/>
      <c r="E46" s="81"/>
      <c r="F46" s="82"/>
      <c r="G46" s="83"/>
      <c r="H46" s="81"/>
      <c r="I46" s="82"/>
      <c r="J46" s="82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4"/>
      <c r="W46" s="84"/>
      <c r="X46" s="84"/>
    </row>
    <row r="47" spans="1:24" ht="15.75" customHeight="1" x14ac:dyDescent="0.25">
      <c r="A47" s="81"/>
      <c r="B47" s="81"/>
      <c r="C47" s="81"/>
      <c r="D47" s="81"/>
      <c r="E47" s="81"/>
      <c r="F47" s="82"/>
      <c r="G47" s="83"/>
      <c r="H47" s="81"/>
      <c r="I47" s="82"/>
      <c r="J47" s="82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4"/>
      <c r="W47" s="84"/>
      <c r="X47" s="84"/>
    </row>
    <row r="48" spans="1:24" ht="15.75" customHeight="1" x14ac:dyDescent="0.25">
      <c r="A48" s="81"/>
      <c r="B48" s="81"/>
      <c r="C48" s="81"/>
      <c r="D48" s="81"/>
      <c r="E48" s="81"/>
      <c r="F48" s="82"/>
      <c r="G48" s="83"/>
      <c r="H48" s="81"/>
      <c r="I48" s="82"/>
      <c r="J48" s="82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4"/>
      <c r="W48" s="84"/>
      <c r="X48" s="84"/>
    </row>
    <row r="49" spans="1:24" ht="15.75" customHeight="1" x14ac:dyDescent="0.25">
      <c r="A49" s="81"/>
      <c r="B49" s="81"/>
      <c r="C49" s="81"/>
      <c r="D49" s="81"/>
      <c r="E49" s="81"/>
      <c r="F49" s="82"/>
      <c r="G49" s="83"/>
      <c r="H49" s="81"/>
      <c r="I49" s="82"/>
      <c r="J49" s="82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4"/>
      <c r="W49" s="84"/>
      <c r="X49" s="84"/>
    </row>
    <row r="50" spans="1:24" ht="15.75" customHeight="1" x14ac:dyDescent="0.25">
      <c r="A50" s="81"/>
      <c r="B50" s="81"/>
      <c r="C50" s="81"/>
      <c r="D50" s="81"/>
      <c r="E50" s="81"/>
      <c r="F50" s="82"/>
      <c r="G50" s="83"/>
      <c r="H50" s="81"/>
      <c r="I50" s="82"/>
      <c r="J50" s="82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4"/>
      <c r="W50" s="84"/>
      <c r="X50" s="84"/>
    </row>
    <row r="51" spans="1:24" ht="15.75" customHeight="1" x14ac:dyDescent="0.25">
      <c r="A51" s="81"/>
      <c r="B51" s="81"/>
      <c r="C51" s="81"/>
      <c r="D51" s="81"/>
      <c r="E51" s="81"/>
      <c r="F51" s="82"/>
      <c r="G51" s="83"/>
      <c r="H51" s="81"/>
      <c r="I51" s="82"/>
      <c r="J51" s="82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4"/>
      <c r="W51" s="84"/>
      <c r="X51" s="84"/>
    </row>
    <row r="52" spans="1:24" ht="15.75" customHeight="1" x14ac:dyDescent="0.25">
      <c r="A52" s="81"/>
      <c r="B52" s="81"/>
      <c r="C52" s="81"/>
      <c r="D52" s="81"/>
      <c r="E52" s="81"/>
      <c r="F52" s="82"/>
      <c r="G52" s="83"/>
      <c r="H52" s="81"/>
      <c r="I52" s="82"/>
      <c r="J52" s="82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4"/>
      <c r="W52" s="84"/>
      <c r="X52" s="84"/>
    </row>
    <row r="53" spans="1:24" ht="15.75" customHeight="1" x14ac:dyDescent="0.25">
      <c r="A53" s="81"/>
      <c r="B53" s="81"/>
      <c r="C53" s="81"/>
      <c r="D53" s="81"/>
      <c r="E53" s="81"/>
      <c r="F53" s="82"/>
      <c r="G53" s="83"/>
      <c r="H53" s="81"/>
      <c r="I53" s="82"/>
      <c r="J53" s="82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4"/>
      <c r="W53" s="84"/>
      <c r="X53" s="84"/>
    </row>
    <row r="54" spans="1:24" ht="15.75" customHeight="1" x14ac:dyDescent="0.25">
      <c r="A54" s="81"/>
      <c r="B54" s="81"/>
      <c r="C54" s="81"/>
      <c r="D54" s="81"/>
      <c r="E54" s="81"/>
      <c r="F54" s="82"/>
      <c r="G54" s="83"/>
      <c r="H54" s="81"/>
      <c r="I54" s="82"/>
      <c r="J54" s="82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4"/>
      <c r="W54" s="84"/>
      <c r="X54" s="84"/>
    </row>
    <row r="55" spans="1:24" ht="15.75" customHeight="1" x14ac:dyDescent="0.25">
      <c r="A55" s="81"/>
      <c r="B55" s="81"/>
      <c r="C55" s="81"/>
      <c r="D55" s="81"/>
      <c r="E55" s="81"/>
      <c r="F55" s="82"/>
      <c r="G55" s="83"/>
      <c r="H55" s="81"/>
      <c r="I55" s="82"/>
      <c r="J55" s="82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4"/>
      <c r="W55" s="84"/>
      <c r="X55" s="84"/>
    </row>
    <row r="56" spans="1:24" ht="15.75" customHeight="1" x14ac:dyDescent="0.25">
      <c r="A56" s="81"/>
      <c r="B56" s="81"/>
      <c r="C56" s="81"/>
      <c r="D56" s="81"/>
      <c r="E56" s="81"/>
      <c r="F56" s="82"/>
      <c r="G56" s="83"/>
      <c r="H56" s="81"/>
      <c r="I56" s="82"/>
      <c r="J56" s="82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4"/>
      <c r="W56" s="84"/>
      <c r="X56" s="84"/>
    </row>
    <row r="57" spans="1:24" ht="15.75" customHeight="1" x14ac:dyDescent="0.25">
      <c r="A57" s="81"/>
      <c r="B57" s="81"/>
      <c r="C57" s="81"/>
      <c r="D57" s="81"/>
      <c r="E57" s="81"/>
      <c r="F57" s="82"/>
      <c r="G57" s="83"/>
      <c r="H57" s="81"/>
      <c r="I57" s="82"/>
      <c r="J57" s="82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4"/>
      <c r="W57" s="84"/>
      <c r="X57" s="84"/>
    </row>
    <row r="58" spans="1:24" ht="15.75" customHeight="1" x14ac:dyDescent="0.25">
      <c r="A58" s="81"/>
      <c r="B58" s="81"/>
      <c r="C58" s="81"/>
      <c r="D58" s="81"/>
      <c r="E58" s="81"/>
      <c r="F58" s="82"/>
      <c r="G58" s="83"/>
      <c r="H58" s="81"/>
      <c r="I58" s="82"/>
      <c r="J58" s="82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4"/>
      <c r="W58" s="84"/>
      <c r="X58" s="84"/>
    </row>
    <row r="59" spans="1:24" ht="15.75" customHeight="1" x14ac:dyDescent="0.25">
      <c r="A59" s="81"/>
      <c r="B59" s="81"/>
      <c r="C59" s="81"/>
      <c r="D59" s="81"/>
      <c r="E59" s="81"/>
      <c r="F59" s="82"/>
      <c r="G59" s="83"/>
      <c r="H59" s="81"/>
      <c r="I59" s="82"/>
      <c r="J59" s="82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4"/>
      <c r="W59" s="84"/>
      <c r="X59" s="84"/>
    </row>
    <row r="60" spans="1:24" ht="15.75" customHeight="1" x14ac:dyDescent="0.25">
      <c r="A60" s="81"/>
      <c r="B60" s="81"/>
      <c r="C60" s="81"/>
      <c r="D60" s="81"/>
      <c r="E60" s="81"/>
      <c r="F60" s="82"/>
      <c r="G60" s="83"/>
      <c r="H60" s="81"/>
      <c r="I60" s="82"/>
      <c r="J60" s="82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4"/>
      <c r="W60" s="84"/>
      <c r="X60" s="84"/>
    </row>
    <row r="61" spans="1:24" ht="15.75" customHeight="1" x14ac:dyDescent="0.25">
      <c r="A61" s="81"/>
      <c r="B61" s="81"/>
      <c r="C61" s="81"/>
      <c r="D61" s="81"/>
      <c r="E61" s="81"/>
      <c r="F61" s="82"/>
      <c r="G61" s="83"/>
      <c r="H61" s="81"/>
      <c r="I61" s="82"/>
      <c r="J61" s="82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4"/>
      <c r="W61" s="84"/>
      <c r="X61" s="84"/>
    </row>
    <row r="62" spans="1:24" ht="15.75" customHeight="1" x14ac:dyDescent="0.25">
      <c r="A62" s="81"/>
      <c r="B62" s="81"/>
      <c r="C62" s="81"/>
      <c r="D62" s="81"/>
      <c r="E62" s="81"/>
      <c r="F62" s="82"/>
      <c r="G62" s="83"/>
      <c r="H62" s="81"/>
      <c r="I62" s="82"/>
      <c r="J62" s="82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4"/>
      <c r="W62" s="84"/>
      <c r="X62" s="84"/>
    </row>
    <row r="63" spans="1:24" ht="15.75" customHeight="1" x14ac:dyDescent="0.25">
      <c r="A63" s="81"/>
      <c r="B63" s="81"/>
      <c r="C63" s="81"/>
      <c r="D63" s="81"/>
      <c r="E63" s="81"/>
      <c r="F63" s="82"/>
      <c r="G63" s="83"/>
      <c r="H63" s="81"/>
      <c r="I63" s="82"/>
      <c r="J63" s="82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4"/>
      <c r="W63" s="84"/>
      <c r="X63" s="84"/>
    </row>
    <row r="64" spans="1:24" ht="15.75" customHeight="1" x14ac:dyDescent="0.25">
      <c r="A64" s="81"/>
      <c r="B64" s="81"/>
      <c r="C64" s="81"/>
      <c r="D64" s="81"/>
      <c r="E64" s="81"/>
      <c r="F64" s="82"/>
      <c r="G64" s="83"/>
      <c r="H64" s="81"/>
      <c r="I64" s="82"/>
      <c r="J64" s="82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4"/>
      <c r="W64" s="84"/>
      <c r="X64" s="84"/>
    </row>
    <row r="65" spans="1:24" ht="15.75" customHeight="1" x14ac:dyDescent="0.25">
      <c r="A65" s="81"/>
      <c r="B65" s="81"/>
      <c r="C65" s="81"/>
      <c r="D65" s="81"/>
      <c r="E65" s="81"/>
      <c r="F65" s="82"/>
      <c r="G65" s="83"/>
      <c r="H65" s="81"/>
      <c r="I65" s="82"/>
      <c r="J65" s="82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4"/>
      <c r="W65" s="84"/>
      <c r="X65" s="84"/>
    </row>
    <row r="66" spans="1:24" ht="15.75" customHeight="1" x14ac:dyDescent="0.25">
      <c r="A66" s="81"/>
      <c r="B66" s="81"/>
      <c r="C66" s="81"/>
      <c r="D66" s="81"/>
      <c r="E66" s="81"/>
      <c r="F66" s="82"/>
      <c r="G66" s="83"/>
      <c r="H66" s="81"/>
      <c r="I66" s="82"/>
      <c r="J66" s="82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4"/>
      <c r="W66" s="84"/>
      <c r="X66" s="84"/>
    </row>
    <row r="67" spans="1:24" ht="15.75" customHeight="1" x14ac:dyDescent="0.25">
      <c r="A67" s="81"/>
      <c r="B67" s="81"/>
      <c r="C67" s="81"/>
      <c r="D67" s="81"/>
      <c r="E67" s="81"/>
      <c r="F67" s="82"/>
      <c r="G67" s="83"/>
      <c r="H67" s="81"/>
      <c r="I67" s="82"/>
      <c r="J67" s="82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4"/>
      <c r="W67" s="84"/>
      <c r="X67" s="84"/>
    </row>
    <row r="68" spans="1:24" ht="15.75" customHeight="1" x14ac:dyDescent="0.25">
      <c r="A68" s="81"/>
      <c r="B68" s="81"/>
      <c r="C68" s="81"/>
      <c r="D68" s="81"/>
      <c r="E68" s="81"/>
      <c r="F68" s="82"/>
      <c r="G68" s="83"/>
      <c r="H68" s="81"/>
      <c r="I68" s="82"/>
      <c r="J68" s="82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4"/>
      <c r="W68" s="84"/>
      <c r="X68" s="84"/>
    </row>
    <row r="69" spans="1:24" ht="15.75" customHeight="1" x14ac:dyDescent="0.25">
      <c r="A69" s="81"/>
      <c r="B69" s="81"/>
      <c r="C69" s="81"/>
      <c r="D69" s="81"/>
      <c r="E69" s="81"/>
      <c r="F69" s="82"/>
      <c r="G69" s="83"/>
      <c r="H69" s="81"/>
      <c r="I69" s="82"/>
      <c r="J69" s="82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4"/>
      <c r="W69" s="84"/>
      <c r="X69" s="84"/>
    </row>
    <row r="70" spans="1:24" ht="15.75" customHeight="1" x14ac:dyDescent="0.25">
      <c r="A70" s="81"/>
      <c r="B70" s="81"/>
      <c r="C70" s="81"/>
      <c r="D70" s="81"/>
      <c r="E70" s="81"/>
      <c r="F70" s="82"/>
      <c r="G70" s="83"/>
      <c r="H70" s="81"/>
      <c r="I70" s="82"/>
      <c r="J70" s="82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4"/>
      <c r="W70" s="84"/>
      <c r="X70" s="84"/>
    </row>
    <row r="71" spans="1:24" ht="15.75" customHeight="1" x14ac:dyDescent="0.25">
      <c r="A71" s="81"/>
      <c r="B71" s="81"/>
      <c r="C71" s="81"/>
      <c r="D71" s="81"/>
      <c r="E71" s="81"/>
      <c r="F71" s="82"/>
      <c r="G71" s="83"/>
      <c r="H71" s="81"/>
      <c r="I71" s="82"/>
      <c r="J71" s="82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4"/>
      <c r="W71" s="84"/>
      <c r="X71" s="84"/>
    </row>
    <row r="72" spans="1:24" ht="15.75" customHeight="1" x14ac:dyDescent="0.25">
      <c r="A72" s="81"/>
      <c r="B72" s="81"/>
      <c r="C72" s="81"/>
      <c r="D72" s="81"/>
      <c r="E72" s="81"/>
      <c r="F72" s="82"/>
      <c r="G72" s="83"/>
      <c r="H72" s="81"/>
      <c r="I72" s="82"/>
      <c r="J72" s="82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4"/>
      <c r="W72" s="84"/>
      <c r="X72" s="84"/>
    </row>
    <row r="73" spans="1:24" ht="15.75" customHeight="1" x14ac:dyDescent="0.25">
      <c r="A73" s="81"/>
      <c r="B73" s="81"/>
      <c r="C73" s="81"/>
      <c r="D73" s="81"/>
      <c r="E73" s="81"/>
      <c r="F73" s="82"/>
      <c r="G73" s="83"/>
      <c r="H73" s="81"/>
      <c r="I73" s="82"/>
      <c r="J73" s="82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4"/>
      <c r="W73" s="84"/>
      <c r="X73" s="84"/>
    </row>
    <row r="74" spans="1:24" ht="15.75" customHeight="1" x14ac:dyDescent="0.25">
      <c r="A74" s="81"/>
      <c r="B74" s="81"/>
      <c r="C74" s="81"/>
      <c r="D74" s="81"/>
      <c r="E74" s="81"/>
      <c r="F74" s="82"/>
      <c r="G74" s="83"/>
      <c r="H74" s="81"/>
      <c r="I74" s="82"/>
      <c r="J74" s="82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4"/>
      <c r="W74" s="84"/>
      <c r="X74" s="84"/>
    </row>
    <row r="75" spans="1:24" ht="15.75" customHeight="1" x14ac:dyDescent="0.25">
      <c r="A75" s="81"/>
      <c r="B75" s="81"/>
      <c r="C75" s="81"/>
      <c r="D75" s="81"/>
      <c r="E75" s="81"/>
      <c r="F75" s="82"/>
      <c r="G75" s="83"/>
      <c r="H75" s="81"/>
      <c r="I75" s="82"/>
      <c r="J75" s="82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4"/>
      <c r="W75" s="84"/>
      <c r="X75" s="84"/>
    </row>
    <row r="76" spans="1:24" ht="15.75" customHeight="1" x14ac:dyDescent="0.25">
      <c r="A76" s="81"/>
      <c r="B76" s="81"/>
      <c r="C76" s="81"/>
      <c r="D76" s="81"/>
      <c r="E76" s="81"/>
      <c r="F76" s="82"/>
      <c r="G76" s="83"/>
      <c r="H76" s="81"/>
      <c r="I76" s="82"/>
      <c r="J76" s="82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4"/>
      <c r="W76" s="84"/>
      <c r="X76" s="84"/>
    </row>
    <row r="77" spans="1:24" ht="15.75" customHeight="1" x14ac:dyDescent="0.25">
      <c r="A77" s="81"/>
      <c r="B77" s="81"/>
      <c r="C77" s="81"/>
      <c r="D77" s="81"/>
      <c r="E77" s="81"/>
      <c r="F77" s="82"/>
      <c r="G77" s="83"/>
      <c r="H77" s="81"/>
      <c r="I77" s="82"/>
      <c r="J77" s="82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4"/>
      <c r="W77" s="84"/>
      <c r="X77" s="84"/>
    </row>
    <row r="78" spans="1:24" ht="15.75" customHeight="1" x14ac:dyDescent="0.25">
      <c r="A78" s="81"/>
      <c r="B78" s="81"/>
      <c r="C78" s="81"/>
      <c r="D78" s="81"/>
      <c r="E78" s="81"/>
      <c r="F78" s="82"/>
      <c r="G78" s="83"/>
      <c r="H78" s="81"/>
      <c r="I78" s="82"/>
      <c r="J78" s="82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4"/>
      <c r="W78" s="84"/>
      <c r="X78" s="84"/>
    </row>
    <row r="79" spans="1:24" ht="15.75" customHeight="1" x14ac:dyDescent="0.25">
      <c r="A79" s="81"/>
      <c r="B79" s="81"/>
      <c r="C79" s="81"/>
      <c r="D79" s="81"/>
      <c r="E79" s="81"/>
      <c r="F79" s="82"/>
      <c r="G79" s="83"/>
      <c r="H79" s="81"/>
      <c r="I79" s="82"/>
      <c r="J79" s="82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4"/>
      <c r="W79" s="84"/>
      <c r="X79" s="84"/>
    </row>
    <row r="80" spans="1:24" ht="15.75" customHeight="1" x14ac:dyDescent="0.25">
      <c r="A80" s="81"/>
      <c r="B80" s="81"/>
      <c r="C80" s="81"/>
      <c r="D80" s="81"/>
      <c r="E80" s="81"/>
      <c r="F80" s="82"/>
      <c r="G80" s="83"/>
      <c r="H80" s="81"/>
      <c r="I80" s="82"/>
      <c r="J80" s="82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4"/>
      <c r="W80" s="84"/>
      <c r="X80" s="84"/>
    </row>
    <row r="81" spans="1:24" ht="15.75" customHeight="1" x14ac:dyDescent="0.25">
      <c r="A81" s="81"/>
      <c r="B81" s="81"/>
      <c r="C81" s="81"/>
      <c r="D81" s="81"/>
      <c r="E81" s="81"/>
      <c r="F81" s="82"/>
      <c r="G81" s="83"/>
      <c r="H81" s="81"/>
      <c r="I81" s="82"/>
      <c r="J81" s="82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4"/>
      <c r="W81" s="84"/>
      <c r="X81" s="84"/>
    </row>
    <row r="82" spans="1:24" ht="15.75" customHeight="1" x14ac:dyDescent="0.25">
      <c r="A82" s="81"/>
      <c r="B82" s="81"/>
      <c r="C82" s="81"/>
      <c r="D82" s="81"/>
      <c r="E82" s="81"/>
      <c r="F82" s="82"/>
      <c r="G82" s="83"/>
      <c r="H82" s="81"/>
      <c r="I82" s="82"/>
      <c r="J82" s="82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4"/>
      <c r="W82" s="84"/>
      <c r="X82" s="84"/>
    </row>
    <row r="83" spans="1:24" ht="15.75" customHeight="1" x14ac:dyDescent="0.25">
      <c r="A83" s="81"/>
      <c r="B83" s="81"/>
      <c r="C83" s="81"/>
      <c r="D83" s="81"/>
      <c r="E83" s="81"/>
      <c r="F83" s="82"/>
      <c r="G83" s="83"/>
      <c r="H83" s="81"/>
      <c r="I83" s="82"/>
      <c r="J83" s="82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4"/>
      <c r="W83" s="84"/>
      <c r="X83" s="84"/>
    </row>
    <row r="84" spans="1:24" ht="15.75" customHeight="1" x14ac:dyDescent="0.25">
      <c r="A84" s="81"/>
      <c r="B84" s="81"/>
      <c r="C84" s="81"/>
      <c r="D84" s="81"/>
      <c r="E84" s="81"/>
      <c r="F84" s="82"/>
      <c r="G84" s="83"/>
      <c r="H84" s="81"/>
      <c r="I84" s="82"/>
      <c r="J84" s="82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4"/>
      <c r="W84" s="84"/>
      <c r="X84" s="84"/>
    </row>
    <row r="85" spans="1:24" ht="15.75" customHeight="1" x14ac:dyDescent="0.25">
      <c r="A85" s="81"/>
      <c r="B85" s="81"/>
      <c r="C85" s="81"/>
      <c r="D85" s="81"/>
      <c r="E85" s="81"/>
      <c r="F85" s="82"/>
      <c r="G85" s="83"/>
      <c r="H85" s="81"/>
      <c r="I85" s="82"/>
      <c r="J85" s="82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4"/>
      <c r="W85" s="84"/>
      <c r="X85" s="84"/>
    </row>
    <row r="86" spans="1:24" ht="15.75" customHeight="1" x14ac:dyDescent="0.25">
      <c r="A86" s="81"/>
      <c r="B86" s="81"/>
      <c r="C86" s="81"/>
      <c r="D86" s="81"/>
      <c r="E86" s="81"/>
      <c r="F86" s="82"/>
      <c r="G86" s="83"/>
      <c r="H86" s="81"/>
      <c r="I86" s="82"/>
      <c r="J86" s="82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4"/>
      <c r="W86" s="84"/>
      <c r="X86" s="84"/>
    </row>
    <row r="87" spans="1:24" ht="15.75" customHeight="1" x14ac:dyDescent="0.25">
      <c r="A87" s="81"/>
      <c r="B87" s="81"/>
      <c r="C87" s="81"/>
      <c r="D87" s="81"/>
      <c r="E87" s="81"/>
      <c r="F87" s="82"/>
      <c r="G87" s="83"/>
      <c r="H87" s="81"/>
      <c r="I87" s="82"/>
      <c r="J87" s="82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4"/>
      <c r="W87" s="84"/>
      <c r="X87" s="84"/>
    </row>
    <row r="88" spans="1:24" ht="15.75" customHeight="1" x14ac:dyDescent="0.25">
      <c r="A88" s="81"/>
      <c r="B88" s="81"/>
      <c r="C88" s="81"/>
      <c r="D88" s="81"/>
      <c r="E88" s="81"/>
      <c r="F88" s="82"/>
      <c r="G88" s="83"/>
      <c r="H88" s="81"/>
      <c r="I88" s="82"/>
      <c r="J88" s="82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4"/>
      <c r="W88" s="84"/>
      <c r="X88" s="84"/>
    </row>
    <row r="89" spans="1:24" ht="15.75" customHeight="1" x14ac:dyDescent="0.25">
      <c r="A89" s="81"/>
      <c r="B89" s="81"/>
      <c r="C89" s="81"/>
      <c r="D89" s="81"/>
      <c r="E89" s="81"/>
      <c r="F89" s="82"/>
      <c r="G89" s="83"/>
      <c r="H89" s="81"/>
      <c r="I89" s="82"/>
      <c r="J89" s="82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4"/>
      <c r="W89" s="84"/>
      <c r="X89" s="84"/>
    </row>
    <row r="90" spans="1:24" ht="15.75" customHeight="1" x14ac:dyDescent="0.25">
      <c r="A90" s="81"/>
      <c r="B90" s="81"/>
      <c r="C90" s="81"/>
      <c r="D90" s="81"/>
      <c r="E90" s="81"/>
      <c r="F90" s="82"/>
      <c r="G90" s="83"/>
      <c r="H90" s="81"/>
      <c r="I90" s="82"/>
      <c r="J90" s="82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4"/>
      <c r="W90" s="84"/>
      <c r="X90" s="84"/>
    </row>
    <row r="91" spans="1:24" ht="15.75" customHeight="1" x14ac:dyDescent="0.25">
      <c r="A91" s="81"/>
      <c r="B91" s="81"/>
      <c r="C91" s="81"/>
      <c r="D91" s="81"/>
      <c r="E91" s="81"/>
      <c r="F91" s="82"/>
      <c r="G91" s="83"/>
      <c r="H91" s="81"/>
      <c r="I91" s="82"/>
      <c r="J91" s="82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4"/>
      <c r="W91" s="84"/>
      <c r="X91" s="84"/>
    </row>
    <row r="92" spans="1:24" ht="15.75" customHeight="1" x14ac:dyDescent="0.25">
      <c r="A92" s="81"/>
      <c r="B92" s="81"/>
      <c r="C92" s="81"/>
      <c r="D92" s="81"/>
      <c r="E92" s="81"/>
      <c r="F92" s="82"/>
      <c r="G92" s="83"/>
      <c r="H92" s="81"/>
      <c r="I92" s="82"/>
      <c r="J92" s="82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4"/>
      <c r="W92" s="84"/>
      <c r="X92" s="84"/>
    </row>
    <row r="93" spans="1:24" ht="15.75" customHeight="1" x14ac:dyDescent="0.25">
      <c r="A93" s="81"/>
      <c r="B93" s="81"/>
      <c r="C93" s="81"/>
      <c r="D93" s="81"/>
      <c r="E93" s="81"/>
      <c r="F93" s="82"/>
      <c r="G93" s="83"/>
      <c r="H93" s="81"/>
      <c r="I93" s="82"/>
      <c r="J93" s="82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4"/>
      <c r="W93" s="84"/>
      <c r="X93" s="84"/>
    </row>
    <row r="94" spans="1:24" ht="15.75" customHeight="1" x14ac:dyDescent="0.25">
      <c r="A94" s="81"/>
      <c r="B94" s="81"/>
      <c r="C94" s="81"/>
      <c r="D94" s="81"/>
      <c r="E94" s="81"/>
      <c r="F94" s="82"/>
      <c r="G94" s="83"/>
      <c r="H94" s="81"/>
      <c r="I94" s="82"/>
      <c r="J94" s="82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4"/>
      <c r="W94" s="84"/>
      <c r="X94" s="84"/>
    </row>
    <row r="95" spans="1:24" ht="15.75" customHeight="1" x14ac:dyDescent="0.25">
      <c r="A95" s="81"/>
      <c r="B95" s="81"/>
      <c r="C95" s="81"/>
      <c r="D95" s="81"/>
      <c r="E95" s="81"/>
      <c r="F95" s="82"/>
      <c r="G95" s="83"/>
      <c r="H95" s="81"/>
      <c r="I95" s="82"/>
      <c r="J95" s="82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4"/>
      <c r="W95" s="84"/>
      <c r="X95" s="84"/>
    </row>
    <row r="96" spans="1:24" ht="15.75" customHeight="1" x14ac:dyDescent="0.25">
      <c r="A96" s="81"/>
      <c r="B96" s="81"/>
      <c r="C96" s="81"/>
      <c r="D96" s="81"/>
      <c r="E96" s="81"/>
      <c r="F96" s="82"/>
      <c r="G96" s="83"/>
      <c r="H96" s="81"/>
      <c r="I96" s="82"/>
      <c r="J96" s="82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4"/>
      <c r="W96" s="84"/>
      <c r="X96" s="84"/>
    </row>
    <row r="97" spans="1:24" ht="15.75" customHeight="1" x14ac:dyDescent="0.25">
      <c r="A97" s="81"/>
      <c r="B97" s="81"/>
      <c r="C97" s="81"/>
      <c r="D97" s="81"/>
      <c r="E97" s="81"/>
      <c r="F97" s="82"/>
      <c r="G97" s="83"/>
      <c r="H97" s="81"/>
      <c r="I97" s="82"/>
      <c r="J97" s="82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4"/>
      <c r="W97" s="84"/>
      <c r="X97" s="84"/>
    </row>
    <row r="98" spans="1:24" ht="15.75" customHeight="1" x14ac:dyDescent="0.25">
      <c r="A98" s="81"/>
      <c r="B98" s="81"/>
      <c r="C98" s="81"/>
      <c r="D98" s="81"/>
      <c r="E98" s="81"/>
      <c r="F98" s="82"/>
      <c r="G98" s="83"/>
      <c r="H98" s="81"/>
      <c r="I98" s="82"/>
      <c r="J98" s="82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4"/>
      <c r="W98" s="84"/>
      <c r="X98" s="84"/>
    </row>
    <row r="99" spans="1:24" ht="15.75" customHeight="1" x14ac:dyDescent="0.25">
      <c r="A99" s="81"/>
      <c r="B99" s="81"/>
      <c r="C99" s="81"/>
      <c r="D99" s="81"/>
      <c r="E99" s="81"/>
      <c r="F99" s="82"/>
      <c r="G99" s="83"/>
      <c r="H99" s="81"/>
      <c r="I99" s="82"/>
      <c r="J99" s="82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4"/>
      <c r="W99" s="84"/>
      <c r="X99" s="84"/>
    </row>
    <row r="100" spans="1:24" ht="15.75" customHeight="1" x14ac:dyDescent="0.25">
      <c r="A100" s="81"/>
      <c r="B100" s="81"/>
      <c r="C100" s="81"/>
      <c r="D100" s="81"/>
      <c r="E100" s="81"/>
      <c r="F100" s="82"/>
      <c r="G100" s="83"/>
      <c r="H100" s="81"/>
      <c r="I100" s="82"/>
      <c r="J100" s="82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4"/>
      <c r="W100" s="84"/>
      <c r="X100" s="84"/>
    </row>
    <row r="101" spans="1:24" ht="15.75" customHeight="1" x14ac:dyDescent="0.25">
      <c r="A101" s="81"/>
      <c r="B101" s="81"/>
      <c r="C101" s="81"/>
      <c r="D101" s="81"/>
      <c r="E101" s="81"/>
      <c r="F101" s="82"/>
      <c r="G101" s="83"/>
      <c r="H101" s="81"/>
      <c r="I101" s="82"/>
      <c r="J101" s="82"/>
      <c r="K101" s="81"/>
      <c r="L101" s="81"/>
      <c r="M101" s="81"/>
      <c r="N101" s="81"/>
      <c r="O101" s="81"/>
      <c r="P101" s="81"/>
      <c r="Q101" s="81"/>
      <c r="R101" s="81"/>
      <c r="S101" s="81"/>
      <c r="T101" s="81"/>
      <c r="U101" s="81"/>
      <c r="V101" s="84"/>
      <c r="W101" s="84"/>
      <c r="X101" s="84"/>
    </row>
    <row r="102" spans="1:24" ht="15.75" customHeight="1" x14ac:dyDescent="0.25">
      <c r="A102" s="81"/>
      <c r="B102" s="81"/>
      <c r="C102" s="81"/>
      <c r="D102" s="81"/>
      <c r="E102" s="81"/>
      <c r="F102" s="82"/>
      <c r="G102" s="83"/>
      <c r="H102" s="81"/>
      <c r="I102" s="82"/>
      <c r="J102" s="82"/>
      <c r="K102" s="81"/>
      <c r="L102" s="81"/>
      <c r="M102" s="81"/>
      <c r="N102" s="81"/>
      <c r="O102" s="81"/>
      <c r="P102" s="81"/>
      <c r="Q102" s="81"/>
      <c r="R102" s="81"/>
      <c r="S102" s="81"/>
      <c r="T102" s="81"/>
      <c r="U102" s="81"/>
      <c r="V102" s="84"/>
      <c r="W102" s="84"/>
      <c r="X102" s="84"/>
    </row>
    <row r="103" spans="1:24" ht="15.75" customHeight="1" x14ac:dyDescent="0.25">
      <c r="A103" s="81"/>
      <c r="B103" s="81"/>
      <c r="C103" s="81"/>
      <c r="D103" s="81"/>
      <c r="E103" s="81"/>
      <c r="F103" s="82"/>
      <c r="G103" s="83"/>
      <c r="H103" s="81"/>
      <c r="I103" s="82"/>
      <c r="J103" s="82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4"/>
      <c r="W103" s="84"/>
      <c r="X103" s="84"/>
    </row>
    <row r="104" spans="1:24" ht="15.75" customHeight="1" x14ac:dyDescent="0.25">
      <c r="A104" s="81"/>
      <c r="B104" s="81"/>
      <c r="C104" s="81"/>
      <c r="D104" s="81"/>
      <c r="E104" s="81"/>
      <c r="F104" s="82"/>
      <c r="G104" s="83"/>
      <c r="H104" s="81"/>
      <c r="I104" s="82"/>
      <c r="J104" s="82"/>
      <c r="K104" s="81"/>
      <c r="L104" s="81"/>
      <c r="M104" s="81"/>
      <c r="N104" s="81"/>
      <c r="O104" s="81"/>
      <c r="P104" s="81"/>
      <c r="Q104" s="81"/>
      <c r="R104" s="81"/>
      <c r="S104" s="81"/>
      <c r="T104" s="81"/>
      <c r="U104" s="81"/>
      <c r="V104" s="84"/>
      <c r="W104" s="84"/>
      <c r="X104" s="84"/>
    </row>
    <row r="105" spans="1:24" ht="15.75" customHeight="1" x14ac:dyDescent="0.25">
      <c r="A105" s="81"/>
      <c r="B105" s="81"/>
      <c r="C105" s="81"/>
      <c r="D105" s="81"/>
      <c r="E105" s="81"/>
      <c r="F105" s="82"/>
      <c r="G105" s="83"/>
      <c r="H105" s="81"/>
      <c r="I105" s="82"/>
      <c r="J105" s="82"/>
      <c r="K105" s="81"/>
      <c r="L105" s="81"/>
      <c r="M105" s="81"/>
      <c r="N105" s="81"/>
      <c r="O105" s="81"/>
      <c r="P105" s="81"/>
      <c r="Q105" s="81"/>
      <c r="R105" s="81"/>
      <c r="S105" s="81"/>
      <c r="T105" s="81"/>
      <c r="U105" s="81"/>
      <c r="V105" s="84"/>
      <c r="W105" s="84"/>
      <c r="X105" s="84"/>
    </row>
    <row r="106" spans="1:24" ht="15.75" customHeight="1" x14ac:dyDescent="0.25">
      <c r="A106" s="81"/>
      <c r="B106" s="81"/>
      <c r="C106" s="81"/>
      <c r="D106" s="81"/>
      <c r="E106" s="81"/>
      <c r="F106" s="82"/>
      <c r="G106" s="83"/>
      <c r="H106" s="81"/>
      <c r="I106" s="82"/>
      <c r="J106" s="82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4"/>
      <c r="W106" s="84"/>
      <c r="X106" s="84"/>
    </row>
    <row r="107" spans="1:24" ht="15.75" customHeight="1" x14ac:dyDescent="0.25">
      <c r="A107" s="81"/>
      <c r="B107" s="81"/>
      <c r="C107" s="81"/>
      <c r="D107" s="81"/>
      <c r="E107" s="81"/>
      <c r="F107" s="82"/>
      <c r="G107" s="83"/>
      <c r="H107" s="81"/>
      <c r="I107" s="82"/>
      <c r="J107" s="82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4"/>
      <c r="W107" s="84"/>
      <c r="X107" s="84"/>
    </row>
    <row r="108" spans="1:24" ht="15.75" customHeight="1" x14ac:dyDescent="0.25">
      <c r="A108" s="81"/>
      <c r="B108" s="81"/>
      <c r="C108" s="81"/>
      <c r="D108" s="81"/>
      <c r="E108" s="81"/>
      <c r="F108" s="82"/>
      <c r="G108" s="83"/>
      <c r="H108" s="81"/>
      <c r="I108" s="82"/>
      <c r="J108" s="82"/>
      <c r="K108" s="81"/>
      <c r="L108" s="81"/>
      <c r="M108" s="81"/>
      <c r="N108" s="81"/>
      <c r="O108" s="81"/>
      <c r="P108" s="81"/>
      <c r="Q108" s="81"/>
      <c r="R108" s="81"/>
      <c r="S108" s="81"/>
      <c r="T108" s="81"/>
      <c r="U108" s="81"/>
      <c r="V108" s="84"/>
      <c r="W108" s="84"/>
      <c r="X108" s="84"/>
    </row>
    <row r="109" spans="1:24" ht="15.75" customHeight="1" x14ac:dyDescent="0.25">
      <c r="A109" s="81"/>
      <c r="B109" s="81"/>
      <c r="C109" s="81"/>
      <c r="D109" s="81"/>
      <c r="E109" s="81"/>
      <c r="F109" s="82"/>
      <c r="G109" s="83"/>
      <c r="H109" s="81"/>
      <c r="I109" s="82"/>
      <c r="J109" s="82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4"/>
      <c r="W109" s="84"/>
      <c r="X109" s="84"/>
    </row>
    <row r="110" spans="1:24" ht="15.75" customHeight="1" x14ac:dyDescent="0.25">
      <c r="A110" s="81"/>
      <c r="B110" s="81"/>
      <c r="C110" s="81"/>
      <c r="D110" s="81"/>
      <c r="E110" s="81"/>
      <c r="F110" s="82"/>
      <c r="G110" s="83"/>
      <c r="H110" s="81"/>
      <c r="I110" s="82"/>
      <c r="J110" s="82"/>
      <c r="K110" s="81"/>
      <c r="L110" s="81"/>
      <c r="M110" s="81"/>
      <c r="N110" s="81"/>
      <c r="O110" s="81"/>
      <c r="P110" s="81"/>
      <c r="Q110" s="81"/>
      <c r="R110" s="81"/>
      <c r="S110" s="81"/>
      <c r="T110" s="81"/>
      <c r="U110" s="81"/>
      <c r="V110" s="84"/>
      <c r="W110" s="84"/>
      <c r="X110" s="84"/>
    </row>
    <row r="111" spans="1:24" ht="15.75" customHeight="1" x14ac:dyDescent="0.25">
      <c r="A111" s="81"/>
      <c r="B111" s="81"/>
      <c r="C111" s="81"/>
      <c r="D111" s="81"/>
      <c r="E111" s="81"/>
      <c r="F111" s="82"/>
      <c r="G111" s="83"/>
      <c r="H111" s="81"/>
      <c r="I111" s="82"/>
      <c r="J111" s="82"/>
      <c r="K111" s="81"/>
      <c r="L111" s="81"/>
      <c r="M111" s="81"/>
      <c r="N111" s="81"/>
      <c r="O111" s="81"/>
      <c r="P111" s="81"/>
      <c r="Q111" s="81"/>
      <c r="R111" s="81"/>
      <c r="S111" s="81"/>
      <c r="T111" s="81"/>
      <c r="U111" s="81"/>
      <c r="V111" s="84"/>
      <c r="W111" s="84"/>
      <c r="X111" s="84"/>
    </row>
    <row r="112" spans="1:24" ht="15.75" customHeight="1" x14ac:dyDescent="0.25">
      <c r="A112" s="81"/>
      <c r="B112" s="81"/>
      <c r="C112" s="81"/>
      <c r="D112" s="81"/>
      <c r="E112" s="81"/>
      <c r="F112" s="82"/>
      <c r="G112" s="83"/>
      <c r="H112" s="81"/>
      <c r="I112" s="82"/>
      <c r="J112" s="82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4"/>
      <c r="W112" s="84"/>
      <c r="X112" s="84"/>
    </row>
    <row r="113" spans="1:24" ht="15.75" customHeight="1" x14ac:dyDescent="0.25">
      <c r="A113" s="81"/>
      <c r="B113" s="81"/>
      <c r="C113" s="81"/>
      <c r="D113" s="81"/>
      <c r="E113" s="81"/>
      <c r="F113" s="82"/>
      <c r="G113" s="83"/>
      <c r="H113" s="81"/>
      <c r="I113" s="82"/>
      <c r="J113" s="82"/>
      <c r="K113" s="81"/>
      <c r="L113" s="81"/>
      <c r="M113" s="81"/>
      <c r="N113" s="81"/>
      <c r="O113" s="81"/>
      <c r="P113" s="81"/>
      <c r="Q113" s="81"/>
      <c r="R113" s="81"/>
      <c r="S113" s="81"/>
      <c r="T113" s="81"/>
      <c r="U113" s="81"/>
      <c r="V113" s="84"/>
      <c r="W113" s="84"/>
      <c r="X113" s="84"/>
    </row>
    <row r="114" spans="1:24" ht="15.75" customHeight="1" x14ac:dyDescent="0.25">
      <c r="A114" s="81"/>
      <c r="B114" s="81"/>
      <c r="C114" s="81"/>
      <c r="D114" s="81"/>
      <c r="E114" s="81"/>
      <c r="F114" s="82"/>
      <c r="G114" s="83"/>
      <c r="H114" s="81"/>
      <c r="I114" s="82"/>
      <c r="J114" s="82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4"/>
      <c r="W114" s="84"/>
      <c r="X114" s="84"/>
    </row>
    <row r="115" spans="1:24" ht="15.75" customHeight="1" x14ac:dyDescent="0.25">
      <c r="A115" s="81"/>
      <c r="B115" s="81"/>
      <c r="C115" s="81"/>
      <c r="D115" s="81"/>
      <c r="E115" s="81"/>
      <c r="F115" s="82"/>
      <c r="G115" s="83"/>
      <c r="H115" s="81"/>
      <c r="I115" s="82"/>
      <c r="J115" s="82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4"/>
      <c r="W115" s="84"/>
      <c r="X115" s="84"/>
    </row>
    <row r="116" spans="1:24" ht="15.75" customHeight="1" x14ac:dyDescent="0.25">
      <c r="A116" s="81"/>
      <c r="B116" s="81"/>
      <c r="C116" s="81"/>
      <c r="D116" s="81"/>
      <c r="E116" s="81"/>
      <c r="F116" s="82"/>
      <c r="G116" s="83"/>
      <c r="H116" s="81"/>
      <c r="I116" s="82"/>
      <c r="J116" s="82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4"/>
      <c r="W116" s="84"/>
      <c r="X116" s="84"/>
    </row>
    <row r="117" spans="1:24" ht="15.75" customHeight="1" x14ac:dyDescent="0.25">
      <c r="A117" s="81"/>
      <c r="B117" s="81"/>
      <c r="C117" s="81"/>
      <c r="D117" s="81"/>
      <c r="E117" s="81"/>
      <c r="F117" s="82"/>
      <c r="G117" s="83"/>
      <c r="H117" s="81"/>
      <c r="I117" s="82"/>
      <c r="J117" s="82"/>
      <c r="K117" s="81"/>
      <c r="L117" s="81"/>
      <c r="M117" s="81"/>
      <c r="N117" s="81"/>
      <c r="O117" s="81"/>
      <c r="P117" s="81"/>
      <c r="Q117" s="81"/>
      <c r="R117" s="81"/>
      <c r="S117" s="81"/>
      <c r="T117" s="81"/>
      <c r="U117" s="81"/>
      <c r="V117" s="84"/>
      <c r="W117" s="84"/>
      <c r="X117" s="84"/>
    </row>
    <row r="118" spans="1:24" ht="15.75" customHeight="1" x14ac:dyDescent="0.25">
      <c r="A118" s="81"/>
      <c r="B118" s="81"/>
      <c r="C118" s="81"/>
      <c r="D118" s="81"/>
      <c r="E118" s="81"/>
      <c r="F118" s="82"/>
      <c r="G118" s="83"/>
      <c r="H118" s="81"/>
      <c r="I118" s="82"/>
      <c r="J118" s="82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4"/>
      <c r="W118" s="84"/>
      <c r="X118" s="84"/>
    </row>
    <row r="119" spans="1:24" ht="15.75" customHeight="1" x14ac:dyDescent="0.25">
      <c r="A119" s="81"/>
      <c r="B119" s="81"/>
      <c r="C119" s="81"/>
      <c r="D119" s="81"/>
      <c r="E119" s="81"/>
      <c r="F119" s="82"/>
      <c r="G119" s="83"/>
      <c r="H119" s="81"/>
      <c r="I119" s="82"/>
      <c r="J119" s="82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4"/>
      <c r="W119" s="84"/>
      <c r="X119" s="84"/>
    </row>
    <row r="120" spans="1:24" ht="15.75" customHeight="1" x14ac:dyDescent="0.25">
      <c r="A120" s="81"/>
      <c r="B120" s="81"/>
      <c r="C120" s="81"/>
      <c r="D120" s="81"/>
      <c r="E120" s="81"/>
      <c r="F120" s="82"/>
      <c r="G120" s="83"/>
      <c r="H120" s="81"/>
      <c r="I120" s="82"/>
      <c r="J120" s="82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4"/>
      <c r="W120" s="84"/>
      <c r="X120" s="84"/>
    </row>
    <row r="121" spans="1:24" ht="15.75" customHeight="1" x14ac:dyDescent="0.25">
      <c r="A121" s="81"/>
      <c r="B121" s="81"/>
      <c r="C121" s="81"/>
      <c r="D121" s="81"/>
      <c r="E121" s="81"/>
      <c r="F121" s="82"/>
      <c r="G121" s="83"/>
      <c r="H121" s="81"/>
      <c r="I121" s="82"/>
      <c r="J121" s="82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4"/>
      <c r="W121" s="84"/>
      <c r="X121" s="84"/>
    </row>
    <row r="122" spans="1:24" ht="15.75" customHeight="1" x14ac:dyDescent="0.25">
      <c r="A122" s="81"/>
      <c r="B122" s="81"/>
      <c r="C122" s="81"/>
      <c r="D122" s="81"/>
      <c r="E122" s="81"/>
      <c r="F122" s="82"/>
      <c r="G122" s="83"/>
      <c r="H122" s="81"/>
      <c r="I122" s="82"/>
      <c r="J122" s="82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4"/>
      <c r="W122" s="84"/>
      <c r="X122" s="84"/>
    </row>
    <row r="123" spans="1:24" ht="15.75" customHeight="1" x14ac:dyDescent="0.25">
      <c r="A123" s="81"/>
      <c r="B123" s="81"/>
      <c r="C123" s="81"/>
      <c r="D123" s="81"/>
      <c r="E123" s="81"/>
      <c r="F123" s="82"/>
      <c r="G123" s="83"/>
      <c r="H123" s="81"/>
      <c r="I123" s="82"/>
      <c r="J123" s="82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4"/>
      <c r="W123" s="84"/>
      <c r="X123" s="84"/>
    </row>
    <row r="124" spans="1:24" ht="15.75" customHeight="1" x14ac:dyDescent="0.25">
      <c r="A124" s="81"/>
      <c r="B124" s="81"/>
      <c r="C124" s="81"/>
      <c r="D124" s="81"/>
      <c r="E124" s="81"/>
      <c r="F124" s="82"/>
      <c r="G124" s="83"/>
      <c r="H124" s="81"/>
      <c r="I124" s="82"/>
      <c r="J124" s="82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4"/>
      <c r="W124" s="84"/>
      <c r="X124" s="84"/>
    </row>
    <row r="125" spans="1:24" ht="15.75" customHeight="1" x14ac:dyDescent="0.25">
      <c r="A125" s="81"/>
      <c r="B125" s="81"/>
      <c r="C125" s="81"/>
      <c r="D125" s="81"/>
      <c r="E125" s="81"/>
      <c r="F125" s="82"/>
      <c r="G125" s="83"/>
      <c r="H125" s="81"/>
      <c r="I125" s="82"/>
      <c r="J125" s="82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4"/>
      <c r="W125" s="84"/>
      <c r="X125" s="84"/>
    </row>
    <row r="126" spans="1:24" ht="15.75" customHeight="1" x14ac:dyDescent="0.25">
      <c r="A126" s="81"/>
      <c r="B126" s="81"/>
      <c r="C126" s="81"/>
      <c r="D126" s="81"/>
      <c r="E126" s="81"/>
      <c r="F126" s="82"/>
      <c r="G126" s="83"/>
      <c r="H126" s="81"/>
      <c r="I126" s="82"/>
      <c r="J126" s="82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4"/>
      <c r="W126" s="84"/>
      <c r="X126" s="84"/>
    </row>
    <row r="127" spans="1:24" ht="15.75" customHeight="1" x14ac:dyDescent="0.25">
      <c r="A127" s="81"/>
      <c r="B127" s="81"/>
      <c r="C127" s="81"/>
      <c r="D127" s="81"/>
      <c r="E127" s="81"/>
      <c r="F127" s="82"/>
      <c r="G127" s="83"/>
      <c r="H127" s="81"/>
      <c r="I127" s="82"/>
      <c r="J127" s="82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4"/>
      <c r="W127" s="84"/>
      <c r="X127" s="84"/>
    </row>
    <row r="128" spans="1:24" ht="15.75" customHeight="1" x14ac:dyDescent="0.25">
      <c r="A128" s="81"/>
      <c r="B128" s="81"/>
      <c r="C128" s="81"/>
      <c r="D128" s="81"/>
      <c r="E128" s="81"/>
      <c r="F128" s="82"/>
      <c r="G128" s="83"/>
      <c r="H128" s="81"/>
      <c r="I128" s="82"/>
      <c r="J128" s="82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4"/>
      <c r="W128" s="84"/>
      <c r="X128" s="84"/>
    </row>
    <row r="129" spans="1:24" ht="15.75" customHeight="1" x14ac:dyDescent="0.25">
      <c r="A129" s="81"/>
      <c r="B129" s="81"/>
      <c r="C129" s="81"/>
      <c r="D129" s="81"/>
      <c r="E129" s="81"/>
      <c r="F129" s="82"/>
      <c r="G129" s="83"/>
      <c r="H129" s="81"/>
      <c r="I129" s="82"/>
      <c r="J129" s="82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4"/>
      <c r="W129" s="84"/>
      <c r="X129" s="84"/>
    </row>
    <row r="130" spans="1:24" ht="15.75" customHeight="1" x14ac:dyDescent="0.25">
      <c r="A130" s="81"/>
      <c r="B130" s="81"/>
      <c r="C130" s="81"/>
      <c r="D130" s="81"/>
      <c r="E130" s="81"/>
      <c r="F130" s="82"/>
      <c r="G130" s="83"/>
      <c r="H130" s="81"/>
      <c r="I130" s="82"/>
      <c r="J130" s="82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4"/>
      <c r="W130" s="84"/>
      <c r="X130" s="84"/>
    </row>
    <row r="131" spans="1:24" ht="15.75" customHeight="1" x14ac:dyDescent="0.25">
      <c r="A131" s="81"/>
      <c r="B131" s="81"/>
      <c r="C131" s="81"/>
      <c r="D131" s="81"/>
      <c r="E131" s="81"/>
      <c r="F131" s="82"/>
      <c r="G131" s="83"/>
      <c r="H131" s="81"/>
      <c r="I131" s="82"/>
      <c r="J131" s="82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4"/>
      <c r="W131" s="84"/>
      <c r="X131" s="84"/>
    </row>
    <row r="132" spans="1:24" ht="15.75" customHeight="1" x14ac:dyDescent="0.25">
      <c r="A132" s="81"/>
      <c r="B132" s="81"/>
      <c r="C132" s="81"/>
      <c r="D132" s="81"/>
      <c r="E132" s="81"/>
      <c r="F132" s="82"/>
      <c r="G132" s="83"/>
      <c r="H132" s="81"/>
      <c r="I132" s="82"/>
      <c r="J132" s="82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4"/>
      <c r="W132" s="84"/>
      <c r="X132" s="84"/>
    </row>
    <row r="133" spans="1:24" ht="15.75" customHeight="1" x14ac:dyDescent="0.25">
      <c r="A133" s="81"/>
      <c r="B133" s="81"/>
      <c r="C133" s="81"/>
      <c r="D133" s="81"/>
      <c r="E133" s="81"/>
      <c r="F133" s="82"/>
      <c r="G133" s="83"/>
      <c r="H133" s="81"/>
      <c r="I133" s="82"/>
      <c r="J133" s="82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4"/>
      <c r="W133" s="84"/>
      <c r="X133" s="84"/>
    </row>
    <row r="134" spans="1:24" ht="15.75" customHeight="1" x14ac:dyDescent="0.25">
      <c r="A134" s="81"/>
      <c r="B134" s="81"/>
      <c r="C134" s="81"/>
      <c r="D134" s="81"/>
      <c r="E134" s="81"/>
      <c r="F134" s="82"/>
      <c r="G134" s="83"/>
      <c r="H134" s="81"/>
      <c r="I134" s="82"/>
      <c r="J134" s="82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4"/>
      <c r="W134" s="84"/>
      <c r="X134" s="84"/>
    </row>
    <row r="135" spans="1:24" ht="15.75" customHeight="1" x14ac:dyDescent="0.25">
      <c r="A135" s="81"/>
      <c r="B135" s="81"/>
      <c r="C135" s="81"/>
      <c r="D135" s="81"/>
      <c r="E135" s="81"/>
      <c r="F135" s="82"/>
      <c r="G135" s="83"/>
      <c r="H135" s="81"/>
      <c r="I135" s="82"/>
      <c r="J135" s="82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4"/>
      <c r="W135" s="84"/>
      <c r="X135" s="84"/>
    </row>
    <row r="136" spans="1:24" ht="15.75" customHeight="1" x14ac:dyDescent="0.25">
      <c r="A136" s="81"/>
      <c r="B136" s="81"/>
      <c r="C136" s="81"/>
      <c r="D136" s="81"/>
      <c r="E136" s="81"/>
      <c r="F136" s="82"/>
      <c r="G136" s="83"/>
      <c r="H136" s="81"/>
      <c r="I136" s="82"/>
      <c r="J136" s="82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4"/>
      <c r="W136" s="84"/>
      <c r="X136" s="84"/>
    </row>
    <row r="137" spans="1:24" ht="15.75" customHeight="1" x14ac:dyDescent="0.25">
      <c r="A137" s="81"/>
      <c r="B137" s="81"/>
      <c r="C137" s="81"/>
      <c r="D137" s="81"/>
      <c r="E137" s="81"/>
      <c r="F137" s="82"/>
      <c r="G137" s="83"/>
      <c r="H137" s="81"/>
      <c r="I137" s="82"/>
      <c r="J137" s="82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4"/>
      <c r="W137" s="84"/>
      <c r="X137" s="84"/>
    </row>
    <row r="138" spans="1:24" ht="15.75" customHeight="1" x14ac:dyDescent="0.25">
      <c r="A138" s="81"/>
      <c r="B138" s="81"/>
      <c r="C138" s="81"/>
      <c r="D138" s="81"/>
      <c r="E138" s="81"/>
      <c r="F138" s="82"/>
      <c r="G138" s="83"/>
      <c r="H138" s="81"/>
      <c r="I138" s="82"/>
      <c r="J138" s="82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4"/>
      <c r="W138" s="84"/>
      <c r="X138" s="84"/>
    </row>
    <row r="139" spans="1:24" ht="15.75" customHeight="1" x14ac:dyDescent="0.25">
      <c r="A139" s="81"/>
      <c r="B139" s="81"/>
      <c r="C139" s="81"/>
      <c r="D139" s="81"/>
      <c r="E139" s="81"/>
      <c r="F139" s="82"/>
      <c r="G139" s="83"/>
      <c r="H139" s="81"/>
      <c r="I139" s="82"/>
      <c r="J139" s="82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4"/>
      <c r="W139" s="84"/>
      <c r="X139" s="84"/>
    </row>
    <row r="140" spans="1:24" ht="15.75" customHeight="1" x14ac:dyDescent="0.25">
      <c r="A140" s="81"/>
      <c r="B140" s="81"/>
      <c r="C140" s="81"/>
      <c r="D140" s="81"/>
      <c r="E140" s="81"/>
      <c r="F140" s="82"/>
      <c r="G140" s="83"/>
      <c r="H140" s="81"/>
      <c r="I140" s="82"/>
      <c r="J140" s="82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4"/>
      <c r="W140" s="84"/>
      <c r="X140" s="84"/>
    </row>
    <row r="141" spans="1:24" ht="15.75" customHeight="1" x14ac:dyDescent="0.25">
      <c r="A141" s="81"/>
      <c r="B141" s="81"/>
      <c r="C141" s="81"/>
      <c r="D141" s="81"/>
      <c r="E141" s="81"/>
      <c r="F141" s="82"/>
      <c r="G141" s="83"/>
      <c r="H141" s="81"/>
      <c r="I141" s="82"/>
      <c r="J141" s="82"/>
      <c r="K141" s="81"/>
      <c r="L141" s="81"/>
      <c r="M141" s="81"/>
      <c r="N141" s="81"/>
      <c r="O141" s="81"/>
      <c r="P141" s="81"/>
      <c r="Q141" s="81"/>
      <c r="R141" s="81"/>
      <c r="S141" s="81"/>
      <c r="T141" s="81"/>
      <c r="U141" s="81"/>
      <c r="V141" s="84"/>
      <c r="W141" s="84"/>
      <c r="X141" s="84"/>
    </row>
    <row r="142" spans="1:24" ht="15.75" customHeight="1" x14ac:dyDescent="0.25">
      <c r="A142" s="81"/>
      <c r="B142" s="81"/>
      <c r="C142" s="81"/>
      <c r="D142" s="81"/>
      <c r="E142" s="81"/>
      <c r="F142" s="82"/>
      <c r="G142" s="83"/>
      <c r="H142" s="81"/>
      <c r="I142" s="82"/>
      <c r="J142" s="82"/>
      <c r="K142" s="81"/>
      <c r="L142" s="81"/>
      <c r="M142" s="81"/>
      <c r="N142" s="81"/>
      <c r="O142" s="81"/>
      <c r="P142" s="81"/>
      <c r="Q142" s="81"/>
      <c r="R142" s="81"/>
      <c r="S142" s="81"/>
      <c r="T142" s="81"/>
      <c r="U142" s="81"/>
      <c r="V142" s="84"/>
      <c r="W142" s="84"/>
      <c r="X142" s="84"/>
    </row>
    <row r="143" spans="1:24" ht="15.75" customHeight="1" x14ac:dyDescent="0.25">
      <c r="A143" s="81"/>
      <c r="B143" s="81"/>
      <c r="C143" s="81"/>
      <c r="D143" s="81"/>
      <c r="E143" s="81"/>
      <c r="F143" s="82"/>
      <c r="G143" s="83"/>
      <c r="H143" s="81"/>
      <c r="I143" s="82"/>
      <c r="J143" s="82"/>
      <c r="K143" s="81"/>
      <c r="L143" s="81"/>
      <c r="M143" s="81"/>
      <c r="N143" s="81"/>
      <c r="O143" s="81"/>
      <c r="P143" s="81"/>
      <c r="Q143" s="81"/>
      <c r="R143" s="81"/>
      <c r="S143" s="81"/>
      <c r="T143" s="81"/>
      <c r="U143" s="81"/>
      <c r="V143" s="84"/>
      <c r="W143" s="84"/>
      <c r="X143" s="84"/>
    </row>
    <row r="144" spans="1:24" ht="15.75" customHeight="1" x14ac:dyDescent="0.25">
      <c r="A144" s="81"/>
      <c r="B144" s="81"/>
      <c r="C144" s="81"/>
      <c r="D144" s="81"/>
      <c r="E144" s="81"/>
      <c r="F144" s="82"/>
      <c r="G144" s="83"/>
      <c r="H144" s="81"/>
      <c r="I144" s="82"/>
      <c r="J144" s="82"/>
      <c r="K144" s="81"/>
      <c r="L144" s="81"/>
      <c r="M144" s="81"/>
      <c r="N144" s="81"/>
      <c r="O144" s="81"/>
      <c r="P144" s="81"/>
      <c r="Q144" s="81"/>
      <c r="R144" s="81"/>
      <c r="S144" s="81"/>
      <c r="T144" s="81"/>
      <c r="U144" s="81"/>
      <c r="V144" s="84"/>
      <c r="W144" s="84"/>
      <c r="X144" s="84"/>
    </row>
    <row r="145" spans="1:24" ht="15.75" customHeight="1" x14ac:dyDescent="0.25">
      <c r="A145" s="81"/>
      <c r="B145" s="81"/>
      <c r="C145" s="81"/>
      <c r="D145" s="81"/>
      <c r="E145" s="81"/>
      <c r="F145" s="82"/>
      <c r="G145" s="83"/>
      <c r="H145" s="81"/>
      <c r="I145" s="82"/>
      <c r="J145" s="82"/>
      <c r="K145" s="81"/>
      <c r="L145" s="81"/>
      <c r="M145" s="81"/>
      <c r="N145" s="81"/>
      <c r="O145" s="81"/>
      <c r="P145" s="81"/>
      <c r="Q145" s="81"/>
      <c r="R145" s="81"/>
      <c r="S145" s="81"/>
      <c r="T145" s="81"/>
      <c r="U145" s="81"/>
      <c r="V145" s="84"/>
      <c r="W145" s="84"/>
      <c r="X145" s="84"/>
    </row>
    <row r="146" spans="1:24" ht="15.75" customHeight="1" x14ac:dyDescent="0.25">
      <c r="A146" s="81"/>
      <c r="B146" s="81"/>
      <c r="C146" s="81"/>
      <c r="D146" s="81"/>
      <c r="E146" s="81"/>
      <c r="F146" s="82"/>
      <c r="G146" s="83"/>
      <c r="H146" s="81"/>
      <c r="I146" s="82"/>
      <c r="J146" s="82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4"/>
      <c r="W146" s="84"/>
      <c r="X146" s="84"/>
    </row>
    <row r="147" spans="1:24" ht="15.75" customHeight="1" x14ac:dyDescent="0.25">
      <c r="A147" s="81"/>
      <c r="B147" s="81"/>
      <c r="C147" s="81"/>
      <c r="D147" s="81"/>
      <c r="E147" s="81"/>
      <c r="F147" s="82"/>
      <c r="G147" s="83"/>
      <c r="H147" s="81"/>
      <c r="I147" s="82"/>
      <c r="J147" s="82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4"/>
      <c r="W147" s="84"/>
      <c r="X147" s="84"/>
    </row>
    <row r="148" spans="1:24" ht="15.75" customHeight="1" x14ac:dyDescent="0.25">
      <c r="A148" s="81"/>
      <c r="B148" s="81"/>
      <c r="C148" s="81"/>
      <c r="D148" s="81"/>
      <c r="E148" s="81"/>
      <c r="F148" s="82"/>
      <c r="G148" s="83"/>
      <c r="H148" s="81"/>
      <c r="I148" s="82"/>
      <c r="J148" s="82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4"/>
      <c r="W148" s="84"/>
      <c r="X148" s="84"/>
    </row>
    <row r="149" spans="1:24" ht="15.75" customHeight="1" x14ac:dyDescent="0.25">
      <c r="A149" s="81"/>
      <c r="B149" s="81"/>
      <c r="C149" s="81"/>
      <c r="D149" s="81"/>
      <c r="E149" s="81"/>
      <c r="F149" s="82"/>
      <c r="G149" s="83"/>
      <c r="H149" s="81"/>
      <c r="I149" s="82"/>
      <c r="J149" s="82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4"/>
      <c r="W149" s="84"/>
      <c r="X149" s="84"/>
    </row>
    <row r="150" spans="1:24" ht="15.75" customHeight="1" x14ac:dyDescent="0.25">
      <c r="A150" s="81"/>
      <c r="B150" s="81"/>
      <c r="C150" s="81"/>
      <c r="D150" s="81"/>
      <c r="E150" s="81"/>
      <c r="F150" s="82"/>
      <c r="G150" s="83"/>
      <c r="H150" s="81"/>
      <c r="I150" s="82"/>
      <c r="J150" s="82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4"/>
      <c r="W150" s="84"/>
      <c r="X150" s="84"/>
    </row>
    <row r="151" spans="1:24" ht="15.75" customHeight="1" x14ac:dyDescent="0.25">
      <c r="A151" s="81"/>
      <c r="B151" s="81"/>
      <c r="C151" s="81"/>
      <c r="D151" s="81"/>
      <c r="E151" s="81"/>
      <c r="F151" s="82"/>
      <c r="G151" s="83"/>
      <c r="H151" s="81"/>
      <c r="I151" s="82"/>
      <c r="J151" s="82"/>
      <c r="K151" s="81"/>
      <c r="L151" s="81"/>
      <c r="M151" s="81"/>
      <c r="N151" s="81"/>
      <c r="O151" s="81"/>
      <c r="P151" s="81"/>
      <c r="Q151" s="81"/>
      <c r="R151" s="81"/>
      <c r="S151" s="81"/>
      <c r="T151" s="81"/>
      <c r="U151" s="81"/>
      <c r="V151" s="84"/>
      <c r="W151" s="84"/>
      <c r="X151" s="84"/>
    </row>
    <row r="152" spans="1:24" ht="15.75" customHeight="1" x14ac:dyDescent="0.25">
      <c r="A152" s="81"/>
      <c r="B152" s="81"/>
      <c r="C152" s="81"/>
      <c r="D152" s="81"/>
      <c r="E152" s="81"/>
      <c r="F152" s="82"/>
      <c r="G152" s="83"/>
      <c r="H152" s="81"/>
      <c r="I152" s="82"/>
      <c r="J152" s="82"/>
      <c r="K152" s="81"/>
      <c r="L152" s="81"/>
      <c r="M152" s="81"/>
      <c r="N152" s="81"/>
      <c r="O152" s="81"/>
      <c r="P152" s="81"/>
      <c r="Q152" s="81"/>
      <c r="R152" s="81"/>
      <c r="S152" s="81"/>
      <c r="T152" s="81"/>
      <c r="U152" s="81"/>
      <c r="V152" s="84"/>
      <c r="W152" s="84"/>
      <c r="X152" s="84"/>
    </row>
    <row r="153" spans="1:24" ht="15.75" customHeight="1" x14ac:dyDescent="0.25">
      <c r="A153" s="81"/>
      <c r="B153" s="81"/>
      <c r="C153" s="81"/>
      <c r="D153" s="81"/>
      <c r="E153" s="81"/>
      <c r="F153" s="82"/>
      <c r="G153" s="83"/>
      <c r="H153" s="81"/>
      <c r="I153" s="82"/>
      <c r="J153" s="82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4"/>
      <c r="W153" s="84"/>
      <c r="X153" s="84"/>
    </row>
    <row r="154" spans="1:24" ht="15.75" customHeight="1" x14ac:dyDescent="0.25">
      <c r="A154" s="81"/>
      <c r="B154" s="81"/>
      <c r="C154" s="81"/>
      <c r="D154" s="81"/>
      <c r="E154" s="81"/>
      <c r="F154" s="82"/>
      <c r="G154" s="83"/>
      <c r="H154" s="81"/>
      <c r="I154" s="82"/>
      <c r="J154" s="82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4"/>
      <c r="W154" s="84"/>
      <c r="X154" s="84"/>
    </row>
    <row r="155" spans="1:24" ht="15.75" customHeight="1" x14ac:dyDescent="0.25">
      <c r="A155" s="81"/>
      <c r="B155" s="81"/>
      <c r="C155" s="81"/>
      <c r="D155" s="81"/>
      <c r="E155" s="81"/>
      <c r="F155" s="82"/>
      <c r="G155" s="83"/>
      <c r="H155" s="81"/>
      <c r="I155" s="82"/>
      <c r="J155" s="82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4"/>
      <c r="W155" s="84"/>
      <c r="X155" s="84"/>
    </row>
    <row r="156" spans="1:24" ht="15.75" customHeight="1" x14ac:dyDescent="0.25">
      <c r="A156" s="81"/>
      <c r="B156" s="81"/>
      <c r="C156" s="81"/>
      <c r="D156" s="81"/>
      <c r="E156" s="81"/>
      <c r="F156" s="82"/>
      <c r="G156" s="83"/>
      <c r="H156" s="81"/>
      <c r="I156" s="82"/>
      <c r="J156" s="82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4"/>
      <c r="W156" s="84"/>
      <c r="X156" s="84"/>
    </row>
    <row r="157" spans="1:24" ht="15.75" customHeight="1" x14ac:dyDescent="0.25">
      <c r="A157" s="81"/>
      <c r="B157" s="81"/>
      <c r="C157" s="81"/>
      <c r="D157" s="81"/>
      <c r="E157" s="81"/>
      <c r="F157" s="82"/>
      <c r="G157" s="83"/>
      <c r="H157" s="81"/>
      <c r="I157" s="82"/>
      <c r="J157" s="82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4"/>
      <c r="W157" s="84"/>
      <c r="X157" s="84"/>
    </row>
    <row r="158" spans="1:24" ht="15.75" customHeight="1" x14ac:dyDescent="0.25">
      <c r="A158" s="81"/>
      <c r="B158" s="81"/>
      <c r="C158" s="81"/>
      <c r="D158" s="81"/>
      <c r="E158" s="81"/>
      <c r="F158" s="82"/>
      <c r="G158" s="83"/>
      <c r="H158" s="81"/>
      <c r="I158" s="82"/>
      <c r="J158" s="82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4"/>
      <c r="W158" s="84"/>
      <c r="X158" s="84"/>
    </row>
    <row r="159" spans="1:24" ht="15.75" customHeight="1" x14ac:dyDescent="0.25">
      <c r="A159" s="81"/>
      <c r="B159" s="81"/>
      <c r="C159" s="81"/>
      <c r="D159" s="81"/>
      <c r="E159" s="81"/>
      <c r="F159" s="82"/>
      <c r="G159" s="83"/>
      <c r="H159" s="81"/>
      <c r="I159" s="82"/>
      <c r="J159" s="82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4"/>
      <c r="W159" s="84"/>
      <c r="X159" s="84"/>
    </row>
    <row r="160" spans="1:24" ht="15.75" customHeight="1" x14ac:dyDescent="0.25">
      <c r="A160" s="81"/>
      <c r="B160" s="81"/>
      <c r="C160" s="81"/>
      <c r="D160" s="81"/>
      <c r="E160" s="81"/>
      <c r="F160" s="82"/>
      <c r="G160" s="83"/>
      <c r="H160" s="81"/>
      <c r="I160" s="82"/>
      <c r="J160" s="82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4"/>
      <c r="W160" s="84"/>
      <c r="X160" s="84"/>
    </row>
    <row r="161" spans="1:24" ht="15.75" customHeight="1" x14ac:dyDescent="0.25">
      <c r="A161" s="81"/>
      <c r="B161" s="81"/>
      <c r="C161" s="81"/>
      <c r="D161" s="81"/>
      <c r="E161" s="81"/>
      <c r="F161" s="82"/>
      <c r="G161" s="83"/>
      <c r="H161" s="81"/>
      <c r="I161" s="82"/>
      <c r="J161" s="82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4"/>
      <c r="W161" s="84"/>
      <c r="X161" s="84"/>
    </row>
    <row r="162" spans="1:24" ht="15.75" customHeight="1" x14ac:dyDescent="0.25">
      <c r="A162" s="81"/>
      <c r="B162" s="81"/>
      <c r="C162" s="81"/>
      <c r="D162" s="81"/>
      <c r="E162" s="81"/>
      <c r="F162" s="82"/>
      <c r="G162" s="83"/>
      <c r="H162" s="81"/>
      <c r="I162" s="82"/>
      <c r="J162" s="82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4"/>
      <c r="W162" s="84"/>
      <c r="X162" s="84"/>
    </row>
    <row r="163" spans="1:24" ht="15.75" customHeight="1" x14ac:dyDescent="0.25">
      <c r="A163" s="81"/>
      <c r="B163" s="81"/>
      <c r="C163" s="81"/>
      <c r="D163" s="81"/>
      <c r="E163" s="81"/>
      <c r="F163" s="82"/>
      <c r="G163" s="83"/>
      <c r="H163" s="81"/>
      <c r="I163" s="82"/>
      <c r="J163" s="82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4"/>
      <c r="W163" s="84"/>
      <c r="X163" s="84"/>
    </row>
    <row r="164" spans="1:24" ht="15.75" customHeight="1" x14ac:dyDescent="0.25">
      <c r="A164" s="81"/>
      <c r="B164" s="81"/>
      <c r="C164" s="81"/>
      <c r="D164" s="81"/>
      <c r="E164" s="81"/>
      <c r="F164" s="82"/>
      <c r="G164" s="83"/>
      <c r="H164" s="81"/>
      <c r="I164" s="82"/>
      <c r="J164" s="82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4"/>
      <c r="W164" s="84"/>
      <c r="X164" s="84"/>
    </row>
    <row r="165" spans="1:24" ht="15.75" customHeight="1" x14ac:dyDescent="0.25">
      <c r="A165" s="81"/>
      <c r="B165" s="81"/>
      <c r="C165" s="81"/>
      <c r="D165" s="81"/>
      <c r="E165" s="81"/>
      <c r="F165" s="82"/>
      <c r="G165" s="83"/>
      <c r="H165" s="81"/>
      <c r="I165" s="82"/>
      <c r="J165" s="82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4"/>
      <c r="W165" s="84"/>
      <c r="X165" s="84"/>
    </row>
    <row r="166" spans="1:24" ht="15.75" customHeight="1" x14ac:dyDescent="0.25">
      <c r="A166" s="81"/>
      <c r="B166" s="81"/>
      <c r="C166" s="81"/>
      <c r="D166" s="81"/>
      <c r="E166" s="81"/>
      <c r="F166" s="82"/>
      <c r="G166" s="83"/>
      <c r="H166" s="81"/>
      <c r="I166" s="82"/>
      <c r="J166" s="82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4"/>
      <c r="W166" s="84"/>
      <c r="X166" s="84"/>
    </row>
    <row r="167" spans="1:24" ht="15.75" customHeight="1" x14ac:dyDescent="0.25">
      <c r="A167" s="81"/>
      <c r="B167" s="81"/>
      <c r="C167" s="81"/>
      <c r="D167" s="81"/>
      <c r="E167" s="81"/>
      <c r="F167" s="82"/>
      <c r="G167" s="83"/>
      <c r="H167" s="81"/>
      <c r="I167" s="82"/>
      <c r="J167" s="82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4"/>
      <c r="W167" s="84"/>
      <c r="X167" s="84"/>
    </row>
    <row r="168" spans="1:24" ht="15.75" customHeight="1" x14ac:dyDescent="0.25">
      <c r="A168" s="81"/>
      <c r="B168" s="81"/>
      <c r="C168" s="81"/>
      <c r="D168" s="81"/>
      <c r="E168" s="81"/>
      <c r="F168" s="82"/>
      <c r="G168" s="83"/>
      <c r="H168" s="81"/>
      <c r="I168" s="82"/>
      <c r="J168" s="82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4"/>
      <c r="W168" s="84"/>
      <c r="X168" s="84"/>
    </row>
    <row r="169" spans="1:24" ht="15.75" customHeight="1" x14ac:dyDescent="0.25">
      <c r="A169" s="81"/>
      <c r="B169" s="81"/>
      <c r="C169" s="81"/>
      <c r="D169" s="81"/>
      <c r="E169" s="81"/>
      <c r="F169" s="82"/>
      <c r="G169" s="83"/>
      <c r="H169" s="81"/>
      <c r="I169" s="82"/>
      <c r="J169" s="82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4"/>
      <c r="W169" s="84"/>
      <c r="X169" s="84"/>
    </row>
    <row r="170" spans="1:24" ht="15.75" customHeight="1" x14ac:dyDescent="0.25">
      <c r="A170" s="81"/>
      <c r="B170" s="81"/>
      <c r="C170" s="81"/>
      <c r="D170" s="81"/>
      <c r="E170" s="81"/>
      <c r="F170" s="82"/>
      <c r="G170" s="83"/>
      <c r="H170" s="81"/>
      <c r="I170" s="82"/>
      <c r="J170" s="82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4"/>
      <c r="W170" s="84"/>
      <c r="X170" s="84"/>
    </row>
    <row r="171" spans="1:24" ht="15.75" customHeight="1" x14ac:dyDescent="0.25">
      <c r="A171" s="81"/>
      <c r="B171" s="81"/>
      <c r="C171" s="81"/>
      <c r="D171" s="81"/>
      <c r="E171" s="81"/>
      <c r="F171" s="82"/>
      <c r="G171" s="83"/>
      <c r="H171" s="81"/>
      <c r="I171" s="82"/>
      <c r="J171" s="82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4"/>
      <c r="W171" s="84"/>
      <c r="X171" s="84"/>
    </row>
    <row r="172" spans="1:24" ht="15.75" customHeight="1" x14ac:dyDescent="0.25">
      <c r="A172" s="81"/>
      <c r="B172" s="81"/>
      <c r="C172" s="81"/>
      <c r="D172" s="81"/>
      <c r="E172" s="81"/>
      <c r="F172" s="82"/>
      <c r="G172" s="83"/>
      <c r="H172" s="81"/>
      <c r="I172" s="82"/>
      <c r="J172" s="82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4"/>
      <c r="W172" s="84"/>
      <c r="X172" s="84"/>
    </row>
    <row r="173" spans="1:24" ht="15.75" customHeight="1" x14ac:dyDescent="0.25">
      <c r="A173" s="81"/>
      <c r="B173" s="81"/>
      <c r="C173" s="81"/>
      <c r="D173" s="81"/>
      <c r="E173" s="81"/>
      <c r="F173" s="82"/>
      <c r="G173" s="83"/>
      <c r="H173" s="81"/>
      <c r="I173" s="82"/>
      <c r="J173" s="82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4"/>
      <c r="W173" s="84"/>
      <c r="X173" s="84"/>
    </row>
    <row r="174" spans="1:24" ht="15.75" customHeight="1" x14ac:dyDescent="0.25">
      <c r="A174" s="81"/>
      <c r="B174" s="81"/>
      <c r="C174" s="81"/>
      <c r="D174" s="81"/>
      <c r="E174" s="81"/>
      <c r="F174" s="82"/>
      <c r="G174" s="83"/>
      <c r="H174" s="81"/>
      <c r="I174" s="82"/>
      <c r="J174" s="82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4"/>
      <c r="W174" s="84"/>
      <c r="X174" s="84"/>
    </row>
    <row r="175" spans="1:24" ht="15.75" customHeight="1" x14ac:dyDescent="0.25">
      <c r="A175" s="81"/>
      <c r="B175" s="81"/>
      <c r="C175" s="81"/>
      <c r="D175" s="81"/>
      <c r="E175" s="81"/>
      <c r="F175" s="82"/>
      <c r="G175" s="83"/>
      <c r="H175" s="81"/>
      <c r="I175" s="82"/>
      <c r="J175" s="82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4"/>
      <c r="W175" s="84"/>
      <c r="X175" s="84"/>
    </row>
    <row r="176" spans="1:24" ht="15.75" customHeight="1" x14ac:dyDescent="0.25">
      <c r="A176" s="81"/>
      <c r="B176" s="81"/>
      <c r="C176" s="81"/>
      <c r="D176" s="81"/>
      <c r="E176" s="81"/>
      <c r="F176" s="82"/>
      <c r="G176" s="83"/>
      <c r="H176" s="81"/>
      <c r="I176" s="82"/>
      <c r="J176" s="82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4"/>
      <c r="W176" s="84"/>
      <c r="X176" s="84"/>
    </row>
    <row r="177" spans="1:24" ht="15.75" customHeight="1" x14ac:dyDescent="0.25">
      <c r="A177" s="81"/>
      <c r="B177" s="81"/>
      <c r="C177" s="81"/>
      <c r="D177" s="81"/>
      <c r="E177" s="81"/>
      <c r="F177" s="82"/>
      <c r="G177" s="83"/>
      <c r="H177" s="81"/>
      <c r="I177" s="82"/>
      <c r="J177" s="82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4"/>
      <c r="W177" s="84"/>
      <c r="X177" s="84"/>
    </row>
    <row r="178" spans="1:24" ht="15.75" customHeight="1" x14ac:dyDescent="0.25">
      <c r="A178" s="81"/>
      <c r="B178" s="81"/>
      <c r="C178" s="81"/>
      <c r="D178" s="81"/>
      <c r="E178" s="81"/>
      <c r="F178" s="82"/>
      <c r="G178" s="83"/>
      <c r="H178" s="81"/>
      <c r="I178" s="82"/>
      <c r="J178" s="82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4"/>
      <c r="W178" s="84"/>
      <c r="X178" s="84"/>
    </row>
    <row r="179" spans="1:24" ht="15.75" customHeight="1" x14ac:dyDescent="0.25">
      <c r="A179" s="81"/>
      <c r="B179" s="81"/>
      <c r="C179" s="81"/>
      <c r="D179" s="81"/>
      <c r="E179" s="81"/>
      <c r="F179" s="82"/>
      <c r="G179" s="83"/>
      <c r="H179" s="81"/>
      <c r="I179" s="82"/>
      <c r="J179" s="82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4"/>
      <c r="W179" s="84"/>
      <c r="X179" s="84"/>
    </row>
    <row r="180" spans="1:24" ht="15.75" customHeight="1" x14ac:dyDescent="0.25">
      <c r="A180" s="81"/>
      <c r="B180" s="81"/>
      <c r="C180" s="81"/>
      <c r="D180" s="81"/>
      <c r="E180" s="81"/>
      <c r="F180" s="82"/>
      <c r="G180" s="83"/>
      <c r="H180" s="81"/>
      <c r="I180" s="82"/>
      <c r="J180" s="82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4"/>
      <c r="W180" s="84"/>
      <c r="X180" s="84"/>
    </row>
    <row r="181" spans="1:24" ht="15.75" customHeight="1" x14ac:dyDescent="0.25">
      <c r="A181" s="81"/>
      <c r="B181" s="81"/>
      <c r="C181" s="81"/>
      <c r="D181" s="81"/>
      <c r="E181" s="81"/>
      <c r="F181" s="82"/>
      <c r="G181" s="83"/>
      <c r="H181" s="81"/>
      <c r="I181" s="82"/>
      <c r="J181" s="82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4"/>
      <c r="W181" s="84"/>
      <c r="X181" s="84"/>
    </row>
    <row r="182" spans="1:24" ht="15.75" customHeight="1" x14ac:dyDescent="0.25">
      <c r="A182" s="81"/>
      <c r="B182" s="81"/>
      <c r="C182" s="81"/>
      <c r="D182" s="81"/>
      <c r="E182" s="81"/>
      <c r="F182" s="82"/>
      <c r="G182" s="83"/>
      <c r="H182" s="81"/>
      <c r="I182" s="82"/>
      <c r="J182" s="82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4"/>
      <c r="W182" s="84"/>
      <c r="X182" s="84"/>
    </row>
    <row r="183" spans="1:24" ht="15.75" customHeight="1" x14ac:dyDescent="0.25">
      <c r="A183" s="81"/>
      <c r="B183" s="81"/>
      <c r="C183" s="81"/>
      <c r="D183" s="81"/>
      <c r="E183" s="81"/>
      <c r="F183" s="82"/>
      <c r="G183" s="83"/>
      <c r="H183" s="81"/>
      <c r="I183" s="82"/>
      <c r="J183" s="82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4"/>
      <c r="W183" s="84"/>
      <c r="X183" s="84"/>
    </row>
    <row r="184" spans="1:24" ht="15.75" customHeight="1" x14ac:dyDescent="0.25">
      <c r="A184" s="81"/>
      <c r="B184" s="81"/>
      <c r="C184" s="81"/>
      <c r="D184" s="81"/>
      <c r="E184" s="81"/>
      <c r="F184" s="82"/>
      <c r="G184" s="83"/>
      <c r="H184" s="81"/>
      <c r="I184" s="82"/>
      <c r="J184" s="82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4"/>
      <c r="W184" s="84"/>
      <c r="X184" s="84"/>
    </row>
    <row r="185" spans="1:24" ht="15.75" customHeight="1" x14ac:dyDescent="0.25">
      <c r="A185" s="81"/>
      <c r="B185" s="81"/>
      <c r="C185" s="81"/>
      <c r="D185" s="81"/>
      <c r="E185" s="81"/>
      <c r="F185" s="82"/>
      <c r="G185" s="83"/>
      <c r="H185" s="81"/>
      <c r="I185" s="82"/>
      <c r="J185" s="82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4"/>
      <c r="W185" s="84"/>
      <c r="X185" s="84"/>
    </row>
    <row r="186" spans="1:24" ht="15.75" customHeight="1" x14ac:dyDescent="0.25">
      <c r="A186" s="81"/>
      <c r="B186" s="81"/>
      <c r="C186" s="81"/>
      <c r="D186" s="81"/>
      <c r="E186" s="81"/>
      <c r="F186" s="82"/>
      <c r="G186" s="83"/>
      <c r="H186" s="81"/>
      <c r="I186" s="82"/>
      <c r="J186" s="82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4"/>
      <c r="W186" s="84"/>
      <c r="X186" s="84"/>
    </row>
    <row r="187" spans="1:24" ht="15.75" customHeight="1" x14ac:dyDescent="0.25">
      <c r="A187" s="81"/>
      <c r="B187" s="81"/>
      <c r="C187" s="81"/>
      <c r="D187" s="81"/>
      <c r="E187" s="81"/>
      <c r="F187" s="82"/>
      <c r="G187" s="83"/>
      <c r="H187" s="81"/>
      <c r="I187" s="82"/>
      <c r="J187" s="82"/>
      <c r="K187" s="81"/>
      <c r="L187" s="81"/>
      <c r="M187" s="81"/>
      <c r="N187" s="81"/>
      <c r="O187" s="81"/>
      <c r="P187" s="81"/>
      <c r="Q187" s="81"/>
      <c r="R187" s="81"/>
      <c r="S187" s="81"/>
      <c r="T187" s="81"/>
      <c r="U187" s="81"/>
      <c r="V187" s="84"/>
      <c r="W187" s="84"/>
      <c r="X187" s="84"/>
    </row>
    <row r="188" spans="1:24" ht="15.75" customHeight="1" x14ac:dyDescent="0.25">
      <c r="A188" s="81"/>
      <c r="B188" s="81"/>
      <c r="C188" s="81"/>
      <c r="D188" s="81"/>
      <c r="E188" s="81"/>
      <c r="F188" s="82"/>
      <c r="G188" s="83"/>
      <c r="H188" s="81"/>
      <c r="I188" s="82"/>
      <c r="J188" s="82"/>
      <c r="K188" s="81"/>
      <c r="L188" s="81"/>
      <c r="M188" s="81"/>
      <c r="N188" s="81"/>
      <c r="O188" s="81"/>
      <c r="P188" s="81"/>
      <c r="Q188" s="81"/>
      <c r="R188" s="81"/>
      <c r="S188" s="81"/>
      <c r="T188" s="81"/>
      <c r="U188" s="81"/>
      <c r="V188" s="84"/>
      <c r="W188" s="84"/>
      <c r="X188" s="84"/>
    </row>
    <row r="189" spans="1:24" ht="15.75" customHeight="1" x14ac:dyDescent="0.25">
      <c r="A189" s="81"/>
      <c r="B189" s="81"/>
      <c r="C189" s="81"/>
      <c r="D189" s="81"/>
      <c r="E189" s="81"/>
      <c r="F189" s="82"/>
      <c r="G189" s="83"/>
      <c r="H189" s="81"/>
      <c r="I189" s="82"/>
      <c r="J189" s="82"/>
      <c r="K189" s="81"/>
      <c r="L189" s="81"/>
      <c r="M189" s="81"/>
      <c r="N189" s="81"/>
      <c r="O189" s="81"/>
      <c r="P189" s="81"/>
      <c r="Q189" s="81"/>
      <c r="R189" s="81"/>
      <c r="S189" s="81"/>
      <c r="T189" s="81"/>
      <c r="U189" s="81"/>
      <c r="V189" s="84"/>
      <c r="W189" s="84"/>
      <c r="X189" s="84"/>
    </row>
    <row r="190" spans="1:24" ht="15.75" customHeight="1" x14ac:dyDescent="0.25">
      <c r="A190" s="81"/>
      <c r="B190" s="81"/>
      <c r="C190" s="81"/>
      <c r="D190" s="81"/>
      <c r="E190" s="81"/>
      <c r="F190" s="82"/>
      <c r="G190" s="83"/>
      <c r="H190" s="81"/>
      <c r="I190" s="82"/>
      <c r="J190" s="82"/>
      <c r="K190" s="81"/>
      <c r="L190" s="81"/>
      <c r="M190" s="81"/>
      <c r="N190" s="81"/>
      <c r="O190" s="81"/>
      <c r="P190" s="81"/>
      <c r="Q190" s="81"/>
      <c r="R190" s="81"/>
      <c r="S190" s="81"/>
      <c r="T190" s="81"/>
      <c r="U190" s="81"/>
      <c r="V190" s="84"/>
      <c r="W190" s="84"/>
      <c r="X190" s="84"/>
    </row>
    <row r="191" spans="1:24" ht="15.75" customHeight="1" x14ac:dyDescent="0.25">
      <c r="A191" s="81"/>
      <c r="B191" s="81"/>
      <c r="C191" s="81"/>
      <c r="D191" s="81"/>
      <c r="E191" s="81"/>
      <c r="F191" s="82"/>
      <c r="G191" s="83"/>
      <c r="H191" s="81"/>
      <c r="I191" s="82"/>
      <c r="J191" s="82"/>
      <c r="K191" s="81"/>
      <c r="L191" s="81"/>
      <c r="M191" s="81"/>
      <c r="N191" s="81"/>
      <c r="O191" s="81"/>
      <c r="P191" s="81"/>
      <c r="Q191" s="81"/>
      <c r="R191" s="81"/>
      <c r="S191" s="81"/>
      <c r="T191" s="81"/>
      <c r="U191" s="81"/>
      <c r="V191" s="84"/>
      <c r="W191" s="84"/>
      <c r="X191" s="84"/>
    </row>
    <row r="192" spans="1:24" ht="15.75" customHeight="1" x14ac:dyDescent="0.25">
      <c r="A192" s="81"/>
      <c r="B192" s="81"/>
      <c r="C192" s="81"/>
      <c r="D192" s="81"/>
      <c r="E192" s="81"/>
      <c r="F192" s="82"/>
      <c r="G192" s="83"/>
      <c r="H192" s="81"/>
      <c r="I192" s="82"/>
      <c r="J192" s="82"/>
      <c r="K192" s="81"/>
      <c r="L192" s="81"/>
      <c r="M192" s="81"/>
      <c r="N192" s="81"/>
      <c r="O192" s="81"/>
      <c r="P192" s="81"/>
      <c r="Q192" s="81"/>
      <c r="R192" s="81"/>
      <c r="S192" s="81"/>
      <c r="T192" s="81"/>
      <c r="U192" s="81"/>
      <c r="V192" s="84"/>
      <c r="W192" s="84"/>
      <c r="X192" s="84"/>
    </row>
    <row r="193" spans="1:24" ht="15.75" customHeight="1" x14ac:dyDescent="0.25">
      <c r="A193" s="81"/>
      <c r="B193" s="81"/>
      <c r="C193" s="81"/>
      <c r="D193" s="81"/>
      <c r="E193" s="81"/>
      <c r="F193" s="82"/>
      <c r="G193" s="83"/>
      <c r="H193" s="81"/>
      <c r="I193" s="82"/>
      <c r="J193" s="82"/>
      <c r="K193" s="81"/>
      <c r="L193" s="81"/>
      <c r="M193" s="81"/>
      <c r="N193" s="81"/>
      <c r="O193" s="81"/>
      <c r="P193" s="81"/>
      <c r="Q193" s="81"/>
      <c r="R193" s="81"/>
      <c r="S193" s="81"/>
      <c r="T193" s="81"/>
      <c r="U193" s="81"/>
      <c r="V193" s="84"/>
      <c r="W193" s="84"/>
      <c r="X193" s="84"/>
    </row>
    <row r="194" spans="1:24" ht="15.75" customHeight="1" x14ac:dyDescent="0.25">
      <c r="A194" s="81"/>
      <c r="B194" s="81"/>
      <c r="C194" s="81"/>
      <c r="D194" s="81"/>
      <c r="E194" s="81"/>
      <c r="F194" s="82"/>
      <c r="G194" s="83"/>
      <c r="H194" s="81"/>
      <c r="I194" s="82"/>
      <c r="J194" s="82"/>
      <c r="K194" s="81"/>
      <c r="L194" s="81"/>
      <c r="M194" s="81"/>
      <c r="N194" s="81"/>
      <c r="O194" s="81"/>
      <c r="P194" s="81"/>
      <c r="Q194" s="81"/>
      <c r="R194" s="81"/>
      <c r="S194" s="81"/>
      <c r="T194" s="81"/>
      <c r="U194" s="81"/>
      <c r="V194" s="84"/>
      <c r="W194" s="84"/>
      <c r="X194" s="84"/>
    </row>
    <row r="195" spans="1:24" ht="15.75" customHeight="1" x14ac:dyDescent="0.25">
      <c r="A195" s="81"/>
      <c r="B195" s="81"/>
      <c r="C195" s="81"/>
      <c r="D195" s="81"/>
      <c r="E195" s="81"/>
      <c r="F195" s="82"/>
      <c r="G195" s="83"/>
      <c r="H195" s="81"/>
      <c r="I195" s="82"/>
      <c r="J195" s="82"/>
      <c r="K195" s="81"/>
      <c r="L195" s="81"/>
      <c r="M195" s="81"/>
      <c r="N195" s="81"/>
      <c r="O195" s="81"/>
      <c r="P195" s="81"/>
      <c r="Q195" s="81"/>
      <c r="R195" s="81"/>
      <c r="S195" s="81"/>
      <c r="T195" s="81"/>
      <c r="U195" s="81"/>
      <c r="V195" s="84"/>
      <c r="W195" s="84"/>
      <c r="X195" s="84"/>
    </row>
    <row r="196" spans="1:24" ht="15.75" customHeight="1" x14ac:dyDescent="0.25">
      <c r="A196" s="81"/>
      <c r="B196" s="81"/>
      <c r="C196" s="81"/>
      <c r="D196" s="81"/>
      <c r="E196" s="81"/>
      <c r="F196" s="82"/>
      <c r="G196" s="83"/>
      <c r="H196" s="81"/>
      <c r="I196" s="82"/>
      <c r="J196" s="82"/>
      <c r="K196" s="81"/>
      <c r="L196" s="81"/>
      <c r="M196" s="81"/>
      <c r="N196" s="81"/>
      <c r="O196" s="81"/>
      <c r="P196" s="81"/>
      <c r="Q196" s="81"/>
      <c r="R196" s="81"/>
      <c r="S196" s="81"/>
      <c r="T196" s="81"/>
      <c r="U196" s="81"/>
      <c r="V196" s="84"/>
      <c r="W196" s="84"/>
      <c r="X196" s="84"/>
    </row>
    <row r="197" spans="1:24" ht="15.75" customHeight="1" x14ac:dyDescent="0.25">
      <c r="A197" s="81"/>
      <c r="B197" s="81"/>
      <c r="C197" s="81"/>
      <c r="D197" s="81"/>
      <c r="E197" s="81"/>
      <c r="F197" s="82"/>
      <c r="G197" s="83"/>
      <c r="H197" s="81"/>
      <c r="I197" s="82"/>
      <c r="J197" s="82"/>
      <c r="K197" s="81"/>
      <c r="L197" s="81"/>
      <c r="M197" s="81"/>
      <c r="N197" s="81"/>
      <c r="O197" s="81"/>
      <c r="P197" s="81"/>
      <c r="Q197" s="81"/>
      <c r="R197" s="81"/>
      <c r="S197" s="81"/>
      <c r="T197" s="81"/>
      <c r="U197" s="81"/>
      <c r="V197" s="84"/>
      <c r="W197" s="84"/>
      <c r="X197" s="84"/>
    </row>
    <row r="198" spans="1:24" ht="15.75" customHeight="1" x14ac:dyDescent="0.25">
      <c r="A198" s="81"/>
      <c r="B198" s="81"/>
      <c r="C198" s="81"/>
      <c r="D198" s="81"/>
      <c r="E198" s="81"/>
      <c r="F198" s="82"/>
      <c r="G198" s="83"/>
      <c r="H198" s="81"/>
      <c r="I198" s="82"/>
      <c r="J198" s="82"/>
      <c r="K198" s="81"/>
      <c r="L198" s="81"/>
      <c r="M198" s="81"/>
      <c r="N198" s="81"/>
      <c r="O198" s="81"/>
      <c r="P198" s="81"/>
      <c r="Q198" s="81"/>
      <c r="R198" s="81"/>
      <c r="S198" s="81"/>
      <c r="T198" s="81"/>
      <c r="U198" s="81"/>
      <c r="V198" s="84"/>
      <c r="W198" s="84"/>
      <c r="X198" s="84"/>
    </row>
    <row r="199" spans="1:24" ht="15.75" customHeight="1" x14ac:dyDescent="0.25">
      <c r="A199" s="81"/>
      <c r="B199" s="81"/>
      <c r="C199" s="81"/>
      <c r="D199" s="81"/>
      <c r="E199" s="81"/>
      <c r="F199" s="82"/>
      <c r="G199" s="83"/>
      <c r="H199" s="81"/>
      <c r="I199" s="82"/>
      <c r="J199" s="82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4"/>
      <c r="W199" s="84"/>
      <c r="X199" s="84"/>
    </row>
    <row r="200" spans="1:24" ht="15.75" customHeight="1" x14ac:dyDescent="0.25">
      <c r="A200" s="81"/>
      <c r="B200" s="81"/>
      <c r="C200" s="81"/>
      <c r="D200" s="81"/>
      <c r="E200" s="81"/>
      <c r="F200" s="82"/>
      <c r="G200" s="83"/>
      <c r="H200" s="81"/>
      <c r="I200" s="82"/>
      <c r="J200" s="82"/>
      <c r="K200" s="81"/>
      <c r="L200" s="81"/>
      <c r="M200" s="81"/>
      <c r="N200" s="81"/>
      <c r="O200" s="81"/>
      <c r="P200" s="81"/>
      <c r="Q200" s="81"/>
      <c r="R200" s="81"/>
      <c r="S200" s="81"/>
      <c r="T200" s="81"/>
      <c r="U200" s="81"/>
      <c r="V200" s="84"/>
      <c r="W200" s="84"/>
      <c r="X200" s="84"/>
    </row>
    <row r="201" spans="1:24" ht="15.75" customHeight="1" x14ac:dyDescent="0.25">
      <c r="A201" s="81"/>
      <c r="B201" s="81"/>
      <c r="C201" s="81"/>
      <c r="D201" s="81"/>
      <c r="E201" s="81"/>
      <c r="F201" s="82"/>
      <c r="G201" s="83"/>
      <c r="H201" s="81"/>
      <c r="I201" s="82"/>
      <c r="J201" s="82"/>
      <c r="K201" s="81"/>
      <c r="L201" s="81"/>
      <c r="M201" s="81"/>
      <c r="N201" s="81"/>
      <c r="O201" s="81"/>
      <c r="P201" s="81"/>
      <c r="Q201" s="81"/>
      <c r="R201" s="81"/>
      <c r="S201" s="81"/>
      <c r="T201" s="81"/>
      <c r="U201" s="81"/>
      <c r="V201" s="84"/>
      <c r="W201" s="84"/>
      <c r="X201" s="84"/>
    </row>
    <row r="202" spans="1:24" ht="15.75" customHeight="1" x14ac:dyDescent="0.25">
      <c r="A202" s="81"/>
      <c r="B202" s="81"/>
      <c r="C202" s="81"/>
      <c r="D202" s="81"/>
      <c r="E202" s="81"/>
      <c r="F202" s="82"/>
      <c r="G202" s="83"/>
      <c r="H202" s="81"/>
      <c r="I202" s="82"/>
      <c r="J202" s="82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4"/>
      <c r="W202" s="84"/>
      <c r="X202" s="84"/>
    </row>
    <row r="203" spans="1:24" ht="15.75" customHeight="1" x14ac:dyDescent="0.25">
      <c r="A203" s="81"/>
      <c r="B203" s="81"/>
      <c r="C203" s="81"/>
      <c r="D203" s="81"/>
      <c r="E203" s="81"/>
      <c r="F203" s="82"/>
      <c r="G203" s="83"/>
      <c r="H203" s="81"/>
      <c r="I203" s="82"/>
      <c r="J203" s="82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4"/>
      <c r="W203" s="84"/>
      <c r="X203" s="84"/>
    </row>
    <row r="204" spans="1:24" ht="15.75" customHeight="1" x14ac:dyDescent="0.25">
      <c r="A204" s="81"/>
      <c r="B204" s="81"/>
      <c r="C204" s="81"/>
      <c r="D204" s="81"/>
      <c r="E204" s="81"/>
      <c r="F204" s="82"/>
      <c r="G204" s="83"/>
      <c r="H204" s="81"/>
      <c r="I204" s="82"/>
      <c r="J204" s="82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4"/>
      <c r="W204" s="84"/>
      <c r="X204" s="84"/>
    </row>
    <row r="205" spans="1:24" ht="15.75" customHeight="1" x14ac:dyDescent="0.25">
      <c r="A205" s="81"/>
      <c r="B205" s="81"/>
      <c r="C205" s="81"/>
      <c r="D205" s="81"/>
      <c r="E205" s="81"/>
      <c r="F205" s="82"/>
      <c r="G205" s="83"/>
      <c r="H205" s="81"/>
      <c r="I205" s="82"/>
      <c r="J205" s="82"/>
      <c r="K205" s="81"/>
      <c r="L205" s="81"/>
      <c r="M205" s="81"/>
      <c r="N205" s="81"/>
      <c r="O205" s="81"/>
      <c r="P205" s="81"/>
      <c r="Q205" s="81"/>
      <c r="R205" s="81"/>
      <c r="S205" s="81"/>
      <c r="T205" s="81"/>
      <c r="U205" s="81"/>
      <c r="V205" s="84"/>
      <c r="W205" s="84"/>
      <c r="X205" s="84"/>
    </row>
    <row r="206" spans="1:24" ht="15.75" customHeight="1" x14ac:dyDescent="0.25">
      <c r="A206" s="81"/>
      <c r="B206" s="81"/>
      <c r="C206" s="81"/>
      <c r="D206" s="81"/>
      <c r="E206" s="81"/>
      <c r="F206" s="82"/>
      <c r="G206" s="83"/>
      <c r="H206" s="81"/>
      <c r="I206" s="82"/>
      <c r="J206" s="82"/>
      <c r="K206" s="81"/>
      <c r="L206" s="81"/>
      <c r="M206" s="81"/>
      <c r="N206" s="81"/>
      <c r="O206" s="81"/>
      <c r="P206" s="81"/>
      <c r="Q206" s="81"/>
      <c r="R206" s="81"/>
      <c r="S206" s="81"/>
      <c r="T206" s="81"/>
      <c r="U206" s="81"/>
      <c r="V206" s="84"/>
      <c r="W206" s="84"/>
      <c r="X206" s="84"/>
    </row>
    <row r="207" spans="1:24" ht="15.75" customHeight="1" x14ac:dyDescent="0.25">
      <c r="A207" s="81"/>
      <c r="B207" s="81"/>
      <c r="C207" s="81"/>
      <c r="D207" s="81"/>
      <c r="E207" s="81"/>
      <c r="F207" s="82"/>
      <c r="G207" s="83"/>
      <c r="H207" s="81"/>
      <c r="I207" s="82"/>
      <c r="J207" s="82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4"/>
      <c r="W207" s="84"/>
      <c r="X207" s="84"/>
    </row>
    <row r="208" spans="1:24" ht="15.75" customHeight="1" x14ac:dyDescent="0.25">
      <c r="A208" s="81"/>
      <c r="B208" s="81"/>
      <c r="C208" s="81"/>
      <c r="D208" s="81"/>
      <c r="E208" s="81"/>
      <c r="F208" s="82"/>
      <c r="G208" s="83"/>
      <c r="H208" s="81"/>
      <c r="I208" s="82"/>
      <c r="J208" s="82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4"/>
      <c r="W208" s="84"/>
      <c r="X208" s="84"/>
    </row>
    <row r="209" spans="1:24" ht="15.75" customHeight="1" x14ac:dyDescent="0.25">
      <c r="A209" s="81"/>
      <c r="B209" s="81"/>
      <c r="C209" s="81"/>
      <c r="D209" s="81"/>
      <c r="E209" s="81"/>
      <c r="F209" s="82"/>
      <c r="G209" s="83"/>
      <c r="H209" s="81"/>
      <c r="I209" s="82"/>
      <c r="J209" s="82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4"/>
      <c r="W209" s="84"/>
      <c r="X209" s="84"/>
    </row>
    <row r="210" spans="1:24" ht="15.75" customHeight="1" x14ac:dyDescent="0.25">
      <c r="A210" s="81"/>
      <c r="B210" s="81"/>
      <c r="C210" s="81"/>
      <c r="D210" s="81"/>
      <c r="E210" s="81"/>
      <c r="F210" s="82"/>
      <c r="G210" s="83"/>
      <c r="H210" s="81"/>
      <c r="I210" s="82"/>
      <c r="J210" s="82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4"/>
      <c r="W210" s="84"/>
      <c r="X210" s="84"/>
    </row>
    <row r="211" spans="1:24" ht="15.75" customHeight="1" x14ac:dyDescent="0.25">
      <c r="A211" s="81"/>
      <c r="B211" s="81"/>
      <c r="C211" s="81"/>
      <c r="D211" s="81"/>
      <c r="E211" s="81"/>
      <c r="F211" s="82"/>
      <c r="G211" s="83"/>
      <c r="H211" s="81"/>
      <c r="I211" s="82"/>
      <c r="J211" s="82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4"/>
      <c r="W211" s="84"/>
      <c r="X211" s="84"/>
    </row>
    <row r="212" spans="1:24" ht="15.75" customHeight="1" x14ac:dyDescent="0.25">
      <c r="A212" s="81"/>
      <c r="B212" s="81"/>
      <c r="C212" s="81"/>
      <c r="D212" s="81"/>
      <c r="E212" s="81"/>
      <c r="F212" s="82"/>
      <c r="G212" s="83"/>
      <c r="H212" s="81"/>
      <c r="I212" s="82"/>
      <c r="J212" s="82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4"/>
      <c r="W212" s="84"/>
      <c r="X212" s="84"/>
    </row>
    <row r="213" spans="1:24" ht="15.75" customHeight="1" x14ac:dyDescent="0.25">
      <c r="A213" s="81"/>
      <c r="B213" s="81"/>
      <c r="C213" s="81"/>
      <c r="D213" s="81"/>
      <c r="E213" s="81"/>
      <c r="F213" s="82"/>
      <c r="G213" s="83"/>
      <c r="H213" s="81"/>
      <c r="I213" s="82"/>
      <c r="J213" s="82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4"/>
      <c r="W213" s="84"/>
      <c r="X213" s="84"/>
    </row>
    <row r="214" spans="1:24" ht="15.75" customHeight="1" x14ac:dyDescent="0.25">
      <c r="A214" s="81"/>
      <c r="B214" s="81"/>
      <c r="C214" s="81"/>
      <c r="D214" s="81"/>
      <c r="E214" s="81"/>
      <c r="F214" s="82"/>
      <c r="G214" s="83"/>
      <c r="H214" s="81"/>
      <c r="I214" s="82"/>
      <c r="J214" s="82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4"/>
      <c r="W214" s="84"/>
      <c r="X214" s="84"/>
    </row>
    <row r="215" spans="1:24" ht="15.75" customHeight="1" x14ac:dyDescent="0.25">
      <c r="A215" s="81"/>
      <c r="B215" s="81"/>
      <c r="C215" s="81"/>
      <c r="D215" s="81"/>
      <c r="E215" s="81"/>
      <c r="F215" s="82"/>
      <c r="G215" s="83"/>
      <c r="H215" s="81"/>
      <c r="I215" s="82"/>
      <c r="J215" s="82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4"/>
      <c r="W215" s="84"/>
      <c r="X215" s="84"/>
    </row>
    <row r="216" spans="1:24" ht="15.75" customHeight="1" x14ac:dyDescent="0.25">
      <c r="A216" s="81"/>
      <c r="B216" s="81"/>
      <c r="C216" s="81"/>
      <c r="D216" s="81"/>
      <c r="E216" s="81"/>
      <c r="F216" s="82"/>
      <c r="G216" s="83"/>
      <c r="H216" s="81"/>
      <c r="I216" s="82"/>
      <c r="J216" s="82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4"/>
      <c r="W216" s="84"/>
      <c r="X216" s="84"/>
    </row>
    <row r="217" spans="1:24" ht="15.75" customHeight="1" x14ac:dyDescent="0.25">
      <c r="A217" s="81"/>
      <c r="B217" s="81"/>
      <c r="C217" s="81"/>
      <c r="D217" s="81"/>
      <c r="E217" s="81"/>
      <c r="F217" s="82"/>
      <c r="G217" s="83"/>
      <c r="H217" s="81"/>
      <c r="I217" s="82"/>
      <c r="J217" s="82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4"/>
      <c r="W217" s="84"/>
      <c r="X217" s="84"/>
    </row>
    <row r="218" spans="1:24" ht="15.75" customHeight="1" x14ac:dyDescent="0.25">
      <c r="A218" s="81"/>
      <c r="B218" s="81"/>
      <c r="C218" s="81"/>
      <c r="D218" s="81"/>
      <c r="E218" s="81"/>
      <c r="F218" s="82"/>
      <c r="G218" s="83"/>
      <c r="H218" s="81"/>
      <c r="I218" s="82"/>
      <c r="J218" s="82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4"/>
      <c r="W218" s="84"/>
      <c r="X218" s="84"/>
    </row>
    <row r="219" spans="1:24" ht="15.75" customHeight="1" x14ac:dyDescent="0.25">
      <c r="A219" s="81"/>
      <c r="B219" s="81"/>
      <c r="C219" s="81"/>
      <c r="D219" s="81"/>
      <c r="E219" s="81"/>
      <c r="F219" s="82"/>
      <c r="G219" s="83"/>
      <c r="H219" s="81"/>
      <c r="I219" s="82"/>
      <c r="J219" s="82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4"/>
      <c r="W219" s="84"/>
      <c r="X219" s="84"/>
    </row>
    <row r="220" spans="1:24" ht="15.75" customHeight="1" x14ac:dyDescent="0.25">
      <c r="A220" s="81"/>
      <c r="B220" s="81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4"/>
      <c r="W220" s="84"/>
      <c r="X220" s="84"/>
    </row>
    <row r="221" spans="1:24" ht="15.75" customHeight="1" x14ac:dyDescent="0.25">
      <c r="A221" s="81"/>
      <c r="B221" s="81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4"/>
      <c r="W221" s="84"/>
      <c r="X221" s="84"/>
    </row>
    <row r="222" spans="1:24" ht="15.75" customHeight="1" x14ac:dyDescent="0.25">
      <c r="A222" s="81"/>
      <c r="B222" s="81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4"/>
      <c r="W222" s="84"/>
      <c r="X222" s="84"/>
    </row>
    <row r="223" spans="1:24" ht="15.75" customHeight="1" x14ac:dyDescent="0.25">
      <c r="A223" s="81"/>
      <c r="B223" s="81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4"/>
      <c r="W223" s="84"/>
      <c r="X223" s="84"/>
    </row>
    <row r="224" spans="1:24" ht="15.75" customHeight="1" x14ac:dyDescent="0.25">
      <c r="A224" s="81"/>
      <c r="B224" s="81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4"/>
      <c r="W224" s="84"/>
      <c r="X224" s="84"/>
    </row>
    <row r="225" spans="1:24" ht="15.75" customHeight="1" x14ac:dyDescent="0.25">
      <c r="A225" s="81"/>
      <c r="B225" s="81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4"/>
      <c r="W225" s="84"/>
      <c r="X225" s="84"/>
    </row>
    <row r="226" spans="1:24" ht="15.75" customHeight="1" x14ac:dyDescent="0.25">
      <c r="A226" s="81"/>
      <c r="B226" s="81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4"/>
      <c r="W226" s="84"/>
      <c r="X226" s="84"/>
    </row>
    <row r="227" spans="1:24" ht="15.75" customHeight="1" x14ac:dyDescent="0.25">
      <c r="A227" s="81"/>
      <c r="B227" s="81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4"/>
      <c r="W227" s="84"/>
      <c r="X227" s="84"/>
    </row>
    <row r="228" spans="1:24" ht="15.75" customHeight="1" x14ac:dyDescent="0.25">
      <c r="A228" s="81"/>
      <c r="B228" s="81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4"/>
      <c r="W228" s="84"/>
      <c r="X228" s="84"/>
    </row>
    <row r="229" spans="1:24" ht="15.75" customHeight="1" x14ac:dyDescent="0.25">
      <c r="A229" s="81"/>
      <c r="B229" s="81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4"/>
      <c r="W229" s="84"/>
      <c r="X229" s="84"/>
    </row>
    <row r="230" spans="1:24" ht="15.75" customHeight="1" x14ac:dyDescent="0.25">
      <c r="A230" s="81"/>
      <c r="B230" s="81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4"/>
      <c r="W230" s="84"/>
      <c r="X230" s="84"/>
    </row>
    <row r="231" spans="1:24" ht="15.75" customHeight="1" x14ac:dyDescent="0.25">
      <c r="A231" s="81"/>
      <c r="B231" s="81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4"/>
      <c r="W231" s="84"/>
      <c r="X231" s="84"/>
    </row>
    <row r="232" spans="1:24" ht="15.75" customHeight="1" x14ac:dyDescent="0.25">
      <c r="A232" s="81"/>
      <c r="B232" s="81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4"/>
      <c r="W232" s="84"/>
      <c r="X232" s="84"/>
    </row>
    <row r="233" spans="1:24" ht="15.75" customHeight="1" x14ac:dyDescent="0.25">
      <c r="A233" s="81"/>
      <c r="B233" s="81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4"/>
      <c r="W233" s="84"/>
      <c r="X233" s="84"/>
    </row>
    <row r="234" spans="1:24" ht="15.75" customHeight="1" x14ac:dyDescent="0.25">
      <c r="A234" s="81"/>
      <c r="B234" s="81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4"/>
      <c r="W234" s="84"/>
      <c r="X234" s="84"/>
    </row>
    <row r="235" spans="1:24" ht="15.75" customHeight="1" x14ac:dyDescent="0.25">
      <c r="A235" s="81"/>
      <c r="B235" s="81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4"/>
      <c r="W235" s="84"/>
      <c r="X235" s="84"/>
    </row>
    <row r="236" spans="1:24" ht="15.75" customHeight="1" x14ac:dyDescent="0.25">
      <c r="A236" s="81"/>
      <c r="B236" s="81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4"/>
      <c r="W236" s="84"/>
      <c r="X236" s="84"/>
    </row>
    <row r="237" spans="1:24" ht="15.75" customHeight="1" x14ac:dyDescent="0.25">
      <c r="A237" s="81"/>
      <c r="B237" s="81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4"/>
      <c r="W237" s="84"/>
      <c r="X237" s="84"/>
    </row>
    <row r="238" spans="1:24" ht="15.75" customHeight="1" x14ac:dyDescent="0.25">
      <c r="A238" s="81"/>
      <c r="B238" s="81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4"/>
      <c r="W238" s="84"/>
      <c r="X238" s="84"/>
    </row>
    <row r="239" spans="1:24" ht="15.75" customHeight="1" x14ac:dyDescent="0.25">
      <c r="A239" s="81"/>
      <c r="B239" s="81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4"/>
      <c r="W239" s="84"/>
      <c r="X239" s="84"/>
    </row>
    <row r="240" spans="1:24" ht="15.75" customHeight="1" x14ac:dyDescent="0.25">
      <c r="A240" s="81"/>
      <c r="B240" s="81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4"/>
      <c r="W240" s="84"/>
      <c r="X240" s="84"/>
    </row>
    <row r="241" spans="1:24" ht="15.75" customHeight="1" x14ac:dyDescent="0.25">
      <c r="A241" s="81"/>
      <c r="B241" s="81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4"/>
      <c r="W241" s="84"/>
      <c r="X241" s="84"/>
    </row>
    <row r="242" spans="1:24" ht="15.75" customHeight="1" x14ac:dyDescent="0.25">
      <c r="A242" s="81"/>
      <c r="B242" s="81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4"/>
      <c r="W242" s="84"/>
      <c r="X242" s="84"/>
    </row>
    <row r="243" spans="1:24" ht="15.75" customHeight="1" x14ac:dyDescent="0.25">
      <c r="A243" s="81"/>
      <c r="B243" s="81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4"/>
      <c r="W243" s="84"/>
      <c r="X243" s="84"/>
    </row>
    <row r="244" spans="1:24" ht="15.75" customHeight="1" x14ac:dyDescent="0.25">
      <c r="A244" s="81"/>
      <c r="B244" s="81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4"/>
      <c r="W244" s="84"/>
      <c r="X244" s="84"/>
    </row>
    <row r="245" spans="1:24" ht="15.75" customHeight="1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4"/>
      <c r="W245" s="84"/>
      <c r="X245" s="84"/>
    </row>
    <row r="246" spans="1:24" ht="15.75" customHeight="1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4"/>
      <c r="W246" s="84"/>
      <c r="X246" s="84"/>
    </row>
    <row r="247" spans="1:24" ht="15.75" customHeight="1" x14ac:dyDescent="0.25">
      <c r="A247" s="81"/>
      <c r="B247" s="81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4"/>
      <c r="W247" s="84"/>
      <c r="X247" s="84"/>
    </row>
    <row r="248" spans="1:24" ht="15.75" customHeight="1" x14ac:dyDescent="0.25">
      <c r="A248" s="8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4"/>
      <c r="W248" s="84"/>
      <c r="X248" s="84"/>
    </row>
    <row r="249" spans="1:24" ht="15.75" customHeight="1" x14ac:dyDescent="0.25">
      <c r="A249" s="8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4"/>
      <c r="W249" s="84"/>
      <c r="X249" s="84"/>
    </row>
    <row r="250" spans="1:24" ht="15.75" customHeight="1" x14ac:dyDescent="0.25">
      <c r="A250" s="8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4"/>
      <c r="W250" s="84"/>
      <c r="X250" s="84"/>
    </row>
    <row r="251" spans="1:24" ht="15.75" customHeight="1" x14ac:dyDescent="0.25">
      <c r="A251" s="8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4"/>
      <c r="W251" s="84"/>
      <c r="X251" s="84"/>
    </row>
    <row r="252" spans="1:24" ht="15.75" customHeight="1" x14ac:dyDescent="0.25">
      <c r="A252" s="8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4"/>
      <c r="W252" s="84"/>
      <c r="X252" s="84"/>
    </row>
    <row r="253" spans="1:24" ht="15.75" customHeight="1" x14ac:dyDescent="0.25">
      <c r="A253" s="8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4"/>
      <c r="W253" s="84"/>
      <c r="X253" s="84"/>
    </row>
    <row r="254" spans="1:24" ht="15.75" customHeight="1" x14ac:dyDescent="0.25">
      <c r="A254" s="8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4"/>
      <c r="W254" s="84"/>
      <c r="X254" s="84"/>
    </row>
    <row r="255" spans="1:24" ht="15.75" customHeight="1" x14ac:dyDescent="0.25">
      <c r="A255" s="8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4"/>
      <c r="W255" s="84"/>
      <c r="X255" s="84"/>
    </row>
    <row r="256" spans="1:24" ht="15.75" customHeight="1" x14ac:dyDescent="0.25">
      <c r="A256" s="8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4"/>
      <c r="W256" s="84"/>
      <c r="X256" s="84"/>
    </row>
    <row r="257" spans="1:24" ht="15.75" customHeight="1" x14ac:dyDescent="0.25">
      <c r="A257" s="8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4"/>
      <c r="W257" s="84"/>
      <c r="X257" s="84"/>
    </row>
    <row r="258" spans="1:24" ht="15.75" customHeight="1" x14ac:dyDescent="0.25">
      <c r="A258" s="81"/>
      <c r="B258" s="81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4"/>
      <c r="W258" s="84"/>
      <c r="X258" s="84"/>
    </row>
    <row r="259" spans="1:24" ht="15.75" customHeight="1" x14ac:dyDescent="0.25">
      <c r="A259" s="81"/>
      <c r="B259" s="81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4"/>
      <c r="W259" s="84"/>
      <c r="X259" s="84"/>
    </row>
    <row r="260" spans="1:24" ht="15.75" customHeight="1" x14ac:dyDescent="0.25">
      <c r="A260" s="81"/>
      <c r="B260" s="81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4"/>
      <c r="W260" s="84"/>
      <c r="X260" s="84"/>
    </row>
    <row r="261" spans="1:24" ht="15.75" customHeight="1" x14ac:dyDescent="0.25">
      <c r="A261" s="81"/>
      <c r="B261" s="81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4"/>
      <c r="W261" s="84"/>
      <c r="X261" s="84"/>
    </row>
    <row r="262" spans="1:24" ht="15.75" customHeight="1" x14ac:dyDescent="0.25">
      <c r="A262" s="81"/>
      <c r="B262" s="81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4"/>
      <c r="W262" s="84"/>
      <c r="X262" s="84"/>
    </row>
    <row r="263" spans="1:24" ht="15.75" customHeight="1" x14ac:dyDescent="0.25">
      <c r="A263" s="81"/>
      <c r="B263" s="81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4"/>
      <c r="W263" s="84"/>
      <c r="X263" s="84"/>
    </row>
    <row r="264" spans="1:24" ht="15.75" customHeight="1" x14ac:dyDescent="0.25">
      <c r="A264" s="81"/>
      <c r="B264" s="81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4"/>
      <c r="W264" s="84"/>
      <c r="X264" s="84"/>
    </row>
    <row r="265" spans="1:24" ht="15.75" customHeight="1" x14ac:dyDescent="0.25">
      <c r="A265" s="81"/>
      <c r="B265" s="81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4"/>
      <c r="W265" s="84"/>
      <c r="X265" s="84"/>
    </row>
    <row r="266" spans="1:24" ht="15.75" customHeight="1" x14ac:dyDescent="0.25">
      <c r="A266" s="81"/>
      <c r="B266" s="81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4"/>
      <c r="W266" s="84"/>
      <c r="X266" s="84"/>
    </row>
    <row r="267" spans="1:24" ht="15.75" customHeight="1" x14ac:dyDescent="0.25">
      <c r="A267" s="81"/>
      <c r="B267" s="81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4"/>
      <c r="W267" s="84"/>
      <c r="X267" s="84"/>
    </row>
    <row r="268" spans="1:24" ht="15.75" customHeight="1" x14ac:dyDescent="0.25">
      <c r="A268" s="81"/>
      <c r="B268" s="81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4"/>
      <c r="W268" s="84"/>
      <c r="X268" s="84"/>
    </row>
    <row r="269" spans="1:24" ht="15.75" customHeight="1" x14ac:dyDescent="0.25">
      <c r="A269" s="81"/>
      <c r="B269" s="81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4"/>
      <c r="W269" s="84"/>
      <c r="X269" s="84"/>
    </row>
    <row r="270" spans="1:24" ht="15.75" customHeight="1" x14ac:dyDescent="0.25">
      <c r="A270" s="81"/>
      <c r="B270" s="81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4"/>
      <c r="W270" s="84"/>
      <c r="X270" s="84"/>
    </row>
    <row r="271" spans="1:24" ht="15.75" customHeight="1" x14ac:dyDescent="0.25">
      <c r="A271" s="81"/>
      <c r="B271" s="81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4"/>
      <c r="W271" s="84"/>
      <c r="X271" s="84"/>
    </row>
    <row r="272" spans="1:24" ht="15.75" customHeight="1" x14ac:dyDescent="0.25">
      <c r="A272" s="81"/>
      <c r="B272" s="81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4"/>
      <c r="W272" s="84"/>
      <c r="X272" s="84"/>
    </row>
    <row r="273" spans="1:24" ht="15.75" customHeight="1" x14ac:dyDescent="0.25">
      <c r="A273" s="81"/>
      <c r="B273" s="81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4"/>
      <c r="W273" s="84"/>
      <c r="X273" s="84"/>
    </row>
    <row r="274" spans="1:24" ht="15.75" customHeight="1" x14ac:dyDescent="0.25">
      <c r="A274" s="81"/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4"/>
      <c r="W274" s="84"/>
      <c r="X274" s="84"/>
    </row>
    <row r="275" spans="1:24" ht="15.75" customHeight="1" x14ac:dyDescent="0.25">
      <c r="A275" s="81"/>
      <c r="B275" s="81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4"/>
      <c r="W275" s="84"/>
      <c r="X275" s="84"/>
    </row>
    <row r="276" spans="1:24" ht="15.75" customHeight="1" x14ac:dyDescent="0.25">
      <c r="A276" s="81"/>
      <c r="B276" s="81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4"/>
      <c r="W276" s="84"/>
      <c r="X276" s="84"/>
    </row>
    <row r="277" spans="1:24" ht="15.75" customHeight="1" x14ac:dyDescent="0.25">
      <c r="A277" s="81"/>
      <c r="B277" s="81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4"/>
      <c r="W277" s="84"/>
      <c r="X277" s="84"/>
    </row>
    <row r="278" spans="1:24" ht="15.75" customHeight="1" x14ac:dyDescent="0.25">
      <c r="A278" s="81"/>
      <c r="B278" s="81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4"/>
      <c r="W278" s="84"/>
      <c r="X278" s="84"/>
    </row>
    <row r="279" spans="1:24" ht="15.75" customHeight="1" x14ac:dyDescent="0.25">
      <c r="A279" s="81"/>
      <c r="B279" s="81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4"/>
      <c r="W279" s="84"/>
      <c r="X279" s="84"/>
    </row>
    <row r="280" spans="1:24" ht="15.75" customHeight="1" x14ac:dyDescent="0.25">
      <c r="A280" s="81"/>
      <c r="B280" s="81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4"/>
      <c r="W280" s="84"/>
      <c r="X280" s="84"/>
    </row>
    <row r="281" spans="1:24" ht="15.75" customHeight="1" x14ac:dyDescent="0.25">
      <c r="A281" s="81"/>
      <c r="B281" s="81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4"/>
      <c r="W281" s="84"/>
      <c r="X281" s="84"/>
    </row>
    <row r="282" spans="1:24" ht="15.75" customHeight="1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4"/>
      <c r="W282" s="84"/>
      <c r="X282" s="84"/>
    </row>
    <row r="283" spans="1:24" ht="15.75" customHeight="1" x14ac:dyDescent="0.25">
      <c r="A283" s="81"/>
      <c r="B283" s="81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4"/>
      <c r="W283" s="84"/>
      <c r="X283" s="84"/>
    </row>
    <row r="284" spans="1:24" ht="15.75" customHeight="1" x14ac:dyDescent="0.25">
      <c r="A284" s="81"/>
      <c r="B284" s="81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4"/>
      <c r="W284" s="84"/>
      <c r="X284" s="84"/>
    </row>
    <row r="285" spans="1:24" ht="15.75" customHeight="1" x14ac:dyDescent="0.25">
      <c r="A285" s="81"/>
      <c r="B285" s="81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4"/>
      <c r="W285" s="84"/>
      <c r="X285" s="84"/>
    </row>
    <row r="286" spans="1:24" ht="15.75" customHeight="1" x14ac:dyDescent="0.25">
      <c r="A286" s="81"/>
      <c r="B286" s="81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4"/>
      <c r="W286" s="84"/>
      <c r="X286" s="84"/>
    </row>
    <row r="287" spans="1:24" ht="15.75" customHeight="1" x14ac:dyDescent="0.25">
      <c r="A287" s="81"/>
      <c r="B287" s="81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4"/>
      <c r="W287" s="84"/>
      <c r="X287" s="84"/>
    </row>
    <row r="288" spans="1:24" ht="15.75" customHeight="1" x14ac:dyDescent="0.25">
      <c r="A288" s="81"/>
      <c r="B288" s="81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4"/>
      <c r="W288" s="84"/>
      <c r="X288" s="84"/>
    </row>
    <row r="289" spans="1:24" ht="15.75" customHeight="1" x14ac:dyDescent="0.25">
      <c r="A289" s="81"/>
      <c r="B289" s="81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4"/>
      <c r="W289" s="84"/>
      <c r="X289" s="84"/>
    </row>
    <row r="290" spans="1:24" ht="15.75" customHeight="1" x14ac:dyDescent="0.25">
      <c r="A290" s="81"/>
      <c r="B290" s="81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4"/>
      <c r="W290" s="84"/>
      <c r="X290" s="84"/>
    </row>
    <row r="291" spans="1:24" ht="15.75" customHeight="1" x14ac:dyDescent="0.25">
      <c r="A291" s="81"/>
      <c r="B291" s="81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4"/>
      <c r="W291" s="84"/>
      <c r="X291" s="84"/>
    </row>
    <row r="292" spans="1:24" ht="15.75" customHeight="1" x14ac:dyDescent="0.25">
      <c r="A292" s="81"/>
      <c r="B292" s="81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4"/>
      <c r="W292" s="84"/>
      <c r="X292" s="84"/>
    </row>
    <row r="293" spans="1:24" ht="15.75" customHeight="1" x14ac:dyDescent="0.25">
      <c r="A293" s="81"/>
      <c r="B293" s="81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4"/>
      <c r="W293" s="84"/>
      <c r="X293" s="84"/>
    </row>
    <row r="294" spans="1:24" ht="15.75" customHeight="1" x14ac:dyDescent="0.25">
      <c r="A294" s="81"/>
      <c r="B294" s="81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4"/>
      <c r="W294" s="84"/>
      <c r="X294" s="84"/>
    </row>
    <row r="295" spans="1:24" ht="15.75" customHeight="1" x14ac:dyDescent="0.25">
      <c r="A295" s="81"/>
      <c r="B295" s="81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4"/>
      <c r="W295" s="84"/>
      <c r="X295" s="84"/>
    </row>
    <row r="296" spans="1:24" ht="15.75" customHeight="1" x14ac:dyDescent="0.25">
      <c r="A296" s="81"/>
      <c r="B296" s="81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4"/>
      <c r="W296" s="84"/>
      <c r="X296" s="84"/>
    </row>
    <row r="297" spans="1:24" ht="15.75" customHeight="1" x14ac:dyDescent="0.25">
      <c r="A297" s="81"/>
      <c r="B297" s="81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4"/>
      <c r="W297" s="84"/>
      <c r="X297" s="84"/>
    </row>
    <row r="298" spans="1:24" ht="15.75" customHeight="1" x14ac:dyDescent="0.25">
      <c r="A298" s="81"/>
      <c r="B298" s="81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4"/>
      <c r="W298" s="84"/>
      <c r="X298" s="84"/>
    </row>
    <row r="299" spans="1:24" ht="15.75" customHeight="1" x14ac:dyDescent="0.25">
      <c r="A299" s="81"/>
      <c r="B299" s="81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4"/>
      <c r="W299" s="84"/>
      <c r="X299" s="84"/>
    </row>
    <row r="300" spans="1:24" ht="15.75" customHeight="1" x14ac:dyDescent="0.25">
      <c r="A300" s="81"/>
      <c r="B300" s="81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4"/>
      <c r="W300" s="84"/>
      <c r="X300" s="84"/>
    </row>
    <row r="301" spans="1:24" ht="15.75" customHeight="1" x14ac:dyDescent="0.25">
      <c r="A301" s="81"/>
      <c r="B301" s="81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4"/>
      <c r="W301" s="84"/>
      <c r="X301" s="84"/>
    </row>
    <row r="302" spans="1:24" ht="15.75" customHeight="1" x14ac:dyDescent="0.25">
      <c r="A302" s="81"/>
      <c r="B302" s="81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4"/>
      <c r="W302" s="84"/>
      <c r="X302" s="84"/>
    </row>
    <row r="303" spans="1:24" ht="15.75" customHeight="1" x14ac:dyDescent="0.25">
      <c r="A303" s="81"/>
      <c r="B303" s="81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4"/>
      <c r="W303" s="84"/>
      <c r="X303" s="84"/>
    </row>
    <row r="304" spans="1:24" ht="15.75" customHeight="1" x14ac:dyDescent="0.25">
      <c r="A304" s="81"/>
      <c r="B304" s="81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4"/>
      <c r="W304" s="84"/>
      <c r="X304" s="84"/>
    </row>
    <row r="305" spans="1:24" ht="15.75" customHeight="1" x14ac:dyDescent="0.25">
      <c r="A305" s="81"/>
      <c r="B305" s="81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4"/>
      <c r="W305" s="84"/>
      <c r="X305" s="84"/>
    </row>
    <row r="306" spans="1:24" ht="15.75" customHeight="1" x14ac:dyDescent="0.25">
      <c r="A306" s="81"/>
      <c r="B306" s="81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4"/>
      <c r="W306" s="84"/>
      <c r="X306" s="84"/>
    </row>
    <row r="307" spans="1:24" ht="15.75" customHeight="1" x14ac:dyDescent="0.25">
      <c r="A307" s="81"/>
      <c r="B307" s="81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4"/>
      <c r="W307" s="84"/>
      <c r="X307" s="84"/>
    </row>
    <row r="308" spans="1:24" ht="15.75" customHeight="1" x14ac:dyDescent="0.25">
      <c r="A308" s="81"/>
      <c r="B308" s="81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4"/>
      <c r="W308" s="84"/>
      <c r="X308" s="84"/>
    </row>
    <row r="309" spans="1:24" ht="15.75" customHeight="1" x14ac:dyDescent="0.25">
      <c r="A309" s="81"/>
      <c r="B309" s="81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4"/>
      <c r="W309" s="84"/>
      <c r="X309" s="84"/>
    </row>
    <row r="310" spans="1:24" ht="15.75" customHeight="1" x14ac:dyDescent="0.25">
      <c r="A310" s="81"/>
      <c r="B310" s="81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4"/>
      <c r="W310" s="84"/>
      <c r="X310" s="84"/>
    </row>
    <row r="311" spans="1:24" ht="15.75" customHeight="1" x14ac:dyDescent="0.25">
      <c r="A311" s="81"/>
      <c r="B311" s="81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4"/>
      <c r="W311" s="84"/>
      <c r="X311" s="84"/>
    </row>
    <row r="312" spans="1:24" ht="15.75" customHeight="1" x14ac:dyDescent="0.25">
      <c r="A312" s="81"/>
      <c r="B312" s="81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4"/>
      <c r="W312" s="84"/>
      <c r="X312" s="84"/>
    </row>
    <row r="313" spans="1:24" ht="15.75" customHeight="1" x14ac:dyDescent="0.25">
      <c r="A313" s="81"/>
      <c r="B313" s="81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4"/>
      <c r="W313" s="84"/>
      <c r="X313" s="84"/>
    </row>
    <row r="314" spans="1:24" ht="15.75" customHeight="1" x14ac:dyDescent="0.25">
      <c r="A314" s="81"/>
      <c r="B314" s="81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4"/>
      <c r="W314" s="84"/>
      <c r="X314" s="84"/>
    </row>
    <row r="315" spans="1:24" ht="15.75" customHeight="1" x14ac:dyDescent="0.25">
      <c r="A315" s="81"/>
      <c r="B315" s="81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4"/>
      <c r="W315" s="84"/>
      <c r="X315" s="84"/>
    </row>
    <row r="316" spans="1:24" ht="15.75" customHeight="1" x14ac:dyDescent="0.25">
      <c r="A316" s="81"/>
      <c r="B316" s="81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4"/>
      <c r="W316" s="84"/>
      <c r="X316" s="84"/>
    </row>
    <row r="317" spans="1:24" ht="15.75" customHeight="1" x14ac:dyDescent="0.25">
      <c r="A317" s="81"/>
      <c r="B317" s="81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4"/>
      <c r="W317" s="84"/>
      <c r="X317" s="84"/>
    </row>
    <row r="318" spans="1:24" ht="15.75" customHeight="1" x14ac:dyDescent="0.25">
      <c r="A318" s="81"/>
      <c r="B318" s="81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4"/>
      <c r="W318" s="84"/>
      <c r="X318" s="84"/>
    </row>
    <row r="319" spans="1:24" ht="15.75" customHeight="1" x14ac:dyDescent="0.25">
      <c r="A319" s="81"/>
      <c r="B319" s="81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4"/>
      <c r="W319" s="84"/>
      <c r="X319" s="84"/>
    </row>
    <row r="320" spans="1:24" ht="15.75" customHeight="1" x14ac:dyDescent="0.25">
      <c r="A320" s="81"/>
      <c r="B320" s="81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4"/>
      <c r="W320" s="84"/>
      <c r="X320" s="84"/>
    </row>
    <row r="321" spans="1:24" ht="15.75" customHeight="1" x14ac:dyDescent="0.25">
      <c r="A321" s="81"/>
      <c r="B321" s="81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4"/>
      <c r="W321" s="84"/>
      <c r="X321" s="84"/>
    </row>
    <row r="322" spans="1:24" ht="15.75" customHeight="1" x14ac:dyDescent="0.25">
      <c r="A322" s="81"/>
      <c r="B322" s="81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4"/>
      <c r="W322" s="84"/>
      <c r="X322" s="84"/>
    </row>
    <row r="323" spans="1:24" ht="15.75" customHeight="1" x14ac:dyDescent="0.25">
      <c r="A323" s="81"/>
      <c r="B323" s="81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4"/>
      <c r="W323" s="84"/>
      <c r="X323" s="84"/>
    </row>
    <row r="324" spans="1:24" ht="15.75" customHeight="1" x14ac:dyDescent="0.25">
      <c r="A324" s="81"/>
      <c r="B324" s="81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4"/>
      <c r="W324" s="84"/>
      <c r="X324" s="84"/>
    </row>
    <row r="325" spans="1:24" ht="15.75" customHeight="1" x14ac:dyDescent="0.25">
      <c r="A325" s="81"/>
      <c r="B325" s="81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4"/>
      <c r="W325" s="84"/>
      <c r="X325" s="84"/>
    </row>
    <row r="326" spans="1:24" ht="15.75" customHeight="1" x14ac:dyDescent="0.25">
      <c r="A326" s="81"/>
      <c r="B326" s="81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4"/>
      <c r="W326" s="84"/>
      <c r="X326" s="84"/>
    </row>
    <row r="327" spans="1:24" ht="15.75" customHeight="1" x14ac:dyDescent="0.25">
      <c r="A327" s="81"/>
      <c r="B327" s="81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4"/>
      <c r="W327" s="84"/>
      <c r="X327" s="84"/>
    </row>
    <row r="328" spans="1:24" ht="15.75" customHeight="1" x14ac:dyDescent="0.25">
      <c r="A328" s="81"/>
      <c r="B328" s="81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4"/>
      <c r="W328" s="84"/>
      <c r="X328" s="84"/>
    </row>
    <row r="329" spans="1:24" ht="15.75" customHeight="1" x14ac:dyDescent="0.25">
      <c r="A329" s="81"/>
      <c r="B329" s="81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4"/>
      <c r="W329" s="84"/>
      <c r="X329" s="84"/>
    </row>
    <row r="330" spans="1:24" ht="15.75" customHeight="1" x14ac:dyDescent="0.25">
      <c r="A330" s="81"/>
      <c r="B330" s="81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4"/>
      <c r="W330" s="84"/>
      <c r="X330" s="84"/>
    </row>
    <row r="331" spans="1:24" ht="15.75" customHeight="1" x14ac:dyDescent="0.25">
      <c r="A331" s="81"/>
      <c r="B331" s="81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4"/>
      <c r="W331" s="84"/>
      <c r="X331" s="84"/>
    </row>
    <row r="332" spans="1:24" ht="15.75" customHeight="1" x14ac:dyDescent="0.25">
      <c r="A332" s="81"/>
      <c r="B332" s="81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4"/>
      <c r="W332" s="84"/>
      <c r="X332" s="84"/>
    </row>
    <row r="333" spans="1:24" ht="15.75" customHeight="1" x14ac:dyDescent="0.25">
      <c r="A333" s="81"/>
      <c r="B333" s="81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4"/>
      <c r="W333" s="84"/>
      <c r="X333" s="84"/>
    </row>
    <row r="334" spans="1:24" ht="15.75" customHeight="1" x14ac:dyDescent="0.25">
      <c r="A334" s="81"/>
      <c r="B334" s="81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4"/>
      <c r="W334" s="84"/>
      <c r="X334" s="84"/>
    </row>
    <row r="335" spans="1:24" ht="15.75" customHeight="1" x14ac:dyDescent="0.25">
      <c r="A335" s="81"/>
      <c r="B335" s="81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4"/>
      <c r="W335" s="84"/>
      <c r="X335" s="84"/>
    </row>
    <row r="336" spans="1:24" ht="15.75" customHeight="1" x14ac:dyDescent="0.25">
      <c r="A336" s="81"/>
      <c r="B336" s="81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4"/>
      <c r="W336" s="84"/>
      <c r="X336" s="84"/>
    </row>
    <row r="337" spans="1:24" ht="15.75" customHeight="1" x14ac:dyDescent="0.25">
      <c r="A337" s="81"/>
      <c r="B337" s="81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4"/>
      <c r="W337" s="84"/>
      <c r="X337" s="84"/>
    </row>
    <row r="338" spans="1:24" ht="15.75" customHeight="1" x14ac:dyDescent="0.25">
      <c r="A338" s="81"/>
      <c r="B338" s="81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4"/>
      <c r="W338" s="84"/>
      <c r="X338" s="84"/>
    </row>
    <row r="339" spans="1:24" ht="15.75" customHeight="1" x14ac:dyDescent="0.25">
      <c r="A339" s="81"/>
      <c r="B339" s="81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4"/>
      <c r="W339" s="84"/>
      <c r="X339" s="84"/>
    </row>
    <row r="340" spans="1:24" ht="15.75" customHeight="1" x14ac:dyDescent="0.25">
      <c r="A340" s="81"/>
      <c r="B340" s="81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4"/>
      <c r="W340" s="84"/>
      <c r="X340" s="84"/>
    </row>
    <row r="341" spans="1:24" ht="15.75" customHeight="1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4"/>
      <c r="W341" s="84"/>
      <c r="X341" s="84"/>
    </row>
    <row r="342" spans="1:24" ht="15.75" customHeight="1" x14ac:dyDescent="0.25">
      <c r="A342" s="81"/>
      <c r="B342" s="81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4"/>
      <c r="W342" s="84"/>
      <c r="X342" s="84"/>
    </row>
    <row r="343" spans="1:24" ht="15.75" customHeight="1" x14ac:dyDescent="0.25">
      <c r="A343" s="81"/>
      <c r="B343" s="81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4"/>
      <c r="W343" s="84"/>
      <c r="X343" s="84"/>
    </row>
    <row r="344" spans="1:24" ht="15.75" customHeight="1" x14ac:dyDescent="0.25">
      <c r="A344" s="81"/>
      <c r="B344" s="81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4"/>
      <c r="W344" s="84"/>
      <c r="X344" s="84"/>
    </row>
    <row r="345" spans="1:24" ht="15.75" customHeight="1" x14ac:dyDescent="0.25">
      <c r="A345" s="81"/>
      <c r="B345" s="81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4"/>
      <c r="W345" s="84"/>
      <c r="X345" s="84"/>
    </row>
    <row r="346" spans="1:24" ht="15.75" customHeight="1" x14ac:dyDescent="0.25">
      <c r="A346" s="81"/>
      <c r="B346" s="81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4"/>
      <c r="W346" s="84"/>
      <c r="X346" s="84"/>
    </row>
    <row r="347" spans="1:24" ht="15.75" customHeight="1" x14ac:dyDescent="0.25">
      <c r="A347" s="81"/>
      <c r="B347" s="81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4"/>
      <c r="W347" s="84"/>
      <c r="X347" s="84"/>
    </row>
    <row r="348" spans="1:24" ht="15.75" customHeight="1" x14ac:dyDescent="0.25">
      <c r="A348" s="81"/>
      <c r="B348" s="81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4"/>
      <c r="W348" s="84"/>
      <c r="X348" s="84"/>
    </row>
    <row r="349" spans="1:24" ht="15.75" customHeight="1" x14ac:dyDescent="0.25">
      <c r="A349" s="81"/>
      <c r="B349" s="81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4"/>
      <c r="W349" s="84"/>
      <c r="X349" s="84"/>
    </row>
    <row r="350" spans="1:24" ht="15.75" customHeight="1" x14ac:dyDescent="0.25">
      <c r="A350" s="81"/>
      <c r="B350" s="81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4"/>
      <c r="W350" s="84"/>
      <c r="X350" s="84"/>
    </row>
    <row r="351" spans="1:24" ht="15.75" customHeight="1" x14ac:dyDescent="0.25">
      <c r="A351" s="81"/>
      <c r="B351" s="81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4"/>
      <c r="W351" s="84"/>
      <c r="X351" s="84"/>
    </row>
    <row r="352" spans="1:24" ht="15.75" customHeight="1" x14ac:dyDescent="0.25">
      <c r="A352" s="81"/>
      <c r="B352" s="81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4"/>
      <c r="W352" s="84"/>
      <c r="X352" s="84"/>
    </row>
    <row r="353" spans="1:24" ht="15.75" customHeight="1" x14ac:dyDescent="0.25">
      <c r="A353" s="81"/>
      <c r="B353" s="81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4"/>
      <c r="W353" s="84"/>
      <c r="X353" s="84"/>
    </row>
    <row r="354" spans="1:24" ht="15.75" customHeight="1" x14ac:dyDescent="0.25">
      <c r="A354" s="81"/>
      <c r="B354" s="81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4"/>
      <c r="W354" s="84"/>
      <c r="X354" s="84"/>
    </row>
    <row r="355" spans="1:24" ht="15.75" customHeight="1" x14ac:dyDescent="0.25">
      <c r="A355" s="81"/>
      <c r="B355" s="81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4"/>
      <c r="W355" s="84"/>
      <c r="X355" s="84"/>
    </row>
    <row r="356" spans="1:24" ht="15.75" customHeight="1" x14ac:dyDescent="0.25">
      <c r="A356" s="81"/>
      <c r="B356" s="81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4"/>
      <c r="W356" s="84"/>
      <c r="X356" s="84"/>
    </row>
    <row r="357" spans="1:24" ht="15.75" customHeight="1" x14ac:dyDescent="0.25">
      <c r="A357" s="81"/>
      <c r="B357" s="81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4"/>
      <c r="W357" s="84"/>
      <c r="X357" s="84"/>
    </row>
    <row r="358" spans="1:24" ht="15.75" customHeight="1" x14ac:dyDescent="0.25">
      <c r="A358" s="81"/>
      <c r="B358" s="81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4"/>
      <c r="W358" s="84"/>
      <c r="X358" s="84"/>
    </row>
    <row r="359" spans="1:24" ht="15.75" customHeight="1" x14ac:dyDescent="0.25">
      <c r="A359" s="81"/>
      <c r="B359" s="81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4"/>
      <c r="W359" s="84"/>
      <c r="X359" s="84"/>
    </row>
    <row r="360" spans="1:24" ht="15.75" customHeight="1" x14ac:dyDescent="0.25">
      <c r="A360" s="81"/>
      <c r="B360" s="81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4"/>
      <c r="W360" s="84"/>
      <c r="X360" s="84"/>
    </row>
    <row r="361" spans="1:24" ht="15.75" customHeight="1" x14ac:dyDescent="0.25">
      <c r="A361" s="81"/>
      <c r="B361" s="81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4"/>
      <c r="W361" s="84"/>
      <c r="X361" s="84"/>
    </row>
    <row r="362" spans="1:24" ht="15.75" customHeight="1" x14ac:dyDescent="0.25">
      <c r="A362" s="81"/>
      <c r="B362" s="81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4"/>
      <c r="W362" s="84"/>
      <c r="X362" s="84"/>
    </row>
    <row r="363" spans="1:24" ht="15.75" customHeight="1" x14ac:dyDescent="0.25">
      <c r="A363" s="81"/>
      <c r="B363" s="81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4"/>
      <c r="W363" s="84"/>
      <c r="X363" s="84"/>
    </row>
    <row r="364" spans="1:24" ht="15.75" customHeight="1" x14ac:dyDescent="0.25">
      <c r="A364" s="81"/>
      <c r="B364" s="81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4"/>
      <c r="W364" s="84"/>
      <c r="X364" s="84"/>
    </row>
    <row r="365" spans="1:24" ht="15.75" customHeight="1" x14ac:dyDescent="0.25">
      <c r="A365" s="81"/>
      <c r="B365" s="81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4"/>
      <c r="W365" s="84"/>
      <c r="X365" s="84"/>
    </row>
    <row r="366" spans="1:24" ht="15.75" customHeight="1" x14ac:dyDescent="0.25">
      <c r="A366" s="81"/>
      <c r="B366" s="81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4"/>
      <c r="W366" s="84"/>
      <c r="X366" s="84"/>
    </row>
    <row r="367" spans="1:24" ht="15.75" customHeight="1" x14ac:dyDescent="0.25">
      <c r="A367" s="81"/>
      <c r="B367" s="81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4"/>
      <c r="W367" s="84"/>
      <c r="X367" s="84"/>
    </row>
    <row r="368" spans="1:24" ht="15.75" customHeight="1" x14ac:dyDescent="0.25">
      <c r="A368" s="81"/>
      <c r="B368" s="81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4"/>
      <c r="W368" s="84"/>
      <c r="X368" s="84"/>
    </row>
    <row r="369" spans="1:24" ht="15.75" customHeight="1" x14ac:dyDescent="0.25">
      <c r="A369" s="81"/>
      <c r="B369" s="81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4"/>
      <c r="W369" s="84"/>
      <c r="X369" s="84"/>
    </row>
    <row r="370" spans="1:24" ht="15.75" customHeight="1" x14ac:dyDescent="0.25">
      <c r="A370" s="81"/>
      <c r="B370" s="81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4"/>
      <c r="W370" s="84"/>
      <c r="X370" s="84"/>
    </row>
    <row r="371" spans="1:24" ht="15.75" customHeight="1" x14ac:dyDescent="0.25">
      <c r="A371" s="81"/>
      <c r="B371" s="81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4"/>
      <c r="W371" s="84"/>
      <c r="X371" s="84"/>
    </row>
    <row r="372" spans="1:24" ht="15.75" customHeight="1" x14ac:dyDescent="0.25">
      <c r="A372" s="81"/>
      <c r="B372" s="81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4"/>
      <c r="W372" s="84"/>
      <c r="X372" s="84"/>
    </row>
    <row r="373" spans="1:24" ht="15.75" customHeight="1" x14ac:dyDescent="0.25">
      <c r="A373" s="81"/>
      <c r="B373" s="81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4"/>
      <c r="W373" s="84"/>
      <c r="X373" s="84"/>
    </row>
    <row r="374" spans="1:24" ht="15.75" customHeight="1" x14ac:dyDescent="0.25">
      <c r="A374" s="81"/>
      <c r="B374" s="81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4"/>
      <c r="W374" s="84"/>
      <c r="X374" s="84"/>
    </row>
    <row r="375" spans="1:24" ht="15.75" customHeight="1" x14ac:dyDescent="0.25">
      <c r="A375" s="81"/>
      <c r="B375" s="81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4"/>
      <c r="W375" s="84"/>
      <c r="X375" s="84"/>
    </row>
    <row r="376" spans="1:24" ht="15.75" customHeight="1" x14ac:dyDescent="0.25">
      <c r="A376" s="81"/>
      <c r="B376" s="81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4"/>
      <c r="W376" s="84"/>
      <c r="X376" s="84"/>
    </row>
    <row r="377" spans="1:24" ht="15.75" customHeight="1" x14ac:dyDescent="0.25">
      <c r="A377" s="81"/>
      <c r="B377" s="81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4"/>
      <c r="W377" s="84"/>
      <c r="X377" s="84"/>
    </row>
    <row r="378" spans="1:24" ht="15.75" customHeight="1" x14ac:dyDescent="0.25">
      <c r="A378" s="81"/>
      <c r="B378" s="81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4"/>
      <c r="W378" s="84"/>
      <c r="X378" s="84"/>
    </row>
    <row r="379" spans="1:24" ht="15.75" customHeight="1" x14ac:dyDescent="0.25">
      <c r="A379" s="81"/>
      <c r="B379" s="81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4"/>
      <c r="W379" s="84"/>
      <c r="X379" s="84"/>
    </row>
    <row r="380" spans="1:24" ht="15.75" customHeight="1" x14ac:dyDescent="0.25">
      <c r="A380" s="81"/>
      <c r="B380" s="81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4"/>
      <c r="W380" s="84"/>
      <c r="X380" s="84"/>
    </row>
    <row r="381" spans="1:24" ht="15.75" customHeight="1" x14ac:dyDescent="0.25">
      <c r="A381" s="81"/>
      <c r="B381" s="81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4"/>
      <c r="W381" s="84"/>
      <c r="X381" s="84"/>
    </row>
    <row r="382" spans="1:24" ht="15.75" customHeight="1" x14ac:dyDescent="0.25">
      <c r="A382" s="81"/>
      <c r="B382" s="81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4"/>
      <c r="W382" s="84"/>
      <c r="X382" s="84"/>
    </row>
    <row r="383" spans="1:24" ht="15.75" customHeight="1" x14ac:dyDescent="0.25">
      <c r="A383" s="81"/>
      <c r="B383" s="81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4"/>
      <c r="W383" s="84"/>
      <c r="X383" s="84"/>
    </row>
    <row r="384" spans="1:24" ht="15.75" customHeight="1" x14ac:dyDescent="0.25">
      <c r="A384" s="81"/>
      <c r="B384" s="81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4"/>
      <c r="W384" s="84"/>
      <c r="X384" s="84"/>
    </row>
    <row r="385" spans="1:24" ht="15.75" customHeight="1" x14ac:dyDescent="0.25">
      <c r="A385" s="81"/>
      <c r="B385" s="81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4"/>
      <c r="W385" s="84"/>
      <c r="X385" s="84"/>
    </row>
    <row r="386" spans="1:24" ht="15.75" customHeight="1" x14ac:dyDescent="0.25">
      <c r="A386" s="81"/>
      <c r="B386" s="81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4"/>
      <c r="W386" s="84"/>
      <c r="X386" s="84"/>
    </row>
    <row r="387" spans="1:24" ht="15.75" customHeight="1" x14ac:dyDescent="0.25">
      <c r="A387" s="81"/>
      <c r="B387" s="81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4"/>
      <c r="W387" s="84"/>
      <c r="X387" s="84"/>
    </row>
    <row r="388" spans="1:24" ht="15.75" customHeight="1" x14ac:dyDescent="0.25">
      <c r="A388" s="81"/>
      <c r="B388" s="81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4"/>
      <c r="W388" s="84"/>
      <c r="X388" s="84"/>
    </row>
    <row r="389" spans="1:24" ht="15.75" customHeight="1" x14ac:dyDescent="0.25">
      <c r="A389" s="81"/>
      <c r="B389" s="81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4"/>
      <c r="W389" s="84"/>
      <c r="X389" s="84"/>
    </row>
    <row r="390" spans="1:24" ht="15.75" customHeight="1" x14ac:dyDescent="0.25">
      <c r="A390" s="81"/>
      <c r="B390" s="81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4"/>
      <c r="W390" s="84"/>
      <c r="X390" s="84"/>
    </row>
    <row r="391" spans="1:24" ht="15.75" customHeight="1" x14ac:dyDescent="0.25">
      <c r="A391" s="81"/>
      <c r="B391" s="81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4"/>
      <c r="W391" s="84"/>
      <c r="X391" s="84"/>
    </row>
    <row r="392" spans="1:24" ht="15.75" customHeight="1" x14ac:dyDescent="0.25">
      <c r="A392" s="81"/>
      <c r="B392" s="81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4"/>
      <c r="W392" s="84"/>
      <c r="X392" s="84"/>
    </row>
    <row r="393" spans="1:24" ht="15.75" customHeight="1" x14ac:dyDescent="0.25">
      <c r="A393" s="81"/>
      <c r="B393" s="81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4"/>
      <c r="W393" s="84"/>
      <c r="X393" s="84"/>
    </row>
    <row r="394" spans="1:24" ht="15.75" customHeight="1" x14ac:dyDescent="0.25">
      <c r="A394" s="81"/>
      <c r="B394" s="81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4"/>
      <c r="W394" s="84"/>
      <c r="X394" s="84"/>
    </row>
    <row r="395" spans="1:24" ht="15.75" customHeight="1" x14ac:dyDescent="0.25">
      <c r="A395" s="81"/>
      <c r="B395" s="81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4"/>
      <c r="W395" s="84"/>
      <c r="X395" s="84"/>
    </row>
    <row r="396" spans="1:24" ht="15.75" customHeight="1" x14ac:dyDescent="0.25">
      <c r="A396" s="81"/>
      <c r="B396" s="81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4"/>
      <c r="W396" s="84"/>
      <c r="X396" s="84"/>
    </row>
    <row r="397" spans="1:24" ht="15.75" customHeight="1" x14ac:dyDescent="0.25">
      <c r="A397" s="81"/>
      <c r="B397" s="81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4"/>
      <c r="W397" s="84"/>
      <c r="X397" s="84"/>
    </row>
    <row r="398" spans="1:24" ht="15.75" customHeight="1" x14ac:dyDescent="0.25">
      <c r="A398" s="81"/>
      <c r="B398" s="81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4"/>
      <c r="W398" s="84"/>
      <c r="X398" s="84"/>
    </row>
    <row r="399" spans="1:24" ht="15.75" customHeight="1" x14ac:dyDescent="0.25">
      <c r="A399" s="81"/>
      <c r="B399" s="81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4"/>
      <c r="W399" s="84"/>
      <c r="X399" s="84"/>
    </row>
    <row r="400" spans="1:24" ht="15.75" customHeight="1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4"/>
      <c r="W400" s="84"/>
      <c r="X400" s="84"/>
    </row>
    <row r="401" spans="1:24" ht="15.75" customHeight="1" x14ac:dyDescent="0.25">
      <c r="A401" s="81"/>
      <c r="B401" s="81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4"/>
      <c r="W401" s="84"/>
      <c r="X401" s="84"/>
    </row>
    <row r="402" spans="1:24" ht="15.75" customHeight="1" x14ac:dyDescent="0.25">
      <c r="A402" s="81"/>
      <c r="B402" s="81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4"/>
      <c r="W402" s="84"/>
      <c r="X402" s="84"/>
    </row>
    <row r="403" spans="1:24" ht="15.75" customHeight="1" x14ac:dyDescent="0.25">
      <c r="A403" s="81"/>
      <c r="B403" s="81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4"/>
      <c r="W403" s="84"/>
      <c r="X403" s="84"/>
    </row>
    <row r="404" spans="1:24" ht="15.75" customHeight="1" x14ac:dyDescent="0.25">
      <c r="A404" s="81"/>
      <c r="B404" s="81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4"/>
      <c r="W404" s="84"/>
      <c r="X404" s="84"/>
    </row>
    <row r="405" spans="1:24" ht="15.75" customHeight="1" x14ac:dyDescent="0.25">
      <c r="A405" s="81"/>
      <c r="B405" s="81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4"/>
      <c r="W405" s="84"/>
      <c r="X405" s="84"/>
    </row>
    <row r="406" spans="1:24" ht="15.75" customHeight="1" x14ac:dyDescent="0.25">
      <c r="A406" s="81"/>
      <c r="B406" s="81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4"/>
      <c r="W406" s="84"/>
      <c r="X406" s="84"/>
    </row>
    <row r="407" spans="1:24" ht="15.75" customHeight="1" x14ac:dyDescent="0.25">
      <c r="A407" s="81"/>
      <c r="B407" s="81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4"/>
      <c r="W407" s="84"/>
      <c r="X407" s="84"/>
    </row>
    <row r="408" spans="1:24" ht="15.75" customHeight="1" x14ac:dyDescent="0.25">
      <c r="A408" s="81"/>
      <c r="B408" s="81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4"/>
      <c r="W408" s="84"/>
      <c r="X408" s="84"/>
    </row>
    <row r="409" spans="1:24" ht="15.75" customHeight="1" x14ac:dyDescent="0.25">
      <c r="A409" s="81"/>
      <c r="B409" s="81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4"/>
      <c r="W409" s="84"/>
      <c r="X409" s="84"/>
    </row>
    <row r="410" spans="1:24" ht="15.75" customHeight="1" x14ac:dyDescent="0.25">
      <c r="A410" s="81"/>
      <c r="B410" s="81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4"/>
      <c r="W410" s="84"/>
      <c r="X410" s="84"/>
    </row>
    <row r="411" spans="1:24" ht="15.75" customHeight="1" x14ac:dyDescent="0.25">
      <c r="A411" s="81"/>
      <c r="B411" s="81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4"/>
      <c r="W411" s="84"/>
      <c r="X411" s="84"/>
    </row>
    <row r="412" spans="1:24" ht="15.75" customHeight="1" x14ac:dyDescent="0.25">
      <c r="A412" s="81"/>
      <c r="B412" s="81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4"/>
      <c r="W412" s="84"/>
      <c r="X412" s="84"/>
    </row>
    <row r="413" spans="1:24" ht="15.75" customHeight="1" x14ac:dyDescent="0.25">
      <c r="A413" s="81"/>
      <c r="B413" s="81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4"/>
      <c r="W413" s="84"/>
      <c r="X413" s="84"/>
    </row>
    <row r="414" spans="1:24" ht="15.75" customHeight="1" x14ac:dyDescent="0.25">
      <c r="A414" s="81"/>
      <c r="B414" s="81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4"/>
      <c r="W414" s="84"/>
      <c r="X414" s="84"/>
    </row>
    <row r="415" spans="1:24" ht="15.75" customHeight="1" x14ac:dyDescent="0.25">
      <c r="A415" s="81"/>
      <c r="B415" s="81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4"/>
      <c r="W415" s="84"/>
      <c r="X415" s="84"/>
    </row>
    <row r="416" spans="1:24" ht="15.75" customHeight="1" x14ac:dyDescent="0.25">
      <c r="A416" s="81"/>
      <c r="B416" s="81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4"/>
      <c r="W416" s="84"/>
      <c r="X416" s="84"/>
    </row>
    <row r="417" spans="1:24" ht="15.75" customHeight="1" x14ac:dyDescent="0.25">
      <c r="A417" s="81"/>
      <c r="B417" s="81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4"/>
      <c r="W417" s="84"/>
      <c r="X417" s="84"/>
    </row>
    <row r="418" spans="1:24" ht="15.75" customHeight="1" x14ac:dyDescent="0.25">
      <c r="A418" s="81"/>
      <c r="B418" s="81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4"/>
      <c r="W418" s="84"/>
      <c r="X418" s="84"/>
    </row>
    <row r="419" spans="1:24" ht="15.75" customHeight="1" x14ac:dyDescent="0.25">
      <c r="A419" s="81"/>
      <c r="B419" s="81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4"/>
      <c r="W419" s="84"/>
      <c r="X419" s="84"/>
    </row>
    <row r="420" spans="1:24" ht="15.75" customHeight="1" x14ac:dyDescent="0.25">
      <c r="A420" s="81"/>
      <c r="B420" s="81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4"/>
      <c r="W420" s="84"/>
      <c r="X420" s="84"/>
    </row>
    <row r="421" spans="1:24" ht="15.75" customHeight="1" x14ac:dyDescent="0.25">
      <c r="A421" s="81"/>
      <c r="B421" s="81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4"/>
      <c r="W421" s="84"/>
      <c r="X421" s="84"/>
    </row>
    <row r="422" spans="1:24" ht="15.75" customHeight="1" x14ac:dyDescent="0.25">
      <c r="A422" s="81"/>
      <c r="B422" s="81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4"/>
      <c r="W422" s="84"/>
      <c r="X422" s="84"/>
    </row>
    <row r="423" spans="1:24" ht="15.75" customHeight="1" x14ac:dyDescent="0.25">
      <c r="A423" s="81"/>
      <c r="B423" s="81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4"/>
      <c r="W423" s="84"/>
      <c r="X423" s="84"/>
    </row>
    <row r="424" spans="1:24" ht="15.75" customHeight="1" x14ac:dyDescent="0.25">
      <c r="A424" s="81"/>
      <c r="B424" s="81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4"/>
      <c r="W424" s="84"/>
      <c r="X424" s="84"/>
    </row>
    <row r="425" spans="1:24" ht="15.75" customHeight="1" x14ac:dyDescent="0.25">
      <c r="A425" s="81"/>
      <c r="B425" s="81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4"/>
      <c r="W425" s="84"/>
      <c r="X425" s="84"/>
    </row>
    <row r="426" spans="1:24" ht="15.75" customHeight="1" x14ac:dyDescent="0.25">
      <c r="A426" s="81"/>
      <c r="B426" s="81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4"/>
      <c r="W426" s="84"/>
      <c r="X426" s="84"/>
    </row>
    <row r="427" spans="1:24" ht="15.75" customHeight="1" x14ac:dyDescent="0.25">
      <c r="A427" s="81"/>
      <c r="B427" s="81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4"/>
      <c r="W427" s="84"/>
      <c r="X427" s="84"/>
    </row>
    <row r="428" spans="1:24" ht="15.75" customHeight="1" x14ac:dyDescent="0.25">
      <c r="A428" s="81"/>
      <c r="B428" s="81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4"/>
      <c r="W428" s="84"/>
      <c r="X428" s="84"/>
    </row>
    <row r="429" spans="1:24" ht="15.75" customHeight="1" x14ac:dyDescent="0.25">
      <c r="A429" s="81"/>
      <c r="B429" s="81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4"/>
      <c r="W429" s="84"/>
      <c r="X429" s="84"/>
    </row>
    <row r="430" spans="1:24" ht="15.75" customHeight="1" x14ac:dyDescent="0.25">
      <c r="A430" s="81"/>
      <c r="B430" s="81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4"/>
      <c r="W430" s="84"/>
      <c r="X430" s="84"/>
    </row>
    <row r="431" spans="1:24" ht="15.75" customHeight="1" x14ac:dyDescent="0.25">
      <c r="A431" s="81"/>
      <c r="B431" s="81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4"/>
      <c r="W431" s="84"/>
      <c r="X431" s="84"/>
    </row>
    <row r="432" spans="1:24" ht="15.75" customHeight="1" x14ac:dyDescent="0.25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4"/>
      <c r="W432" s="84"/>
      <c r="X432" s="84"/>
    </row>
    <row r="433" spans="1:24" ht="15.75" customHeight="1" x14ac:dyDescent="0.25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4"/>
      <c r="W433" s="84"/>
      <c r="X433" s="84"/>
    </row>
    <row r="434" spans="1:24" ht="15.75" customHeight="1" x14ac:dyDescent="0.25">
      <c r="A434" s="81"/>
      <c r="B434" s="81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4"/>
      <c r="W434" s="84"/>
      <c r="X434" s="84"/>
    </row>
    <row r="435" spans="1:24" ht="15.75" customHeight="1" x14ac:dyDescent="0.25">
      <c r="A435" s="81"/>
      <c r="B435" s="81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4"/>
      <c r="W435" s="84"/>
      <c r="X435" s="84"/>
    </row>
    <row r="436" spans="1:24" ht="15.75" customHeight="1" x14ac:dyDescent="0.25">
      <c r="A436" s="81"/>
      <c r="B436" s="81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4"/>
      <c r="W436" s="84"/>
      <c r="X436" s="84"/>
    </row>
    <row r="437" spans="1:24" ht="15.75" customHeight="1" x14ac:dyDescent="0.25">
      <c r="A437" s="81"/>
      <c r="B437" s="81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4"/>
      <c r="W437" s="84"/>
      <c r="X437" s="84"/>
    </row>
    <row r="438" spans="1:24" ht="15.75" customHeight="1" x14ac:dyDescent="0.25">
      <c r="A438" s="81"/>
      <c r="B438" s="81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4"/>
      <c r="W438" s="84"/>
      <c r="X438" s="84"/>
    </row>
    <row r="439" spans="1:24" ht="15.75" customHeight="1" x14ac:dyDescent="0.25">
      <c r="A439" s="81"/>
      <c r="B439" s="81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4"/>
      <c r="W439" s="84"/>
      <c r="X439" s="84"/>
    </row>
    <row r="440" spans="1:24" ht="15.75" customHeight="1" x14ac:dyDescent="0.25">
      <c r="A440" s="81"/>
      <c r="B440" s="81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4"/>
      <c r="W440" s="84"/>
      <c r="X440" s="84"/>
    </row>
    <row r="441" spans="1:24" ht="15.75" customHeight="1" x14ac:dyDescent="0.25">
      <c r="A441" s="81"/>
      <c r="B441" s="81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4"/>
      <c r="W441" s="84"/>
      <c r="X441" s="84"/>
    </row>
    <row r="442" spans="1:24" ht="15.75" customHeight="1" x14ac:dyDescent="0.25">
      <c r="A442" s="81"/>
      <c r="B442" s="81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4"/>
      <c r="W442" s="84"/>
      <c r="X442" s="84"/>
    </row>
    <row r="443" spans="1:24" ht="15.75" customHeight="1" x14ac:dyDescent="0.25">
      <c r="A443" s="81"/>
      <c r="B443" s="81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4"/>
      <c r="W443" s="84"/>
      <c r="X443" s="84"/>
    </row>
    <row r="444" spans="1:24" ht="15.75" customHeight="1" x14ac:dyDescent="0.25">
      <c r="A444" s="81"/>
      <c r="B444" s="81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4"/>
      <c r="W444" s="84"/>
      <c r="X444" s="84"/>
    </row>
    <row r="445" spans="1:24" ht="15.75" customHeight="1" x14ac:dyDescent="0.25">
      <c r="A445" s="81"/>
      <c r="B445" s="81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4"/>
      <c r="W445" s="84"/>
      <c r="X445" s="84"/>
    </row>
    <row r="446" spans="1:24" ht="15.75" customHeight="1" x14ac:dyDescent="0.25">
      <c r="A446" s="81"/>
      <c r="B446" s="81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4"/>
      <c r="W446" s="84"/>
      <c r="X446" s="84"/>
    </row>
    <row r="447" spans="1:24" ht="15.75" customHeight="1" x14ac:dyDescent="0.25">
      <c r="A447" s="81"/>
      <c r="B447" s="81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4"/>
      <c r="W447" s="84"/>
      <c r="X447" s="84"/>
    </row>
    <row r="448" spans="1:24" ht="15.75" customHeight="1" x14ac:dyDescent="0.25">
      <c r="A448" s="81"/>
      <c r="B448" s="81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4"/>
      <c r="W448" s="84"/>
      <c r="X448" s="84"/>
    </row>
    <row r="449" spans="1:24" ht="15.75" customHeight="1" x14ac:dyDescent="0.25">
      <c r="A449" s="81"/>
      <c r="B449" s="81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4"/>
      <c r="W449" s="84"/>
      <c r="X449" s="84"/>
    </row>
    <row r="450" spans="1:24" ht="15.75" customHeight="1" x14ac:dyDescent="0.25">
      <c r="A450" s="81"/>
      <c r="B450" s="81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4"/>
      <c r="W450" s="84"/>
      <c r="X450" s="84"/>
    </row>
    <row r="451" spans="1:24" ht="15.75" customHeight="1" x14ac:dyDescent="0.25">
      <c r="A451" s="81"/>
      <c r="B451" s="81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4"/>
      <c r="W451" s="84"/>
      <c r="X451" s="84"/>
    </row>
    <row r="452" spans="1:24" ht="15.75" customHeight="1" x14ac:dyDescent="0.25">
      <c r="A452" s="81"/>
      <c r="B452" s="81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4"/>
      <c r="W452" s="84"/>
      <c r="X452" s="84"/>
    </row>
    <row r="453" spans="1:24" ht="15.75" customHeight="1" x14ac:dyDescent="0.25">
      <c r="A453" s="81"/>
      <c r="B453" s="81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4"/>
      <c r="W453" s="84"/>
      <c r="X453" s="84"/>
    </row>
    <row r="454" spans="1:24" ht="15.75" customHeight="1" x14ac:dyDescent="0.25">
      <c r="A454" s="81"/>
      <c r="B454" s="81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4"/>
      <c r="W454" s="84"/>
      <c r="X454" s="84"/>
    </row>
    <row r="455" spans="1:24" ht="15.75" customHeight="1" x14ac:dyDescent="0.25">
      <c r="A455" s="81"/>
      <c r="B455" s="81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4"/>
      <c r="W455" s="84"/>
      <c r="X455" s="84"/>
    </row>
    <row r="456" spans="1:24" ht="15.75" customHeight="1" x14ac:dyDescent="0.25">
      <c r="A456" s="81"/>
      <c r="B456" s="81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4"/>
      <c r="W456" s="84"/>
      <c r="X456" s="84"/>
    </row>
    <row r="457" spans="1:24" ht="15.75" customHeight="1" x14ac:dyDescent="0.25">
      <c r="A457" s="81"/>
      <c r="B457" s="81"/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4"/>
      <c r="W457" s="84"/>
      <c r="X457" s="84"/>
    </row>
    <row r="458" spans="1:24" ht="15.75" customHeight="1" x14ac:dyDescent="0.25">
      <c r="A458" s="81"/>
      <c r="B458" s="81"/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4"/>
      <c r="W458" s="84"/>
      <c r="X458" s="84"/>
    </row>
    <row r="459" spans="1:24" ht="15.75" customHeight="1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4"/>
      <c r="W459" s="84"/>
      <c r="X459" s="84"/>
    </row>
    <row r="460" spans="1:24" ht="15.75" customHeight="1" x14ac:dyDescent="0.25">
      <c r="A460" s="81"/>
      <c r="B460" s="81"/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4"/>
      <c r="W460" s="84"/>
      <c r="X460" s="84"/>
    </row>
    <row r="461" spans="1:24" ht="15.75" customHeight="1" x14ac:dyDescent="0.25">
      <c r="A461" s="81"/>
      <c r="B461" s="81"/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4"/>
      <c r="W461" s="84"/>
      <c r="X461" s="84"/>
    </row>
    <row r="462" spans="1:24" ht="15.75" customHeight="1" x14ac:dyDescent="0.25">
      <c r="A462" s="81"/>
      <c r="B462" s="81"/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4"/>
      <c r="W462" s="84"/>
      <c r="X462" s="84"/>
    </row>
    <row r="463" spans="1:24" ht="15.75" customHeight="1" x14ac:dyDescent="0.25">
      <c r="A463" s="81"/>
      <c r="B463" s="81"/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4"/>
      <c r="W463" s="84"/>
      <c r="X463" s="84"/>
    </row>
    <row r="464" spans="1:24" ht="15.75" customHeight="1" x14ac:dyDescent="0.25">
      <c r="A464" s="81"/>
      <c r="B464" s="81"/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4"/>
      <c r="W464" s="84"/>
      <c r="X464" s="84"/>
    </row>
    <row r="465" spans="1:24" ht="15.75" customHeight="1" x14ac:dyDescent="0.25">
      <c r="A465" s="81"/>
      <c r="B465" s="81"/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4"/>
      <c r="W465" s="84"/>
      <c r="X465" s="84"/>
    </row>
    <row r="466" spans="1:24" ht="15.75" customHeight="1" x14ac:dyDescent="0.25">
      <c r="A466" s="81"/>
      <c r="B466" s="81"/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4"/>
      <c r="W466" s="84"/>
      <c r="X466" s="84"/>
    </row>
    <row r="467" spans="1:24" ht="15.75" customHeight="1" x14ac:dyDescent="0.25">
      <c r="A467" s="81"/>
      <c r="B467" s="81"/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4"/>
      <c r="W467" s="84"/>
      <c r="X467" s="84"/>
    </row>
    <row r="468" spans="1:24" ht="15.75" customHeight="1" x14ac:dyDescent="0.25">
      <c r="A468" s="81"/>
      <c r="B468" s="81"/>
      <c r="C468" s="81"/>
      <c r="D468" s="81"/>
      <c r="E468" s="81"/>
      <c r="F468" s="81"/>
      <c r="G468" s="81"/>
      <c r="H468" s="81"/>
      <c r="I468" s="81"/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4"/>
      <c r="W468" s="84"/>
      <c r="X468" s="84"/>
    </row>
    <row r="469" spans="1:24" ht="15.75" customHeight="1" x14ac:dyDescent="0.25">
      <c r="A469" s="81"/>
      <c r="B469" s="81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4"/>
      <c r="W469" s="84"/>
      <c r="X469" s="84"/>
    </row>
    <row r="470" spans="1:24" ht="15.75" customHeight="1" x14ac:dyDescent="0.25">
      <c r="A470" s="81"/>
      <c r="B470" s="81"/>
      <c r="C470" s="81"/>
      <c r="D470" s="81"/>
      <c r="E470" s="81"/>
      <c r="F470" s="81"/>
      <c r="G470" s="81"/>
      <c r="H470" s="81"/>
      <c r="I470" s="81"/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4"/>
      <c r="W470" s="84"/>
      <c r="X470" s="84"/>
    </row>
    <row r="471" spans="1:24" ht="15.75" customHeight="1" x14ac:dyDescent="0.25">
      <c r="A471" s="81"/>
      <c r="B471" s="81"/>
      <c r="C471" s="81"/>
      <c r="D471" s="81"/>
      <c r="E471" s="81"/>
      <c r="F471" s="81"/>
      <c r="G471" s="81"/>
      <c r="H471" s="81"/>
      <c r="I471" s="81"/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4"/>
      <c r="W471" s="84"/>
      <c r="X471" s="84"/>
    </row>
    <row r="472" spans="1:24" ht="15.75" customHeight="1" x14ac:dyDescent="0.25">
      <c r="A472" s="81"/>
      <c r="B472" s="81"/>
      <c r="C472" s="81"/>
      <c r="D472" s="81"/>
      <c r="E472" s="81"/>
      <c r="F472" s="81"/>
      <c r="G472" s="81"/>
      <c r="H472" s="81"/>
      <c r="I472" s="81"/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4"/>
      <c r="W472" s="84"/>
      <c r="X472" s="84"/>
    </row>
    <row r="473" spans="1:24" ht="15.75" customHeight="1" x14ac:dyDescent="0.25">
      <c r="A473" s="81"/>
      <c r="B473" s="81"/>
      <c r="C473" s="81"/>
      <c r="D473" s="81"/>
      <c r="E473" s="81"/>
      <c r="F473" s="81"/>
      <c r="G473" s="81"/>
      <c r="H473" s="81"/>
      <c r="I473" s="81"/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4"/>
      <c r="W473" s="84"/>
      <c r="X473" s="84"/>
    </row>
    <row r="474" spans="1:24" ht="15.75" customHeight="1" x14ac:dyDescent="0.25">
      <c r="A474" s="81"/>
      <c r="B474" s="81"/>
      <c r="C474" s="81"/>
      <c r="D474" s="81"/>
      <c r="E474" s="81"/>
      <c r="F474" s="81"/>
      <c r="G474" s="81"/>
      <c r="H474" s="81"/>
      <c r="I474" s="81"/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4"/>
      <c r="W474" s="84"/>
      <c r="X474" s="84"/>
    </row>
    <row r="475" spans="1:24" ht="15.75" customHeight="1" x14ac:dyDescent="0.25">
      <c r="A475" s="81"/>
      <c r="B475" s="81"/>
      <c r="C475" s="81"/>
      <c r="D475" s="81"/>
      <c r="E475" s="81"/>
      <c r="F475" s="81"/>
      <c r="G475" s="81"/>
      <c r="H475" s="81"/>
      <c r="I475" s="81"/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4"/>
      <c r="W475" s="84"/>
      <c r="X475" s="84"/>
    </row>
    <row r="476" spans="1:24" ht="15.75" customHeight="1" x14ac:dyDescent="0.25">
      <c r="A476" s="81"/>
      <c r="B476" s="81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4"/>
      <c r="W476" s="84"/>
      <c r="X476" s="84"/>
    </row>
    <row r="477" spans="1:24" ht="15.75" customHeight="1" x14ac:dyDescent="0.25">
      <c r="A477" s="81"/>
      <c r="B477" s="81"/>
      <c r="C477" s="81"/>
      <c r="D477" s="81"/>
      <c r="E477" s="81"/>
      <c r="F477" s="81"/>
      <c r="G477" s="81"/>
      <c r="H477" s="81"/>
      <c r="I477" s="81"/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4"/>
      <c r="W477" s="84"/>
      <c r="X477" s="84"/>
    </row>
    <row r="478" spans="1:24" ht="15.75" customHeight="1" x14ac:dyDescent="0.25">
      <c r="A478" s="81"/>
      <c r="B478" s="81"/>
      <c r="C478" s="81"/>
      <c r="D478" s="81"/>
      <c r="E478" s="81"/>
      <c r="F478" s="81"/>
      <c r="G478" s="81"/>
      <c r="H478" s="81"/>
      <c r="I478" s="81"/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4"/>
      <c r="W478" s="84"/>
      <c r="X478" s="84"/>
    </row>
    <row r="479" spans="1:24" ht="15.75" customHeight="1" x14ac:dyDescent="0.25">
      <c r="A479" s="81"/>
      <c r="B479" s="81"/>
      <c r="C479" s="81"/>
      <c r="D479" s="81"/>
      <c r="E479" s="81"/>
      <c r="F479" s="81"/>
      <c r="G479" s="81"/>
      <c r="H479" s="81"/>
      <c r="I479" s="81"/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4"/>
      <c r="W479" s="84"/>
      <c r="X479" s="84"/>
    </row>
    <row r="480" spans="1:24" ht="15.75" customHeight="1" x14ac:dyDescent="0.25">
      <c r="A480" s="81"/>
      <c r="B480" s="81"/>
      <c r="C480" s="81"/>
      <c r="D480" s="81"/>
      <c r="E480" s="81"/>
      <c r="F480" s="81"/>
      <c r="G480" s="81"/>
      <c r="H480" s="81"/>
      <c r="I480" s="81"/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4"/>
      <c r="W480" s="84"/>
      <c r="X480" s="84"/>
    </row>
    <row r="481" spans="1:24" ht="15.75" customHeight="1" x14ac:dyDescent="0.25">
      <c r="A481" s="81"/>
      <c r="B481" s="81"/>
      <c r="C481" s="81"/>
      <c r="D481" s="81"/>
      <c r="E481" s="81"/>
      <c r="F481" s="81"/>
      <c r="G481" s="81"/>
      <c r="H481" s="81"/>
      <c r="I481" s="81"/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4"/>
      <c r="W481" s="84"/>
      <c r="X481" s="84"/>
    </row>
    <row r="482" spans="1:24" ht="15.75" customHeight="1" x14ac:dyDescent="0.25">
      <c r="A482" s="81"/>
      <c r="B482" s="81"/>
      <c r="C482" s="81"/>
      <c r="D482" s="81"/>
      <c r="E482" s="81"/>
      <c r="F482" s="81"/>
      <c r="G482" s="81"/>
      <c r="H482" s="81"/>
      <c r="I482" s="81"/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4"/>
      <c r="W482" s="84"/>
      <c r="X482" s="84"/>
    </row>
    <row r="483" spans="1:24" ht="15.75" customHeight="1" x14ac:dyDescent="0.25">
      <c r="A483" s="81"/>
      <c r="B483" s="81"/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4"/>
      <c r="W483" s="84"/>
      <c r="X483" s="84"/>
    </row>
    <row r="484" spans="1:24" ht="15.75" customHeight="1" x14ac:dyDescent="0.25">
      <c r="A484" s="81"/>
      <c r="B484" s="81"/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4"/>
      <c r="W484" s="84"/>
      <c r="X484" s="84"/>
    </row>
    <row r="485" spans="1:24" ht="15.75" customHeight="1" x14ac:dyDescent="0.25">
      <c r="A485" s="81"/>
      <c r="B485" s="81"/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4"/>
      <c r="W485" s="84"/>
      <c r="X485" s="84"/>
    </row>
    <row r="486" spans="1:24" ht="15.75" customHeight="1" x14ac:dyDescent="0.25">
      <c r="A486" s="81"/>
      <c r="B486" s="81"/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4"/>
      <c r="W486" s="84"/>
      <c r="X486" s="84"/>
    </row>
    <row r="487" spans="1:24" ht="15.75" customHeight="1" x14ac:dyDescent="0.25">
      <c r="A487" s="81"/>
      <c r="B487" s="81"/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4"/>
      <c r="W487" s="84"/>
      <c r="X487" s="84"/>
    </row>
    <row r="488" spans="1:24" ht="15.75" customHeight="1" x14ac:dyDescent="0.25">
      <c r="A488" s="81"/>
      <c r="B488" s="81"/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4"/>
      <c r="W488" s="84"/>
      <c r="X488" s="84"/>
    </row>
    <row r="489" spans="1:24" ht="15.75" customHeight="1" x14ac:dyDescent="0.25">
      <c r="A489" s="81"/>
      <c r="B489" s="81"/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4"/>
      <c r="W489" s="84"/>
      <c r="X489" s="84"/>
    </row>
    <row r="490" spans="1:24" ht="15.75" customHeight="1" x14ac:dyDescent="0.25">
      <c r="A490" s="81"/>
      <c r="B490" s="81"/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4"/>
      <c r="W490" s="84"/>
      <c r="X490" s="84"/>
    </row>
    <row r="491" spans="1:24" ht="15.75" customHeight="1" x14ac:dyDescent="0.25">
      <c r="A491" s="81"/>
      <c r="B491" s="81"/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4"/>
      <c r="W491" s="84"/>
      <c r="X491" s="84"/>
    </row>
    <row r="492" spans="1:24" ht="15.75" customHeight="1" x14ac:dyDescent="0.25">
      <c r="A492" s="81"/>
      <c r="B492" s="81"/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4"/>
      <c r="W492" s="84"/>
      <c r="X492" s="84"/>
    </row>
    <row r="493" spans="1:24" ht="15.75" customHeight="1" x14ac:dyDescent="0.25">
      <c r="A493" s="81"/>
      <c r="B493" s="81"/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4"/>
      <c r="W493" s="84"/>
      <c r="X493" s="84"/>
    </row>
    <row r="494" spans="1:24" ht="15.75" customHeight="1" x14ac:dyDescent="0.25">
      <c r="A494" s="81"/>
      <c r="B494" s="81"/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4"/>
      <c r="W494" s="84"/>
      <c r="X494" s="84"/>
    </row>
    <row r="495" spans="1:24" ht="15.75" customHeight="1" x14ac:dyDescent="0.25">
      <c r="A495" s="81"/>
      <c r="B495" s="81"/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4"/>
      <c r="W495" s="84"/>
      <c r="X495" s="84"/>
    </row>
    <row r="496" spans="1:24" ht="15.75" customHeight="1" x14ac:dyDescent="0.25">
      <c r="A496" s="81"/>
      <c r="B496" s="81"/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4"/>
      <c r="W496" s="84"/>
      <c r="X496" s="84"/>
    </row>
    <row r="497" spans="1:24" ht="15.75" customHeight="1" x14ac:dyDescent="0.25">
      <c r="A497" s="81"/>
      <c r="B497" s="81"/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4"/>
      <c r="W497" s="84"/>
      <c r="X497" s="84"/>
    </row>
    <row r="498" spans="1:24" ht="15.75" customHeight="1" x14ac:dyDescent="0.25">
      <c r="A498" s="81"/>
      <c r="B498" s="81"/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4"/>
      <c r="W498" s="84"/>
      <c r="X498" s="84"/>
    </row>
    <row r="499" spans="1:24" ht="15.75" customHeight="1" x14ac:dyDescent="0.25">
      <c r="A499" s="81"/>
      <c r="B499" s="81"/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4"/>
      <c r="W499" s="84"/>
      <c r="X499" s="84"/>
    </row>
    <row r="500" spans="1:24" ht="15.75" customHeight="1" x14ac:dyDescent="0.25">
      <c r="A500" s="81"/>
      <c r="B500" s="81"/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4"/>
      <c r="W500" s="84"/>
      <c r="X500" s="84"/>
    </row>
    <row r="501" spans="1:24" ht="15.75" customHeight="1" x14ac:dyDescent="0.25">
      <c r="A501" s="81"/>
      <c r="B501" s="81"/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4"/>
      <c r="W501" s="84"/>
      <c r="X501" s="84"/>
    </row>
    <row r="502" spans="1:24" ht="15.75" customHeight="1" x14ac:dyDescent="0.25">
      <c r="A502" s="81"/>
      <c r="B502" s="81"/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4"/>
      <c r="W502" s="84"/>
      <c r="X502" s="84"/>
    </row>
    <row r="503" spans="1:24" ht="15.75" customHeight="1" x14ac:dyDescent="0.25">
      <c r="A503" s="81"/>
      <c r="B503" s="81"/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4"/>
      <c r="W503" s="84"/>
      <c r="X503" s="84"/>
    </row>
    <row r="504" spans="1:24" ht="15.75" customHeight="1" x14ac:dyDescent="0.25">
      <c r="A504" s="81"/>
      <c r="B504" s="81"/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4"/>
      <c r="W504" s="84"/>
      <c r="X504" s="84"/>
    </row>
    <row r="505" spans="1:24" ht="15.75" customHeight="1" x14ac:dyDescent="0.25">
      <c r="A505" s="81"/>
      <c r="B505" s="81"/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4"/>
      <c r="W505" s="84"/>
      <c r="X505" s="84"/>
    </row>
    <row r="506" spans="1:24" ht="15.75" customHeight="1" x14ac:dyDescent="0.25">
      <c r="A506" s="81"/>
      <c r="B506" s="81"/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4"/>
      <c r="W506" s="84"/>
      <c r="X506" s="84"/>
    </row>
    <row r="507" spans="1:24" ht="15.75" customHeight="1" x14ac:dyDescent="0.25">
      <c r="A507" s="81"/>
      <c r="B507" s="81"/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4"/>
      <c r="W507" s="84"/>
      <c r="X507" s="84"/>
    </row>
    <row r="508" spans="1:24" ht="15.75" customHeight="1" x14ac:dyDescent="0.25">
      <c r="A508" s="81"/>
      <c r="B508" s="81"/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4"/>
      <c r="W508" s="84"/>
      <c r="X508" s="84"/>
    </row>
    <row r="509" spans="1:24" ht="15.75" customHeight="1" x14ac:dyDescent="0.25">
      <c r="A509" s="81"/>
      <c r="B509" s="81"/>
      <c r="C509" s="81"/>
      <c r="D509" s="81"/>
      <c r="E509" s="81"/>
      <c r="F509" s="81"/>
      <c r="G509" s="81"/>
      <c r="H509" s="81"/>
      <c r="I509" s="81"/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4"/>
      <c r="W509" s="84"/>
      <c r="X509" s="84"/>
    </row>
    <row r="510" spans="1:24" ht="15.75" customHeight="1" x14ac:dyDescent="0.25">
      <c r="A510" s="81"/>
      <c r="B510" s="81"/>
      <c r="C510" s="81"/>
      <c r="D510" s="81"/>
      <c r="E510" s="81"/>
      <c r="F510" s="81"/>
      <c r="G510" s="81"/>
      <c r="H510" s="81"/>
      <c r="I510" s="81"/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4"/>
      <c r="W510" s="84"/>
      <c r="X510" s="84"/>
    </row>
    <row r="511" spans="1:24" ht="15.75" customHeight="1" x14ac:dyDescent="0.25">
      <c r="A511" s="81"/>
      <c r="B511" s="81"/>
      <c r="C511" s="81"/>
      <c r="D511" s="81"/>
      <c r="E511" s="81"/>
      <c r="F511" s="81"/>
      <c r="G511" s="81"/>
      <c r="H511" s="81"/>
      <c r="I511" s="81"/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4"/>
      <c r="W511" s="84"/>
      <c r="X511" s="84"/>
    </row>
    <row r="512" spans="1:24" ht="15.75" customHeight="1" x14ac:dyDescent="0.25">
      <c r="A512" s="81"/>
      <c r="B512" s="81"/>
      <c r="C512" s="81"/>
      <c r="D512" s="81"/>
      <c r="E512" s="81"/>
      <c r="F512" s="81"/>
      <c r="G512" s="81"/>
      <c r="H512" s="81"/>
      <c r="I512" s="81"/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4"/>
      <c r="W512" s="84"/>
      <c r="X512" s="84"/>
    </row>
    <row r="513" spans="1:24" ht="15.75" customHeight="1" x14ac:dyDescent="0.25">
      <c r="A513" s="81"/>
      <c r="B513" s="81"/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4"/>
      <c r="W513" s="84"/>
      <c r="X513" s="84"/>
    </row>
    <row r="514" spans="1:24" ht="15.75" customHeight="1" x14ac:dyDescent="0.25">
      <c r="A514" s="81"/>
      <c r="B514" s="81"/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4"/>
      <c r="W514" s="84"/>
      <c r="X514" s="84"/>
    </row>
    <row r="515" spans="1:24" ht="15.75" customHeight="1" x14ac:dyDescent="0.25">
      <c r="A515" s="81"/>
      <c r="B515" s="81"/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4"/>
      <c r="W515" s="84"/>
      <c r="X515" s="84"/>
    </row>
    <row r="516" spans="1:24" ht="15.75" customHeight="1" x14ac:dyDescent="0.25">
      <c r="A516" s="81"/>
      <c r="B516" s="81"/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4"/>
      <c r="W516" s="84"/>
      <c r="X516" s="84"/>
    </row>
    <row r="517" spans="1:24" ht="15.75" customHeight="1" x14ac:dyDescent="0.25">
      <c r="A517" s="81"/>
      <c r="B517" s="81"/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4"/>
      <c r="W517" s="84"/>
      <c r="X517" s="84"/>
    </row>
    <row r="518" spans="1:24" ht="15.75" customHeight="1" x14ac:dyDescent="0.25">
      <c r="A518" s="81"/>
      <c r="B518" s="81"/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4"/>
      <c r="W518" s="84"/>
      <c r="X518" s="84"/>
    </row>
    <row r="519" spans="1:24" ht="15.75" customHeight="1" x14ac:dyDescent="0.25">
      <c r="A519" s="81"/>
      <c r="B519" s="81"/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4"/>
      <c r="W519" s="84"/>
      <c r="X519" s="84"/>
    </row>
    <row r="520" spans="1:24" ht="15.75" customHeight="1" x14ac:dyDescent="0.25">
      <c r="A520" s="81"/>
      <c r="B520" s="81"/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4"/>
      <c r="W520" s="84"/>
      <c r="X520" s="84"/>
    </row>
    <row r="521" spans="1:24" ht="15.75" customHeight="1" x14ac:dyDescent="0.25">
      <c r="A521" s="81"/>
      <c r="B521" s="81"/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4"/>
      <c r="W521" s="84"/>
      <c r="X521" s="84"/>
    </row>
    <row r="522" spans="1:24" ht="15.75" customHeight="1" x14ac:dyDescent="0.25">
      <c r="A522" s="81"/>
      <c r="B522" s="81"/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4"/>
      <c r="W522" s="84"/>
      <c r="X522" s="84"/>
    </row>
    <row r="523" spans="1:24" ht="15.75" customHeight="1" x14ac:dyDescent="0.25">
      <c r="A523" s="81"/>
      <c r="B523" s="81"/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4"/>
      <c r="W523" s="84"/>
      <c r="X523" s="84"/>
    </row>
    <row r="524" spans="1:24" ht="15.75" customHeight="1" x14ac:dyDescent="0.25">
      <c r="A524" s="81"/>
      <c r="B524" s="81"/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4"/>
      <c r="W524" s="84"/>
      <c r="X524" s="84"/>
    </row>
    <row r="525" spans="1:24" ht="15.75" customHeight="1" x14ac:dyDescent="0.25">
      <c r="A525" s="81"/>
      <c r="B525" s="81"/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4"/>
      <c r="W525" s="84"/>
      <c r="X525" s="84"/>
    </row>
    <row r="526" spans="1:24" ht="15.75" customHeight="1" x14ac:dyDescent="0.25">
      <c r="A526" s="81"/>
      <c r="B526" s="81"/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4"/>
      <c r="W526" s="84"/>
      <c r="X526" s="84"/>
    </row>
    <row r="527" spans="1:24" ht="15.75" customHeight="1" x14ac:dyDescent="0.25">
      <c r="A527" s="81"/>
      <c r="B527" s="81"/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4"/>
      <c r="W527" s="84"/>
      <c r="X527" s="84"/>
    </row>
    <row r="528" spans="1:24" ht="15.75" customHeight="1" x14ac:dyDescent="0.25">
      <c r="A528" s="81"/>
      <c r="B528" s="81"/>
      <c r="C528" s="81"/>
      <c r="D528" s="81"/>
      <c r="E528" s="81"/>
      <c r="F528" s="81"/>
      <c r="G528" s="81"/>
      <c r="H528" s="81"/>
      <c r="I528" s="81"/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4"/>
      <c r="W528" s="84"/>
      <c r="X528" s="84"/>
    </row>
    <row r="529" spans="1:24" ht="15.75" customHeight="1" x14ac:dyDescent="0.25">
      <c r="A529" s="81"/>
      <c r="B529" s="81"/>
      <c r="C529" s="81"/>
      <c r="D529" s="81"/>
      <c r="E529" s="81"/>
      <c r="F529" s="81"/>
      <c r="G529" s="81"/>
      <c r="H529" s="81"/>
      <c r="I529" s="81"/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4"/>
      <c r="W529" s="84"/>
      <c r="X529" s="84"/>
    </row>
    <row r="530" spans="1:24" ht="15.75" customHeight="1" x14ac:dyDescent="0.25">
      <c r="A530" s="81"/>
      <c r="B530" s="81"/>
      <c r="C530" s="81"/>
      <c r="D530" s="81"/>
      <c r="E530" s="81"/>
      <c r="F530" s="81"/>
      <c r="G530" s="81"/>
      <c r="H530" s="81"/>
      <c r="I530" s="81"/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4"/>
      <c r="W530" s="84"/>
      <c r="X530" s="84"/>
    </row>
    <row r="531" spans="1:24" ht="15.75" customHeight="1" x14ac:dyDescent="0.25">
      <c r="A531" s="81"/>
      <c r="B531" s="81"/>
      <c r="C531" s="81"/>
      <c r="D531" s="81"/>
      <c r="E531" s="81"/>
      <c r="F531" s="81"/>
      <c r="G531" s="81"/>
      <c r="H531" s="81"/>
      <c r="I531" s="81"/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4"/>
      <c r="W531" s="84"/>
      <c r="X531" s="84"/>
    </row>
    <row r="532" spans="1:24" ht="15.75" customHeight="1" x14ac:dyDescent="0.25">
      <c r="A532" s="81"/>
      <c r="B532" s="81"/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4"/>
      <c r="W532" s="84"/>
      <c r="X532" s="84"/>
    </row>
    <row r="533" spans="1:24" ht="15.75" customHeight="1" x14ac:dyDescent="0.25">
      <c r="A533" s="81"/>
      <c r="B533" s="81"/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4"/>
      <c r="W533" s="84"/>
      <c r="X533" s="84"/>
    </row>
    <row r="534" spans="1:24" ht="15.75" customHeight="1" x14ac:dyDescent="0.25">
      <c r="A534" s="81"/>
      <c r="B534" s="81"/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4"/>
      <c r="W534" s="84"/>
      <c r="X534" s="84"/>
    </row>
    <row r="535" spans="1:24" ht="15.75" customHeight="1" x14ac:dyDescent="0.25">
      <c r="A535" s="81"/>
      <c r="B535" s="81"/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4"/>
      <c r="W535" s="84"/>
      <c r="X535" s="84"/>
    </row>
    <row r="536" spans="1:24" ht="15.75" customHeight="1" x14ac:dyDescent="0.25">
      <c r="A536" s="81"/>
      <c r="B536" s="81"/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4"/>
      <c r="W536" s="84"/>
      <c r="X536" s="84"/>
    </row>
    <row r="537" spans="1:24" ht="15.75" customHeight="1" x14ac:dyDescent="0.25">
      <c r="A537" s="81"/>
      <c r="B537" s="81"/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4"/>
      <c r="W537" s="84"/>
      <c r="X537" s="84"/>
    </row>
    <row r="538" spans="1:24" ht="15.75" customHeight="1" x14ac:dyDescent="0.25">
      <c r="A538" s="81"/>
      <c r="B538" s="81"/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4"/>
      <c r="W538" s="84"/>
      <c r="X538" s="84"/>
    </row>
    <row r="539" spans="1:24" ht="15.75" customHeight="1" x14ac:dyDescent="0.25">
      <c r="A539" s="81"/>
      <c r="B539" s="81"/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4"/>
      <c r="W539" s="84"/>
      <c r="X539" s="84"/>
    </row>
    <row r="540" spans="1:24" ht="15.75" customHeight="1" x14ac:dyDescent="0.25">
      <c r="A540" s="81"/>
      <c r="B540" s="81"/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4"/>
      <c r="W540" s="84"/>
      <c r="X540" s="84"/>
    </row>
    <row r="541" spans="1:24" ht="15.75" customHeight="1" x14ac:dyDescent="0.25">
      <c r="A541" s="81"/>
      <c r="B541" s="81"/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4"/>
      <c r="W541" s="84"/>
      <c r="X541" s="84"/>
    </row>
    <row r="542" spans="1:24" ht="15.75" customHeight="1" x14ac:dyDescent="0.25">
      <c r="A542" s="81"/>
      <c r="B542" s="81"/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4"/>
      <c r="W542" s="84"/>
      <c r="X542" s="84"/>
    </row>
    <row r="543" spans="1:24" ht="15.75" customHeight="1" x14ac:dyDescent="0.25">
      <c r="A543" s="81"/>
      <c r="B543" s="81"/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4"/>
      <c r="W543" s="84"/>
      <c r="X543" s="84"/>
    </row>
    <row r="544" spans="1:24" ht="15.75" customHeight="1" x14ac:dyDescent="0.25">
      <c r="A544" s="81"/>
      <c r="B544" s="81"/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4"/>
      <c r="W544" s="84"/>
      <c r="X544" s="84"/>
    </row>
    <row r="545" spans="1:24" ht="15.75" customHeight="1" x14ac:dyDescent="0.25">
      <c r="A545" s="81"/>
      <c r="B545" s="81"/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4"/>
      <c r="W545" s="84"/>
      <c r="X545" s="84"/>
    </row>
    <row r="546" spans="1:24" ht="15.75" customHeight="1" x14ac:dyDescent="0.25">
      <c r="A546" s="81"/>
      <c r="B546" s="81"/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4"/>
      <c r="W546" s="84"/>
      <c r="X546" s="84"/>
    </row>
    <row r="547" spans="1:24" ht="15.75" customHeight="1" x14ac:dyDescent="0.25">
      <c r="A547" s="81"/>
      <c r="B547" s="81"/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4"/>
      <c r="W547" s="84"/>
      <c r="X547" s="84"/>
    </row>
    <row r="548" spans="1:24" ht="15.75" customHeight="1" x14ac:dyDescent="0.25">
      <c r="A548" s="81"/>
      <c r="B548" s="81"/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4"/>
      <c r="W548" s="84"/>
      <c r="X548" s="84"/>
    </row>
    <row r="549" spans="1:24" ht="15.75" customHeight="1" x14ac:dyDescent="0.25">
      <c r="A549" s="81"/>
      <c r="B549" s="81"/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4"/>
      <c r="W549" s="84"/>
      <c r="X549" s="84"/>
    </row>
    <row r="550" spans="1:24" ht="15.75" customHeight="1" x14ac:dyDescent="0.25">
      <c r="A550" s="81"/>
      <c r="B550" s="81"/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4"/>
      <c r="W550" s="84"/>
      <c r="X550" s="84"/>
    </row>
    <row r="551" spans="1:24" ht="15.75" customHeight="1" x14ac:dyDescent="0.25">
      <c r="A551" s="81"/>
      <c r="B551" s="81"/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4"/>
      <c r="W551" s="84"/>
      <c r="X551" s="84"/>
    </row>
    <row r="552" spans="1:24" ht="15.75" customHeight="1" x14ac:dyDescent="0.25">
      <c r="A552" s="81"/>
      <c r="B552" s="81"/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4"/>
      <c r="W552" s="84"/>
      <c r="X552" s="84"/>
    </row>
    <row r="553" spans="1:24" ht="15.75" customHeight="1" x14ac:dyDescent="0.25">
      <c r="A553" s="81"/>
      <c r="B553" s="81"/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4"/>
      <c r="W553" s="84"/>
      <c r="X553" s="84"/>
    </row>
    <row r="554" spans="1:24" ht="15.75" customHeight="1" x14ac:dyDescent="0.25">
      <c r="A554" s="81"/>
      <c r="B554" s="81"/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4"/>
      <c r="W554" s="84"/>
      <c r="X554" s="84"/>
    </row>
    <row r="555" spans="1:24" ht="15.75" customHeight="1" x14ac:dyDescent="0.25">
      <c r="A555" s="81"/>
      <c r="B555" s="81"/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4"/>
      <c r="W555" s="84"/>
      <c r="X555" s="84"/>
    </row>
    <row r="556" spans="1:24" ht="15.75" customHeight="1" x14ac:dyDescent="0.25">
      <c r="A556" s="81"/>
      <c r="B556" s="81"/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4"/>
      <c r="W556" s="84"/>
      <c r="X556" s="84"/>
    </row>
    <row r="557" spans="1:24" ht="15.75" customHeight="1" x14ac:dyDescent="0.25">
      <c r="A557" s="81"/>
      <c r="B557" s="81"/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4"/>
      <c r="W557" s="84"/>
      <c r="X557" s="84"/>
    </row>
    <row r="558" spans="1:24" ht="15.75" customHeight="1" x14ac:dyDescent="0.25">
      <c r="A558" s="81"/>
      <c r="B558" s="81"/>
      <c r="C558" s="81"/>
      <c r="D558" s="81"/>
      <c r="E558" s="81"/>
      <c r="F558" s="81"/>
      <c r="G558" s="81"/>
      <c r="H558" s="81"/>
      <c r="I558" s="81"/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4"/>
      <c r="W558" s="84"/>
      <c r="X558" s="84"/>
    </row>
    <row r="559" spans="1:24" ht="15.75" customHeight="1" x14ac:dyDescent="0.25">
      <c r="A559" s="81"/>
      <c r="B559" s="81"/>
      <c r="C559" s="81"/>
      <c r="D559" s="81"/>
      <c r="E559" s="81"/>
      <c r="F559" s="81"/>
      <c r="G559" s="81"/>
      <c r="H559" s="81"/>
      <c r="I559" s="81"/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4"/>
      <c r="W559" s="84"/>
      <c r="X559" s="84"/>
    </row>
    <row r="560" spans="1:24" ht="15.75" customHeight="1" x14ac:dyDescent="0.25">
      <c r="A560" s="81"/>
      <c r="B560" s="81"/>
      <c r="C560" s="81"/>
      <c r="D560" s="81"/>
      <c r="E560" s="81"/>
      <c r="F560" s="81"/>
      <c r="G560" s="81"/>
      <c r="H560" s="81"/>
      <c r="I560" s="81"/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4"/>
      <c r="W560" s="84"/>
      <c r="X560" s="84"/>
    </row>
    <row r="561" spans="1:24" ht="15.75" customHeight="1" x14ac:dyDescent="0.25">
      <c r="A561" s="81"/>
      <c r="B561" s="81"/>
      <c r="C561" s="81"/>
      <c r="D561" s="81"/>
      <c r="E561" s="81"/>
      <c r="F561" s="81"/>
      <c r="G561" s="81"/>
      <c r="H561" s="81"/>
      <c r="I561" s="81"/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4"/>
      <c r="W561" s="84"/>
      <c r="X561" s="84"/>
    </row>
    <row r="562" spans="1:24" ht="15.75" customHeight="1" x14ac:dyDescent="0.25">
      <c r="A562" s="81"/>
      <c r="B562" s="81"/>
      <c r="C562" s="81"/>
      <c r="D562" s="81"/>
      <c r="E562" s="81"/>
      <c r="F562" s="81"/>
      <c r="G562" s="81"/>
      <c r="H562" s="81"/>
      <c r="I562" s="81"/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4"/>
      <c r="W562" s="84"/>
      <c r="X562" s="84"/>
    </row>
    <row r="563" spans="1:24" ht="15.75" customHeight="1" x14ac:dyDescent="0.25">
      <c r="A563" s="81"/>
      <c r="B563" s="81"/>
      <c r="C563" s="81"/>
      <c r="D563" s="81"/>
      <c r="E563" s="81"/>
      <c r="F563" s="81"/>
      <c r="G563" s="81"/>
      <c r="H563" s="81"/>
      <c r="I563" s="81"/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4"/>
      <c r="W563" s="84"/>
      <c r="X563" s="84"/>
    </row>
    <row r="564" spans="1:24" ht="15.75" customHeight="1" x14ac:dyDescent="0.25">
      <c r="A564" s="81"/>
      <c r="B564" s="81"/>
      <c r="C564" s="81"/>
      <c r="D564" s="81"/>
      <c r="E564" s="81"/>
      <c r="F564" s="81"/>
      <c r="G564" s="81"/>
      <c r="H564" s="81"/>
      <c r="I564" s="81"/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4"/>
      <c r="W564" s="84"/>
      <c r="X564" s="84"/>
    </row>
    <row r="565" spans="1:24" ht="15.75" customHeight="1" x14ac:dyDescent="0.25">
      <c r="A565" s="81"/>
      <c r="B565" s="81"/>
      <c r="C565" s="81"/>
      <c r="D565" s="81"/>
      <c r="E565" s="81"/>
      <c r="F565" s="81"/>
      <c r="G565" s="81"/>
      <c r="H565" s="81"/>
      <c r="I565" s="81"/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4"/>
      <c r="W565" s="84"/>
      <c r="X565" s="84"/>
    </row>
    <row r="566" spans="1:24" ht="15.75" customHeight="1" x14ac:dyDescent="0.25">
      <c r="A566" s="81"/>
      <c r="B566" s="81"/>
      <c r="C566" s="81"/>
      <c r="D566" s="81"/>
      <c r="E566" s="81"/>
      <c r="F566" s="81"/>
      <c r="G566" s="81"/>
      <c r="H566" s="81"/>
      <c r="I566" s="81"/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4"/>
      <c r="W566" s="84"/>
      <c r="X566" s="84"/>
    </row>
    <row r="567" spans="1:24" ht="15.75" customHeight="1" x14ac:dyDescent="0.25">
      <c r="A567" s="81"/>
      <c r="B567" s="81"/>
      <c r="C567" s="81"/>
      <c r="D567" s="81"/>
      <c r="E567" s="81"/>
      <c r="F567" s="81"/>
      <c r="G567" s="81"/>
      <c r="H567" s="81"/>
      <c r="I567" s="81"/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4"/>
      <c r="W567" s="84"/>
      <c r="X567" s="84"/>
    </row>
    <row r="568" spans="1:24" ht="15.75" customHeight="1" x14ac:dyDescent="0.25">
      <c r="A568" s="81"/>
      <c r="B568" s="81"/>
      <c r="C568" s="81"/>
      <c r="D568" s="81"/>
      <c r="E568" s="81"/>
      <c r="F568" s="81"/>
      <c r="G568" s="81"/>
      <c r="H568" s="81"/>
      <c r="I568" s="81"/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4"/>
      <c r="W568" s="84"/>
      <c r="X568" s="84"/>
    </row>
    <row r="569" spans="1:24" ht="15.75" customHeight="1" x14ac:dyDescent="0.25">
      <c r="A569" s="81"/>
      <c r="B569" s="81"/>
      <c r="C569" s="81"/>
      <c r="D569" s="81"/>
      <c r="E569" s="81"/>
      <c r="F569" s="81"/>
      <c r="G569" s="81"/>
      <c r="H569" s="81"/>
      <c r="I569" s="81"/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4"/>
      <c r="W569" s="84"/>
      <c r="X569" s="84"/>
    </row>
    <row r="570" spans="1:24" ht="15.75" customHeight="1" x14ac:dyDescent="0.25">
      <c r="A570" s="81"/>
      <c r="B570" s="81"/>
      <c r="C570" s="81"/>
      <c r="D570" s="81"/>
      <c r="E570" s="81"/>
      <c r="F570" s="81"/>
      <c r="G570" s="81"/>
      <c r="H570" s="81"/>
      <c r="I570" s="81"/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4"/>
      <c r="W570" s="84"/>
      <c r="X570" s="84"/>
    </row>
    <row r="571" spans="1:24" ht="15.75" customHeight="1" x14ac:dyDescent="0.25">
      <c r="A571" s="81"/>
      <c r="B571" s="81"/>
      <c r="C571" s="81"/>
      <c r="D571" s="81"/>
      <c r="E571" s="81"/>
      <c r="F571" s="81"/>
      <c r="G571" s="81"/>
      <c r="H571" s="81"/>
      <c r="I571" s="81"/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4"/>
      <c r="W571" s="84"/>
      <c r="X571" s="84"/>
    </row>
    <row r="572" spans="1:24" ht="15.75" customHeight="1" x14ac:dyDescent="0.25">
      <c r="A572" s="81"/>
      <c r="B572" s="81"/>
      <c r="C572" s="81"/>
      <c r="D572" s="81"/>
      <c r="E572" s="81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4"/>
      <c r="W572" s="84"/>
      <c r="X572" s="84"/>
    </row>
    <row r="573" spans="1:24" ht="15.75" customHeight="1" x14ac:dyDescent="0.25">
      <c r="A573" s="81"/>
      <c r="B573" s="81"/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4"/>
      <c r="W573" s="84"/>
      <c r="X573" s="84"/>
    </row>
    <row r="574" spans="1:24" ht="15.75" customHeight="1" x14ac:dyDescent="0.25">
      <c r="A574" s="81"/>
      <c r="B574" s="81"/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4"/>
      <c r="W574" s="84"/>
      <c r="X574" s="84"/>
    </row>
    <row r="575" spans="1:24" ht="15.75" customHeight="1" x14ac:dyDescent="0.25">
      <c r="A575" s="81"/>
      <c r="B575" s="81"/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4"/>
      <c r="W575" s="84"/>
      <c r="X575" s="84"/>
    </row>
    <row r="576" spans="1:24" ht="15.75" customHeight="1" x14ac:dyDescent="0.25">
      <c r="A576" s="81"/>
      <c r="B576" s="81"/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4"/>
      <c r="W576" s="84"/>
      <c r="X576" s="84"/>
    </row>
    <row r="577" spans="1:24" ht="15.75" customHeight="1" x14ac:dyDescent="0.25">
      <c r="A577" s="81"/>
      <c r="B577" s="81"/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4"/>
      <c r="W577" s="84"/>
      <c r="X577" s="84"/>
    </row>
    <row r="578" spans="1:24" ht="15.75" customHeight="1" x14ac:dyDescent="0.25">
      <c r="A578" s="81"/>
      <c r="B578" s="81"/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4"/>
      <c r="W578" s="84"/>
      <c r="X578" s="84"/>
    </row>
    <row r="579" spans="1:24" ht="15.75" customHeight="1" x14ac:dyDescent="0.25">
      <c r="A579" s="81"/>
      <c r="B579" s="81"/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4"/>
      <c r="W579" s="84"/>
      <c r="X579" s="84"/>
    </row>
    <row r="580" spans="1:24" ht="15.75" customHeight="1" x14ac:dyDescent="0.25">
      <c r="A580" s="81"/>
      <c r="B580" s="81"/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4"/>
      <c r="W580" s="84"/>
      <c r="X580" s="84"/>
    </row>
    <row r="581" spans="1:24" ht="15.75" customHeight="1" x14ac:dyDescent="0.25">
      <c r="A581" s="81"/>
      <c r="B581" s="81"/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4"/>
      <c r="W581" s="84"/>
      <c r="X581" s="84"/>
    </row>
    <row r="582" spans="1:24" ht="15.75" customHeight="1" x14ac:dyDescent="0.25">
      <c r="A582" s="81"/>
      <c r="B582" s="81"/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4"/>
      <c r="W582" s="84"/>
      <c r="X582" s="84"/>
    </row>
    <row r="583" spans="1:24" ht="15.75" customHeight="1" x14ac:dyDescent="0.25">
      <c r="A583" s="81"/>
      <c r="B583" s="81"/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4"/>
      <c r="W583" s="84"/>
      <c r="X583" s="84"/>
    </row>
    <row r="584" spans="1:24" ht="15.75" customHeight="1" x14ac:dyDescent="0.25">
      <c r="A584" s="81"/>
      <c r="B584" s="81"/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4"/>
      <c r="W584" s="84"/>
      <c r="X584" s="84"/>
    </row>
    <row r="585" spans="1:24" ht="15.75" customHeight="1" x14ac:dyDescent="0.25">
      <c r="A585" s="81"/>
      <c r="B585" s="81"/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4"/>
      <c r="W585" s="84"/>
      <c r="X585" s="84"/>
    </row>
    <row r="586" spans="1:24" ht="15.75" customHeight="1" x14ac:dyDescent="0.25">
      <c r="A586" s="81"/>
      <c r="B586" s="81"/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4"/>
      <c r="W586" s="84"/>
      <c r="X586" s="84"/>
    </row>
    <row r="587" spans="1:24" ht="15.75" customHeight="1" x14ac:dyDescent="0.25">
      <c r="A587" s="81"/>
      <c r="B587" s="81"/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4"/>
      <c r="W587" s="84"/>
      <c r="X587" s="84"/>
    </row>
    <row r="588" spans="1:24" ht="15.75" customHeight="1" x14ac:dyDescent="0.25">
      <c r="A588" s="81"/>
      <c r="B588" s="81"/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4"/>
      <c r="W588" s="84"/>
      <c r="X588" s="84"/>
    </row>
    <row r="589" spans="1:24" ht="15.75" customHeight="1" x14ac:dyDescent="0.25">
      <c r="A589" s="81"/>
      <c r="B589" s="81"/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4"/>
      <c r="W589" s="84"/>
      <c r="X589" s="84"/>
    </row>
    <row r="590" spans="1:24" ht="15.75" customHeight="1" x14ac:dyDescent="0.25">
      <c r="A590" s="81"/>
      <c r="B590" s="81"/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4"/>
      <c r="W590" s="84"/>
      <c r="X590" s="84"/>
    </row>
    <row r="591" spans="1:24" ht="15.75" customHeight="1" x14ac:dyDescent="0.25">
      <c r="A591" s="81"/>
      <c r="B591" s="81"/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4"/>
      <c r="W591" s="84"/>
      <c r="X591" s="84"/>
    </row>
    <row r="592" spans="1:24" ht="15.75" customHeight="1" x14ac:dyDescent="0.25">
      <c r="A592" s="81"/>
      <c r="B592" s="81"/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4"/>
      <c r="W592" s="84"/>
      <c r="X592" s="84"/>
    </row>
    <row r="593" spans="1:24" ht="15.75" customHeight="1" x14ac:dyDescent="0.25">
      <c r="A593" s="81"/>
      <c r="B593" s="81"/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4"/>
      <c r="W593" s="84"/>
      <c r="X593" s="84"/>
    </row>
    <row r="594" spans="1:24" ht="15.75" customHeight="1" x14ac:dyDescent="0.25">
      <c r="A594" s="81"/>
      <c r="B594" s="81"/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4"/>
      <c r="W594" s="84"/>
      <c r="X594" s="84"/>
    </row>
    <row r="595" spans="1:24" ht="15.75" customHeight="1" x14ac:dyDescent="0.25">
      <c r="A595" s="81"/>
      <c r="B595" s="81"/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4"/>
      <c r="W595" s="84"/>
      <c r="X595" s="84"/>
    </row>
    <row r="596" spans="1:24" ht="15.75" customHeight="1" x14ac:dyDescent="0.25">
      <c r="A596" s="81"/>
      <c r="B596" s="81"/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4"/>
      <c r="W596" s="84"/>
      <c r="X596" s="84"/>
    </row>
    <row r="597" spans="1:24" ht="15.75" customHeight="1" x14ac:dyDescent="0.25">
      <c r="A597" s="81"/>
      <c r="B597" s="81"/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4"/>
      <c r="W597" s="84"/>
      <c r="X597" s="84"/>
    </row>
    <row r="598" spans="1:24" ht="15.75" customHeight="1" x14ac:dyDescent="0.25">
      <c r="A598" s="81"/>
      <c r="B598" s="81"/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4"/>
      <c r="W598" s="84"/>
      <c r="X598" s="84"/>
    </row>
    <row r="599" spans="1:24" ht="15.75" customHeight="1" x14ac:dyDescent="0.25">
      <c r="A599" s="81"/>
      <c r="B599" s="81"/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4"/>
      <c r="W599" s="84"/>
      <c r="X599" s="84"/>
    </row>
    <row r="600" spans="1:24" ht="15.75" customHeight="1" x14ac:dyDescent="0.25">
      <c r="A600" s="81"/>
      <c r="B600" s="81"/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4"/>
      <c r="W600" s="84"/>
      <c r="X600" s="84"/>
    </row>
    <row r="601" spans="1:24" ht="15.75" customHeight="1" x14ac:dyDescent="0.25">
      <c r="A601" s="81"/>
      <c r="B601" s="81"/>
      <c r="C601" s="81"/>
      <c r="D601" s="81"/>
      <c r="E601" s="81"/>
      <c r="F601" s="81"/>
      <c r="G601" s="81"/>
      <c r="H601" s="81"/>
      <c r="I601" s="81"/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4"/>
      <c r="W601" s="84"/>
      <c r="X601" s="84"/>
    </row>
    <row r="602" spans="1:24" ht="15.75" customHeight="1" x14ac:dyDescent="0.25">
      <c r="A602" s="81"/>
      <c r="B602" s="81"/>
      <c r="C602" s="81"/>
      <c r="D602" s="81"/>
      <c r="E602" s="81"/>
      <c r="F602" s="81"/>
      <c r="G602" s="81"/>
      <c r="H602" s="81"/>
      <c r="I602" s="81"/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4"/>
      <c r="W602" s="84"/>
      <c r="X602" s="84"/>
    </row>
    <row r="603" spans="1:24" ht="15.75" customHeight="1" x14ac:dyDescent="0.25">
      <c r="A603" s="81"/>
      <c r="B603" s="81"/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4"/>
      <c r="W603" s="84"/>
      <c r="X603" s="84"/>
    </row>
    <row r="604" spans="1:24" ht="15.75" customHeight="1" x14ac:dyDescent="0.25">
      <c r="A604" s="81"/>
      <c r="B604" s="81"/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4"/>
      <c r="W604" s="84"/>
      <c r="X604" s="84"/>
    </row>
    <row r="605" spans="1:24" ht="15.75" customHeight="1" x14ac:dyDescent="0.25">
      <c r="A605" s="81"/>
      <c r="B605" s="81"/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4"/>
      <c r="W605" s="84"/>
      <c r="X605" s="84"/>
    </row>
    <row r="606" spans="1:24" ht="15.75" customHeight="1" x14ac:dyDescent="0.25">
      <c r="A606" s="81"/>
      <c r="B606" s="81"/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4"/>
      <c r="W606" s="84"/>
      <c r="X606" s="84"/>
    </row>
    <row r="607" spans="1:24" ht="15.75" customHeight="1" x14ac:dyDescent="0.25">
      <c r="A607" s="81"/>
      <c r="B607" s="81"/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4"/>
      <c r="W607" s="84"/>
      <c r="X607" s="84"/>
    </row>
    <row r="608" spans="1:24" ht="15.75" customHeight="1" x14ac:dyDescent="0.25">
      <c r="A608" s="81"/>
      <c r="B608" s="81"/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4"/>
      <c r="W608" s="84"/>
      <c r="X608" s="84"/>
    </row>
    <row r="609" spans="1:24" ht="15.75" customHeight="1" x14ac:dyDescent="0.25">
      <c r="A609" s="81"/>
      <c r="B609" s="81"/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4"/>
      <c r="W609" s="84"/>
      <c r="X609" s="84"/>
    </row>
    <row r="610" spans="1:24" ht="15.75" customHeight="1" x14ac:dyDescent="0.25">
      <c r="A610" s="81"/>
      <c r="B610" s="81"/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4"/>
      <c r="W610" s="84"/>
      <c r="X610" s="84"/>
    </row>
    <row r="611" spans="1:24" ht="15.75" customHeight="1" x14ac:dyDescent="0.25">
      <c r="A611" s="81"/>
      <c r="B611" s="81"/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4"/>
      <c r="W611" s="84"/>
      <c r="X611" s="84"/>
    </row>
    <row r="612" spans="1:24" ht="15.75" customHeight="1" x14ac:dyDescent="0.25">
      <c r="A612" s="81"/>
      <c r="B612" s="81"/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4"/>
      <c r="W612" s="84"/>
      <c r="X612" s="84"/>
    </row>
    <row r="613" spans="1:24" ht="15.75" customHeight="1" x14ac:dyDescent="0.25">
      <c r="A613" s="81"/>
      <c r="B613" s="81"/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4"/>
      <c r="W613" s="84"/>
      <c r="X613" s="84"/>
    </row>
    <row r="614" spans="1:24" ht="15.75" customHeight="1" x14ac:dyDescent="0.25">
      <c r="A614" s="81"/>
      <c r="B614" s="81"/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4"/>
      <c r="W614" s="84"/>
      <c r="X614" s="84"/>
    </row>
    <row r="615" spans="1:24" ht="15.75" customHeight="1" x14ac:dyDescent="0.25">
      <c r="A615" s="81"/>
      <c r="B615" s="81"/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  <c r="R615" s="81"/>
      <c r="S615" s="81"/>
      <c r="T615" s="81"/>
      <c r="U615" s="81"/>
      <c r="V615" s="84"/>
      <c r="W615" s="84"/>
      <c r="X615" s="84"/>
    </row>
    <row r="616" spans="1:24" ht="15.75" customHeight="1" x14ac:dyDescent="0.25">
      <c r="A616" s="81"/>
      <c r="B616" s="81"/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  <c r="R616" s="81"/>
      <c r="S616" s="81"/>
      <c r="T616" s="81"/>
      <c r="U616" s="81"/>
      <c r="V616" s="84"/>
      <c r="W616" s="84"/>
      <c r="X616" s="84"/>
    </row>
    <row r="617" spans="1:24" ht="15.75" customHeight="1" x14ac:dyDescent="0.25">
      <c r="A617" s="81"/>
      <c r="B617" s="81"/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  <c r="R617" s="81"/>
      <c r="S617" s="81"/>
      <c r="T617" s="81"/>
      <c r="U617" s="81"/>
      <c r="V617" s="84"/>
      <c r="W617" s="84"/>
      <c r="X617" s="84"/>
    </row>
    <row r="618" spans="1:24" ht="15.75" customHeight="1" x14ac:dyDescent="0.25">
      <c r="A618" s="81"/>
      <c r="B618" s="81"/>
      <c r="C618" s="81"/>
      <c r="D618" s="81"/>
      <c r="E618" s="81"/>
      <c r="F618" s="81"/>
      <c r="G618" s="81"/>
      <c r="H618" s="81"/>
      <c r="I618" s="81"/>
      <c r="J618" s="81"/>
      <c r="K618" s="81"/>
      <c r="L618" s="81"/>
      <c r="M618" s="81"/>
      <c r="N618" s="81"/>
      <c r="O618" s="81"/>
      <c r="P618" s="81"/>
      <c r="Q618" s="81"/>
      <c r="R618" s="81"/>
      <c r="S618" s="81"/>
      <c r="T618" s="81"/>
      <c r="U618" s="81"/>
      <c r="V618" s="84"/>
      <c r="W618" s="84"/>
      <c r="X618" s="84"/>
    </row>
    <row r="619" spans="1:24" ht="15.75" customHeight="1" x14ac:dyDescent="0.25">
      <c r="A619" s="81"/>
      <c r="B619" s="81"/>
      <c r="C619" s="81"/>
      <c r="D619" s="81"/>
      <c r="E619" s="81"/>
      <c r="F619" s="81"/>
      <c r="G619" s="81"/>
      <c r="H619" s="81"/>
      <c r="I619" s="81"/>
      <c r="J619" s="81"/>
      <c r="K619" s="81"/>
      <c r="L619" s="81"/>
      <c r="M619" s="81"/>
      <c r="N619" s="81"/>
      <c r="O619" s="81"/>
      <c r="P619" s="81"/>
      <c r="Q619" s="81"/>
      <c r="R619" s="81"/>
      <c r="S619" s="81"/>
      <c r="T619" s="81"/>
      <c r="U619" s="81"/>
      <c r="V619" s="84"/>
      <c r="W619" s="84"/>
      <c r="X619" s="84"/>
    </row>
    <row r="620" spans="1:24" ht="15.75" customHeight="1" x14ac:dyDescent="0.25">
      <c r="A620" s="81"/>
      <c r="B620" s="81"/>
      <c r="C620" s="81"/>
      <c r="D620" s="81"/>
      <c r="E620" s="81"/>
      <c r="F620" s="81"/>
      <c r="G620" s="81"/>
      <c r="H620" s="81"/>
      <c r="I620" s="81"/>
      <c r="J620" s="81"/>
      <c r="K620" s="81"/>
      <c r="L620" s="81"/>
      <c r="M620" s="81"/>
      <c r="N620" s="81"/>
      <c r="O620" s="81"/>
      <c r="P620" s="81"/>
      <c r="Q620" s="81"/>
      <c r="R620" s="81"/>
      <c r="S620" s="81"/>
      <c r="T620" s="81"/>
      <c r="U620" s="81"/>
      <c r="V620" s="84"/>
      <c r="W620" s="84"/>
      <c r="X620" s="84"/>
    </row>
    <row r="621" spans="1:24" ht="15.75" customHeight="1" x14ac:dyDescent="0.25">
      <c r="A621" s="81"/>
      <c r="B621" s="81"/>
      <c r="C621" s="81"/>
      <c r="D621" s="81"/>
      <c r="E621" s="81"/>
      <c r="F621" s="81"/>
      <c r="G621" s="81"/>
      <c r="H621" s="81"/>
      <c r="I621" s="81"/>
      <c r="J621" s="81"/>
      <c r="K621" s="81"/>
      <c r="L621" s="81"/>
      <c r="M621" s="81"/>
      <c r="N621" s="81"/>
      <c r="O621" s="81"/>
      <c r="P621" s="81"/>
      <c r="Q621" s="81"/>
      <c r="R621" s="81"/>
      <c r="S621" s="81"/>
      <c r="T621" s="81"/>
      <c r="U621" s="81"/>
      <c r="V621" s="84"/>
      <c r="W621" s="84"/>
      <c r="X621" s="84"/>
    </row>
    <row r="622" spans="1:24" ht="15.75" customHeight="1" x14ac:dyDescent="0.25">
      <c r="A622" s="81"/>
      <c r="B622" s="81"/>
      <c r="C622" s="81"/>
      <c r="D622" s="81"/>
      <c r="E622" s="81"/>
      <c r="F622" s="81"/>
      <c r="G622" s="81"/>
      <c r="H622" s="81"/>
      <c r="I622" s="81"/>
      <c r="J622" s="81"/>
      <c r="K622" s="81"/>
      <c r="L622" s="81"/>
      <c r="M622" s="81"/>
      <c r="N622" s="81"/>
      <c r="O622" s="81"/>
      <c r="P622" s="81"/>
      <c r="Q622" s="81"/>
      <c r="R622" s="81"/>
      <c r="S622" s="81"/>
      <c r="T622" s="81"/>
      <c r="U622" s="81"/>
      <c r="V622" s="84"/>
      <c r="W622" s="84"/>
      <c r="X622" s="84"/>
    </row>
    <row r="623" spans="1:24" ht="15.75" customHeight="1" x14ac:dyDescent="0.25">
      <c r="A623" s="81"/>
      <c r="B623" s="81"/>
      <c r="C623" s="81"/>
      <c r="D623" s="81"/>
      <c r="E623" s="81"/>
      <c r="F623" s="81"/>
      <c r="G623" s="81"/>
      <c r="H623" s="81"/>
      <c r="I623" s="81"/>
      <c r="J623" s="81"/>
      <c r="K623" s="81"/>
      <c r="L623" s="81"/>
      <c r="M623" s="81"/>
      <c r="N623" s="81"/>
      <c r="O623" s="81"/>
      <c r="P623" s="81"/>
      <c r="Q623" s="81"/>
      <c r="R623" s="81"/>
      <c r="S623" s="81"/>
      <c r="T623" s="81"/>
      <c r="U623" s="81"/>
      <c r="V623" s="84"/>
      <c r="W623" s="84"/>
      <c r="X623" s="84"/>
    </row>
    <row r="624" spans="1:24" ht="15.75" customHeight="1" x14ac:dyDescent="0.25">
      <c r="A624" s="81"/>
      <c r="B624" s="81"/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4"/>
      <c r="W624" s="84"/>
      <c r="X624" s="84"/>
    </row>
    <row r="625" spans="1:24" ht="15.75" customHeight="1" x14ac:dyDescent="0.25">
      <c r="A625" s="81"/>
      <c r="B625" s="81"/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4"/>
      <c r="W625" s="84"/>
      <c r="X625" s="84"/>
    </row>
    <row r="626" spans="1:24" ht="15.75" customHeight="1" x14ac:dyDescent="0.25">
      <c r="A626" s="81"/>
      <c r="B626" s="81"/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4"/>
      <c r="W626" s="84"/>
      <c r="X626" s="84"/>
    </row>
    <row r="627" spans="1:24" ht="15.75" customHeight="1" x14ac:dyDescent="0.25">
      <c r="A627" s="81"/>
      <c r="B627" s="81"/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4"/>
      <c r="W627" s="84"/>
      <c r="X627" s="84"/>
    </row>
    <row r="628" spans="1:24" ht="15.75" customHeight="1" x14ac:dyDescent="0.25">
      <c r="A628" s="81"/>
      <c r="B628" s="81"/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4"/>
      <c r="W628" s="84"/>
      <c r="X628" s="84"/>
    </row>
    <row r="629" spans="1:24" ht="15.75" customHeight="1" x14ac:dyDescent="0.25">
      <c r="A629" s="81"/>
      <c r="B629" s="81"/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4"/>
      <c r="W629" s="84"/>
      <c r="X629" s="84"/>
    </row>
    <row r="630" spans="1:24" ht="15.75" customHeight="1" x14ac:dyDescent="0.25">
      <c r="A630" s="81"/>
      <c r="B630" s="81"/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4"/>
      <c r="W630" s="84"/>
      <c r="X630" s="84"/>
    </row>
    <row r="631" spans="1:24" ht="15.75" customHeight="1" x14ac:dyDescent="0.25">
      <c r="A631" s="81"/>
      <c r="B631" s="81"/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4"/>
      <c r="W631" s="84"/>
      <c r="X631" s="84"/>
    </row>
    <row r="632" spans="1:24" ht="15.75" customHeight="1" x14ac:dyDescent="0.25">
      <c r="A632" s="81"/>
      <c r="B632" s="81"/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4"/>
      <c r="W632" s="84"/>
      <c r="X632" s="84"/>
    </row>
    <row r="633" spans="1:24" ht="15.75" customHeight="1" x14ac:dyDescent="0.25">
      <c r="A633" s="81"/>
      <c r="B633" s="81"/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4"/>
      <c r="W633" s="84"/>
      <c r="X633" s="84"/>
    </row>
    <row r="634" spans="1:24" ht="15.75" customHeight="1" x14ac:dyDescent="0.25">
      <c r="A634" s="81"/>
      <c r="B634" s="81"/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4"/>
      <c r="W634" s="84"/>
      <c r="X634" s="84"/>
    </row>
    <row r="635" spans="1:24" ht="15.75" customHeight="1" x14ac:dyDescent="0.25">
      <c r="A635" s="81"/>
      <c r="B635" s="81"/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4"/>
      <c r="W635" s="84"/>
      <c r="X635" s="84"/>
    </row>
    <row r="636" spans="1:24" ht="15.75" customHeight="1" x14ac:dyDescent="0.25">
      <c r="A636" s="81"/>
      <c r="B636" s="81"/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4"/>
      <c r="W636" s="84"/>
      <c r="X636" s="84"/>
    </row>
    <row r="637" spans="1:24" ht="15.75" customHeight="1" x14ac:dyDescent="0.25">
      <c r="A637" s="81"/>
      <c r="B637" s="81"/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4"/>
      <c r="W637" s="84"/>
      <c r="X637" s="84"/>
    </row>
    <row r="638" spans="1:24" ht="15.75" customHeight="1" x14ac:dyDescent="0.25">
      <c r="A638" s="81"/>
      <c r="B638" s="81"/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4"/>
      <c r="W638" s="84"/>
      <c r="X638" s="84"/>
    </row>
    <row r="639" spans="1:24" ht="15.75" customHeight="1" x14ac:dyDescent="0.25">
      <c r="A639" s="81"/>
      <c r="B639" s="81"/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4"/>
      <c r="W639" s="84"/>
      <c r="X639" s="84"/>
    </row>
    <row r="640" spans="1:24" ht="15.75" customHeight="1" x14ac:dyDescent="0.25">
      <c r="A640" s="81"/>
      <c r="B640" s="81"/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4"/>
      <c r="W640" s="84"/>
      <c r="X640" s="84"/>
    </row>
    <row r="641" spans="1:24" ht="15.75" customHeight="1" x14ac:dyDescent="0.25">
      <c r="A641" s="81"/>
      <c r="B641" s="81"/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4"/>
      <c r="W641" s="84"/>
      <c r="X641" s="84"/>
    </row>
    <row r="642" spans="1:24" ht="15.75" customHeight="1" x14ac:dyDescent="0.25">
      <c r="A642" s="81"/>
      <c r="B642" s="81"/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4"/>
      <c r="W642" s="84"/>
      <c r="X642" s="84"/>
    </row>
    <row r="643" spans="1:24" ht="15.75" customHeight="1" x14ac:dyDescent="0.25">
      <c r="A643" s="81"/>
      <c r="B643" s="81"/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4"/>
      <c r="W643" s="84"/>
      <c r="X643" s="84"/>
    </row>
    <row r="644" spans="1:24" ht="15.75" customHeight="1" x14ac:dyDescent="0.25">
      <c r="A644" s="81"/>
      <c r="B644" s="81"/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4"/>
      <c r="W644" s="84"/>
      <c r="X644" s="84"/>
    </row>
    <row r="645" spans="1:24" ht="15.75" customHeight="1" x14ac:dyDescent="0.25">
      <c r="A645" s="81"/>
      <c r="B645" s="81"/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4"/>
      <c r="W645" s="84"/>
      <c r="X645" s="84"/>
    </row>
    <row r="646" spans="1:24" ht="15.75" customHeight="1" x14ac:dyDescent="0.25">
      <c r="A646" s="81"/>
      <c r="B646" s="81"/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4"/>
      <c r="W646" s="84"/>
      <c r="X646" s="84"/>
    </row>
    <row r="647" spans="1:24" ht="15.75" customHeight="1" x14ac:dyDescent="0.25">
      <c r="A647" s="81"/>
      <c r="B647" s="81"/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4"/>
      <c r="W647" s="84"/>
      <c r="X647" s="84"/>
    </row>
    <row r="648" spans="1:24" ht="15.75" customHeight="1" x14ac:dyDescent="0.25">
      <c r="A648" s="81"/>
      <c r="B648" s="81"/>
      <c r="C648" s="81"/>
      <c r="D648" s="81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4"/>
      <c r="W648" s="84"/>
      <c r="X648" s="84"/>
    </row>
    <row r="649" spans="1:24" ht="15.75" customHeight="1" x14ac:dyDescent="0.25">
      <c r="A649" s="81"/>
      <c r="B649" s="81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4"/>
      <c r="W649" s="84"/>
      <c r="X649" s="84"/>
    </row>
    <row r="650" spans="1:24" ht="15.75" customHeight="1" x14ac:dyDescent="0.25">
      <c r="A650" s="81"/>
      <c r="B650" s="81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4"/>
      <c r="W650" s="84"/>
      <c r="X650" s="84"/>
    </row>
    <row r="651" spans="1:24" ht="15.75" customHeight="1" x14ac:dyDescent="0.25">
      <c r="A651" s="81"/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4"/>
      <c r="W651" s="84"/>
      <c r="X651" s="84"/>
    </row>
    <row r="652" spans="1:24" ht="15.75" customHeight="1" x14ac:dyDescent="0.25">
      <c r="A652" s="81"/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4"/>
      <c r="W652" s="84"/>
      <c r="X652" s="84"/>
    </row>
    <row r="653" spans="1:24" ht="15.75" customHeight="1" x14ac:dyDescent="0.25">
      <c r="A653" s="81"/>
      <c r="B653" s="81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4"/>
      <c r="W653" s="84"/>
      <c r="X653" s="84"/>
    </row>
    <row r="654" spans="1:24" ht="15.75" customHeight="1" x14ac:dyDescent="0.25">
      <c r="A654" s="81"/>
      <c r="B654" s="81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4"/>
      <c r="W654" s="84"/>
      <c r="X654" s="84"/>
    </row>
    <row r="655" spans="1:24" ht="15.75" customHeight="1" x14ac:dyDescent="0.25">
      <c r="A655" s="81"/>
      <c r="B655" s="81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4"/>
      <c r="W655" s="84"/>
      <c r="X655" s="84"/>
    </row>
    <row r="656" spans="1:24" ht="15.75" customHeight="1" x14ac:dyDescent="0.25">
      <c r="A656" s="81"/>
      <c r="B656" s="81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4"/>
      <c r="W656" s="84"/>
      <c r="X656" s="84"/>
    </row>
    <row r="657" spans="1:24" ht="15.75" customHeight="1" x14ac:dyDescent="0.25">
      <c r="A657" s="81"/>
      <c r="B657" s="81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4"/>
      <c r="W657" s="84"/>
      <c r="X657" s="84"/>
    </row>
    <row r="658" spans="1:24" ht="15.75" customHeight="1" x14ac:dyDescent="0.25">
      <c r="A658" s="81"/>
      <c r="B658" s="81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4"/>
      <c r="W658" s="84"/>
      <c r="X658" s="84"/>
    </row>
    <row r="659" spans="1:24" ht="15.75" customHeight="1" x14ac:dyDescent="0.25">
      <c r="A659" s="81"/>
      <c r="B659" s="81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4"/>
      <c r="W659" s="84"/>
      <c r="X659" s="84"/>
    </row>
    <row r="660" spans="1:24" ht="15.75" customHeight="1" x14ac:dyDescent="0.25">
      <c r="A660" s="81"/>
      <c r="B660" s="81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4"/>
      <c r="W660" s="84"/>
      <c r="X660" s="84"/>
    </row>
    <row r="661" spans="1:24" ht="15.75" customHeight="1" x14ac:dyDescent="0.25">
      <c r="A661" s="81"/>
      <c r="B661" s="81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4"/>
      <c r="W661" s="84"/>
      <c r="X661" s="84"/>
    </row>
    <row r="662" spans="1:24" ht="15.75" customHeight="1" x14ac:dyDescent="0.25">
      <c r="A662" s="81"/>
      <c r="B662" s="81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4"/>
      <c r="W662" s="84"/>
      <c r="X662" s="84"/>
    </row>
    <row r="663" spans="1:24" ht="15.75" customHeight="1" x14ac:dyDescent="0.25">
      <c r="A663" s="81"/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4"/>
      <c r="W663" s="84"/>
      <c r="X663" s="84"/>
    </row>
    <row r="664" spans="1:24" ht="15.75" customHeight="1" x14ac:dyDescent="0.25">
      <c r="A664" s="81"/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4"/>
      <c r="W664" s="84"/>
      <c r="X664" s="84"/>
    </row>
    <row r="665" spans="1:24" ht="15.75" customHeight="1" x14ac:dyDescent="0.25">
      <c r="A665" s="81"/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4"/>
      <c r="W665" s="84"/>
      <c r="X665" s="84"/>
    </row>
    <row r="666" spans="1:24" ht="15.75" customHeight="1" x14ac:dyDescent="0.25">
      <c r="A666" s="81"/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4"/>
      <c r="W666" s="84"/>
      <c r="X666" s="84"/>
    </row>
    <row r="667" spans="1:24" ht="15.75" customHeight="1" x14ac:dyDescent="0.25">
      <c r="A667" s="81"/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4"/>
      <c r="W667" s="84"/>
      <c r="X667" s="84"/>
    </row>
    <row r="668" spans="1:24" ht="15.75" customHeight="1" x14ac:dyDescent="0.25">
      <c r="A668" s="81"/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4"/>
      <c r="W668" s="84"/>
      <c r="X668" s="84"/>
    </row>
    <row r="669" spans="1:24" ht="15.75" customHeight="1" x14ac:dyDescent="0.25">
      <c r="A669" s="81"/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4"/>
      <c r="W669" s="84"/>
      <c r="X669" s="84"/>
    </row>
    <row r="670" spans="1:24" ht="15.75" customHeight="1" x14ac:dyDescent="0.25">
      <c r="A670" s="81"/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4"/>
      <c r="W670" s="84"/>
      <c r="X670" s="84"/>
    </row>
    <row r="671" spans="1:24" ht="15.75" customHeight="1" x14ac:dyDescent="0.25">
      <c r="A671" s="81"/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4"/>
      <c r="W671" s="84"/>
      <c r="X671" s="84"/>
    </row>
    <row r="672" spans="1:24" ht="15.75" customHeight="1" x14ac:dyDescent="0.25">
      <c r="A672" s="81"/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4"/>
      <c r="W672" s="84"/>
      <c r="X672" s="84"/>
    </row>
    <row r="673" spans="1:24" ht="15.75" customHeight="1" x14ac:dyDescent="0.25">
      <c r="A673" s="81"/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4"/>
      <c r="W673" s="84"/>
      <c r="X673" s="84"/>
    </row>
    <row r="674" spans="1:24" ht="15.75" customHeight="1" x14ac:dyDescent="0.25">
      <c r="A674" s="81"/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4"/>
      <c r="W674" s="84"/>
      <c r="X674" s="84"/>
    </row>
    <row r="675" spans="1:24" ht="15.75" customHeight="1" x14ac:dyDescent="0.25">
      <c r="A675" s="81"/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4"/>
      <c r="W675" s="84"/>
      <c r="X675" s="84"/>
    </row>
    <row r="676" spans="1:24" ht="15.75" customHeight="1" x14ac:dyDescent="0.25">
      <c r="A676" s="81"/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4"/>
      <c r="W676" s="84"/>
      <c r="X676" s="84"/>
    </row>
    <row r="677" spans="1:24" ht="15.75" customHeight="1" x14ac:dyDescent="0.25">
      <c r="A677" s="81"/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4"/>
      <c r="W677" s="84"/>
      <c r="X677" s="84"/>
    </row>
    <row r="678" spans="1:24" ht="15.75" customHeight="1" x14ac:dyDescent="0.25">
      <c r="A678" s="81"/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4"/>
      <c r="W678" s="84"/>
      <c r="X678" s="84"/>
    </row>
    <row r="679" spans="1:24" ht="15.75" customHeight="1" x14ac:dyDescent="0.25">
      <c r="A679" s="81"/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4"/>
      <c r="W679" s="84"/>
      <c r="X679" s="84"/>
    </row>
    <row r="680" spans="1:24" ht="15.75" customHeight="1" x14ac:dyDescent="0.25">
      <c r="A680" s="81"/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4"/>
      <c r="W680" s="84"/>
      <c r="X680" s="84"/>
    </row>
    <row r="681" spans="1:24" ht="15.75" customHeight="1" x14ac:dyDescent="0.25">
      <c r="A681" s="81"/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4"/>
      <c r="W681" s="84"/>
      <c r="X681" s="84"/>
    </row>
    <row r="682" spans="1:24" ht="15.75" customHeight="1" x14ac:dyDescent="0.25">
      <c r="A682" s="81"/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4"/>
      <c r="W682" s="84"/>
      <c r="X682" s="84"/>
    </row>
    <row r="683" spans="1:24" ht="15.75" customHeight="1" x14ac:dyDescent="0.25">
      <c r="A683" s="81"/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4"/>
      <c r="W683" s="84"/>
      <c r="X683" s="84"/>
    </row>
    <row r="684" spans="1:24" ht="15.75" customHeight="1" x14ac:dyDescent="0.25">
      <c r="A684" s="81"/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4"/>
      <c r="W684" s="84"/>
      <c r="X684" s="84"/>
    </row>
    <row r="685" spans="1:24" ht="15.75" customHeight="1" x14ac:dyDescent="0.25">
      <c r="A685" s="81"/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4"/>
      <c r="W685" s="84"/>
      <c r="X685" s="84"/>
    </row>
    <row r="686" spans="1:24" ht="15.75" customHeight="1" x14ac:dyDescent="0.25">
      <c r="A686" s="81"/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4"/>
      <c r="W686" s="84"/>
      <c r="X686" s="84"/>
    </row>
    <row r="687" spans="1:24" ht="15.75" customHeight="1" x14ac:dyDescent="0.25">
      <c r="A687" s="81"/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4"/>
      <c r="W687" s="84"/>
      <c r="X687" s="84"/>
    </row>
    <row r="688" spans="1:24" ht="15.75" customHeight="1" x14ac:dyDescent="0.25">
      <c r="A688" s="81"/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4"/>
      <c r="W688" s="84"/>
      <c r="X688" s="84"/>
    </row>
    <row r="689" spans="1:24" ht="15.75" customHeight="1" x14ac:dyDescent="0.25">
      <c r="A689" s="8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4"/>
      <c r="W689" s="84"/>
      <c r="X689" s="84"/>
    </row>
    <row r="690" spans="1:24" ht="15.75" customHeight="1" x14ac:dyDescent="0.25">
      <c r="A690" s="81"/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4"/>
      <c r="W690" s="84"/>
      <c r="X690" s="84"/>
    </row>
    <row r="691" spans="1:24" ht="15.75" customHeight="1" x14ac:dyDescent="0.25">
      <c r="A691" s="81"/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4"/>
      <c r="W691" s="84"/>
      <c r="X691" s="84"/>
    </row>
    <row r="692" spans="1:24" ht="15.75" customHeight="1" x14ac:dyDescent="0.25">
      <c r="A692" s="81"/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4"/>
      <c r="W692" s="84"/>
      <c r="X692" s="84"/>
    </row>
    <row r="693" spans="1:24" ht="15.75" customHeight="1" x14ac:dyDescent="0.25">
      <c r="A693" s="81"/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4"/>
      <c r="W693" s="84"/>
      <c r="X693" s="84"/>
    </row>
    <row r="694" spans="1:24" ht="15.75" customHeight="1" x14ac:dyDescent="0.25">
      <c r="A694" s="81"/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4"/>
      <c r="W694" s="84"/>
      <c r="X694" s="84"/>
    </row>
    <row r="695" spans="1:24" ht="15.75" customHeight="1" x14ac:dyDescent="0.25">
      <c r="A695" s="81"/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4"/>
      <c r="W695" s="84"/>
      <c r="X695" s="84"/>
    </row>
    <row r="696" spans="1:24" ht="15.75" customHeight="1" x14ac:dyDescent="0.25">
      <c r="A696" s="81"/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4"/>
      <c r="W696" s="84"/>
      <c r="X696" s="84"/>
    </row>
    <row r="697" spans="1:24" ht="15.75" customHeight="1" x14ac:dyDescent="0.25">
      <c r="A697" s="81"/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4"/>
      <c r="W697" s="84"/>
      <c r="X697" s="84"/>
    </row>
    <row r="698" spans="1:24" ht="15.75" customHeight="1" x14ac:dyDescent="0.25">
      <c r="A698" s="81"/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4"/>
      <c r="W698" s="84"/>
      <c r="X698" s="84"/>
    </row>
    <row r="699" spans="1:24" ht="15.75" customHeight="1" x14ac:dyDescent="0.25">
      <c r="A699" s="81"/>
      <c r="B699" s="81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4"/>
      <c r="W699" s="84"/>
      <c r="X699" s="84"/>
    </row>
    <row r="700" spans="1:24" ht="15.75" customHeight="1" x14ac:dyDescent="0.25">
      <c r="A700" s="81"/>
      <c r="B700" s="81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4"/>
      <c r="W700" s="84"/>
      <c r="X700" s="84"/>
    </row>
    <row r="701" spans="1:24" ht="15.75" customHeight="1" x14ac:dyDescent="0.25">
      <c r="A701" s="81"/>
      <c r="B701" s="81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4"/>
      <c r="W701" s="84"/>
      <c r="X701" s="84"/>
    </row>
    <row r="702" spans="1:24" ht="15.75" customHeight="1" x14ac:dyDescent="0.25">
      <c r="A702" s="81"/>
      <c r="B702" s="81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4"/>
      <c r="W702" s="84"/>
      <c r="X702" s="84"/>
    </row>
    <row r="703" spans="1:24" ht="15.75" customHeight="1" x14ac:dyDescent="0.25">
      <c r="A703" s="81"/>
      <c r="B703" s="81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4"/>
      <c r="W703" s="84"/>
      <c r="X703" s="84"/>
    </row>
    <row r="704" spans="1:24" ht="15.75" customHeight="1" x14ac:dyDescent="0.25">
      <c r="A704" s="81"/>
      <c r="B704" s="81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4"/>
      <c r="W704" s="84"/>
      <c r="X704" s="84"/>
    </row>
    <row r="705" spans="1:24" ht="15.75" customHeight="1" x14ac:dyDescent="0.25">
      <c r="A705" s="81"/>
      <c r="B705" s="81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4"/>
      <c r="W705" s="84"/>
      <c r="X705" s="84"/>
    </row>
    <row r="706" spans="1:24" ht="15.75" customHeight="1" x14ac:dyDescent="0.25">
      <c r="A706" s="81"/>
      <c r="B706" s="81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4"/>
      <c r="W706" s="84"/>
      <c r="X706" s="84"/>
    </row>
    <row r="707" spans="1:24" ht="15.75" customHeight="1" x14ac:dyDescent="0.25">
      <c r="A707" s="81"/>
      <c r="B707" s="81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4"/>
      <c r="W707" s="84"/>
      <c r="X707" s="84"/>
    </row>
    <row r="708" spans="1:24" ht="15.75" customHeight="1" x14ac:dyDescent="0.25">
      <c r="A708" s="81"/>
      <c r="B708" s="81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4"/>
      <c r="W708" s="84"/>
      <c r="X708" s="84"/>
    </row>
    <row r="709" spans="1:24" ht="15.75" customHeight="1" x14ac:dyDescent="0.25">
      <c r="A709" s="81"/>
      <c r="B709" s="81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4"/>
      <c r="W709" s="84"/>
      <c r="X709" s="84"/>
    </row>
    <row r="710" spans="1:24" ht="15.75" customHeight="1" x14ac:dyDescent="0.25">
      <c r="A710" s="81"/>
      <c r="B710" s="81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4"/>
      <c r="W710" s="84"/>
      <c r="X710" s="84"/>
    </row>
    <row r="711" spans="1:24" ht="15.75" customHeight="1" x14ac:dyDescent="0.25">
      <c r="A711" s="81"/>
      <c r="B711" s="81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4"/>
      <c r="W711" s="84"/>
      <c r="X711" s="84"/>
    </row>
    <row r="712" spans="1:24" ht="15.75" customHeight="1" x14ac:dyDescent="0.25">
      <c r="A712" s="81"/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4"/>
      <c r="W712" s="84"/>
      <c r="X712" s="84"/>
    </row>
    <row r="713" spans="1:24" ht="15.75" customHeight="1" x14ac:dyDescent="0.25">
      <c r="A713" s="81"/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4"/>
      <c r="W713" s="84"/>
      <c r="X713" s="84"/>
    </row>
    <row r="714" spans="1:24" ht="15.75" customHeight="1" x14ac:dyDescent="0.25">
      <c r="A714" s="81"/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4"/>
      <c r="W714" s="84"/>
      <c r="X714" s="84"/>
    </row>
    <row r="715" spans="1:24" ht="15.75" customHeight="1" x14ac:dyDescent="0.25">
      <c r="A715" s="81"/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4"/>
      <c r="W715" s="84"/>
      <c r="X715" s="84"/>
    </row>
    <row r="716" spans="1:24" ht="15.75" customHeight="1" x14ac:dyDescent="0.25">
      <c r="A716" s="81"/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4"/>
      <c r="W716" s="84"/>
      <c r="X716" s="84"/>
    </row>
    <row r="717" spans="1:24" ht="15.75" customHeight="1" x14ac:dyDescent="0.25">
      <c r="A717" s="81"/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4"/>
      <c r="W717" s="84"/>
      <c r="X717" s="84"/>
    </row>
    <row r="718" spans="1:24" ht="15.75" customHeight="1" x14ac:dyDescent="0.25">
      <c r="A718" s="81"/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4"/>
      <c r="W718" s="84"/>
      <c r="X718" s="84"/>
    </row>
    <row r="719" spans="1:24" ht="15.75" customHeight="1" x14ac:dyDescent="0.25">
      <c r="A719" s="81"/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4"/>
      <c r="W719" s="84"/>
      <c r="X719" s="84"/>
    </row>
    <row r="720" spans="1:24" ht="15.75" customHeight="1" x14ac:dyDescent="0.25">
      <c r="A720" s="81"/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4"/>
      <c r="W720" s="84"/>
      <c r="X720" s="84"/>
    </row>
    <row r="721" spans="1:24" ht="15.75" customHeight="1" x14ac:dyDescent="0.25">
      <c r="A721" s="81"/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4"/>
      <c r="W721" s="84"/>
      <c r="X721" s="84"/>
    </row>
    <row r="722" spans="1:24" ht="15.75" customHeight="1" x14ac:dyDescent="0.25">
      <c r="A722" s="81"/>
      <c r="B722" s="81"/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4"/>
      <c r="W722" s="84"/>
      <c r="X722" s="84"/>
    </row>
    <row r="723" spans="1:24" ht="15.75" customHeight="1" x14ac:dyDescent="0.25">
      <c r="A723" s="81"/>
      <c r="B723" s="81"/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4"/>
      <c r="W723" s="84"/>
      <c r="X723" s="84"/>
    </row>
    <row r="724" spans="1:24" ht="15.75" customHeight="1" x14ac:dyDescent="0.25">
      <c r="A724" s="81"/>
      <c r="B724" s="81"/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4"/>
      <c r="W724" s="84"/>
      <c r="X724" s="84"/>
    </row>
    <row r="725" spans="1:24" ht="15.75" customHeight="1" x14ac:dyDescent="0.25">
      <c r="A725" s="81"/>
      <c r="B725" s="81"/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4"/>
      <c r="W725" s="84"/>
      <c r="X725" s="84"/>
    </row>
    <row r="726" spans="1:24" ht="15.75" customHeight="1" x14ac:dyDescent="0.25">
      <c r="A726" s="81"/>
      <c r="B726" s="81"/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4"/>
      <c r="W726" s="84"/>
      <c r="X726" s="84"/>
    </row>
    <row r="727" spans="1:24" ht="15.75" customHeight="1" x14ac:dyDescent="0.25">
      <c r="A727" s="81"/>
      <c r="B727" s="81"/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4"/>
      <c r="W727" s="84"/>
      <c r="X727" s="84"/>
    </row>
    <row r="728" spans="1:24" ht="15.75" customHeight="1" x14ac:dyDescent="0.25">
      <c r="A728" s="81"/>
      <c r="B728" s="81"/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4"/>
      <c r="W728" s="84"/>
      <c r="X728" s="84"/>
    </row>
    <row r="729" spans="1:24" ht="15.75" customHeight="1" x14ac:dyDescent="0.25">
      <c r="A729" s="81"/>
      <c r="B729" s="81"/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4"/>
      <c r="W729" s="84"/>
      <c r="X729" s="84"/>
    </row>
    <row r="730" spans="1:24" ht="15.75" customHeight="1" x14ac:dyDescent="0.25">
      <c r="A730" s="81"/>
      <c r="B730" s="81"/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4"/>
      <c r="W730" s="84"/>
      <c r="X730" s="84"/>
    </row>
    <row r="731" spans="1:24" ht="15.75" customHeight="1" x14ac:dyDescent="0.25">
      <c r="A731" s="81"/>
      <c r="B731" s="81"/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4"/>
      <c r="W731" s="84"/>
      <c r="X731" s="84"/>
    </row>
    <row r="732" spans="1:24" ht="15.75" customHeight="1" x14ac:dyDescent="0.25">
      <c r="A732" s="81"/>
      <c r="B732" s="81"/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4"/>
      <c r="W732" s="84"/>
      <c r="X732" s="84"/>
    </row>
    <row r="733" spans="1:24" ht="15.75" customHeight="1" x14ac:dyDescent="0.25">
      <c r="A733" s="81"/>
      <c r="B733" s="81"/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4"/>
      <c r="W733" s="84"/>
      <c r="X733" s="84"/>
    </row>
    <row r="734" spans="1:24" ht="15.75" customHeight="1" x14ac:dyDescent="0.25">
      <c r="A734" s="81"/>
      <c r="B734" s="81"/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4"/>
      <c r="W734" s="84"/>
      <c r="X734" s="84"/>
    </row>
    <row r="735" spans="1:24" ht="15.75" customHeight="1" x14ac:dyDescent="0.25">
      <c r="A735" s="81"/>
      <c r="B735" s="81"/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4"/>
      <c r="W735" s="84"/>
      <c r="X735" s="84"/>
    </row>
    <row r="736" spans="1:24" ht="15.75" customHeight="1" x14ac:dyDescent="0.25">
      <c r="A736" s="81"/>
      <c r="B736" s="81"/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4"/>
      <c r="W736" s="84"/>
      <c r="X736" s="84"/>
    </row>
    <row r="737" spans="1:24" ht="15.75" customHeight="1" x14ac:dyDescent="0.25">
      <c r="A737" s="81"/>
      <c r="B737" s="81"/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4"/>
      <c r="W737" s="84"/>
      <c r="X737" s="84"/>
    </row>
    <row r="738" spans="1:24" ht="15.75" customHeight="1" x14ac:dyDescent="0.25">
      <c r="A738" s="81"/>
      <c r="B738" s="81"/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4"/>
      <c r="W738" s="84"/>
      <c r="X738" s="84"/>
    </row>
    <row r="739" spans="1:24" ht="15.75" customHeight="1" x14ac:dyDescent="0.25">
      <c r="A739" s="81"/>
      <c r="B739" s="81"/>
      <c r="C739" s="81"/>
      <c r="D739" s="81"/>
      <c r="E739" s="81"/>
      <c r="F739" s="81"/>
      <c r="G739" s="81"/>
      <c r="H739" s="81"/>
      <c r="I739" s="81"/>
      <c r="J739" s="81"/>
      <c r="K739" s="81"/>
      <c r="L739" s="81"/>
      <c r="M739" s="81"/>
      <c r="N739" s="81"/>
      <c r="O739" s="81"/>
      <c r="P739" s="81"/>
      <c r="Q739" s="81"/>
      <c r="R739" s="81"/>
      <c r="S739" s="81"/>
      <c r="T739" s="81"/>
      <c r="U739" s="81"/>
      <c r="V739" s="84"/>
      <c r="W739" s="84"/>
      <c r="X739" s="84"/>
    </row>
    <row r="740" spans="1:24" ht="15.75" customHeight="1" x14ac:dyDescent="0.25">
      <c r="A740" s="81"/>
      <c r="B740" s="81"/>
      <c r="C740" s="81"/>
      <c r="D740" s="81"/>
      <c r="E740" s="81"/>
      <c r="F740" s="81"/>
      <c r="G740" s="81"/>
      <c r="H740" s="81"/>
      <c r="I740" s="81"/>
      <c r="J740" s="81"/>
      <c r="K740" s="81"/>
      <c r="L740" s="81"/>
      <c r="M740" s="81"/>
      <c r="N740" s="81"/>
      <c r="O740" s="81"/>
      <c r="P740" s="81"/>
      <c r="Q740" s="81"/>
      <c r="R740" s="81"/>
      <c r="S740" s="81"/>
      <c r="T740" s="81"/>
      <c r="U740" s="81"/>
      <c r="V740" s="84"/>
      <c r="W740" s="84"/>
      <c r="X740" s="84"/>
    </row>
    <row r="741" spans="1:24" ht="15.75" customHeight="1" x14ac:dyDescent="0.25">
      <c r="A741" s="81"/>
      <c r="B741" s="81"/>
      <c r="C741" s="81"/>
      <c r="D741" s="81"/>
      <c r="E741" s="81"/>
      <c r="F741" s="81"/>
      <c r="G741" s="81"/>
      <c r="H741" s="81"/>
      <c r="I741" s="81"/>
      <c r="J741" s="81"/>
      <c r="K741" s="81"/>
      <c r="L741" s="81"/>
      <c r="M741" s="81"/>
      <c r="N741" s="81"/>
      <c r="O741" s="81"/>
      <c r="P741" s="81"/>
      <c r="Q741" s="81"/>
      <c r="R741" s="81"/>
      <c r="S741" s="81"/>
      <c r="T741" s="81"/>
      <c r="U741" s="81"/>
      <c r="V741" s="84"/>
      <c r="W741" s="84"/>
      <c r="X741" s="84"/>
    </row>
    <row r="742" spans="1:24" ht="15.75" customHeight="1" x14ac:dyDescent="0.25">
      <c r="A742" s="81"/>
      <c r="B742" s="81"/>
      <c r="C742" s="81"/>
      <c r="D742" s="81"/>
      <c r="E742" s="81"/>
      <c r="F742" s="81"/>
      <c r="G742" s="81"/>
      <c r="H742" s="81"/>
      <c r="I742" s="81"/>
      <c r="J742" s="81"/>
      <c r="K742" s="81"/>
      <c r="L742" s="81"/>
      <c r="M742" s="81"/>
      <c r="N742" s="81"/>
      <c r="O742" s="81"/>
      <c r="P742" s="81"/>
      <c r="Q742" s="81"/>
      <c r="R742" s="81"/>
      <c r="S742" s="81"/>
      <c r="T742" s="81"/>
      <c r="U742" s="81"/>
      <c r="V742" s="84"/>
      <c r="W742" s="84"/>
      <c r="X742" s="84"/>
    </row>
    <row r="743" spans="1:24" ht="15.75" customHeight="1" x14ac:dyDescent="0.25">
      <c r="A743" s="81"/>
      <c r="B743" s="81"/>
      <c r="C743" s="81"/>
      <c r="D743" s="81"/>
      <c r="E743" s="81"/>
      <c r="F743" s="81"/>
      <c r="G743" s="81"/>
      <c r="H743" s="81"/>
      <c r="I743" s="81"/>
      <c r="J743" s="81"/>
      <c r="K743" s="81"/>
      <c r="L743" s="81"/>
      <c r="M743" s="81"/>
      <c r="N743" s="81"/>
      <c r="O743" s="81"/>
      <c r="P743" s="81"/>
      <c r="Q743" s="81"/>
      <c r="R743" s="81"/>
      <c r="S743" s="81"/>
      <c r="T743" s="81"/>
      <c r="U743" s="81"/>
      <c r="V743" s="84"/>
      <c r="W743" s="84"/>
      <c r="X743" s="84"/>
    </row>
    <row r="744" spans="1:24" ht="15.75" customHeight="1" x14ac:dyDescent="0.25">
      <c r="A744" s="81"/>
      <c r="B744" s="81"/>
      <c r="C744" s="81"/>
      <c r="D744" s="81"/>
      <c r="E744" s="81"/>
      <c r="F744" s="81"/>
      <c r="G744" s="81"/>
      <c r="H744" s="81"/>
      <c r="I744" s="81"/>
      <c r="J744" s="81"/>
      <c r="K744" s="81"/>
      <c r="L744" s="81"/>
      <c r="M744" s="81"/>
      <c r="N744" s="81"/>
      <c r="O744" s="81"/>
      <c r="P744" s="81"/>
      <c r="Q744" s="81"/>
      <c r="R744" s="81"/>
      <c r="S744" s="81"/>
      <c r="T744" s="81"/>
      <c r="U744" s="81"/>
      <c r="V744" s="84"/>
      <c r="W744" s="84"/>
      <c r="X744" s="84"/>
    </row>
    <row r="745" spans="1:24" ht="15.75" customHeight="1" x14ac:dyDescent="0.25">
      <c r="A745" s="81"/>
      <c r="B745" s="81"/>
      <c r="C745" s="81"/>
      <c r="D745" s="81"/>
      <c r="E745" s="81"/>
      <c r="F745" s="81"/>
      <c r="G745" s="81"/>
      <c r="H745" s="81"/>
      <c r="I745" s="81"/>
      <c r="J745" s="81"/>
      <c r="K745" s="81"/>
      <c r="L745" s="81"/>
      <c r="M745" s="81"/>
      <c r="N745" s="81"/>
      <c r="O745" s="81"/>
      <c r="P745" s="81"/>
      <c r="Q745" s="81"/>
      <c r="R745" s="81"/>
      <c r="S745" s="81"/>
      <c r="T745" s="81"/>
      <c r="U745" s="81"/>
      <c r="V745" s="84"/>
      <c r="W745" s="84"/>
      <c r="X745" s="84"/>
    </row>
    <row r="746" spans="1:24" ht="15.75" customHeight="1" x14ac:dyDescent="0.25">
      <c r="A746" s="81"/>
      <c r="B746" s="81"/>
      <c r="C746" s="81"/>
      <c r="D746" s="81"/>
      <c r="E746" s="81"/>
      <c r="F746" s="81"/>
      <c r="G746" s="81"/>
      <c r="H746" s="81"/>
      <c r="I746" s="81"/>
      <c r="J746" s="81"/>
      <c r="K746" s="81"/>
      <c r="L746" s="81"/>
      <c r="M746" s="81"/>
      <c r="N746" s="81"/>
      <c r="O746" s="81"/>
      <c r="P746" s="81"/>
      <c r="Q746" s="81"/>
      <c r="R746" s="81"/>
      <c r="S746" s="81"/>
      <c r="T746" s="81"/>
      <c r="U746" s="81"/>
      <c r="V746" s="84"/>
      <c r="W746" s="84"/>
      <c r="X746" s="84"/>
    </row>
    <row r="747" spans="1:24" ht="15.75" customHeight="1" x14ac:dyDescent="0.25">
      <c r="A747" s="81"/>
      <c r="B747" s="81"/>
      <c r="C747" s="81"/>
      <c r="D747" s="81"/>
      <c r="E747" s="81"/>
      <c r="F747" s="81"/>
      <c r="G747" s="81"/>
      <c r="H747" s="81"/>
      <c r="I747" s="81"/>
      <c r="J747" s="81"/>
      <c r="K747" s="81"/>
      <c r="L747" s="81"/>
      <c r="M747" s="81"/>
      <c r="N747" s="81"/>
      <c r="O747" s="81"/>
      <c r="P747" s="81"/>
      <c r="Q747" s="81"/>
      <c r="R747" s="81"/>
      <c r="S747" s="81"/>
      <c r="T747" s="81"/>
      <c r="U747" s="81"/>
      <c r="V747" s="84"/>
      <c r="W747" s="84"/>
      <c r="X747" s="84"/>
    </row>
    <row r="748" spans="1:24" ht="15.75" customHeight="1" x14ac:dyDescent="0.25">
      <c r="A748" s="81"/>
      <c r="B748" s="81"/>
      <c r="C748" s="81"/>
      <c r="D748" s="81"/>
      <c r="E748" s="81"/>
      <c r="F748" s="81"/>
      <c r="G748" s="81"/>
      <c r="H748" s="81"/>
      <c r="I748" s="81"/>
      <c r="J748" s="81"/>
      <c r="K748" s="81"/>
      <c r="L748" s="81"/>
      <c r="M748" s="81"/>
      <c r="N748" s="81"/>
      <c r="O748" s="81"/>
      <c r="P748" s="81"/>
      <c r="Q748" s="81"/>
      <c r="R748" s="81"/>
      <c r="S748" s="81"/>
      <c r="T748" s="81"/>
      <c r="U748" s="81"/>
      <c r="V748" s="84"/>
      <c r="W748" s="84"/>
      <c r="X748" s="84"/>
    </row>
    <row r="749" spans="1:24" ht="15.75" customHeight="1" x14ac:dyDescent="0.25">
      <c r="A749" s="81"/>
      <c r="B749" s="81"/>
      <c r="C749" s="81"/>
      <c r="D749" s="81"/>
      <c r="E749" s="81"/>
      <c r="F749" s="81"/>
      <c r="G749" s="81"/>
      <c r="H749" s="81"/>
      <c r="I749" s="81"/>
      <c r="J749" s="81"/>
      <c r="K749" s="81"/>
      <c r="L749" s="81"/>
      <c r="M749" s="81"/>
      <c r="N749" s="81"/>
      <c r="O749" s="81"/>
      <c r="P749" s="81"/>
      <c r="Q749" s="81"/>
      <c r="R749" s="81"/>
      <c r="S749" s="81"/>
      <c r="T749" s="81"/>
      <c r="U749" s="81"/>
      <c r="V749" s="84"/>
      <c r="W749" s="84"/>
      <c r="X749" s="84"/>
    </row>
    <row r="750" spans="1:24" ht="15.75" customHeight="1" x14ac:dyDescent="0.25">
      <c r="A750" s="81"/>
      <c r="B750" s="81"/>
      <c r="C750" s="81"/>
      <c r="D750" s="81"/>
      <c r="E750" s="81"/>
      <c r="F750" s="81"/>
      <c r="G750" s="81"/>
      <c r="H750" s="81"/>
      <c r="I750" s="81"/>
      <c r="J750" s="81"/>
      <c r="K750" s="81"/>
      <c r="L750" s="81"/>
      <c r="M750" s="81"/>
      <c r="N750" s="81"/>
      <c r="O750" s="81"/>
      <c r="P750" s="81"/>
      <c r="Q750" s="81"/>
      <c r="R750" s="81"/>
      <c r="S750" s="81"/>
      <c r="T750" s="81"/>
      <c r="U750" s="81"/>
      <c r="V750" s="84"/>
      <c r="W750" s="84"/>
      <c r="X750" s="84"/>
    </row>
    <row r="751" spans="1:24" ht="15.75" customHeight="1" x14ac:dyDescent="0.25">
      <c r="A751" s="81"/>
      <c r="B751" s="81"/>
      <c r="C751" s="81"/>
      <c r="D751" s="81"/>
      <c r="E751" s="81"/>
      <c r="F751" s="81"/>
      <c r="G751" s="81"/>
      <c r="H751" s="81"/>
      <c r="I751" s="81"/>
      <c r="J751" s="81"/>
      <c r="K751" s="81"/>
      <c r="L751" s="81"/>
      <c r="M751" s="81"/>
      <c r="N751" s="81"/>
      <c r="O751" s="81"/>
      <c r="P751" s="81"/>
      <c r="Q751" s="81"/>
      <c r="R751" s="81"/>
      <c r="S751" s="81"/>
      <c r="T751" s="81"/>
      <c r="U751" s="81"/>
      <c r="V751" s="84"/>
      <c r="W751" s="84"/>
      <c r="X751" s="84"/>
    </row>
    <row r="752" spans="1:24" ht="15.75" customHeight="1" x14ac:dyDescent="0.25">
      <c r="A752" s="81"/>
      <c r="B752" s="81"/>
      <c r="C752" s="81"/>
      <c r="D752" s="81"/>
      <c r="E752" s="81"/>
      <c r="F752" s="81"/>
      <c r="G752" s="81"/>
      <c r="H752" s="81"/>
      <c r="I752" s="81"/>
      <c r="J752" s="81"/>
      <c r="K752" s="81"/>
      <c r="L752" s="81"/>
      <c r="M752" s="81"/>
      <c r="N752" s="81"/>
      <c r="O752" s="81"/>
      <c r="P752" s="81"/>
      <c r="Q752" s="81"/>
      <c r="R752" s="81"/>
      <c r="S752" s="81"/>
      <c r="T752" s="81"/>
      <c r="U752" s="81"/>
      <c r="V752" s="84"/>
      <c r="W752" s="84"/>
      <c r="X752" s="84"/>
    </row>
    <row r="753" spans="1:24" ht="15.75" customHeight="1" x14ac:dyDescent="0.25">
      <c r="A753" s="81"/>
      <c r="B753" s="81"/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  <c r="R753" s="81"/>
      <c r="S753" s="81"/>
      <c r="T753" s="81"/>
      <c r="U753" s="81"/>
      <c r="V753" s="84"/>
      <c r="W753" s="84"/>
      <c r="X753" s="84"/>
    </row>
    <row r="754" spans="1:24" ht="15.75" customHeight="1" x14ac:dyDescent="0.25">
      <c r="A754" s="81"/>
      <c r="B754" s="81"/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  <c r="R754" s="81"/>
      <c r="S754" s="81"/>
      <c r="T754" s="81"/>
      <c r="U754" s="81"/>
      <c r="V754" s="84"/>
      <c r="W754" s="84"/>
      <c r="X754" s="84"/>
    </row>
    <row r="755" spans="1:24" ht="15.75" customHeight="1" x14ac:dyDescent="0.25">
      <c r="A755" s="81"/>
      <c r="B755" s="81"/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  <c r="R755" s="81"/>
      <c r="S755" s="81"/>
      <c r="T755" s="81"/>
      <c r="U755" s="81"/>
      <c r="V755" s="84"/>
      <c r="W755" s="84"/>
      <c r="X755" s="84"/>
    </row>
    <row r="756" spans="1:24" ht="15.75" customHeight="1" x14ac:dyDescent="0.25">
      <c r="A756" s="81"/>
      <c r="B756" s="81"/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  <c r="R756" s="81"/>
      <c r="S756" s="81"/>
      <c r="T756" s="81"/>
      <c r="U756" s="81"/>
      <c r="V756" s="84"/>
      <c r="W756" s="84"/>
      <c r="X756" s="84"/>
    </row>
    <row r="757" spans="1:24" ht="15.75" customHeight="1" x14ac:dyDescent="0.25">
      <c r="A757" s="81"/>
      <c r="B757" s="81"/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  <c r="R757" s="81"/>
      <c r="S757" s="81"/>
      <c r="T757" s="81"/>
      <c r="U757" s="81"/>
      <c r="V757" s="84"/>
      <c r="W757" s="84"/>
      <c r="X757" s="84"/>
    </row>
    <row r="758" spans="1:24" ht="15.75" customHeight="1" x14ac:dyDescent="0.25">
      <c r="A758" s="81"/>
      <c r="B758" s="81"/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  <c r="R758" s="81"/>
      <c r="S758" s="81"/>
      <c r="T758" s="81"/>
      <c r="U758" s="81"/>
      <c r="V758" s="84"/>
      <c r="W758" s="84"/>
      <c r="X758" s="84"/>
    </row>
    <row r="759" spans="1:24" ht="15.75" customHeight="1" x14ac:dyDescent="0.25">
      <c r="A759" s="81"/>
      <c r="B759" s="81"/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  <c r="R759" s="81"/>
      <c r="S759" s="81"/>
      <c r="T759" s="81"/>
      <c r="U759" s="81"/>
      <c r="V759" s="84"/>
      <c r="W759" s="84"/>
      <c r="X759" s="84"/>
    </row>
    <row r="760" spans="1:24" ht="15.75" customHeight="1" x14ac:dyDescent="0.25">
      <c r="A760" s="81"/>
      <c r="B760" s="81"/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  <c r="R760" s="81"/>
      <c r="S760" s="81"/>
      <c r="T760" s="81"/>
      <c r="U760" s="81"/>
      <c r="V760" s="84"/>
      <c r="W760" s="84"/>
      <c r="X760" s="84"/>
    </row>
    <row r="761" spans="1:24" ht="15.75" customHeight="1" x14ac:dyDescent="0.25">
      <c r="A761" s="81"/>
      <c r="B761" s="81"/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  <c r="R761" s="81"/>
      <c r="S761" s="81"/>
      <c r="T761" s="81"/>
      <c r="U761" s="81"/>
      <c r="V761" s="84"/>
      <c r="W761" s="84"/>
      <c r="X761" s="84"/>
    </row>
    <row r="762" spans="1:24" ht="15.75" customHeight="1" x14ac:dyDescent="0.25">
      <c r="A762" s="81"/>
      <c r="B762" s="81"/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4"/>
      <c r="W762" s="84"/>
      <c r="X762" s="84"/>
    </row>
    <row r="763" spans="1:24" ht="15.75" customHeight="1" x14ac:dyDescent="0.25">
      <c r="A763" s="81"/>
      <c r="B763" s="81"/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4"/>
      <c r="W763" s="84"/>
      <c r="X763" s="84"/>
    </row>
    <row r="764" spans="1:24" ht="15.75" customHeight="1" x14ac:dyDescent="0.25">
      <c r="A764" s="81"/>
      <c r="B764" s="81"/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4"/>
      <c r="W764" s="84"/>
      <c r="X764" s="84"/>
    </row>
    <row r="765" spans="1:24" ht="15.75" customHeight="1" x14ac:dyDescent="0.25">
      <c r="A765" s="81"/>
      <c r="B765" s="81"/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4"/>
      <c r="W765" s="84"/>
      <c r="X765" s="84"/>
    </row>
    <row r="766" spans="1:24" ht="15.75" customHeight="1" x14ac:dyDescent="0.25">
      <c r="A766" s="81"/>
      <c r="B766" s="81"/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4"/>
      <c r="W766" s="84"/>
      <c r="X766" s="84"/>
    </row>
    <row r="767" spans="1:24" ht="15.75" customHeight="1" x14ac:dyDescent="0.25">
      <c r="A767" s="81"/>
      <c r="B767" s="81"/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4"/>
      <c r="W767" s="84"/>
      <c r="X767" s="84"/>
    </row>
    <row r="768" spans="1:24" ht="15.75" customHeight="1" x14ac:dyDescent="0.25">
      <c r="A768" s="81"/>
      <c r="B768" s="81"/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4"/>
      <c r="W768" s="84"/>
      <c r="X768" s="84"/>
    </row>
    <row r="769" spans="1:24" ht="15.75" customHeight="1" x14ac:dyDescent="0.25">
      <c r="A769" s="81"/>
      <c r="B769" s="81"/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4"/>
      <c r="W769" s="84"/>
      <c r="X769" s="84"/>
    </row>
    <row r="770" spans="1:24" ht="15.75" customHeight="1" x14ac:dyDescent="0.25">
      <c r="A770" s="81"/>
      <c r="B770" s="81"/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4"/>
      <c r="W770" s="84"/>
      <c r="X770" s="84"/>
    </row>
    <row r="771" spans="1:24" ht="15.75" customHeight="1" x14ac:dyDescent="0.25">
      <c r="A771" s="81"/>
      <c r="B771" s="81"/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4"/>
      <c r="W771" s="84"/>
      <c r="X771" s="84"/>
    </row>
    <row r="772" spans="1:24" ht="15.75" customHeight="1" x14ac:dyDescent="0.25">
      <c r="A772" s="81"/>
      <c r="B772" s="81"/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4"/>
      <c r="W772" s="84"/>
      <c r="X772" s="84"/>
    </row>
    <row r="773" spans="1:24" ht="15.75" customHeight="1" x14ac:dyDescent="0.25">
      <c r="A773" s="81"/>
      <c r="B773" s="81"/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4"/>
      <c r="W773" s="84"/>
      <c r="X773" s="84"/>
    </row>
    <row r="774" spans="1:24" ht="15.75" customHeight="1" x14ac:dyDescent="0.25">
      <c r="A774" s="81"/>
      <c r="B774" s="81"/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4"/>
      <c r="W774" s="84"/>
      <c r="X774" s="84"/>
    </row>
    <row r="775" spans="1:24" ht="15.75" customHeight="1" x14ac:dyDescent="0.25">
      <c r="A775" s="81"/>
      <c r="B775" s="81"/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4"/>
      <c r="W775" s="84"/>
      <c r="X775" s="84"/>
    </row>
    <row r="776" spans="1:24" ht="15.75" customHeight="1" x14ac:dyDescent="0.25">
      <c r="A776" s="81"/>
      <c r="B776" s="81"/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4"/>
      <c r="W776" s="84"/>
      <c r="X776" s="84"/>
    </row>
    <row r="777" spans="1:24" ht="15.75" customHeight="1" x14ac:dyDescent="0.25">
      <c r="A777" s="81"/>
      <c r="B777" s="81"/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4"/>
      <c r="W777" s="84"/>
      <c r="X777" s="84"/>
    </row>
    <row r="778" spans="1:24" ht="15.75" customHeight="1" x14ac:dyDescent="0.25">
      <c r="A778" s="81"/>
      <c r="B778" s="81"/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4"/>
      <c r="W778" s="84"/>
      <c r="X778" s="84"/>
    </row>
    <row r="779" spans="1:24" ht="15.75" customHeight="1" x14ac:dyDescent="0.25">
      <c r="A779" s="81"/>
      <c r="B779" s="81"/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4"/>
      <c r="W779" s="84"/>
      <c r="X779" s="84"/>
    </row>
    <row r="780" spans="1:24" ht="15.75" customHeight="1" x14ac:dyDescent="0.25">
      <c r="A780" s="81"/>
      <c r="B780" s="81"/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4"/>
      <c r="W780" s="84"/>
      <c r="X780" s="84"/>
    </row>
    <row r="781" spans="1:24" ht="15.75" customHeight="1" x14ac:dyDescent="0.25">
      <c r="A781" s="81"/>
      <c r="B781" s="81"/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4"/>
      <c r="W781" s="84"/>
      <c r="X781" s="84"/>
    </row>
    <row r="782" spans="1:24" ht="15.75" customHeight="1" x14ac:dyDescent="0.25">
      <c r="A782" s="81"/>
      <c r="B782" s="81"/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4"/>
      <c r="W782" s="84"/>
      <c r="X782" s="84"/>
    </row>
    <row r="783" spans="1:24" ht="15.75" customHeight="1" x14ac:dyDescent="0.25">
      <c r="A783" s="81"/>
      <c r="B783" s="81"/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4"/>
      <c r="W783" s="84"/>
      <c r="X783" s="84"/>
    </row>
    <row r="784" spans="1:24" ht="15.75" customHeight="1" x14ac:dyDescent="0.25">
      <c r="A784" s="81"/>
      <c r="B784" s="81"/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4"/>
      <c r="W784" s="84"/>
      <c r="X784" s="84"/>
    </row>
    <row r="785" spans="1:24" ht="15.75" customHeight="1" x14ac:dyDescent="0.25">
      <c r="A785" s="81"/>
      <c r="B785" s="81"/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  <c r="R785" s="81"/>
      <c r="S785" s="81"/>
      <c r="T785" s="81"/>
      <c r="U785" s="81"/>
      <c r="V785" s="84"/>
      <c r="W785" s="84"/>
      <c r="X785" s="84"/>
    </row>
    <row r="786" spans="1:24" ht="15.75" customHeight="1" x14ac:dyDescent="0.25">
      <c r="A786" s="81"/>
      <c r="B786" s="81"/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  <c r="R786" s="81"/>
      <c r="S786" s="81"/>
      <c r="T786" s="81"/>
      <c r="U786" s="81"/>
      <c r="V786" s="84"/>
      <c r="W786" s="84"/>
      <c r="X786" s="84"/>
    </row>
    <row r="787" spans="1:24" ht="15.75" customHeight="1" x14ac:dyDescent="0.25">
      <c r="A787" s="81"/>
      <c r="B787" s="81"/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  <c r="R787" s="81"/>
      <c r="S787" s="81"/>
      <c r="T787" s="81"/>
      <c r="U787" s="81"/>
      <c r="V787" s="84"/>
      <c r="W787" s="84"/>
      <c r="X787" s="84"/>
    </row>
    <row r="788" spans="1:24" ht="15.75" customHeight="1" x14ac:dyDescent="0.25">
      <c r="A788" s="81"/>
      <c r="B788" s="81"/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  <c r="R788" s="81"/>
      <c r="S788" s="81"/>
      <c r="T788" s="81"/>
      <c r="U788" s="81"/>
      <c r="V788" s="84"/>
      <c r="W788" s="84"/>
      <c r="X788" s="84"/>
    </row>
    <row r="789" spans="1:24" ht="15.75" customHeight="1" x14ac:dyDescent="0.25">
      <c r="A789" s="81"/>
      <c r="B789" s="81"/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  <c r="R789" s="81"/>
      <c r="S789" s="81"/>
      <c r="T789" s="81"/>
      <c r="U789" s="81"/>
      <c r="V789" s="84"/>
      <c r="W789" s="84"/>
      <c r="X789" s="84"/>
    </row>
    <row r="790" spans="1:24" ht="15.75" customHeight="1" x14ac:dyDescent="0.25">
      <c r="A790" s="81"/>
      <c r="B790" s="81"/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  <c r="R790" s="81"/>
      <c r="S790" s="81"/>
      <c r="T790" s="81"/>
      <c r="U790" s="81"/>
      <c r="V790" s="84"/>
      <c r="W790" s="84"/>
      <c r="X790" s="84"/>
    </row>
    <row r="791" spans="1:24" ht="15.75" customHeight="1" x14ac:dyDescent="0.25">
      <c r="A791" s="81"/>
      <c r="B791" s="81"/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  <c r="R791" s="81"/>
      <c r="S791" s="81"/>
      <c r="T791" s="81"/>
      <c r="U791" s="81"/>
      <c r="V791" s="84"/>
      <c r="W791" s="84"/>
      <c r="X791" s="84"/>
    </row>
    <row r="792" spans="1:24" ht="15.75" customHeight="1" x14ac:dyDescent="0.25">
      <c r="A792" s="81"/>
      <c r="B792" s="81"/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  <c r="R792" s="81"/>
      <c r="S792" s="81"/>
      <c r="T792" s="81"/>
      <c r="U792" s="81"/>
      <c r="V792" s="84"/>
      <c r="W792" s="84"/>
      <c r="X792" s="84"/>
    </row>
    <row r="793" spans="1:24" ht="15.75" customHeight="1" x14ac:dyDescent="0.25">
      <c r="A793" s="81"/>
      <c r="B793" s="81"/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  <c r="R793" s="81"/>
      <c r="S793" s="81"/>
      <c r="T793" s="81"/>
      <c r="U793" s="81"/>
      <c r="V793" s="84"/>
      <c r="W793" s="84"/>
      <c r="X793" s="84"/>
    </row>
    <row r="794" spans="1:24" ht="15.75" customHeight="1" x14ac:dyDescent="0.25">
      <c r="A794" s="81"/>
      <c r="B794" s="81"/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  <c r="R794" s="81"/>
      <c r="S794" s="81"/>
      <c r="T794" s="81"/>
      <c r="U794" s="81"/>
      <c r="V794" s="84"/>
      <c r="W794" s="84"/>
      <c r="X794" s="84"/>
    </row>
    <row r="795" spans="1:24" ht="15.75" customHeight="1" x14ac:dyDescent="0.25">
      <c r="A795" s="81"/>
      <c r="B795" s="81"/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  <c r="R795" s="81"/>
      <c r="S795" s="81"/>
      <c r="T795" s="81"/>
      <c r="U795" s="81"/>
      <c r="V795" s="84"/>
      <c r="W795" s="84"/>
      <c r="X795" s="84"/>
    </row>
    <row r="796" spans="1:24" ht="15.75" customHeight="1" x14ac:dyDescent="0.25">
      <c r="A796" s="81"/>
      <c r="B796" s="81"/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  <c r="R796" s="81"/>
      <c r="S796" s="81"/>
      <c r="T796" s="81"/>
      <c r="U796" s="81"/>
      <c r="V796" s="84"/>
      <c r="W796" s="84"/>
      <c r="X796" s="84"/>
    </row>
    <row r="797" spans="1:24" ht="15.75" customHeight="1" x14ac:dyDescent="0.25">
      <c r="A797" s="81"/>
      <c r="B797" s="81"/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  <c r="R797" s="81"/>
      <c r="S797" s="81"/>
      <c r="T797" s="81"/>
      <c r="U797" s="81"/>
      <c r="V797" s="84"/>
      <c r="W797" s="84"/>
      <c r="X797" s="84"/>
    </row>
    <row r="798" spans="1:24" ht="15.75" customHeight="1" x14ac:dyDescent="0.25">
      <c r="A798" s="81"/>
      <c r="B798" s="81"/>
      <c r="C798" s="81"/>
      <c r="D798" s="81"/>
      <c r="E798" s="81"/>
      <c r="F798" s="81"/>
      <c r="G798" s="81"/>
      <c r="H798" s="81"/>
      <c r="I798" s="81"/>
      <c r="J798" s="81"/>
      <c r="K798" s="81"/>
      <c r="L798" s="81"/>
      <c r="M798" s="81"/>
      <c r="N798" s="81"/>
      <c r="O798" s="81"/>
      <c r="P798" s="81"/>
      <c r="Q798" s="81"/>
      <c r="R798" s="81"/>
      <c r="S798" s="81"/>
      <c r="T798" s="81"/>
      <c r="U798" s="81"/>
      <c r="V798" s="84"/>
      <c r="W798" s="84"/>
      <c r="X798" s="84"/>
    </row>
    <row r="799" spans="1:24" ht="15.75" customHeight="1" x14ac:dyDescent="0.25">
      <c r="A799" s="81"/>
      <c r="B799" s="81"/>
      <c r="C799" s="81"/>
      <c r="D799" s="81"/>
      <c r="E799" s="81"/>
      <c r="F799" s="81"/>
      <c r="G799" s="81"/>
      <c r="H799" s="81"/>
      <c r="I799" s="81"/>
      <c r="J799" s="81"/>
      <c r="K799" s="81"/>
      <c r="L799" s="81"/>
      <c r="M799" s="81"/>
      <c r="N799" s="81"/>
      <c r="O799" s="81"/>
      <c r="P799" s="81"/>
      <c r="Q799" s="81"/>
      <c r="R799" s="81"/>
      <c r="S799" s="81"/>
      <c r="T799" s="81"/>
      <c r="U799" s="81"/>
      <c r="V799" s="84"/>
      <c r="W799" s="84"/>
      <c r="X799" s="84"/>
    </row>
    <row r="800" spans="1:24" ht="15.75" customHeight="1" x14ac:dyDescent="0.25">
      <c r="A800" s="81"/>
      <c r="B800" s="81"/>
      <c r="C800" s="81"/>
      <c r="D800" s="81"/>
      <c r="E800" s="81"/>
      <c r="F800" s="81"/>
      <c r="G800" s="81"/>
      <c r="H800" s="81"/>
      <c r="I800" s="81"/>
      <c r="J800" s="81"/>
      <c r="K800" s="81"/>
      <c r="L800" s="81"/>
      <c r="M800" s="81"/>
      <c r="N800" s="81"/>
      <c r="O800" s="81"/>
      <c r="P800" s="81"/>
      <c r="Q800" s="81"/>
      <c r="R800" s="81"/>
      <c r="S800" s="81"/>
      <c r="T800" s="81"/>
      <c r="U800" s="81"/>
      <c r="V800" s="84"/>
      <c r="W800" s="84"/>
      <c r="X800" s="84"/>
    </row>
    <row r="801" spans="1:24" ht="15.75" customHeight="1" x14ac:dyDescent="0.25">
      <c r="A801" s="81"/>
      <c r="B801" s="81"/>
      <c r="C801" s="81"/>
      <c r="D801" s="81"/>
      <c r="E801" s="81"/>
      <c r="F801" s="81"/>
      <c r="G801" s="81"/>
      <c r="H801" s="81"/>
      <c r="I801" s="81"/>
      <c r="J801" s="81"/>
      <c r="K801" s="81"/>
      <c r="L801" s="81"/>
      <c r="M801" s="81"/>
      <c r="N801" s="81"/>
      <c r="O801" s="81"/>
      <c r="P801" s="81"/>
      <c r="Q801" s="81"/>
      <c r="R801" s="81"/>
      <c r="S801" s="81"/>
      <c r="T801" s="81"/>
      <c r="U801" s="81"/>
      <c r="V801" s="84"/>
      <c r="W801" s="84"/>
      <c r="X801" s="84"/>
    </row>
    <row r="802" spans="1:24" ht="15.75" customHeight="1" x14ac:dyDescent="0.25">
      <c r="A802" s="81"/>
      <c r="B802" s="81"/>
      <c r="C802" s="81"/>
      <c r="D802" s="81"/>
      <c r="E802" s="81"/>
      <c r="F802" s="81"/>
      <c r="G802" s="81"/>
      <c r="H802" s="81"/>
      <c r="I802" s="81"/>
      <c r="J802" s="81"/>
      <c r="K802" s="81"/>
      <c r="L802" s="81"/>
      <c r="M802" s="81"/>
      <c r="N802" s="81"/>
      <c r="O802" s="81"/>
      <c r="P802" s="81"/>
      <c r="Q802" s="81"/>
      <c r="R802" s="81"/>
      <c r="S802" s="81"/>
      <c r="T802" s="81"/>
      <c r="U802" s="81"/>
      <c r="V802" s="84"/>
      <c r="W802" s="84"/>
      <c r="X802" s="84"/>
    </row>
    <row r="803" spans="1:24" ht="15.75" customHeight="1" x14ac:dyDescent="0.25">
      <c r="A803" s="81"/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  <c r="M803" s="81"/>
      <c r="N803" s="81"/>
      <c r="O803" s="81"/>
      <c r="P803" s="81"/>
      <c r="Q803" s="81"/>
      <c r="R803" s="81"/>
      <c r="S803" s="81"/>
      <c r="T803" s="81"/>
      <c r="U803" s="81"/>
      <c r="V803" s="84"/>
      <c r="W803" s="84"/>
      <c r="X803" s="84"/>
    </row>
    <row r="804" spans="1:24" ht="15.75" customHeight="1" x14ac:dyDescent="0.25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  <c r="M804" s="81"/>
      <c r="N804" s="81"/>
      <c r="O804" s="81"/>
      <c r="P804" s="81"/>
      <c r="Q804" s="81"/>
      <c r="R804" s="81"/>
      <c r="S804" s="81"/>
      <c r="T804" s="81"/>
      <c r="U804" s="81"/>
      <c r="V804" s="84"/>
      <c r="W804" s="84"/>
      <c r="X804" s="84"/>
    </row>
    <row r="805" spans="1:24" ht="15.75" customHeight="1" x14ac:dyDescent="0.25">
      <c r="A805" s="81"/>
      <c r="B805" s="81"/>
      <c r="C805" s="81"/>
      <c r="D805" s="81"/>
      <c r="E805" s="81"/>
      <c r="F805" s="81"/>
      <c r="G805" s="81"/>
      <c r="H805" s="81"/>
      <c r="I805" s="81"/>
      <c r="J805" s="81"/>
      <c r="K805" s="81"/>
      <c r="L805" s="81"/>
      <c r="M805" s="81"/>
      <c r="N805" s="81"/>
      <c r="O805" s="81"/>
      <c r="P805" s="81"/>
      <c r="Q805" s="81"/>
      <c r="R805" s="81"/>
      <c r="S805" s="81"/>
      <c r="T805" s="81"/>
      <c r="U805" s="81"/>
      <c r="V805" s="84"/>
      <c r="W805" s="84"/>
      <c r="X805" s="84"/>
    </row>
    <row r="806" spans="1:24" ht="15.75" customHeight="1" x14ac:dyDescent="0.25">
      <c r="A806" s="81"/>
      <c r="B806" s="81"/>
      <c r="C806" s="81"/>
      <c r="D806" s="81"/>
      <c r="E806" s="81"/>
      <c r="F806" s="81"/>
      <c r="G806" s="81"/>
      <c r="H806" s="81"/>
      <c r="I806" s="81"/>
      <c r="J806" s="81"/>
      <c r="K806" s="81"/>
      <c r="L806" s="81"/>
      <c r="M806" s="81"/>
      <c r="N806" s="81"/>
      <c r="O806" s="81"/>
      <c r="P806" s="81"/>
      <c r="Q806" s="81"/>
      <c r="R806" s="81"/>
      <c r="S806" s="81"/>
      <c r="T806" s="81"/>
      <c r="U806" s="81"/>
      <c r="V806" s="84"/>
      <c r="W806" s="84"/>
      <c r="X806" s="84"/>
    </row>
    <row r="807" spans="1:24" ht="15.75" customHeight="1" x14ac:dyDescent="0.25">
      <c r="A807" s="81"/>
      <c r="B807" s="81"/>
      <c r="C807" s="81"/>
      <c r="D807" s="81"/>
      <c r="E807" s="81"/>
      <c r="F807" s="81"/>
      <c r="G807" s="81"/>
      <c r="H807" s="81"/>
      <c r="I807" s="81"/>
      <c r="J807" s="81"/>
      <c r="K807" s="81"/>
      <c r="L807" s="81"/>
      <c r="M807" s="81"/>
      <c r="N807" s="81"/>
      <c r="O807" s="81"/>
      <c r="P807" s="81"/>
      <c r="Q807" s="81"/>
      <c r="R807" s="81"/>
      <c r="S807" s="81"/>
      <c r="T807" s="81"/>
      <c r="U807" s="81"/>
      <c r="V807" s="84"/>
      <c r="W807" s="84"/>
      <c r="X807" s="84"/>
    </row>
    <row r="808" spans="1:24" ht="15.75" customHeight="1" x14ac:dyDescent="0.25">
      <c r="A808" s="81"/>
      <c r="B808" s="81"/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4"/>
      <c r="W808" s="84"/>
      <c r="X808" s="84"/>
    </row>
    <row r="809" spans="1:24" ht="15.75" customHeight="1" x14ac:dyDescent="0.25">
      <c r="A809" s="81"/>
      <c r="B809" s="81"/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4"/>
      <c r="W809" s="84"/>
      <c r="X809" s="84"/>
    </row>
    <row r="810" spans="1:24" ht="15.75" customHeight="1" x14ac:dyDescent="0.25">
      <c r="A810" s="81"/>
      <c r="B810" s="81"/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4"/>
      <c r="W810" s="84"/>
      <c r="X810" s="84"/>
    </row>
    <row r="811" spans="1:24" ht="15.75" customHeight="1" x14ac:dyDescent="0.25">
      <c r="A811" s="81"/>
      <c r="B811" s="81"/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4"/>
      <c r="W811" s="84"/>
      <c r="X811" s="84"/>
    </row>
    <row r="812" spans="1:24" ht="15.75" customHeight="1" x14ac:dyDescent="0.25">
      <c r="A812" s="81"/>
      <c r="B812" s="81"/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4"/>
      <c r="W812" s="84"/>
      <c r="X812" s="84"/>
    </row>
    <row r="813" spans="1:24" ht="15.75" customHeight="1" x14ac:dyDescent="0.25">
      <c r="A813" s="81"/>
      <c r="B813" s="81"/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4"/>
      <c r="W813" s="84"/>
      <c r="X813" s="84"/>
    </row>
    <row r="814" spans="1:24" ht="15.75" customHeight="1" x14ac:dyDescent="0.25">
      <c r="A814" s="81"/>
      <c r="B814" s="81"/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4"/>
      <c r="W814" s="84"/>
      <c r="X814" s="84"/>
    </row>
    <row r="815" spans="1:24" ht="15.75" customHeight="1" x14ac:dyDescent="0.25">
      <c r="A815" s="81"/>
      <c r="B815" s="81"/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4"/>
      <c r="W815" s="84"/>
      <c r="X815" s="84"/>
    </row>
    <row r="816" spans="1:24" ht="15.75" customHeight="1" x14ac:dyDescent="0.25">
      <c r="A816" s="81"/>
      <c r="B816" s="81"/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4"/>
      <c r="W816" s="84"/>
      <c r="X816" s="84"/>
    </row>
    <row r="817" spans="1:24" ht="15.75" customHeight="1" x14ac:dyDescent="0.25">
      <c r="A817" s="81"/>
      <c r="B817" s="81"/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4"/>
      <c r="W817" s="84"/>
      <c r="X817" s="84"/>
    </row>
    <row r="818" spans="1:24" ht="15.75" customHeight="1" x14ac:dyDescent="0.25">
      <c r="A818" s="81"/>
      <c r="B818" s="81"/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4"/>
      <c r="W818" s="84"/>
      <c r="X818" s="84"/>
    </row>
    <row r="819" spans="1:24" ht="15.75" customHeight="1" x14ac:dyDescent="0.25">
      <c r="A819" s="81"/>
      <c r="B819" s="81"/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4"/>
      <c r="W819" s="84"/>
      <c r="X819" s="84"/>
    </row>
    <row r="820" spans="1:24" ht="15.75" customHeight="1" x14ac:dyDescent="0.25">
      <c r="A820" s="81"/>
      <c r="B820" s="81"/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4"/>
      <c r="W820" s="84"/>
      <c r="X820" s="84"/>
    </row>
    <row r="821" spans="1:24" ht="15.75" customHeight="1" x14ac:dyDescent="0.25">
      <c r="A821" s="81"/>
      <c r="B821" s="81"/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4"/>
      <c r="W821" s="84"/>
      <c r="X821" s="84"/>
    </row>
    <row r="822" spans="1:24" ht="15.75" customHeight="1" x14ac:dyDescent="0.25">
      <c r="A822" s="81"/>
      <c r="B822" s="81"/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4"/>
      <c r="W822" s="84"/>
      <c r="X822" s="84"/>
    </row>
    <row r="823" spans="1:24" ht="15.75" customHeight="1" x14ac:dyDescent="0.25">
      <c r="A823" s="81"/>
      <c r="B823" s="81"/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4"/>
      <c r="W823" s="84"/>
      <c r="X823" s="84"/>
    </row>
    <row r="824" spans="1:24" ht="15.75" customHeight="1" x14ac:dyDescent="0.25">
      <c r="A824" s="81"/>
      <c r="B824" s="81"/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4"/>
      <c r="W824" s="84"/>
      <c r="X824" s="84"/>
    </row>
    <row r="825" spans="1:24" ht="15.75" customHeight="1" x14ac:dyDescent="0.25">
      <c r="A825" s="81"/>
      <c r="B825" s="81"/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4"/>
      <c r="W825" s="84"/>
      <c r="X825" s="84"/>
    </row>
    <row r="826" spans="1:24" ht="15.75" customHeight="1" x14ac:dyDescent="0.25">
      <c r="A826" s="81"/>
      <c r="B826" s="81"/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4"/>
      <c r="W826" s="84"/>
      <c r="X826" s="84"/>
    </row>
    <row r="827" spans="1:24" ht="15.75" customHeight="1" x14ac:dyDescent="0.25">
      <c r="A827" s="81"/>
      <c r="B827" s="81"/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4"/>
      <c r="W827" s="84"/>
      <c r="X827" s="84"/>
    </row>
    <row r="828" spans="1:24" ht="15.75" customHeight="1" x14ac:dyDescent="0.25">
      <c r="A828" s="81"/>
      <c r="B828" s="81"/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4"/>
      <c r="W828" s="84"/>
      <c r="X828" s="84"/>
    </row>
    <row r="829" spans="1:24" ht="15.75" customHeight="1" x14ac:dyDescent="0.25">
      <c r="A829" s="81"/>
      <c r="B829" s="81"/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4"/>
      <c r="W829" s="84"/>
      <c r="X829" s="84"/>
    </row>
    <row r="830" spans="1:24" ht="15.75" customHeight="1" x14ac:dyDescent="0.25">
      <c r="A830" s="81"/>
      <c r="B830" s="81"/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4"/>
      <c r="W830" s="84"/>
      <c r="X830" s="84"/>
    </row>
    <row r="831" spans="1:24" ht="15.75" customHeight="1" x14ac:dyDescent="0.25">
      <c r="A831" s="81"/>
      <c r="B831" s="81"/>
      <c r="C831" s="81"/>
      <c r="D831" s="81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  <c r="R831" s="81"/>
      <c r="S831" s="81"/>
      <c r="T831" s="81"/>
      <c r="U831" s="81"/>
      <c r="V831" s="84"/>
      <c r="W831" s="84"/>
      <c r="X831" s="84"/>
    </row>
    <row r="832" spans="1:24" ht="15.75" customHeight="1" x14ac:dyDescent="0.25">
      <c r="A832" s="81"/>
      <c r="B832" s="81"/>
      <c r="C832" s="81"/>
      <c r="D832" s="81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  <c r="R832" s="81"/>
      <c r="S832" s="81"/>
      <c r="T832" s="81"/>
      <c r="U832" s="81"/>
      <c r="V832" s="84"/>
      <c r="W832" s="84"/>
      <c r="X832" s="84"/>
    </row>
    <row r="833" spans="1:24" ht="15.75" customHeight="1" x14ac:dyDescent="0.25">
      <c r="A833" s="81"/>
      <c r="B833" s="81"/>
      <c r="C833" s="81"/>
      <c r="D833" s="81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  <c r="R833" s="81"/>
      <c r="S833" s="81"/>
      <c r="T833" s="81"/>
      <c r="U833" s="81"/>
      <c r="V833" s="84"/>
      <c r="W833" s="84"/>
      <c r="X833" s="84"/>
    </row>
    <row r="834" spans="1:24" ht="15.75" customHeight="1" x14ac:dyDescent="0.25">
      <c r="A834" s="81"/>
      <c r="B834" s="81"/>
      <c r="C834" s="81"/>
      <c r="D834" s="81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  <c r="R834" s="81"/>
      <c r="S834" s="81"/>
      <c r="T834" s="81"/>
      <c r="U834" s="81"/>
      <c r="V834" s="84"/>
      <c r="W834" s="84"/>
      <c r="X834" s="84"/>
    </row>
    <row r="835" spans="1:24" ht="15.75" customHeight="1" x14ac:dyDescent="0.25">
      <c r="A835" s="81"/>
      <c r="B835" s="81"/>
      <c r="C835" s="81"/>
      <c r="D835" s="81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  <c r="R835" s="81"/>
      <c r="S835" s="81"/>
      <c r="T835" s="81"/>
      <c r="U835" s="81"/>
      <c r="V835" s="84"/>
      <c r="W835" s="84"/>
      <c r="X835" s="84"/>
    </row>
    <row r="836" spans="1:24" ht="15.75" customHeight="1" x14ac:dyDescent="0.25">
      <c r="A836" s="81"/>
      <c r="B836" s="81"/>
      <c r="C836" s="81"/>
      <c r="D836" s="81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  <c r="R836" s="81"/>
      <c r="S836" s="81"/>
      <c r="T836" s="81"/>
      <c r="U836" s="81"/>
      <c r="V836" s="84"/>
      <c r="W836" s="84"/>
      <c r="X836" s="84"/>
    </row>
    <row r="837" spans="1:24" ht="15.75" customHeight="1" x14ac:dyDescent="0.25">
      <c r="A837" s="81"/>
      <c r="B837" s="81"/>
      <c r="C837" s="81"/>
      <c r="D837" s="81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  <c r="R837" s="81"/>
      <c r="S837" s="81"/>
      <c r="T837" s="81"/>
      <c r="U837" s="81"/>
      <c r="V837" s="84"/>
      <c r="W837" s="84"/>
      <c r="X837" s="84"/>
    </row>
    <row r="838" spans="1:24" ht="15.75" customHeight="1" x14ac:dyDescent="0.25">
      <c r="A838" s="81"/>
      <c r="B838" s="81"/>
      <c r="C838" s="81"/>
      <c r="D838" s="81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  <c r="R838" s="81"/>
      <c r="S838" s="81"/>
      <c r="T838" s="81"/>
      <c r="U838" s="81"/>
      <c r="V838" s="84"/>
      <c r="W838" s="84"/>
      <c r="X838" s="84"/>
    </row>
    <row r="839" spans="1:24" ht="15.75" customHeight="1" x14ac:dyDescent="0.25">
      <c r="A839" s="81"/>
      <c r="B839" s="81"/>
      <c r="C839" s="81"/>
      <c r="D839" s="81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  <c r="R839" s="81"/>
      <c r="S839" s="81"/>
      <c r="T839" s="81"/>
      <c r="U839" s="81"/>
      <c r="V839" s="84"/>
      <c r="W839" s="84"/>
      <c r="X839" s="84"/>
    </row>
    <row r="840" spans="1:24" ht="15.75" customHeight="1" x14ac:dyDescent="0.25">
      <c r="A840" s="81"/>
      <c r="B840" s="81"/>
      <c r="C840" s="81"/>
      <c r="D840" s="81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  <c r="R840" s="81"/>
      <c r="S840" s="81"/>
      <c r="T840" s="81"/>
      <c r="U840" s="81"/>
      <c r="V840" s="84"/>
      <c r="W840" s="84"/>
      <c r="X840" s="84"/>
    </row>
    <row r="841" spans="1:24" ht="15.75" customHeight="1" x14ac:dyDescent="0.25">
      <c r="A841" s="81"/>
      <c r="B841" s="81"/>
      <c r="C841" s="81"/>
      <c r="D841" s="81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  <c r="R841" s="81"/>
      <c r="S841" s="81"/>
      <c r="T841" s="81"/>
      <c r="U841" s="81"/>
      <c r="V841" s="84"/>
      <c r="W841" s="84"/>
      <c r="X841" s="84"/>
    </row>
    <row r="842" spans="1:24" ht="15.75" customHeight="1" x14ac:dyDescent="0.25">
      <c r="A842" s="81"/>
      <c r="B842" s="81"/>
      <c r="C842" s="81"/>
      <c r="D842" s="81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  <c r="R842" s="81"/>
      <c r="S842" s="81"/>
      <c r="T842" s="81"/>
      <c r="U842" s="81"/>
      <c r="V842" s="84"/>
      <c r="W842" s="84"/>
      <c r="X842" s="84"/>
    </row>
    <row r="843" spans="1:24" ht="15.75" customHeight="1" x14ac:dyDescent="0.25">
      <c r="A843" s="81"/>
      <c r="B843" s="81"/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  <c r="R843" s="81"/>
      <c r="S843" s="81"/>
      <c r="T843" s="81"/>
      <c r="U843" s="81"/>
      <c r="V843" s="84"/>
      <c r="W843" s="84"/>
      <c r="X843" s="84"/>
    </row>
    <row r="844" spans="1:24" ht="15.75" customHeight="1" x14ac:dyDescent="0.25">
      <c r="A844" s="81"/>
      <c r="B844" s="81"/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  <c r="R844" s="81"/>
      <c r="S844" s="81"/>
      <c r="T844" s="81"/>
      <c r="U844" s="81"/>
      <c r="V844" s="84"/>
      <c r="W844" s="84"/>
      <c r="X844" s="84"/>
    </row>
    <row r="845" spans="1:24" ht="15.75" customHeight="1" x14ac:dyDescent="0.25">
      <c r="A845" s="81"/>
      <c r="B845" s="81"/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  <c r="R845" s="81"/>
      <c r="S845" s="81"/>
      <c r="T845" s="81"/>
      <c r="U845" s="81"/>
      <c r="V845" s="84"/>
      <c r="W845" s="84"/>
      <c r="X845" s="84"/>
    </row>
    <row r="846" spans="1:24" ht="15.75" customHeight="1" x14ac:dyDescent="0.25">
      <c r="A846" s="81"/>
      <c r="B846" s="81"/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  <c r="R846" s="81"/>
      <c r="S846" s="81"/>
      <c r="T846" s="81"/>
      <c r="U846" s="81"/>
      <c r="V846" s="84"/>
      <c r="W846" s="84"/>
      <c r="X846" s="84"/>
    </row>
    <row r="847" spans="1:24" ht="15.75" customHeight="1" x14ac:dyDescent="0.25">
      <c r="A847" s="81"/>
      <c r="B847" s="81"/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  <c r="R847" s="81"/>
      <c r="S847" s="81"/>
      <c r="T847" s="81"/>
      <c r="U847" s="81"/>
      <c r="V847" s="84"/>
      <c r="W847" s="84"/>
      <c r="X847" s="84"/>
    </row>
    <row r="848" spans="1:24" ht="15.75" customHeight="1" x14ac:dyDescent="0.25">
      <c r="A848" s="81"/>
      <c r="B848" s="81"/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  <c r="R848" s="81"/>
      <c r="S848" s="81"/>
      <c r="T848" s="81"/>
      <c r="U848" s="81"/>
      <c r="V848" s="84"/>
      <c r="W848" s="84"/>
      <c r="X848" s="84"/>
    </row>
    <row r="849" spans="1:24" ht="15.75" customHeight="1" x14ac:dyDescent="0.25">
      <c r="A849" s="81"/>
      <c r="B849" s="81"/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  <c r="R849" s="81"/>
      <c r="S849" s="81"/>
      <c r="T849" s="81"/>
      <c r="U849" s="81"/>
      <c r="V849" s="84"/>
      <c r="W849" s="84"/>
      <c r="X849" s="84"/>
    </row>
    <row r="850" spans="1:24" ht="15.75" customHeight="1" x14ac:dyDescent="0.25">
      <c r="A850" s="81"/>
      <c r="B850" s="81"/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  <c r="R850" s="81"/>
      <c r="S850" s="81"/>
      <c r="T850" s="81"/>
      <c r="U850" s="81"/>
      <c r="V850" s="84"/>
      <c r="W850" s="84"/>
      <c r="X850" s="84"/>
    </row>
    <row r="851" spans="1:24" ht="15.75" customHeight="1" x14ac:dyDescent="0.25">
      <c r="A851" s="81"/>
      <c r="B851" s="81"/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  <c r="R851" s="81"/>
      <c r="S851" s="81"/>
      <c r="T851" s="81"/>
      <c r="U851" s="81"/>
      <c r="V851" s="84"/>
      <c r="W851" s="84"/>
      <c r="X851" s="84"/>
    </row>
    <row r="852" spans="1:24" ht="15.75" customHeight="1" x14ac:dyDescent="0.25">
      <c r="A852" s="81"/>
      <c r="B852" s="81"/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  <c r="R852" s="81"/>
      <c r="S852" s="81"/>
      <c r="T852" s="81"/>
      <c r="U852" s="81"/>
      <c r="V852" s="84"/>
      <c r="W852" s="84"/>
      <c r="X852" s="84"/>
    </row>
    <row r="853" spans="1:24" ht="15.75" customHeight="1" x14ac:dyDescent="0.25">
      <c r="A853" s="81"/>
      <c r="B853" s="81"/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  <c r="R853" s="81"/>
      <c r="S853" s="81"/>
      <c r="T853" s="81"/>
      <c r="U853" s="81"/>
      <c r="V853" s="84"/>
      <c r="W853" s="84"/>
      <c r="X853" s="84"/>
    </row>
    <row r="854" spans="1:24" ht="15.75" customHeight="1" x14ac:dyDescent="0.25">
      <c r="A854" s="81"/>
      <c r="B854" s="81"/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4"/>
      <c r="W854" s="84"/>
      <c r="X854" s="84"/>
    </row>
    <row r="855" spans="1:24" ht="15.75" customHeight="1" x14ac:dyDescent="0.25">
      <c r="A855" s="81"/>
      <c r="B855" s="81"/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4"/>
      <c r="W855" s="84"/>
      <c r="X855" s="84"/>
    </row>
    <row r="856" spans="1:24" ht="15.75" customHeight="1" x14ac:dyDescent="0.25">
      <c r="A856" s="81"/>
      <c r="B856" s="81"/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4"/>
      <c r="W856" s="84"/>
      <c r="X856" s="84"/>
    </row>
    <row r="857" spans="1:24" ht="15.75" customHeight="1" x14ac:dyDescent="0.25">
      <c r="A857" s="81"/>
      <c r="B857" s="81"/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4"/>
      <c r="W857" s="84"/>
      <c r="X857" s="84"/>
    </row>
    <row r="858" spans="1:24" ht="15.75" customHeight="1" x14ac:dyDescent="0.25">
      <c r="A858" s="81"/>
      <c r="B858" s="81"/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4"/>
      <c r="W858" s="84"/>
      <c r="X858" s="84"/>
    </row>
    <row r="859" spans="1:24" ht="15.75" customHeight="1" x14ac:dyDescent="0.25">
      <c r="A859" s="81"/>
      <c r="B859" s="81"/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4"/>
      <c r="W859" s="84"/>
      <c r="X859" s="84"/>
    </row>
    <row r="860" spans="1:24" ht="15.75" customHeight="1" x14ac:dyDescent="0.25">
      <c r="A860" s="81"/>
      <c r="B860" s="81"/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4"/>
      <c r="W860" s="84"/>
      <c r="X860" s="84"/>
    </row>
    <row r="861" spans="1:24" ht="15.75" customHeight="1" x14ac:dyDescent="0.25">
      <c r="A861" s="81"/>
      <c r="B861" s="81"/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4"/>
      <c r="W861" s="84"/>
      <c r="X861" s="84"/>
    </row>
    <row r="862" spans="1:24" ht="15.75" customHeight="1" x14ac:dyDescent="0.25">
      <c r="A862" s="81"/>
      <c r="B862" s="81"/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4"/>
      <c r="W862" s="84"/>
      <c r="X862" s="84"/>
    </row>
    <row r="863" spans="1:24" ht="15.75" customHeight="1" x14ac:dyDescent="0.25">
      <c r="A863" s="81"/>
      <c r="B863" s="81"/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4"/>
      <c r="W863" s="84"/>
      <c r="X863" s="84"/>
    </row>
    <row r="864" spans="1:24" ht="15.75" customHeight="1" x14ac:dyDescent="0.25">
      <c r="A864" s="81"/>
      <c r="B864" s="81"/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4"/>
      <c r="W864" s="84"/>
      <c r="X864" s="84"/>
    </row>
    <row r="865" spans="1:24" ht="15.75" customHeight="1" x14ac:dyDescent="0.25">
      <c r="A865" s="81"/>
      <c r="B865" s="81"/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4"/>
      <c r="W865" s="84"/>
      <c r="X865" s="84"/>
    </row>
    <row r="866" spans="1:24" ht="15.75" customHeight="1" x14ac:dyDescent="0.25">
      <c r="A866" s="81"/>
      <c r="B866" s="81"/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4"/>
      <c r="W866" s="84"/>
      <c r="X866" s="84"/>
    </row>
    <row r="867" spans="1:24" ht="15.75" customHeight="1" x14ac:dyDescent="0.25">
      <c r="A867" s="81"/>
      <c r="B867" s="81"/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4"/>
      <c r="W867" s="84"/>
      <c r="X867" s="84"/>
    </row>
    <row r="868" spans="1:24" ht="15.75" customHeight="1" x14ac:dyDescent="0.25">
      <c r="A868" s="81"/>
      <c r="B868" s="81"/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4"/>
      <c r="W868" s="84"/>
      <c r="X868" s="84"/>
    </row>
    <row r="869" spans="1:24" ht="15.75" customHeight="1" x14ac:dyDescent="0.25">
      <c r="A869" s="81"/>
      <c r="B869" s="81"/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4"/>
      <c r="W869" s="84"/>
      <c r="X869" s="84"/>
    </row>
    <row r="870" spans="1:24" ht="15.75" customHeight="1" x14ac:dyDescent="0.25">
      <c r="A870" s="81"/>
      <c r="B870" s="81"/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4"/>
      <c r="W870" s="84"/>
      <c r="X870" s="84"/>
    </row>
    <row r="871" spans="1:24" ht="15.75" customHeight="1" x14ac:dyDescent="0.25">
      <c r="A871" s="81"/>
      <c r="B871" s="81"/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4"/>
      <c r="W871" s="84"/>
      <c r="X871" s="84"/>
    </row>
    <row r="872" spans="1:24" ht="15.75" customHeight="1" x14ac:dyDescent="0.25">
      <c r="A872" s="81"/>
      <c r="B872" s="81"/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4"/>
      <c r="W872" s="84"/>
      <c r="X872" s="84"/>
    </row>
    <row r="873" spans="1:24" ht="15.75" customHeight="1" x14ac:dyDescent="0.25">
      <c r="A873" s="81"/>
      <c r="B873" s="81"/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4"/>
      <c r="W873" s="84"/>
      <c r="X873" s="84"/>
    </row>
    <row r="874" spans="1:24" ht="15.75" customHeight="1" x14ac:dyDescent="0.25">
      <c r="A874" s="81"/>
      <c r="B874" s="81"/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4"/>
      <c r="W874" s="84"/>
      <c r="X874" s="84"/>
    </row>
    <row r="875" spans="1:24" ht="15.75" customHeight="1" x14ac:dyDescent="0.25">
      <c r="A875" s="81"/>
      <c r="B875" s="81"/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4"/>
      <c r="W875" s="84"/>
      <c r="X875" s="84"/>
    </row>
    <row r="876" spans="1:24" ht="15.75" customHeight="1" x14ac:dyDescent="0.25">
      <c r="A876" s="81"/>
      <c r="B876" s="81"/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4"/>
      <c r="W876" s="84"/>
      <c r="X876" s="84"/>
    </row>
    <row r="877" spans="1:24" ht="15.75" customHeight="1" x14ac:dyDescent="0.25">
      <c r="A877" s="81"/>
      <c r="B877" s="81"/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  <c r="R877" s="81"/>
      <c r="S877" s="81"/>
      <c r="T877" s="81"/>
      <c r="U877" s="81"/>
      <c r="V877" s="84"/>
      <c r="W877" s="84"/>
      <c r="X877" s="84"/>
    </row>
    <row r="878" spans="1:24" ht="15.75" customHeight="1" x14ac:dyDescent="0.25">
      <c r="A878" s="81"/>
      <c r="B878" s="81"/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  <c r="R878" s="81"/>
      <c r="S878" s="81"/>
      <c r="T878" s="81"/>
      <c r="U878" s="81"/>
      <c r="V878" s="84"/>
      <c r="W878" s="84"/>
      <c r="X878" s="84"/>
    </row>
    <row r="879" spans="1:24" ht="15.75" customHeight="1" x14ac:dyDescent="0.25">
      <c r="A879" s="81"/>
      <c r="B879" s="81"/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  <c r="R879" s="81"/>
      <c r="S879" s="81"/>
      <c r="T879" s="81"/>
      <c r="U879" s="81"/>
      <c r="V879" s="84"/>
      <c r="W879" s="84"/>
      <c r="X879" s="84"/>
    </row>
    <row r="880" spans="1:24" ht="15.75" customHeight="1" x14ac:dyDescent="0.25">
      <c r="A880" s="81"/>
      <c r="B880" s="81"/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  <c r="R880" s="81"/>
      <c r="S880" s="81"/>
      <c r="T880" s="81"/>
      <c r="U880" s="81"/>
      <c r="V880" s="84"/>
      <c r="W880" s="84"/>
      <c r="X880" s="84"/>
    </row>
    <row r="881" spans="1:24" ht="15.75" customHeight="1" x14ac:dyDescent="0.25">
      <c r="A881" s="81"/>
      <c r="B881" s="81"/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  <c r="R881" s="81"/>
      <c r="S881" s="81"/>
      <c r="T881" s="81"/>
      <c r="U881" s="81"/>
      <c r="V881" s="84"/>
      <c r="W881" s="84"/>
      <c r="X881" s="84"/>
    </row>
    <row r="882" spans="1:24" ht="15.75" customHeight="1" x14ac:dyDescent="0.25">
      <c r="A882" s="81"/>
      <c r="B882" s="81"/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  <c r="R882" s="81"/>
      <c r="S882" s="81"/>
      <c r="T882" s="81"/>
      <c r="U882" s="81"/>
      <c r="V882" s="84"/>
      <c r="W882" s="84"/>
      <c r="X882" s="84"/>
    </row>
    <row r="883" spans="1:24" ht="15.75" customHeight="1" x14ac:dyDescent="0.25">
      <c r="A883" s="81"/>
      <c r="B883" s="81"/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  <c r="R883" s="81"/>
      <c r="S883" s="81"/>
      <c r="T883" s="81"/>
      <c r="U883" s="81"/>
      <c r="V883" s="84"/>
      <c r="W883" s="84"/>
      <c r="X883" s="84"/>
    </row>
    <row r="884" spans="1:24" ht="15.75" customHeight="1" x14ac:dyDescent="0.25">
      <c r="A884" s="81"/>
      <c r="B884" s="81"/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  <c r="R884" s="81"/>
      <c r="S884" s="81"/>
      <c r="T884" s="81"/>
      <c r="U884" s="81"/>
      <c r="V884" s="84"/>
      <c r="W884" s="84"/>
      <c r="X884" s="84"/>
    </row>
    <row r="885" spans="1:24" ht="15.75" customHeight="1" x14ac:dyDescent="0.25">
      <c r="A885" s="81"/>
      <c r="B885" s="81"/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  <c r="R885" s="81"/>
      <c r="S885" s="81"/>
      <c r="T885" s="81"/>
      <c r="U885" s="81"/>
      <c r="V885" s="84"/>
      <c r="W885" s="84"/>
      <c r="X885" s="84"/>
    </row>
    <row r="886" spans="1:24" ht="15.75" customHeight="1" x14ac:dyDescent="0.25">
      <c r="A886" s="81"/>
      <c r="B886" s="81"/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  <c r="R886" s="81"/>
      <c r="S886" s="81"/>
      <c r="T886" s="81"/>
      <c r="U886" s="81"/>
      <c r="V886" s="84"/>
      <c r="W886" s="84"/>
      <c r="X886" s="84"/>
    </row>
    <row r="887" spans="1:24" ht="15.75" customHeight="1" x14ac:dyDescent="0.25">
      <c r="A887" s="81"/>
      <c r="B887" s="81"/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  <c r="R887" s="81"/>
      <c r="S887" s="81"/>
      <c r="T887" s="81"/>
      <c r="U887" s="81"/>
      <c r="V887" s="84"/>
      <c r="W887" s="84"/>
      <c r="X887" s="84"/>
    </row>
    <row r="888" spans="1:24" ht="15.75" customHeight="1" x14ac:dyDescent="0.25">
      <c r="A888" s="81"/>
      <c r="B888" s="81"/>
      <c r="C888" s="81"/>
      <c r="D888" s="81"/>
      <c r="E888" s="81"/>
      <c r="F888" s="81"/>
      <c r="G888" s="81"/>
      <c r="H888" s="81"/>
      <c r="I888" s="81"/>
      <c r="J888" s="81"/>
      <c r="K888" s="81"/>
      <c r="L888" s="81"/>
      <c r="M888" s="81"/>
      <c r="N888" s="81"/>
      <c r="O888" s="81"/>
      <c r="P888" s="81"/>
      <c r="Q888" s="81"/>
      <c r="R888" s="81"/>
      <c r="S888" s="81"/>
      <c r="T888" s="81"/>
      <c r="U888" s="81"/>
      <c r="V888" s="84"/>
      <c r="W888" s="84"/>
      <c r="X888" s="84"/>
    </row>
    <row r="889" spans="1:24" ht="15.75" customHeight="1" x14ac:dyDescent="0.25">
      <c r="A889" s="81"/>
      <c r="B889" s="81"/>
      <c r="C889" s="81"/>
      <c r="D889" s="81"/>
      <c r="E889" s="81"/>
      <c r="F889" s="81"/>
      <c r="G889" s="81"/>
      <c r="H889" s="81"/>
      <c r="I889" s="81"/>
      <c r="J889" s="81"/>
      <c r="K889" s="81"/>
      <c r="L889" s="81"/>
      <c r="M889" s="81"/>
      <c r="N889" s="81"/>
      <c r="O889" s="81"/>
      <c r="P889" s="81"/>
      <c r="Q889" s="81"/>
      <c r="R889" s="81"/>
      <c r="S889" s="81"/>
      <c r="T889" s="81"/>
      <c r="U889" s="81"/>
      <c r="V889" s="84"/>
      <c r="W889" s="84"/>
      <c r="X889" s="84"/>
    </row>
    <row r="890" spans="1:24" ht="15.75" customHeight="1" x14ac:dyDescent="0.25">
      <c r="A890" s="81"/>
      <c r="B890" s="81"/>
      <c r="C890" s="81"/>
      <c r="D890" s="81"/>
      <c r="E890" s="81"/>
      <c r="F890" s="81"/>
      <c r="G890" s="81"/>
      <c r="H890" s="81"/>
      <c r="I890" s="81"/>
      <c r="J890" s="81"/>
      <c r="K890" s="81"/>
      <c r="L890" s="81"/>
      <c r="M890" s="81"/>
      <c r="N890" s="81"/>
      <c r="O890" s="81"/>
      <c r="P890" s="81"/>
      <c r="Q890" s="81"/>
      <c r="R890" s="81"/>
      <c r="S890" s="81"/>
      <c r="T890" s="81"/>
      <c r="U890" s="81"/>
      <c r="V890" s="84"/>
      <c r="W890" s="84"/>
      <c r="X890" s="84"/>
    </row>
    <row r="891" spans="1:24" ht="15.75" customHeight="1" x14ac:dyDescent="0.25">
      <c r="A891" s="81"/>
      <c r="B891" s="81"/>
      <c r="C891" s="81"/>
      <c r="D891" s="81"/>
      <c r="E891" s="81"/>
      <c r="F891" s="81"/>
      <c r="G891" s="81"/>
      <c r="H891" s="81"/>
      <c r="I891" s="81"/>
      <c r="J891" s="81"/>
      <c r="K891" s="81"/>
      <c r="L891" s="81"/>
      <c r="M891" s="81"/>
      <c r="N891" s="81"/>
      <c r="O891" s="81"/>
      <c r="P891" s="81"/>
      <c r="Q891" s="81"/>
      <c r="R891" s="81"/>
      <c r="S891" s="81"/>
      <c r="T891" s="81"/>
      <c r="U891" s="81"/>
      <c r="V891" s="84"/>
      <c r="W891" s="84"/>
      <c r="X891" s="84"/>
    </row>
    <row r="892" spans="1:24" ht="15.75" customHeight="1" x14ac:dyDescent="0.25">
      <c r="A892" s="81"/>
      <c r="B892" s="81"/>
      <c r="C892" s="81"/>
      <c r="D892" s="81"/>
      <c r="E892" s="81"/>
      <c r="F892" s="81"/>
      <c r="G892" s="81"/>
      <c r="H892" s="81"/>
      <c r="I892" s="81"/>
      <c r="J892" s="81"/>
      <c r="K892" s="81"/>
      <c r="L892" s="81"/>
      <c r="M892" s="81"/>
      <c r="N892" s="81"/>
      <c r="O892" s="81"/>
      <c r="P892" s="81"/>
      <c r="Q892" s="81"/>
      <c r="R892" s="81"/>
      <c r="S892" s="81"/>
      <c r="T892" s="81"/>
      <c r="U892" s="81"/>
      <c r="V892" s="84"/>
      <c r="W892" s="84"/>
      <c r="X892" s="84"/>
    </row>
    <row r="893" spans="1:24" ht="15.75" customHeight="1" x14ac:dyDescent="0.25">
      <c r="A893" s="81"/>
      <c r="B893" s="81"/>
      <c r="C893" s="81"/>
      <c r="D893" s="81"/>
      <c r="E893" s="81"/>
      <c r="F893" s="81"/>
      <c r="G893" s="81"/>
      <c r="H893" s="81"/>
      <c r="I893" s="81"/>
      <c r="J893" s="81"/>
      <c r="K893" s="81"/>
      <c r="L893" s="81"/>
      <c r="M893" s="81"/>
      <c r="N893" s="81"/>
      <c r="O893" s="81"/>
      <c r="P893" s="81"/>
      <c r="Q893" s="81"/>
      <c r="R893" s="81"/>
      <c r="S893" s="81"/>
      <c r="T893" s="81"/>
      <c r="U893" s="81"/>
      <c r="V893" s="84"/>
      <c r="W893" s="84"/>
      <c r="X893" s="84"/>
    </row>
    <row r="894" spans="1:24" ht="15.75" customHeight="1" x14ac:dyDescent="0.25">
      <c r="A894" s="81"/>
      <c r="B894" s="81"/>
      <c r="C894" s="81"/>
      <c r="D894" s="81"/>
      <c r="E894" s="81"/>
      <c r="F894" s="81"/>
      <c r="G894" s="81"/>
      <c r="H894" s="81"/>
      <c r="I894" s="81"/>
      <c r="J894" s="81"/>
      <c r="K894" s="81"/>
      <c r="L894" s="81"/>
      <c r="M894" s="81"/>
      <c r="N894" s="81"/>
      <c r="O894" s="81"/>
      <c r="P894" s="81"/>
      <c r="Q894" s="81"/>
      <c r="R894" s="81"/>
      <c r="S894" s="81"/>
      <c r="T894" s="81"/>
      <c r="U894" s="81"/>
      <c r="V894" s="84"/>
      <c r="W894" s="84"/>
      <c r="X894" s="84"/>
    </row>
    <row r="895" spans="1:24" ht="15.75" customHeight="1" x14ac:dyDescent="0.25">
      <c r="A895" s="81"/>
      <c r="B895" s="81"/>
      <c r="C895" s="81"/>
      <c r="D895" s="81"/>
      <c r="E895" s="81"/>
      <c r="F895" s="81"/>
      <c r="G895" s="81"/>
      <c r="H895" s="81"/>
      <c r="I895" s="81"/>
      <c r="J895" s="81"/>
      <c r="K895" s="81"/>
      <c r="L895" s="81"/>
      <c r="M895" s="81"/>
      <c r="N895" s="81"/>
      <c r="O895" s="81"/>
      <c r="P895" s="81"/>
      <c r="Q895" s="81"/>
      <c r="R895" s="81"/>
      <c r="S895" s="81"/>
      <c r="T895" s="81"/>
      <c r="U895" s="81"/>
      <c r="V895" s="84"/>
      <c r="W895" s="84"/>
      <c r="X895" s="84"/>
    </row>
    <row r="896" spans="1:24" ht="15.75" customHeight="1" x14ac:dyDescent="0.25">
      <c r="A896" s="81"/>
      <c r="B896" s="81"/>
      <c r="C896" s="81"/>
      <c r="D896" s="81"/>
      <c r="E896" s="81"/>
      <c r="F896" s="81"/>
      <c r="G896" s="81"/>
      <c r="H896" s="81"/>
      <c r="I896" s="81"/>
      <c r="J896" s="81"/>
      <c r="K896" s="81"/>
      <c r="L896" s="81"/>
      <c r="M896" s="81"/>
      <c r="N896" s="81"/>
      <c r="O896" s="81"/>
      <c r="P896" s="81"/>
      <c r="Q896" s="81"/>
      <c r="R896" s="81"/>
      <c r="S896" s="81"/>
      <c r="T896" s="81"/>
      <c r="U896" s="81"/>
      <c r="V896" s="84"/>
      <c r="W896" s="84"/>
      <c r="X896" s="84"/>
    </row>
    <row r="897" spans="1:24" ht="15.75" customHeight="1" x14ac:dyDescent="0.25">
      <c r="A897" s="81"/>
      <c r="B897" s="81"/>
      <c r="C897" s="81"/>
      <c r="D897" s="81"/>
      <c r="E897" s="81"/>
      <c r="F897" s="81"/>
      <c r="G897" s="81"/>
      <c r="H897" s="81"/>
      <c r="I897" s="81"/>
      <c r="J897" s="81"/>
      <c r="K897" s="81"/>
      <c r="L897" s="81"/>
      <c r="M897" s="81"/>
      <c r="N897" s="81"/>
      <c r="O897" s="81"/>
      <c r="P897" s="81"/>
      <c r="Q897" s="81"/>
      <c r="R897" s="81"/>
      <c r="S897" s="81"/>
      <c r="T897" s="81"/>
      <c r="U897" s="81"/>
      <c r="V897" s="84"/>
      <c r="W897" s="84"/>
      <c r="X897" s="84"/>
    </row>
    <row r="898" spans="1:24" ht="15.75" customHeight="1" x14ac:dyDescent="0.25">
      <c r="A898" s="81"/>
      <c r="B898" s="81"/>
      <c r="C898" s="81"/>
      <c r="D898" s="81"/>
      <c r="E898" s="81"/>
      <c r="F898" s="81"/>
      <c r="G898" s="81"/>
      <c r="H898" s="81"/>
      <c r="I898" s="81"/>
      <c r="J898" s="81"/>
      <c r="K898" s="81"/>
      <c r="L898" s="81"/>
      <c r="M898" s="81"/>
      <c r="N898" s="81"/>
      <c r="O898" s="81"/>
      <c r="P898" s="81"/>
      <c r="Q898" s="81"/>
      <c r="R898" s="81"/>
      <c r="S898" s="81"/>
      <c r="T898" s="81"/>
      <c r="U898" s="81"/>
      <c r="V898" s="84"/>
      <c r="W898" s="84"/>
      <c r="X898" s="84"/>
    </row>
    <row r="899" spans="1:24" ht="15.75" customHeight="1" x14ac:dyDescent="0.25">
      <c r="A899" s="81"/>
      <c r="B899" s="81"/>
      <c r="C899" s="81"/>
      <c r="D899" s="81"/>
      <c r="E899" s="81"/>
      <c r="F899" s="81"/>
      <c r="G899" s="81"/>
      <c r="H899" s="81"/>
      <c r="I899" s="81"/>
      <c r="J899" s="81"/>
      <c r="K899" s="81"/>
      <c r="L899" s="81"/>
      <c r="M899" s="81"/>
      <c r="N899" s="81"/>
      <c r="O899" s="81"/>
      <c r="P899" s="81"/>
      <c r="Q899" s="81"/>
      <c r="R899" s="81"/>
      <c r="S899" s="81"/>
      <c r="T899" s="81"/>
      <c r="U899" s="81"/>
      <c r="V899" s="84"/>
      <c r="W899" s="84"/>
      <c r="X899" s="84"/>
    </row>
    <row r="900" spans="1:24" ht="15.75" customHeight="1" x14ac:dyDescent="0.25">
      <c r="A900" s="81"/>
      <c r="B900" s="81"/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4"/>
      <c r="W900" s="84"/>
      <c r="X900" s="84"/>
    </row>
    <row r="901" spans="1:24" ht="15.75" customHeight="1" x14ac:dyDescent="0.25">
      <c r="A901" s="81"/>
      <c r="B901" s="81"/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4"/>
      <c r="W901" s="84"/>
      <c r="X901" s="84"/>
    </row>
    <row r="902" spans="1:24" ht="15.75" customHeight="1" x14ac:dyDescent="0.25">
      <c r="A902" s="81"/>
      <c r="B902" s="81"/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4"/>
      <c r="W902" s="84"/>
      <c r="X902" s="84"/>
    </row>
    <row r="903" spans="1:24" ht="15.75" customHeight="1" x14ac:dyDescent="0.25">
      <c r="A903" s="81"/>
      <c r="B903" s="81"/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4"/>
      <c r="W903" s="84"/>
      <c r="X903" s="84"/>
    </row>
    <row r="904" spans="1:24" ht="15.75" customHeight="1" x14ac:dyDescent="0.25">
      <c r="A904" s="81"/>
      <c r="B904" s="81"/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4"/>
      <c r="W904" s="84"/>
      <c r="X904" s="84"/>
    </row>
    <row r="905" spans="1:24" ht="15.75" customHeight="1" x14ac:dyDescent="0.25">
      <c r="A905" s="81"/>
      <c r="B905" s="81"/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4"/>
      <c r="W905" s="84"/>
      <c r="X905" s="84"/>
    </row>
    <row r="906" spans="1:24" ht="15.75" customHeight="1" x14ac:dyDescent="0.25">
      <c r="A906" s="81"/>
      <c r="B906" s="81"/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4"/>
      <c r="W906" s="84"/>
      <c r="X906" s="84"/>
    </row>
    <row r="907" spans="1:24" ht="15.75" customHeight="1" x14ac:dyDescent="0.25">
      <c r="A907" s="81"/>
      <c r="B907" s="81"/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4"/>
      <c r="W907" s="84"/>
      <c r="X907" s="84"/>
    </row>
    <row r="908" spans="1:24" ht="15.75" customHeight="1" x14ac:dyDescent="0.25">
      <c r="A908" s="81"/>
      <c r="B908" s="81"/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4"/>
      <c r="W908" s="84"/>
      <c r="X908" s="84"/>
    </row>
    <row r="909" spans="1:24" ht="15.75" customHeight="1" x14ac:dyDescent="0.25">
      <c r="A909" s="81"/>
      <c r="B909" s="81"/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4"/>
      <c r="W909" s="84"/>
      <c r="X909" s="84"/>
    </row>
    <row r="910" spans="1:24" ht="15.75" customHeight="1" x14ac:dyDescent="0.25">
      <c r="A910" s="81"/>
      <c r="B910" s="81"/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4"/>
      <c r="W910" s="84"/>
      <c r="X910" s="84"/>
    </row>
    <row r="911" spans="1:24" ht="15.75" customHeight="1" x14ac:dyDescent="0.25">
      <c r="A911" s="81"/>
      <c r="B911" s="81"/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4"/>
      <c r="W911" s="84"/>
      <c r="X911" s="84"/>
    </row>
    <row r="912" spans="1:24" ht="15.75" customHeight="1" x14ac:dyDescent="0.25">
      <c r="A912" s="81"/>
      <c r="B912" s="81"/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4"/>
      <c r="W912" s="84"/>
      <c r="X912" s="84"/>
    </row>
    <row r="913" spans="1:24" ht="15.75" customHeight="1" x14ac:dyDescent="0.25">
      <c r="A913" s="81"/>
      <c r="B913" s="81"/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4"/>
      <c r="W913" s="84"/>
      <c r="X913" s="84"/>
    </row>
    <row r="914" spans="1:24" ht="15.75" customHeight="1" x14ac:dyDescent="0.25">
      <c r="A914" s="81"/>
      <c r="B914" s="81"/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4"/>
      <c r="W914" s="84"/>
      <c r="X914" s="84"/>
    </row>
    <row r="915" spans="1:24" ht="15.75" customHeight="1" x14ac:dyDescent="0.25">
      <c r="A915" s="81"/>
      <c r="B915" s="81"/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4"/>
      <c r="W915" s="84"/>
      <c r="X915" s="84"/>
    </row>
    <row r="916" spans="1:24" ht="15.75" customHeight="1" x14ac:dyDescent="0.25">
      <c r="A916" s="81"/>
      <c r="B916" s="81"/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4"/>
      <c r="W916" s="84"/>
      <c r="X916" s="84"/>
    </row>
    <row r="917" spans="1:24" ht="15.75" customHeight="1" x14ac:dyDescent="0.25">
      <c r="A917" s="81"/>
      <c r="B917" s="81"/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4"/>
      <c r="W917" s="84"/>
      <c r="X917" s="84"/>
    </row>
    <row r="918" spans="1:24" ht="15.75" customHeight="1" x14ac:dyDescent="0.25">
      <c r="A918" s="81"/>
      <c r="B918" s="81"/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4"/>
      <c r="W918" s="84"/>
      <c r="X918" s="84"/>
    </row>
    <row r="919" spans="1:24" ht="15.75" customHeight="1" x14ac:dyDescent="0.25">
      <c r="A919" s="81"/>
      <c r="B919" s="81"/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4"/>
      <c r="W919" s="84"/>
      <c r="X919" s="84"/>
    </row>
    <row r="920" spans="1:24" ht="15.75" customHeight="1" x14ac:dyDescent="0.25">
      <c r="A920" s="81"/>
      <c r="B920" s="81"/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4"/>
      <c r="W920" s="84"/>
      <c r="X920" s="84"/>
    </row>
    <row r="921" spans="1:24" ht="15.75" customHeight="1" x14ac:dyDescent="0.25">
      <c r="A921" s="81"/>
      <c r="B921" s="81"/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4"/>
      <c r="W921" s="84"/>
      <c r="X921" s="84"/>
    </row>
    <row r="922" spans="1:24" ht="15.75" customHeight="1" x14ac:dyDescent="0.25">
      <c r="A922" s="81"/>
      <c r="B922" s="81"/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4"/>
      <c r="W922" s="84"/>
      <c r="X922" s="84"/>
    </row>
    <row r="923" spans="1:24" ht="15.75" customHeight="1" x14ac:dyDescent="0.25">
      <c r="A923" s="81"/>
      <c r="B923" s="81"/>
      <c r="C923" s="81"/>
      <c r="D923" s="81"/>
      <c r="E923" s="81"/>
      <c r="F923" s="81"/>
      <c r="G923" s="81"/>
      <c r="H923" s="81"/>
      <c r="I923" s="81"/>
      <c r="J923" s="81"/>
      <c r="K923" s="81"/>
      <c r="L923" s="81"/>
      <c r="M923" s="81"/>
      <c r="N923" s="81"/>
      <c r="O923" s="81"/>
      <c r="P923" s="81"/>
      <c r="Q923" s="81"/>
      <c r="R923" s="81"/>
      <c r="S923" s="81"/>
      <c r="T923" s="81"/>
      <c r="U923" s="81"/>
      <c r="V923" s="84"/>
      <c r="W923" s="84"/>
      <c r="X923" s="84"/>
    </row>
    <row r="924" spans="1:24" ht="15.75" customHeight="1" x14ac:dyDescent="0.25">
      <c r="A924" s="81"/>
      <c r="B924" s="81"/>
      <c r="C924" s="81"/>
      <c r="D924" s="81"/>
      <c r="E924" s="81"/>
      <c r="F924" s="81"/>
      <c r="G924" s="81"/>
      <c r="H924" s="81"/>
      <c r="I924" s="81"/>
      <c r="J924" s="81"/>
      <c r="K924" s="81"/>
      <c r="L924" s="81"/>
      <c r="M924" s="81"/>
      <c r="N924" s="81"/>
      <c r="O924" s="81"/>
      <c r="P924" s="81"/>
      <c r="Q924" s="81"/>
      <c r="R924" s="81"/>
      <c r="S924" s="81"/>
      <c r="T924" s="81"/>
      <c r="U924" s="81"/>
      <c r="V924" s="84"/>
      <c r="W924" s="84"/>
      <c r="X924" s="84"/>
    </row>
    <row r="925" spans="1:24" ht="15.75" customHeight="1" x14ac:dyDescent="0.25">
      <c r="A925" s="81"/>
      <c r="B925" s="81"/>
      <c r="C925" s="81"/>
      <c r="D925" s="81"/>
      <c r="E925" s="81"/>
      <c r="F925" s="81"/>
      <c r="G925" s="81"/>
      <c r="H925" s="81"/>
      <c r="I925" s="81"/>
      <c r="J925" s="81"/>
      <c r="K925" s="81"/>
      <c r="L925" s="81"/>
      <c r="M925" s="81"/>
      <c r="N925" s="81"/>
      <c r="O925" s="81"/>
      <c r="P925" s="81"/>
      <c r="Q925" s="81"/>
      <c r="R925" s="81"/>
      <c r="S925" s="81"/>
      <c r="T925" s="81"/>
      <c r="U925" s="81"/>
      <c r="V925" s="84"/>
      <c r="W925" s="84"/>
      <c r="X925" s="84"/>
    </row>
    <row r="926" spans="1:24" ht="15.75" customHeight="1" x14ac:dyDescent="0.25">
      <c r="A926" s="81"/>
      <c r="B926" s="81"/>
      <c r="C926" s="81"/>
      <c r="D926" s="81"/>
      <c r="E926" s="81"/>
      <c r="F926" s="81"/>
      <c r="G926" s="81"/>
      <c r="H926" s="81"/>
      <c r="I926" s="81"/>
      <c r="J926" s="81"/>
      <c r="K926" s="81"/>
      <c r="L926" s="81"/>
      <c r="M926" s="81"/>
      <c r="N926" s="81"/>
      <c r="O926" s="81"/>
      <c r="P926" s="81"/>
      <c r="Q926" s="81"/>
      <c r="R926" s="81"/>
      <c r="S926" s="81"/>
      <c r="T926" s="81"/>
      <c r="U926" s="81"/>
      <c r="V926" s="84"/>
      <c r="W926" s="84"/>
      <c r="X926" s="84"/>
    </row>
    <row r="927" spans="1:24" ht="15.75" customHeight="1" x14ac:dyDescent="0.25">
      <c r="A927" s="81"/>
      <c r="B927" s="81"/>
      <c r="C927" s="81"/>
      <c r="D927" s="81"/>
      <c r="E927" s="81"/>
      <c r="F927" s="81"/>
      <c r="G927" s="81"/>
      <c r="H927" s="81"/>
      <c r="I927" s="81"/>
      <c r="J927" s="81"/>
      <c r="K927" s="81"/>
      <c r="L927" s="81"/>
      <c r="M927" s="81"/>
      <c r="N927" s="81"/>
      <c r="O927" s="81"/>
      <c r="P927" s="81"/>
      <c r="Q927" s="81"/>
      <c r="R927" s="81"/>
      <c r="S927" s="81"/>
      <c r="T927" s="81"/>
      <c r="U927" s="81"/>
      <c r="V927" s="84"/>
      <c r="W927" s="84"/>
      <c r="X927" s="84"/>
    </row>
    <row r="928" spans="1:24" ht="15.75" customHeight="1" x14ac:dyDescent="0.25">
      <c r="A928" s="81"/>
      <c r="B928" s="81"/>
      <c r="C928" s="81"/>
      <c r="D928" s="81"/>
      <c r="E928" s="81"/>
      <c r="F928" s="81"/>
      <c r="G928" s="81"/>
      <c r="H928" s="81"/>
      <c r="I928" s="81"/>
      <c r="J928" s="81"/>
      <c r="K928" s="81"/>
      <c r="L928" s="81"/>
      <c r="M928" s="81"/>
      <c r="N928" s="81"/>
      <c r="O928" s="81"/>
      <c r="P928" s="81"/>
      <c r="Q928" s="81"/>
      <c r="R928" s="81"/>
      <c r="S928" s="81"/>
      <c r="T928" s="81"/>
      <c r="U928" s="81"/>
      <c r="V928" s="84"/>
      <c r="W928" s="84"/>
      <c r="X928" s="84"/>
    </row>
    <row r="929" spans="1:24" ht="15.75" customHeight="1" x14ac:dyDescent="0.25">
      <c r="A929" s="81"/>
      <c r="B929" s="81"/>
      <c r="C929" s="81"/>
      <c r="D929" s="81"/>
      <c r="E929" s="81"/>
      <c r="F929" s="81"/>
      <c r="G929" s="81"/>
      <c r="H929" s="81"/>
      <c r="I929" s="81"/>
      <c r="J929" s="81"/>
      <c r="K929" s="81"/>
      <c r="L929" s="81"/>
      <c r="M929" s="81"/>
      <c r="N929" s="81"/>
      <c r="O929" s="81"/>
      <c r="P929" s="81"/>
      <c r="Q929" s="81"/>
      <c r="R929" s="81"/>
      <c r="S929" s="81"/>
      <c r="T929" s="81"/>
      <c r="U929" s="81"/>
      <c r="V929" s="84"/>
      <c r="W929" s="84"/>
      <c r="X929" s="84"/>
    </row>
    <row r="930" spans="1:24" ht="15.75" customHeight="1" x14ac:dyDescent="0.25">
      <c r="A930" s="81"/>
      <c r="B930" s="81"/>
      <c r="C930" s="81"/>
      <c r="D930" s="81"/>
      <c r="E930" s="81"/>
      <c r="F930" s="81"/>
      <c r="G930" s="81"/>
      <c r="H930" s="81"/>
      <c r="I930" s="81"/>
      <c r="J930" s="81"/>
      <c r="K930" s="81"/>
      <c r="L930" s="81"/>
      <c r="M930" s="81"/>
      <c r="N930" s="81"/>
      <c r="O930" s="81"/>
      <c r="P930" s="81"/>
      <c r="Q930" s="81"/>
      <c r="R930" s="81"/>
      <c r="S930" s="81"/>
      <c r="T930" s="81"/>
      <c r="U930" s="81"/>
      <c r="V930" s="84"/>
      <c r="W930" s="84"/>
      <c r="X930" s="84"/>
    </row>
    <row r="931" spans="1:24" ht="15.75" customHeight="1" x14ac:dyDescent="0.25">
      <c r="A931" s="81"/>
      <c r="B931" s="81"/>
      <c r="C931" s="81"/>
      <c r="D931" s="81"/>
      <c r="E931" s="81"/>
      <c r="F931" s="81"/>
      <c r="G931" s="81"/>
      <c r="H931" s="81"/>
      <c r="I931" s="81"/>
      <c r="J931" s="81"/>
      <c r="K931" s="81"/>
      <c r="L931" s="81"/>
      <c r="M931" s="81"/>
      <c r="N931" s="81"/>
      <c r="O931" s="81"/>
      <c r="P931" s="81"/>
      <c r="Q931" s="81"/>
      <c r="R931" s="81"/>
      <c r="S931" s="81"/>
      <c r="T931" s="81"/>
      <c r="U931" s="81"/>
      <c r="V931" s="84"/>
      <c r="W931" s="84"/>
      <c r="X931" s="84"/>
    </row>
    <row r="932" spans="1:24" ht="15.75" customHeight="1" x14ac:dyDescent="0.25">
      <c r="A932" s="81"/>
      <c r="B932" s="81"/>
      <c r="C932" s="81"/>
      <c r="D932" s="81"/>
      <c r="E932" s="81"/>
      <c r="F932" s="81"/>
      <c r="G932" s="81"/>
      <c r="H932" s="81"/>
      <c r="I932" s="81"/>
      <c r="J932" s="81"/>
      <c r="K932" s="81"/>
      <c r="L932" s="81"/>
      <c r="M932" s="81"/>
      <c r="N932" s="81"/>
      <c r="O932" s="81"/>
      <c r="P932" s="81"/>
      <c r="Q932" s="81"/>
      <c r="R932" s="81"/>
      <c r="S932" s="81"/>
      <c r="T932" s="81"/>
      <c r="U932" s="81"/>
      <c r="V932" s="84"/>
      <c r="W932" s="84"/>
      <c r="X932" s="84"/>
    </row>
    <row r="933" spans="1:24" ht="15.75" customHeight="1" x14ac:dyDescent="0.25">
      <c r="A933" s="81"/>
      <c r="B933" s="81"/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  <c r="R933" s="81"/>
      <c r="S933" s="81"/>
      <c r="T933" s="81"/>
      <c r="U933" s="81"/>
      <c r="V933" s="84"/>
      <c r="W933" s="84"/>
      <c r="X933" s="84"/>
    </row>
    <row r="934" spans="1:24" ht="15.75" customHeight="1" x14ac:dyDescent="0.25">
      <c r="A934" s="81"/>
      <c r="B934" s="81"/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  <c r="R934" s="81"/>
      <c r="S934" s="81"/>
      <c r="T934" s="81"/>
      <c r="U934" s="81"/>
      <c r="V934" s="84"/>
      <c r="W934" s="84"/>
      <c r="X934" s="84"/>
    </row>
    <row r="935" spans="1:24" ht="15.75" customHeight="1" x14ac:dyDescent="0.25">
      <c r="A935" s="81"/>
      <c r="B935" s="81"/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  <c r="R935" s="81"/>
      <c r="S935" s="81"/>
      <c r="T935" s="81"/>
      <c r="U935" s="81"/>
      <c r="V935" s="84"/>
      <c r="W935" s="84"/>
      <c r="X935" s="84"/>
    </row>
    <row r="936" spans="1:24" ht="15.75" customHeight="1" x14ac:dyDescent="0.25">
      <c r="A936" s="81"/>
      <c r="B936" s="81"/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  <c r="R936" s="81"/>
      <c r="S936" s="81"/>
      <c r="T936" s="81"/>
      <c r="U936" s="81"/>
      <c r="V936" s="84"/>
      <c r="W936" s="84"/>
      <c r="X936" s="84"/>
    </row>
    <row r="937" spans="1:24" ht="15.75" customHeight="1" x14ac:dyDescent="0.25">
      <c r="A937" s="81"/>
      <c r="B937" s="81"/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  <c r="R937" s="81"/>
      <c r="S937" s="81"/>
      <c r="T937" s="81"/>
      <c r="U937" s="81"/>
      <c r="V937" s="84"/>
      <c r="W937" s="84"/>
      <c r="X937" s="84"/>
    </row>
    <row r="938" spans="1:24" ht="15.75" customHeight="1" x14ac:dyDescent="0.25">
      <c r="A938" s="81"/>
      <c r="B938" s="81"/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  <c r="R938" s="81"/>
      <c r="S938" s="81"/>
      <c r="T938" s="81"/>
      <c r="U938" s="81"/>
      <c r="V938" s="84"/>
      <c r="W938" s="84"/>
      <c r="X938" s="84"/>
    </row>
    <row r="939" spans="1:24" ht="15.75" customHeight="1" x14ac:dyDescent="0.25">
      <c r="A939" s="81"/>
      <c r="B939" s="81"/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  <c r="R939" s="81"/>
      <c r="S939" s="81"/>
      <c r="T939" s="81"/>
      <c r="U939" s="81"/>
      <c r="V939" s="84"/>
      <c r="W939" s="84"/>
      <c r="X939" s="84"/>
    </row>
    <row r="940" spans="1:24" ht="15.75" customHeight="1" x14ac:dyDescent="0.25">
      <c r="A940" s="81"/>
      <c r="B940" s="81"/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  <c r="R940" s="81"/>
      <c r="S940" s="81"/>
      <c r="T940" s="81"/>
      <c r="U940" s="81"/>
      <c r="V940" s="84"/>
      <c r="W940" s="84"/>
      <c r="X940" s="84"/>
    </row>
    <row r="941" spans="1:24" ht="15.75" customHeight="1" x14ac:dyDescent="0.25">
      <c r="A941" s="81"/>
      <c r="B941" s="81"/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  <c r="R941" s="81"/>
      <c r="S941" s="81"/>
      <c r="T941" s="81"/>
      <c r="U941" s="81"/>
      <c r="V941" s="84"/>
      <c r="W941" s="84"/>
      <c r="X941" s="84"/>
    </row>
    <row r="942" spans="1:24" ht="15.75" customHeight="1" x14ac:dyDescent="0.25">
      <c r="A942" s="81"/>
      <c r="B942" s="81"/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  <c r="R942" s="81"/>
      <c r="S942" s="81"/>
      <c r="T942" s="81"/>
      <c r="U942" s="81"/>
      <c r="V942" s="84"/>
      <c r="W942" s="84"/>
      <c r="X942" s="84"/>
    </row>
    <row r="943" spans="1:24" ht="15.75" customHeight="1" x14ac:dyDescent="0.25">
      <c r="A943" s="81"/>
      <c r="B943" s="81"/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  <c r="R943" s="81"/>
      <c r="S943" s="81"/>
      <c r="T943" s="81"/>
      <c r="U943" s="81"/>
      <c r="V943" s="84"/>
      <c r="W943" s="84"/>
      <c r="X943" s="84"/>
    </row>
    <row r="944" spans="1:24" ht="15.75" customHeight="1" x14ac:dyDescent="0.25">
      <c r="A944" s="81"/>
      <c r="B944" s="81"/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  <c r="R944" s="81"/>
      <c r="S944" s="81"/>
      <c r="T944" s="81"/>
      <c r="U944" s="81"/>
      <c r="V944" s="84"/>
      <c r="W944" s="84"/>
      <c r="X944" s="84"/>
    </row>
    <row r="945" spans="1:24" ht="15.75" customHeight="1" x14ac:dyDescent="0.25">
      <c r="A945" s="81"/>
      <c r="B945" s="81"/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  <c r="R945" s="81"/>
      <c r="S945" s="81"/>
      <c r="T945" s="81"/>
      <c r="U945" s="81"/>
      <c r="V945" s="84"/>
      <c r="W945" s="84"/>
      <c r="X945" s="84"/>
    </row>
    <row r="946" spans="1:24" ht="15.75" customHeight="1" x14ac:dyDescent="0.25">
      <c r="A946" s="81"/>
      <c r="B946" s="81"/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4"/>
      <c r="W946" s="84"/>
      <c r="X946" s="84"/>
    </row>
    <row r="947" spans="1:24" ht="15.75" customHeight="1" x14ac:dyDescent="0.25">
      <c r="A947" s="81"/>
      <c r="B947" s="81"/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4"/>
      <c r="W947" s="84"/>
      <c r="X947" s="84"/>
    </row>
    <row r="948" spans="1:24" ht="15.75" customHeight="1" x14ac:dyDescent="0.25">
      <c r="A948" s="81"/>
      <c r="B948" s="81"/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4"/>
      <c r="W948" s="84"/>
      <c r="X948" s="84"/>
    </row>
    <row r="949" spans="1:24" ht="15.75" customHeight="1" x14ac:dyDescent="0.25">
      <c r="A949" s="81"/>
      <c r="B949" s="81"/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4"/>
      <c r="W949" s="84"/>
      <c r="X949" s="84"/>
    </row>
    <row r="950" spans="1:24" ht="15.75" customHeight="1" x14ac:dyDescent="0.25">
      <c r="A950" s="81"/>
      <c r="B950" s="81"/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4"/>
      <c r="W950" s="84"/>
      <c r="X950" s="84"/>
    </row>
    <row r="951" spans="1:24" ht="15.75" customHeight="1" x14ac:dyDescent="0.25">
      <c r="A951" s="81"/>
      <c r="B951" s="81"/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4"/>
      <c r="W951" s="84"/>
      <c r="X951" s="84"/>
    </row>
    <row r="952" spans="1:24" ht="15.75" customHeight="1" x14ac:dyDescent="0.25">
      <c r="A952" s="81"/>
      <c r="B952" s="81"/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4"/>
      <c r="W952" s="84"/>
      <c r="X952" s="84"/>
    </row>
    <row r="953" spans="1:24" ht="15.75" customHeight="1" x14ac:dyDescent="0.25">
      <c r="A953" s="81"/>
      <c r="B953" s="81"/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4"/>
      <c r="W953" s="84"/>
      <c r="X953" s="84"/>
    </row>
    <row r="954" spans="1:24" ht="15.75" customHeight="1" x14ac:dyDescent="0.25">
      <c r="A954" s="81"/>
      <c r="B954" s="81"/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4"/>
      <c r="W954" s="84"/>
      <c r="X954" s="84"/>
    </row>
    <row r="955" spans="1:24" ht="15.75" customHeight="1" x14ac:dyDescent="0.25">
      <c r="A955" s="81"/>
      <c r="B955" s="81"/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4"/>
      <c r="W955" s="84"/>
      <c r="X955" s="84"/>
    </row>
    <row r="956" spans="1:24" ht="15.75" customHeight="1" x14ac:dyDescent="0.25">
      <c r="A956" s="81"/>
      <c r="B956" s="81"/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4"/>
      <c r="W956" s="84"/>
      <c r="X956" s="84"/>
    </row>
    <row r="957" spans="1:24" ht="15.75" customHeight="1" x14ac:dyDescent="0.25">
      <c r="A957" s="81"/>
      <c r="B957" s="81"/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4"/>
      <c r="W957" s="84"/>
      <c r="X957" s="84"/>
    </row>
    <row r="958" spans="1:24" ht="15.75" customHeight="1" x14ac:dyDescent="0.25">
      <c r="A958" s="81"/>
      <c r="B958" s="81"/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4"/>
      <c r="W958" s="84"/>
      <c r="X958" s="84"/>
    </row>
    <row r="959" spans="1:24" ht="15.75" customHeight="1" x14ac:dyDescent="0.25">
      <c r="A959" s="81"/>
      <c r="B959" s="81"/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4"/>
      <c r="W959" s="84"/>
      <c r="X959" s="84"/>
    </row>
    <row r="960" spans="1:24" ht="15.75" customHeight="1" x14ac:dyDescent="0.25">
      <c r="A960" s="81"/>
      <c r="B960" s="81"/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4"/>
      <c r="W960" s="84"/>
      <c r="X960" s="84"/>
    </row>
    <row r="961" spans="1:24" ht="15.75" customHeight="1" x14ac:dyDescent="0.25">
      <c r="A961" s="81"/>
      <c r="B961" s="81"/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4"/>
      <c r="W961" s="84"/>
      <c r="X961" s="84"/>
    </row>
    <row r="962" spans="1:24" ht="15.75" customHeight="1" x14ac:dyDescent="0.25">
      <c r="A962" s="81"/>
      <c r="B962" s="81"/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4"/>
      <c r="W962" s="84"/>
      <c r="X962" s="84"/>
    </row>
    <row r="963" spans="1:24" ht="15.75" customHeight="1" x14ac:dyDescent="0.25">
      <c r="A963" s="81"/>
      <c r="B963" s="81"/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4"/>
      <c r="W963" s="84"/>
      <c r="X963" s="84"/>
    </row>
    <row r="964" spans="1:24" ht="15.75" customHeight="1" x14ac:dyDescent="0.25">
      <c r="A964" s="81"/>
      <c r="B964" s="81"/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4"/>
      <c r="W964" s="84"/>
      <c r="X964" s="84"/>
    </row>
    <row r="965" spans="1:24" ht="15.75" customHeight="1" x14ac:dyDescent="0.25">
      <c r="A965" s="81"/>
      <c r="B965" s="81"/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4"/>
      <c r="W965" s="84"/>
      <c r="X965" s="84"/>
    </row>
    <row r="966" spans="1:24" ht="15.75" customHeight="1" x14ac:dyDescent="0.25">
      <c r="A966" s="81"/>
      <c r="B966" s="81"/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4"/>
      <c r="W966" s="84"/>
      <c r="X966" s="84"/>
    </row>
    <row r="967" spans="1:24" ht="15.75" customHeight="1" x14ac:dyDescent="0.25">
      <c r="A967" s="81"/>
      <c r="B967" s="81"/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4"/>
      <c r="W967" s="84"/>
      <c r="X967" s="84"/>
    </row>
    <row r="968" spans="1:24" ht="15.75" customHeight="1" x14ac:dyDescent="0.25">
      <c r="A968" s="81"/>
      <c r="B968" s="81"/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4"/>
      <c r="W968" s="84"/>
      <c r="X968" s="84"/>
    </row>
    <row r="969" spans="1:24" ht="15.75" customHeight="1" x14ac:dyDescent="0.25">
      <c r="A969" s="81"/>
      <c r="B969" s="81"/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  <c r="R969" s="81"/>
      <c r="S969" s="81"/>
      <c r="T969" s="81"/>
      <c r="U969" s="81"/>
      <c r="V969" s="84"/>
      <c r="W969" s="84"/>
      <c r="X969" s="84"/>
    </row>
    <row r="970" spans="1:24" ht="15.75" customHeight="1" x14ac:dyDescent="0.25">
      <c r="A970" s="81"/>
      <c r="B970" s="81"/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  <c r="R970" s="81"/>
      <c r="S970" s="81"/>
      <c r="T970" s="81"/>
      <c r="U970" s="81"/>
      <c r="V970" s="84"/>
      <c r="W970" s="84"/>
      <c r="X970" s="84"/>
    </row>
    <row r="971" spans="1:24" ht="15.75" customHeight="1" x14ac:dyDescent="0.25">
      <c r="A971" s="81"/>
      <c r="B971" s="81"/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  <c r="R971" s="81"/>
      <c r="S971" s="81"/>
      <c r="T971" s="81"/>
      <c r="U971" s="81"/>
      <c r="V971" s="84"/>
      <c r="W971" s="84"/>
      <c r="X971" s="84"/>
    </row>
    <row r="972" spans="1:24" ht="15.75" customHeight="1" x14ac:dyDescent="0.25">
      <c r="A972" s="81"/>
      <c r="B972" s="81"/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  <c r="R972" s="81"/>
      <c r="S972" s="81"/>
      <c r="T972" s="81"/>
      <c r="U972" s="81"/>
      <c r="V972" s="84"/>
      <c r="W972" s="84"/>
      <c r="X972" s="84"/>
    </row>
    <row r="973" spans="1:24" ht="15.75" customHeight="1" x14ac:dyDescent="0.25">
      <c r="A973" s="81"/>
      <c r="B973" s="81"/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  <c r="R973" s="81"/>
      <c r="S973" s="81"/>
      <c r="T973" s="81"/>
      <c r="U973" s="81"/>
      <c r="V973" s="84"/>
      <c r="W973" s="84"/>
      <c r="X973" s="84"/>
    </row>
    <row r="974" spans="1:24" ht="15.75" customHeight="1" x14ac:dyDescent="0.25">
      <c r="A974" s="81"/>
      <c r="B974" s="81"/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  <c r="R974" s="81"/>
      <c r="S974" s="81"/>
      <c r="T974" s="81"/>
      <c r="U974" s="81"/>
      <c r="V974" s="84"/>
      <c r="W974" s="84"/>
      <c r="X974" s="84"/>
    </row>
    <row r="975" spans="1:24" ht="15.75" customHeight="1" x14ac:dyDescent="0.25">
      <c r="A975" s="81"/>
      <c r="B975" s="81"/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  <c r="R975" s="81"/>
      <c r="S975" s="81"/>
      <c r="T975" s="81"/>
      <c r="U975" s="81"/>
      <c r="V975" s="84"/>
      <c r="W975" s="84"/>
      <c r="X975" s="84"/>
    </row>
    <row r="976" spans="1:24" ht="15.75" customHeight="1" x14ac:dyDescent="0.25">
      <c r="A976" s="81"/>
      <c r="B976" s="81"/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  <c r="R976" s="81"/>
      <c r="S976" s="81"/>
      <c r="T976" s="81"/>
      <c r="U976" s="81"/>
      <c r="V976" s="84"/>
      <c r="W976" s="84"/>
      <c r="X976" s="84"/>
    </row>
    <row r="977" spans="1:24" ht="15.75" customHeight="1" x14ac:dyDescent="0.25">
      <c r="A977" s="81"/>
      <c r="B977" s="81"/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  <c r="R977" s="81"/>
      <c r="S977" s="81"/>
      <c r="T977" s="81"/>
      <c r="U977" s="81"/>
      <c r="V977" s="84"/>
      <c r="W977" s="84"/>
      <c r="X977" s="84"/>
    </row>
    <row r="978" spans="1:24" ht="15.75" customHeight="1" x14ac:dyDescent="0.25">
      <c r="A978" s="81"/>
      <c r="B978" s="81"/>
      <c r="C978" s="81"/>
      <c r="D978" s="81"/>
      <c r="E978" s="81"/>
      <c r="F978" s="81"/>
      <c r="G978" s="81"/>
      <c r="H978" s="81"/>
      <c r="I978" s="81"/>
      <c r="J978" s="81"/>
      <c r="K978" s="81"/>
      <c r="L978" s="81"/>
      <c r="M978" s="81"/>
      <c r="N978" s="81"/>
      <c r="O978" s="81"/>
      <c r="P978" s="81"/>
      <c r="Q978" s="81"/>
      <c r="R978" s="81"/>
      <c r="S978" s="81"/>
      <c r="T978" s="81"/>
      <c r="U978" s="81"/>
      <c r="V978" s="84"/>
      <c r="W978" s="84"/>
      <c r="X978" s="84"/>
    </row>
    <row r="979" spans="1:24" ht="15.75" customHeight="1" x14ac:dyDescent="0.25">
      <c r="A979" s="81"/>
      <c r="B979" s="81"/>
      <c r="C979" s="81"/>
      <c r="D979" s="81"/>
      <c r="E979" s="81"/>
      <c r="F979" s="81"/>
      <c r="G979" s="81"/>
      <c r="H979" s="81"/>
      <c r="I979" s="81"/>
      <c r="J979" s="81"/>
      <c r="K979" s="81"/>
      <c r="L979" s="81"/>
      <c r="M979" s="81"/>
      <c r="N979" s="81"/>
      <c r="O979" s="81"/>
      <c r="P979" s="81"/>
      <c r="Q979" s="81"/>
      <c r="R979" s="81"/>
      <c r="S979" s="81"/>
      <c r="T979" s="81"/>
      <c r="U979" s="81"/>
      <c r="V979" s="84"/>
      <c r="W979" s="84"/>
      <c r="X979" s="84"/>
    </row>
    <row r="980" spans="1:24" ht="15.75" customHeight="1" x14ac:dyDescent="0.25">
      <c r="A980" s="81"/>
      <c r="B980" s="81"/>
      <c r="C980" s="81"/>
      <c r="D980" s="81"/>
      <c r="E980" s="81"/>
      <c r="F980" s="81"/>
      <c r="G980" s="81"/>
      <c r="H980" s="81"/>
      <c r="I980" s="81"/>
      <c r="J980" s="81"/>
      <c r="K980" s="81"/>
      <c r="L980" s="81"/>
      <c r="M980" s="81"/>
      <c r="N980" s="81"/>
      <c r="O980" s="81"/>
      <c r="P980" s="81"/>
      <c r="Q980" s="81"/>
      <c r="R980" s="81"/>
      <c r="S980" s="81"/>
      <c r="T980" s="81"/>
      <c r="U980" s="81"/>
      <c r="V980" s="84"/>
      <c r="W980" s="84"/>
      <c r="X980" s="84"/>
    </row>
    <row r="981" spans="1:24" ht="15.75" customHeight="1" x14ac:dyDescent="0.25">
      <c r="A981" s="81"/>
      <c r="B981" s="81"/>
      <c r="C981" s="81"/>
      <c r="D981" s="81"/>
      <c r="E981" s="81"/>
      <c r="F981" s="81"/>
      <c r="G981" s="81"/>
      <c r="H981" s="81"/>
      <c r="I981" s="81"/>
      <c r="J981" s="81"/>
      <c r="K981" s="81"/>
      <c r="L981" s="81"/>
      <c r="M981" s="81"/>
      <c r="N981" s="81"/>
      <c r="O981" s="81"/>
      <c r="P981" s="81"/>
      <c r="Q981" s="81"/>
      <c r="R981" s="81"/>
      <c r="S981" s="81"/>
      <c r="T981" s="81"/>
      <c r="U981" s="81"/>
      <c r="V981" s="84"/>
      <c r="W981" s="84"/>
      <c r="X981" s="84"/>
    </row>
    <row r="982" spans="1:24" ht="15.75" customHeight="1" x14ac:dyDescent="0.25">
      <c r="A982" s="81"/>
      <c r="B982" s="81"/>
      <c r="C982" s="81"/>
      <c r="D982" s="81"/>
      <c r="E982" s="81"/>
      <c r="F982" s="81"/>
      <c r="G982" s="81"/>
      <c r="H982" s="81"/>
      <c r="I982" s="81"/>
      <c r="J982" s="81"/>
      <c r="K982" s="81"/>
      <c r="L982" s="81"/>
      <c r="M982" s="81"/>
      <c r="N982" s="81"/>
      <c r="O982" s="81"/>
      <c r="P982" s="81"/>
      <c r="Q982" s="81"/>
      <c r="R982" s="81"/>
      <c r="S982" s="81"/>
      <c r="T982" s="81"/>
      <c r="U982" s="81"/>
      <c r="V982" s="84"/>
      <c r="W982" s="84"/>
      <c r="X982" s="84"/>
    </row>
    <row r="983" spans="1:24" ht="15.75" customHeight="1" x14ac:dyDescent="0.25">
      <c r="A983" s="81"/>
      <c r="B983" s="81"/>
      <c r="C983" s="81"/>
      <c r="D983" s="81"/>
      <c r="E983" s="81"/>
      <c r="F983" s="81"/>
      <c r="G983" s="81"/>
      <c r="H983" s="81"/>
      <c r="I983" s="81"/>
      <c r="J983" s="81"/>
      <c r="K983" s="81"/>
      <c r="L983" s="81"/>
      <c r="M983" s="81"/>
      <c r="N983" s="81"/>
      <c r="O983" s="81"/>
      <c r="P983" s="81"/>
      <c r="Q983" s="81"/>
      <c r="R983" s="81"/>
      <c r="S983" s="81"/>
      <c r="T983" s="81"/>
      <c r="U983" s="81"/>
      <c r="V983" s="84"/>
      <c r="W983" s="84"/>
      <c r="X983" s="84"/>
    </row>
    <row r="984" spans="1:24" ht="15.75" customHeight="1" x14ac:dyDescent="0.25">
      <c r="A984" s="81"/>
      <c r="B984" s="81"/>
      <c r="C984" s="81"/>
      <c r="D984" s="81"/>
      <c r="E984" s="81"/>
      <c r="F984" s="81"/>
      <c r="G984" s="81"/>
      <c r="H984" s="81"/>
      <c r="I984" s="81"/>
      <c r="J984" s="81"/>
      <c r="K984" s="81"/>
      <c r="L984" s="81"/>
      <c r="M984" s="81"/>
      <c r="N984" s="81"/>
      <c r="O984" s="81"/>
      <c r="P984" s="81"/>
      <c r="Q984" s="81"/>
      <c r="R984" s="81"/>
      <c r="S984" s="81"/>
      <c r="T984" s="81"/>
      <c r="U984" s="81"/>
      <c r="V984" s="84"/>
      <c r="W984" s="84"/>
      <c r="X984" s="84"/>
    </row>
    <row r="985" spans="1:24" ht="15.75" customHeight="1" x14ac:dyDescent="0.25">
      <c r="A985" s="81"/>
      <c r="B985" s="81"/>
      <c r="C985" s="81"/>
      <c r="D985" s="81"/>
      <c r="E985" s="81"/>
      <c r="F985" s="81"/>
      <c r="G985" s="81"/>
      <c r="H985" s="81"/>
      <c r="I985" s="81"/>
      <c r="J985" s="81"/>
      <c r="K985" s="81"/>
      <c r="L985" s="81"/>
      <c r="M985" s="81"/>
      <c r="N985" s="81"/>
      <c r="O985" s="81"/>
      <c r="P985" s="81"/>
      <c r="Q985" s="81"/>
      <c r="R985" s="81"/>
      <c r="S985" s="81"/>
      <c r="T985" s="81"/>
      <c r="U985" s="81"/>
      <c r="V985" s="84"/>
      <c r="W985" s="84"/>
      <c r="X985" s="84"/>
    </row>
    <row r="986" spans="1:24" ht="15.75" customHeight="1" x14ac:dyDescent="0.25">
      <c r="A986" s="81"/>
      <c r="B986" s="81"/>
      <c r="C986" s="81"/>
      <c r="D986" s="81"/>
      <c r="E986" s="81"/>
      <c r="F986" s="81"/>
      <c r="G986" s="81"/>
      <c r="H986" s="81"/>
      <c r="I986" s="81"/>
      <c r="J986" s="81"/>
      <c r="K986" s="81"/>
      <c r="L986" s="81"/>
      <c r="M986" s="81"/>
      <c r="N986" s="81"/>
      <c r="O986" s="81"/>
      <c r="P986" s="81"/>
      <c r="Q986" s="81"/>
      <c r="R986" s="81"/>
      <c r="S986" s="81"/>
      <c r="T986" s="81"/>
      <c r="U986" s="81"/>
      <c r="V986" s="84"/>
      <c r="W986" s="84"/>
      <c r="X986" s="84"/>
    </row>
    <row r="987" spans="1:24" ht="15.75" customHeight="1" x14ac:dyDescent="0.25">
      <c r="A987" s="81"/>
      <c r="B987" s="81"/>
      <c r="C987" s="81"/>
      <c r="D987" s="81"/>
      <c r="E987" s="81"/>
      <c r="F987" s="81"/>
      <c r="G987" s="81"/>
      <c r="H987" s="81"/>
      <c r="I987" s="81"/>
      <c r="J987" s="81"/>
      <c r="K987" s="81"/>
      <c r="L987" s="81"/>
      <c r="M987" s="81"/>
      <c r="N987" s="81"/>
      <c r="O987" s="81"/>
      <c r="P987" s="81"/>
      <c r="Q987" s="81"/>
      <c r="R987" s="81"/>
      <c r="S987" s="81"/>
      <c r="T987" s="81"/>
      <c r="U987" s="81"/>
      <c r="V987" s="84"/>
      <c r="W987" s="84"/>
      <c r="X987" s="84"/>
    </row>
    <row r="988" spans="1:24" ht="15.75" customHeight="1" x14ac:dyDescent="0.25">
      <c r="A988" s="81"/>
      <c r="B988" s="81"/>
      <c r="C988" s="81"/>
      <c r="D988" s="81"/>
      <c r="E988" s="81"/>
      <c r="F988" s="81"/>
      <c r="G988" s="81"/>
      <c r="H988" s="81"/>
      <c r="I988" s="81"/>
      <c r="J988" s="81"/>
      <c r="K988" s="81"/>
      <c r="L988" s="81"/>
      <c r="M988" s="81"/>
      <c r="N988" s="81"/>
      <c r="O988" s="81"/>
      <c r="P988" s="81"/>
      <c r="Q988" s="81"/>
      <c r="R988" s="81"/>
      <c r="S988" s="81"/>
      <c r="T988" s="81"/>
      <c r="U988" s="81"/>
      <c r="V988" s="84"/>
      <c r="W988" s="84"/>
      <c r="X988" s="84"/>
    </row>
    <row r="989" spans="1:24" ht="15.75" customHeight="1" x14ac:dyDescent="0.25">
      <c r="A989" s="81"/>
      <c r="B989" s="81"/>
      <c r="C989" s="81"/>
      <c r="D989" s="81"/>
      <c r="E989" s="81"/>
      <c r="F989" s="81"/>
      <c r="G989" s="81"/>
      <c r="H989" s="81"/>
      <c r="I989" s="81"/>
      <c r="J989" s="81"/>
      <c r="K989" s="81"/>
      <c r="L989" s="81"/>
      <c r="M989" s="81"/>
      <c r="N989" s="81"/>
      <c r="O989" s="81"/>
      <c r="P989" s="81"/>
      <c r="Q989" s="81"/>
      <c r="R989" s="81"/>
      <c r="S989" s="81"/>
      <c r="T989" s="81"/>
      <c r="U989" s="81"/>
      <c r="V989" s="84"/>
      <c r="W989" s="84"/>
      <c r="X989" s="84"/>
    </row>
    <row r="990" spans="1:24" ht="15.75" customHeight="1" x14ac:dyDescent="0.25">
      <c r="A990" s="81"/>
      <c r="B990" s="81"/>
      <c r="C990" s="81"/>
      <c r="D990" s="81"/>
      <c r="E990" s="81"/>
      <c r="F990" s="81"/>
      <c r="G990" s="81"/>
      <c r="H990" s="81"/>
      <c r="I990" s="81"/>
      <c r="J990" s="81"/>
      <c r="K990" s="81"/>
      <c r="L990" s="81"/>
      <c r="M990" s="81"/>
      <c r="N990" s="81"/>
      <c r="O990" s="81"/>
      <c r="P990" s="81"/>
      <c r="Q990" s="81"/>
      <c r="R990" s="81"/>
      <c r="S990" s="81"/>
      <c r="T990" s="81"/>
      <c r="U990" s="81"/>
      <c r="V990" s="84"/>
      <c r="W990" s="84"/>
      <c r="X990" s="84"/>
    </row>
    <row r="991" spans="1:24" ht="15.75" customHeight="1" x14ac:dyDescent="0.25">
      <c r="A991" s="81"/>
      <c r="B991" s="81"/>
      <c r="C991" s="81"/>
      <c r="D991" s="81"/>
      <c r="E991" s="81"/>
      <c r="F991" s="81"/>
      <c r="G991" s="81"/>
      <c r="H991" s="81"/>
      <c r="I991" s="81"/>
      <c r="J991" s="81"/>
      <c r="K991" s="81"/>
      <c r="L991" s="81"/>
      <c r="M991" s="81"/>
      <c r="N991" s="81"/>
      <c r="O991" s="81"/>
      <c r="P991" s="81"/>
      <c r="Q991" s="81"/>
      <c r="R991" s="81"/>
      <c r="S991" s="81"/>
      <c r="T991" s="81"/>
      <c r="U991" s="81"/>
      <c r="V991" s="84"/>
      <c r="W991" s="84"/>
      <c r="X991" s="84"/>
    </row>
    <row r="992" spans="1:24" ht="15.75" customHeight="1" x14ac:dyDescent="0.25">
      <c r="A992" s="81"/>
      <c r="B992" s="81"/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4"/>
      <c r="W992" s="84"/>
      <c r="X992" s="84"/>
    </row>
    <row r="993" spans="1:24" ht="15.75" customHeight="1" x14ac:dyDescent="0.25">
      <c r="A993" s="81"/>
      <c r="B993" s="81"/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4"/>
      <c r="W993" s="84"/>
      <c r="X993" s="84"/>
    </row>
    <row r="994" spans="1:24" ht="15.75" customHeight="1" x14ac:dyDescent="0.25">
      <c r="A994" s="81"/>
      <c r="B994" s="81"/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4"/>
      <c r="W994" s="84"/>
      <c r="X994" s="84"/>
    </row>
    <row r="995" spans="1:24" ht="15.75" customHeight="1" x14ac:dyDescent="0.25">
      <c r="A995" s="81"/>
      <c r="B995" s="81"/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4"/>
      <c r="W995" s="84"/>
      <c r="X995" s="84"/>
    </row>
    <row r="996" spans="1:24" ht="15.75" customHeight="1" x14ac:dyDescent="0.25">
      <c r="A996" s="81"/>
      <c r="B996" s="81"/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4"/>
      <c r="W996" s="84"/>
      <c r="X996" s="84"/>
    </row>
    <row r="997" spans="1:24" ht="15.75" customHeight="1" x14ac:dyDescent="0.25">
      <c r="A997" s="81"/>
      <c r="B997" s="81"/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4"/>
      <c r="W997" s="84"/>
      <c r="X997" s="84"/>
    </row>
    <row r="998" spans="1:24" ht="15.75" customHeight="1" x14ac:dyDescent="0.25">
      <c r="A998" s="81"/>
      <c r="B998" s="81"/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4"/>
      <c r="W998" s="84"/>
      <c r="X998" s="84"/>
    </row>
    <row r="999" spans="1:24" ht="15.75" customHeight="1" x14ac:dyDescent="0.25">
      <c r="A999" s="81"/>
      <c r="B999" s="81"/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4"/>
      <c r="W999" s="84"/>
      <c r="X999" s="84"/>
    </row>
    <row r="1000" spans="1:24" ht="15" customHeight="1" x14ac:dyDescent="0.2">
      <c r="A1000" s="84"/>
      <c r="B1000" s="84"/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</row>
    <row r="1001" spans="1:24" ht="15" customHeight="1" x14ac:dyDescent="0.2">
      <c r="A1001" s="84"/>
      <c r="B1001" s="84"/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</row>
    <row r="1002" spans="1:24" ht="15" customHeight="1" x14ac:dyDescent="0.2">
      <c r="A1002" s="84"/>
      <c r="B1002" s="84"/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</row>
    <row r="1003" spans="1:24" ht="15" customHeight="1" x14ac:dyDescent="0.2">
      <c r="A1003" s="84"/>
      <c r="B1003" s="84"/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</row>
    <row r="1004" spans="1:24" ht="15" customHeight="1" x14ac:dyDescent="0.2">
      <c r="A1004" s="84"/>
      <c r="B1004" s="84"/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</row>
    <row r="1005" spans="1:24" ht="15" customHeight="1" x14ac:dyDescent="0.2">
      <c r="A1005" s="84"/>
      <c r="B1005" s="84"/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</row>
    <row r="1006" spans="1:24" ht="15" customHeight="1" x14ac:dyDescent="0.2">
      <c r="A1006" s="84"/>
      <c r="B1006" s="84"/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  <c r="R1006" s="84"/>
      <c r="S1006" s="84"/>
      <c r="T1006" s="84"/>
      <c r="U1006" s="84"/>
      <c r="V1006" s="84"/>
      <c r="W1006" s="84"/>
      <c r="X1006" s="84"/>
    </row>
    <row r="1007" spans="1:24" ht="15" customHeight="1" x14ac:dyDescent="0.2">
      <c r="A1007" s="84"/>
      <c r="B1007" s="84"/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</row>
    <row r="1008" spans="1:24" ht="15" customHeight="1" x14ac:dyDescent="0.2">
      <c r="A1008" s="84"/>
      <c r="B1008" s="84"/>
      <c r="C1008" s="84"/>
      <c r="D1008" s="84"/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</row>
    <row r="1009" spans="1:24" ht="15" customHeight="1" x14ac:dyDescent="0.2">
      <c r="A1009" s="84"/>
      <c r="B1009" s="84"/>
      <c r="C1009" s="84"/>
      <c r="D1009" s="84"/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</row>
    <row r="1010" spans="1:24" ht="15" customHeight="1" x14ac:dyDescent="0.2">
      <c r="A1010" s="84"/>
      <c r="B1010" s="84"/>
      <c r="C1010" s="84"/>
      <c r="D1010" s="84"/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</row>
    <row r="1011" spans="1:24" ht="15" customHeight="1" x14ac:dyDescent="0.2">
      <c r="A1011" s="84"/>
      <c r="B1011" s="84"/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</row>
    <row r="1012" spans="1:24" ht="15" customHeight="1" x14ac:dyDescent="0.2">
      <c r="A1012" s="84"/>
      <c r="B1012" s="84"/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</row>
    <row r="1013" spans="1:24" ht="15" customHeight="1" x14ac:dyDescent="0.2">
      <c r="A1013" s="84"/>
      <c r="B1013" s="84"/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</row>
    <row r="1014" spans="1:24" ht="15" customHeight="1" x14ac:dyDescent="0.2">
      <c r="A1014" s="84"/>
      <c r="B1014" s="84"/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</row>
    <row r="1015" spans="1:24" ht="15" customHeight="1" x14ac:dyDescent="0.2">
      <c r="A1015" s="84"/>
      <c r="B1015" s="84"/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</row>
    <row r="1016" spans="1:24" ht="15" customHeight="1" x14ac:dyDescent="0.2">
      <c r="A1016" s="84"/>
      <c r="B1016" s="84"/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</row>
    <row r="1017" spans="1:24" ht="15" customHeight="1" x14ac:dyDescent="0.2">
      <c r="A1017" s="84"/>
      <c r="B1017" s="84"/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</row>
    <row r="1018" spans="1:24" ht="15" customHeight="1" x14ac:dyDescent="0.2">
      <c r="A1018" s="84"/>
      <c r="B1018" s="84"/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</row>
    <row r="1019" spans="1:24" ht="15" customHeight="1" x14ac:dyDescent="0.2">
      <c r="A1019" s="84"/>
      <c r="B1019" s="84"/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</row>
    <row r="1020" spans="1:24" ht="15" customHeight="1" x14ac:dyDescent="0.2">
      <c r="A1020" s="84"/>
      <c r="B1020" s="84"/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</row>
    <row r="1021" spans="1:24" ht="15" customHeight="1" x14ac:dyDescent="0.2">
      <c r="A1021" s="84"/>
      <c r="B1021" s="84"/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</row>
    <row r="1022" spans="1:24" ht="15" customHeight="1" x14ac:dyDescent="0.2">
      <c r="A1022" s="84"/>
      <c r="B1022" s="84"/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</row>
    <row r="1023" spans="1:24" ht="15" customHeight="1" x14ac:dyDescent="0.2">
      <c r="A1023" s="84"/>
      <c r="B1023" s="84"/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  <c r="S1023" s="84"/>
      <c r="T1023" s="84"/>
      <c r="U1023" s="84"/>
      <c r="V1023" s="84"/>
      <c r="W1023" s="84"/>
      <c r="X1023" s="84"/>
    </row>
    <row r="1024" spans="1:24" ht="15" customHeight="1" x14ac:dyDescent="0.2">
      <c r="A1024" s="84"/>
      <c r="B1024" s="84"/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</row>
    <row r="1025" spans="1:24" ht="15" customHeight="1" x14ac:dyDescent="0.2">
      <c r="A1025" s="84"/>
      <c r="B1025" s="84"/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</row>
    <row r="1026" spans="1:24" ht="15" customHeight="1" x14ac:dyDescent="0.2">
      <c r="A1026" s="84"/>
      <c r="B1026" s="84"/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</row>
    <row r="1027" spans="1:24" ht="15" customHeight="1" x14ac:dyDescent="0.2">
      <c r="A1027" s="84"/>
      <c r="B1027" s="84"/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</row>
    <row r="1028" spans="1:24" ht="15" customHeight="1" x14ac:dyDescent="0.2">
      <c r="A1028" s="84"/>
      <c r="B1028" s="84"/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</row>
    <row r="1029" spans="1:24" ht="15" customHeight="1" x14ac:dyDescent="0.2">
      <c r="A1029" s="84"/>
      <c r="B1029" s="84"/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</row>
    <row r="1030" spans="1:24" ht="15" customHeight="1" x14ac:dyDescent="0.2">
      <c r="A1030" s="84"/>
      <c r="B1030" s="84"/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</row>
    <row r="1031" spans="1:24" ht="15" customHeight="1" x14ac:dyDescent="0.2">
      <c r="A1031" s="84"/>
      <c r="B1031" s="84"/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</row>
    <row r="1032" spans="1:24" ht="15" customHeight="1" x14ac:dyDescent="0.2">
      <c r="A1032" s="84"/>
      <c r="B1032" s="84"/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</row>
    <row r="1033" spans="1:24" ht="15" customHeight="1" x14ac:dyDescent="0.2">
      <c r="A1033" s="84"/>
      <c r="B1033" s="84"/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</row>
    <row r="1034" spans="1:24" ht="15" customHeight="1" x14ac:dyDescent="0.2">
      <c r="A1034" s="84"/>
      <c r="B1034" s="84"/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</row>
    <row r="1035" spans="1:24" ht="15" customHeight="1" x14ac:dyDescent="0.2">
      <c r="A1035" s="84"/>
      <c r="B1035" s="84"/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</row>
    <row r="1036" spans="1:24" ht="15" customHeight="1" x14ac:dyDescent="0.2">
      <c r="A1036" s="84"/>
      <c r="B1036" s="84"/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</row>
    <row r="1037" spans="1:24" ht="15" customHeight="1" x14ac:dyDescent="0.2">
      <c r="A1037" s="84"/>
      <c r="B1037" s="84"/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</row>
    <row r="1038" spans="1:24" ht="15" customHeight="1" x14ac:dyDescent="0.2">
      <c r="A1038" s="84"/>
      <c r="B1038" s="84"/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</row>
    <row r="1039" spans="1:24" ht="15" customHeight="1" x14ac:dyDescent="0.2">
      <c r="A1039" s="84"/>
      <c r="B1039" s="84"/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</row>
    <row r="1040" spans="1:24" ht="15" customHeight="1" x14ac:dyDescent="0.2">
      <c r="A1040" s="84"/>
      <c r="B1040" s="84"/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  <c r="S1040" s="84"/>
      <c r="T1040" s="84"/>
      <c r="U1040" s="84"/>
      <c r="V1040" s="84"/>
      <c r="W1040" s="84"/>
      <c r="X1040" s="84"/>
    </row>
    <row r="1041" spans="1:24" ht="15" customHeight="1" x14ac:dyDescent="0.2">
      <c r="A1041" s="84"/>
      <c r="B1041" s="84"/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</row>
    <row r="1042" spans="1:24" ht="15" customHeight="1" x14ac:dyDescent="0.2">
      <c r="A1042" s="84"/>
      <c r="B1042" s="84"/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</row>
    <row r="1043" spans="1:24" ht="15" customHeight="1" x14ac:dyDescent="0.2">
      <c r="A1043" s="84"/>
      <c r="B1043" s="84"/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</row>
    <row r="1044" spans="1:24" ht="15" customHeight="1" x14ac:dyDescent="0.2">
      <c r="A1044" s="84"/>
      <c r="B1044" s="84"/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</row>
    <row r="1045" spans="1:24" ht="15" customHeight="1" x14ac:dyDescent="0.2">
      <c r="A1045" s="84"/>
      <c r="B1045" s="84"/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</row>
    <row r="1046" spans="1:24" ht="15" customHeight="1" x14ac:dyDescent="0.2">
      <c r="A1046" s="84"/>
      <c r="B1046" s="84"/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</row>
    <row r="1047" spans="1:24" ht="15" customHeight="1" x14ac:dyDescent="0.2">
      <c r="A1047" s="84"/>
      <c r="B1047" s="84"/>
      <c r="C1047" s="84"/>
      <c r="D1047" s="84"/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</row>
    <row r="1048" spans="1:24" ht="15" customHeight="1" x14ac:dyDescent="0.2">
      <c r="A1048" s="84"/>
      <c r="B1048" s="84"/>
      <c r="C1048" s="84"/>
      <c r="D1048" s="84"/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</row>
    <row r="1049" spans="1:24" ht="15" customHeight="1" x14ac:dyDescent="0.2">
      <c r="A1049" s="84"/>
      <c r="B1049" s="84"/>
      <c r="C1049" s="84"/>
      <c r="D1049" s="84"/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</row>
    <row r="1050" spans="1:24" ht="15" customHeight="1" x14ac:dyDescent="0.2">
      <c r="A1050" s="84"/>
      <c r="B1050" s="84"/>
      <c r="C1050" s="84"/>
      <c r="D1050" s="84"/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</row>
    <row r="1051" spans="1:24" ht="15" customHeight="1" x14ac:dyDescent="0.2">
      <c r="A1051" s="84"/>
      <c r="B1051" s="84"/>
      <c r="C1051" s="84"/>
      <c r="D1051" s="84"/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</row>
    <row r="1052" spans="1:24" ht="15" customHeight="1" x14ac:dyDescent="0.2">
      <c r="A1052" s="84"/>
      <c r="B1052" s="84"/>
      <c r="C1052" s="84"/>
      <c r="D1052" s="84"/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</row>
    <row r="1053" spans="1:24" ht="15" customHeight="1" x14ac:dyDescent="0.2">
      <c r="A1053" s="84"/>
      <c r="B1053" s="84"/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</row>
    <row r="1054" spans="1:24" ht="15" customHeight="1" x14ac:dyDescent="0.2">
      <c r="A1054" s="84"/>
      <c r="B1054" s="84"/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</row>
    <row r="1055" spans="1:24" ht="15" customHeight="1" x14ac:dyDescent="0.2">
      <c r="A1055" s="84"/>
      <c r="B1055" s="84"/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</row>
    <row r="1056" spans="1:24" ht="15" customHeight="1" x14ac:dyDescent="0.2">
      <c r="A1056" s="84"/>
      <c r="B1056" s="84"/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</row>
    <row r="1057" spans="1:24" ht="15" customHeight="1" x14ac:dyDescent="0.2">
      <c r="A1057" s="84"/>
      <c r="B1057" s="84"/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  <c r="R1057" s="84"/>
      <c r="S1057" s="84"/>
      <c r="T1057" s="84"/>
      <c r="U1057" s="84"/>
      <c r="V1057" s="84"/>
      <c r="W1057" s="84"/>
      <c r="X1057" s="84"/>
    </row>
    <row r="1058" spans="1:24" ht="15" customHeight="1" x14ac:dyDescent="0.2">
      <c r="A1058" s="84"/>
      <c r="B1058" s="84"/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  <c r="R1058" s="84"/>
      <c r="S1058" s="84"/>
      <c r="T1058" s="84"/>
      <c r="U1058" s="84"/>
      <c r="V1058" s="84"/>
      <c r="W1058" s="84"/>
      <c r="X1058" s="84"/>
    </row>
    <row r="1059" spans="1:24" ht="15" customHeight="1" x14ac:dyDescent="0.2">
      <c r="A1059" s="84"/>
      <c r="B1059" s="84"/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  <c r="S1059" s="84"/>
      <c r="T1059" s="84"/>
      <c r="U1059" s="84"/>
      <c r="V1059" s="84"/>
      <c r="W1059" s="84"/>
      <c r="X1059" s="84"/>
    </row>
    <row r="1060" spans="1:24" ht="15" customHeight="1" x14ac:dyDescent="0.2">
      <c r="A1060" s="84"/>
      <c r="B1060" s="84"/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  <c r="S1060" s="84"/>
      <c r="T1060" s="84"/>
      <c r="U1060" s="84"/>
      <c r="V1060" s="84"/>
      <c r="W1060" s="84"/>
      <c r="X1060" s="84"/>
    </row>
    <row r="1061" spans="1:24" ht="15" customHeight="1" x14ac:dyDescent="0.2">
      <c r="A1061" s="84"/>
      <c r="B1061" s="84"/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  <c r="S1061" s="84"/>
      <c r="T1061" s="84"/>
      <c r="U1061" s="84"/>
      <c r="V1061" s="84"/>
      <c r="W1061" s="84"/>
      <c r="X1061" s="84"/>
    </row>
    <row r="1062" spans="1:24" ht="15" customHeight="1" x14ac:dyDescent="0.2">
      <c r="A1062" s="84"/>
      <c r="B1062" s="84"/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  <c r="S1062" s="84"/>
      <c r="T1062" s="84"/>
      <c r="U1062" s="84"/>
      <c r="V1062" s="84"/>
      <c r="W1062" s="84"/>
      <c r="X1062" s="84"/>
    </row>
    <row r="1063" spans="1:24" ht="15" customHeight="1" x14ac:dyDescent="0.2">
      <c r="A1063" s="84"/>
      <c r="B1063" s="84"/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  <c r="S1063" s="84"/>
      <c r="T1063" s="84"/>
      <c r="U1063" s="84"/>
      <c r="V1063" s="84"/>
      <c r="W1063" s="84"/>
      <c r="X1063" s="84"/>
    </row>
    <row r="1064" spans="1:24" ht="15" customHeight="1" x14ac:dyDescent="0.2">
      <c r="A1064" s="84"/>
      <c r="B1064" s="84"/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  <c r="S1064" s="84"/>
      <c r="T1064" s="84"/>
      <c r="U1064" s="84"/>
      <c r="V1064" s="84"/>
      <c r="W1064" s="84"/>
      <c r="X1064" s="84"/>
    </row>
    <row r="1065" spans="1:24" ht="15" customHeight="1" x14ac:dyDescent="0.2">
      <c r="A1065" s="84"/>
      <c r="B1065" s="84"/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  <c r="S1065" s="84"/>
      <c r="T1065" s="84"/>
      <c r="U1065" s="84"/>
      <c r="V1065" s="84"/>
      <c r="W1065" s="84"/>
      <c r="X1065" s="84"/>
    </row>
    <row r="1066" spans="1:24" ht="15" customHeight="1" x14ac:dyDescent="0.2">
      <c r="A1066" s="84"/>
      <c r="B1066" s="84"/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  <c r="S1066" s="84"/>
      <c r="T1066" s="84"/>
      <c r="U1066" s="84"/>
      <c r="V1066" s="84"/>
      <c r="W1066" s="84"/>
      <c r="X1066" s="84"/>
    </row>
    <row r="1067" spans="1:24" ht="15" customHeight="1" x14ac:dyDescent="0.2">
      <c r="A1067" s="84"/>
      <c r="B1067" s="84"/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  <c r="S1067" s="84"/>
      <c r="T1067" s="84"/>
      <c r="U1067" s="84"/>
      <c r="V1067" s="84"/>
      <c r="W1067" s="84"/>
      <c r="X1067" s="84"/>
    </row>
    <row r="1068" spans="1:24" ht="15" customHeight="1" x14ac:dyDescent="0.2">
      <c r="A1068" s="84"/>
      <c r="B1068" s="84"/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  <c r="S1068" s="84"/>
      <c r="T1068" s="84"/>
      <c r="U1068" s="84"/>
      <c r="V1068" s="84"/>
      <c r="W1068" s="84"/>
      <c r="X1068" s="84"/>
    </row>
    <row r="1069" spans="1:24" ht="15" customHeight="1" x14ac:dyDescent="0.2">
      <c r="A1069" s="84"/>
      <c r="B1069" s="84"/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  <c r="S1069" s="84"/>
      <c r="T1069" s="84"/>
      <c r="U1069" s="84"/>
      <c r="V1069" s="84"/>
      <c r="W1069" s="84"/>
      <c r="X1069" s="84"/>
    </row>
    <row r="1070" spans="1:24" ht="15" customHeight="1" x14ac:dyDescent="0.2">
      <c r="A1070" s="84"/>
      <c r="B1070" s="84"/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  <c r="S1070" s="84"/>
      <c r="T1070" s="84"/>
      <c r="U1070" s="84"/>
      <c r="V1070" s="84"/>
      <c r="W1070" s="84"/>
      <c r="X1070" s="84"/>
    </row>
    <row r="1071" spans="1:24" ht="15" customHeight="1" x14ac:dyDescent="0.2">
      <c r="A1071" s="84"/>
      <c r="B1071" s="84"/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  <c r="S1071" s="84"/>
      <c r="T1071" s="84"/>
      <c r="U1071" s="84"/>
      <c r="V1071" s="84"/>
      <c r="W1071" s="84"/>
      <c r="X1071" s="84"/>
    </row>
    <row r="1072" spans="1:24" ht="15" customHeight="1" x14ac:dyDescent="0.2">
      <c r="A1072" s="84"/>
      <c r="B1072" s="84"/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  <c r="S1072" s="84"/>
      <c r="T1072" s="84"/>
      <c r="U1072" s="84"/>
      <c r="V1072" s="84"/>
      <c r="W1072" s="84"/>
      <c r="X1072" s="84"/>
    </row>
    <row r="1073" spans="1:24" ht="15" customHeight="1" x14ac:dyDescent="0.2">
      <c r="A1073" s="84"/>
      <c r="B1073" s="84"/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  <c r="S1073" s="84"/>
      <c r="T1073" s="84"/>
      <c r="U1073" s="84"/>
      <c r="V1073" s="84"/>
      <c r="W1073" s="84"/>
      <c r="X1073" s="84"/>
    </row>
    <row r="1074" spans="1:24" ht="15" customHeight="1" x14ac:dyDescent="0.2">
      <c r="A1074" s="84"/>
      <c r="B1074" s="84"/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  <c r="S1074" s="84"/>
      <c r="T1074" s="84"/>
      <c r="U1074" s="84"/>
      <c r="V1074" s="84"/>
      <c r="W1074" s="84"/>
      <c r="X1074" s="84"/>
    </row>
    <row r="1075" spans="1:24" ht="15" customHeight="1" x14ac:dyDescent="0.2">
      <c r="A1075" s="84"/>
      <c r="B1075" s="84"/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  <c r="S1075" s="84"/>
      <c r="T1075" s="84"/>
      <c r="U1075" s="84"/>
      <c r="V1075" s="84"/>
      <c r="W1075" s="84"/>
      <c r="X1075" s="84"/>
    </row>
    <row r="1076" spans="1:24" ht="15" customHeight="1" x14ac:dyDescent="0.2">
      <c r="A1076" s="84"/>
      <c r="B1076" s="84"/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  <c r="S1076" s="84"/>
      <c r="T1076" s="84"/>
      <c r="U1076" s="84"/>
      <c r="V1076" s="84"/>
      <c r="W1076" s="84"/>
      <c r="X1076" s="84"/>
    </row>
    <row r="1077" spans="1:24" ht="15" customHeight="1" x14ac:dyDescent="0.2">
      <c r="A1077" s="84"/>
      <c r="B1077" s="84"/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  <c r="S1077" s="84"/>
      <c r="T1077" s="84"/>
      <c r="U1077" s="84"/>
      <c r="V1077" s="84"/>
      <c r="W1077" s="84"/>
      <c r="X1077" s="84"/>
    </row>
    <row r="1078" spans="1:24" ht="15" customHeight="1" x14ac:dyDescent="0.2">
      <c r="A1078" s="84"/>
      <c r="B1078" s="84"/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  <c r="S1078" s="84"/>
      <c r="T1078" s="84"/>
      <c r="U1078" s="84"/>
      <c r="V1078" s="84"/>
      <c r="W1078" s="84"/>
      <c r="X1078" s="84"/>
    </row>
    <row r="1079" spans="1:24" ht="15" customHeight="1" x14ac:dyDescent="0.2">
      <c r="A1079" s="84"/>
      <c r="B1079" s="84"/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  <c r="S1079" s="84"/>
      <c r="T1079" s="84"/>
      <c r="U1079" s="84"/>
      <c r="V1079" s="84"/>
      <c r="W1079" s="84"/>
      <c r="X1079" s="84"/>
    </row>
    <row r="1080" spans="1:24" ht="15" customHeight="1" x14ac:dyDescent="0.2">
      <c r="A1080" s="84"/>
      <c r="B1080" s="84"/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  <c r="S1080" s="84"/>
      <c r="T1080" s="84"/>
      <c r="U1080" s="84"/>
      <c r="V1080" s="84"/>
      <c r="W1080" s="84"/>
      <c r="X1080" s="84"/>
    </row>
    <row r="1081" spans="1:24" ht="15" customHeight="1" x14ac:dyDescent="0.2">
      <c r="A1081" s="84"/>
      <c r="B1081" s="84"/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  <c r="S1081" s="84"/>
      <c r="T1081" s="84"/>
      <c r="U1081" s="84"/>
      <c r="V1081" s="84"/>
      <c r="W1081" s="84"/>
      <c r="X1081" s="84"/>
    </row>
    <row r="1082" spans="1:24" ht="15" customHeight="1" x14ac:dyDescent="0.2">
      <c r="A1082" s="84"/>
      <c r="B1082" s="84"/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  <c r="S1082" s="84"/>
      <c r="T1082" s="84"/>
      <c r="U1082" s="84"/>
      <c r="V1082" s="84"/>
      <c r="W1082" s="84"/>
      <c r="X1082" s="84"/>
    </row>
    <row r="1083" spans="1:24" ht="15" customHeight="1" x14ac:dyDescent="0.2">
      <c r="A1083" s="84"/>
      <c r="B1083" s="84"/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  <c r="S1083" s="84"/>
      <c r="T1083" s="84"/>
      <c r="U1083" s="84"/>
      <c r="V1083" s="84"/>
      <c r="W1083" s="84"/>
      <c r="X1083" s="84"/>
    </row>
    <row r="1084" spans="1:24" ht="15" customHeight="1" x14ac:dyDescent="0.2">
      <c r="A1084" s="84"/>
      <c r="B1084" s="84"/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  <c r="S1084" s="84"/>
      <c r="T1084" s="84"/>
      <c r="U1084" s="84"/>
      <c r="V1084" s="84"/>
      <c r="W1084" s="84"/>
      <c r="X1084" s="84"/>
    </row>
    <row r="1085" spans="1:24" ht="15" customHeight="1" x14ac:dyDescent="0.2">
      <c r="A1085" s="84"/>
      <c r="B1085" s="84"/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  <c r="S1085" s="84"/>
      <c r="T1085" s="84"/>
      <c r="U1085" s="84"/>
      <c r="V1085" s="84"/>
      <c r="W1085" s="84"/>
      <c r="X1085" s="84"/>
    </row>
    <row r="1086" spans="1:24" ht="15" customHeight="1" x14ac:dyDescent="0.2">
      <c r="A1086" s="84"/>
      <c r="B1086" s="84"/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  <c r="S1086" s="84"/>
      <c r="T1086" s="84"/>
      <c r="U1086" s="84"/>
      <c r="V1086" s="84"/>
      <c r="W1086" s="84"/>
      <c r="X1086" s="84"/>
    </row>
    <row r="1087" spans="1:24" ht="15" customHeight="1" x14ac:dyDescent="0.2">
      <c r="A1087" s="84"/>
      <c r="B1087" s="84"/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  <c r="S1087" s="84"/>
      <c r="T1087" s="84"/>
      <c r="U1087" s="84"/>
      <c r="V1087" s="84"/>
      <c r="W1087" s="84"/>
      <c r="X1087" s="84"/>
    </row>
    <row r="1088" spans="1:24" ht="15" customHeight="1" x14ac:dyDescent="0.2">
      <c r="A1088" s="84"/>
      <c r="B1088" s="84"/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  <c r="S1088" s="84"/>
      <c r="T1088" s="84"/>
      <c r="U1088" s="84"/>
      <c r="V1088" s="84"/>
      <c r="W1088" s="84"/>
      <c r="X1088" s="84"/>
    </row>
    <row r="1089" spans="1:24" ht="15" customHeight="1" x14ac:dyDescent="0.2">
      <c r="A1089" s="84"/>
      <c r="B1089" s="84"/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  <c r="S1089" s="84"/>
      <c r="T1089" s="84"/>
      <c r="U1089" s="84"/>
      <c r="V1089" s="84"/>
      <c r="W1089" s="84"/>
      <c r="X1089" s="84"/>
    </row>
    <row r="1090" spans="1:24" ht="15" customHeight="1" x14ac:dyDescent="0.2">
      <c r="A1090" s="84"/>
      <c r="B1090" s="84"/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  <c r="S1090" s="84"/>
      <c r="T1090" s="84"/>
      <c r="U1090" s="84"/>
      <c r="V1090" s="84"/>
      <c r="W1090" s="84"/>
      <c r="X1090" s="84"/>
    </row>
    <row r="1091" spans="1:24" ht="15" customHeight="1" x14ac:dyDescent="0.2">
      <c r="A1091" s="84"/>
      <c r="B1091" s="84"/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  <c r="S1091" s="84"/>
      <c r="T1091" s="84"/>
      <c r="U1091" s="84"/>
      <c r="V1091" s="84"/>
      <c r="W1091" s="84"/>
      <c r="X1091" s="84"/>
    </row>
    <row r="1092" spans="1:24" ht="15" customHeight="1" x14ac:dyDescent="0.2">
      <c r="A1092" s="84"/>
      <c r="B1092" s="84"/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  <c r="S1092" s="84"/>
      <c r="T1092" s="84"/>
      <c r="U1092" s="84"/>
      <c r="V1092" s="84"/>
      <c r="W1092" s="84"/>
      <c r="X1092" s="84"/>
    </row>
    <row r="1093" spans="1:24" ht="15" customHeight="1" x14ac:dyDescent="0.2">
      <c r="A1093" s="84"/>
      <c r="B1093" s="84"/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  <c r="S1093" s="84"/>
      <c r="T1093" s="84"/>
      <c r="U1093" s="84"/>
      <c r="V1093" s="84"/>
      <c r="W1093" s="84"/>
      <c r="X1093" s="84"/>
    </row>
    <row r="1094" spans="1:24" ht="15" customHeight="1" x14ac:dyDescent="0.2">
      <c r="A1094" s="84"/>
      <c r="B1094" s="84"/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  <c r="S1094" s="84"/>
      <c r="T1094" s="84"/>
      <c r="U1094" s="84"/>
      <c r="V1094" s="84"/>
      <c r="W1094" s="84"/>
      <c r="X1094" s="84"/>
    </row>
    <row r="1095" spans="1:24" ht="15" customHeight="1" x14ac:dyDescent="0.2">
      <c r="A1095" s="84"/>
      <c r="B1095" s="84"/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  <c r="R1095" s="84"/>
      <c r="S1095" s="84"/>
      <c r="T1095" s="84"/>
      <c r="U1095" s="84"/>
      <c r="V1095" s="84"/>
      <c r="W1095" s="84"/>
      <c r="X1095" s="84"/>
    </row>
    <row r="1096" spans="1:24" ht="15" customHeight="1" x14ac:dyDescent="0.2">
      <c r="A1096" s="84"/>
      <c r="B1096" s="84"/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  <c r="R1096" s="84"/>
      <c r="S1096" s="84"/>
      <c r="T1096" s="84"/>
      <c r="U1096" s="84"/>
      <c r="V1096" s="84"/>
      <c r="W1096" s="84"/>
      <c r="X1096" s="84"/>
    </row>
    <row r="1097" spans="1:24" ht="15" customHeight="1" x14ac:dyDescent="0.2">
      <c r="A1097" s="84"/>
      <c r="B1097" s="84"/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  <c r="R1097" s="84"/>
      <c r="S1097" s="84"/>
      <c r="T1097" s="84"/>
      <c r="U1097" s="84"/>
      <c r="V1097" s="84"/>
      <c r="W1097" s="84"/>
      <c r="X1097" s="84"/>
    </row>
    <row r="1098" spans="1:24" ht="15" customHeight="1" x14ac:dyDescent="0.2">
      <c r="A1098" s="84"/>
      <c r="B1098" s="84"/>
      <c r="C1098" s="84"/>
      <c r="D1098" s="84"/>
      <c r="E1098" s="84"/>
      <c r="F1098" s="84"/>
      <c r="G1098" s="84"/>
      <c r="H1098" s="84"/>
      <c r="I1098" s="84"/>
      <c r="J1098" s="84"/>
      <c r="K1098" s="84"/>
      <c r="L1098" s="84"/>
      <c r="M1098" s="84"/>
      <c r="N1098" s="84"/>
      <c r="O1098" s="84"/>
      <c r="P1098" s="84"/>
      <c r="Q1098" s="84"/>
      <c r="R1098" s="84"/>
      <c r="S1098" s="84"/>
      <c r="T1098" s="84"/>
      <c r="U1098" s="84"/>
      <c r="V1098" s="84"/>
      <c r="W1098" s="84"/>
      <c r="X1098" s="84"/>
    </row>
    <row r="1099" spans="1:24" ht="15" customHeight="1" x14ac:dyDescent="0.2">
      <c r="A1099" s="84"/>
      <c r="B1099" s="84"/>
      <c r="C1099" s="84"/>
      <c r="D1099" s="84"/>
      <c r="E1099" s="84"/>
      <c r="F1099" s="84"/>
      <c r="G1099" s="84"/>
      <c r="H1099" s="84"/>
      <c r="I1099" s="84"/>
      <c r="J1099" s="84"/>
      <c r="K1099" s="84"/>
      <c r="L1099" s="84"/>
      <c r="M1099" s="84"/>
      <c r="N1099" s="84"/>
      <c r="O1099" s="84"/>
      <c r="P1099" s="84"/>
      <c r="Q1099" s="84"/>
      <c r="R1099" s="84"/>
      <c r="S1099" s="84"/>
      <c r="T1099" s="84"/>
      <c r="U1099" s="84"/>
      <c r="V1099" s="84"/>
      <c r="W1099" s="84"/>
      <c r="X1099" s="84"/>
    </row>
    <row r="1100" spans="1:24" ht="15" customHeight="1" x14ac:dyDescent="0.2">
      <c r="A1100" s="84"/>
      <c r="B1100" s="84"/>
      <c r="C1100" s="84"/>
      <c r="D1100" s="84"/>
      <c r="E1100" s="84"/>
      <c r="F1100" s="84"/>
      <c r="G1100" s="84"/>
      <c r="H1100" s="84"/>
      <c r="I1100" s="84"/>
      <c r="J1100" s="84"/>
      <c r="K1100" s="84"/>
      <c r="L1100" s="84"/>
      <c r="M1100" s="84"/>
      <c r="N1100" s="84"/>
      <c r="O1100" s="84"/>
      <c r="P1100" s="84"/>
      <c r="Q1100" s="84"/>
      <c r="R1100" s="84"/>
      <c r="S1100" s="84"/>
      <c r="T1100" s="84"/>
      <c r="U1100" s="84"/>
      <c r="V1100" s="84"/>
      <c r="W1100" s="84"/>
      <c r="X1100" s="84"/>
    </row>
    <row r="1101" spans="1:24" ht="15" customHeight="1" x14ac:dyDescent="0.2">
      <c r="A1101" s="84"/>
      <c r="B1101" s="84"/>
      <c r="C1101" s="84"/>
      <c r="D1101" s="84"/>
      <c r="E1101" s="84"/>
      <c r="F1101" s="84"/>
      <c r="G1101" s="84"/>
      <c r="H1101" s="84"/>
      <c r="I1101" s="84"/>
      <c r="J1101" s="84"/>
      <c r="K1101" s="84"/>
      <c r="L1101" s="84"/>
      <c r="M1101" s="84"/>
      <c r="N1101" s="84"/>
      <c r="O1101" s="84"/>
      <c r="P1101" s="84"/>
      <c r="Q1101" s="84"/>
      <c r="R1101" s="84"/>
      <c r="S1101" s="84"/>
      <c r="T1101" s="84"/>
      <c r="U1101" s="84"/>
      <c r="V1101" s="84"/>
      <c r="W1101" s="84"/>
      <c r="X1101" s="84"/>
    </row>
    <row r="1102" spans="1:24" ht="15" customHeight="1" x14ac:dyDescent="0.2">
      <c r="A1102" s="84"/>
      <c r="B1102" s="84"/>
      <c r="C1102" s="84"/>
      <c r="D1102" s="84"/>
      <c r="E1102" s="84"/>
      <c r="F1102" s="84"/>
      <c r="G1102" s="84"/>
      <c r="H1102" s="84"/>
      <c r="I1102" s="84"/>
      <c r="J1102" s="84"/>
      <c r="K1102" s="84"/>
      <c r="L1102" s="84"/>
      <c r="M1102" s="84"/>
      <c r="N1102" s="84"/>
      <c r="O1102" s="84"/>
      <c r="P1102" s="84"/>
      <c r="Q1102" s="84"/>
      <c r="R1102" s="84"/>
      <c r="S1102" s="84"/>
      <c r="T1102" s="84"/>
      <c r="U1102" s="84"/>
      <c r="V1102" s="84"/>
      <c r="W1102" s="84"/>
      <c r="X1102" s="84"/>
    </row>
    <row r="1103" spans="1:24" ht="15" customHeight="1" x14ac:dyDescent="0.2">
      <c r="A1103" s="84"/>
      <c r="B1103" s="84"/>
      <c r="C1103" s="84"/>
      <c r="D1103" s="84"/>
      <c r="E1103" s="84"/>
      <c r="F1103" s="84"/>
      <c r="G1103" s="84"/>
      <c r="H1103" s="84"/>
      <c r="I1103" s="84"/>
      <c r="J1103" s="84"/>
      <c r="K1103" s="84"/>
      <c r="L1103" s="84"/>
      <c r="M1103" s="84"/>
      <c r="N1103" s="84"/>
      <c r="O1103" s="84"/>
      <c r="P1103" s="84"/>
      <c r="Q1103" s="84"/>
      <c r="R1103" s="84"/>
      <c r="S1103" s="84"/>
      <c r="T1103" s="84"/>
      <c r="U1103" s="84"/>
      <c r="V1103" s="84"/>
      <c r="W1103" s="84"/>
      <c r="X1103" s="84"/>
    </row>
    <row r="1104" spans="1:24" ht="15" customHeight="1" x14ac:dyDescent="0.2">
      <c r="A1104" s="84"/>
      <c r="B1104" s="84"/>
      <c r="C1104" s="84"/>
      <c r="D1104" s="84"/>
      <c r="E1104" s="84"/>
      <c r="F1104" s="84"/>
      <c r="G1104" s="84"/>
      <c r="H1104" s="84"/>
      <c r="I1104" s="84"/>
      <c r="J1104" s="84"/>
      <c r="K1104" s="84"/>
      <c r="L1104" s="84"/>
      <c r="M1104" s="84"/>
      <c r="N1104" s="84"/>
      <c r="O1104" s="84"/>
      <c r="P1104" s="84"/>
      <c r="Q1104" s="84"/>
      <c r="R1104" s="84"/>
      <c r="S1104" s="84"/>
      <c r="T1104" s="84"/>
      <c r="U1104" s="84"/>
      <c r="V1104" s="84"/>
      <c r="W1104" s="84"/>
      <c r="X1104" s="84"/>
    </row>
    <row r="1105" spans="1:24" ht="15" customHeight="1" x14ac:dyDescent="0.2">
      <c r="A1105" s="84"/>
      <c r="B1105" s="84"/>
      <c r="C1105" s="84"/>
      <c r="D1105" s="84"/>
      <c r="E1105" s="84"/>
      <c r="F1105" s="84"/>
      <c r="G1105" s="84"/>
      <c r="H1105" s="84"/>
      <c r="I1105" s="84"/>
      <c r="J1105" s="84"/>
      <c r="K1105" s="84"/>
      <c r="L1105" s="84"/>
      <c r="M1105" s="84"/>
      <c r="N1105" s="84"/>
      <c r="O1105" s="84"/>
      <c r="P1105" s="84"/>
      <c r="Q1105" s="84"/>
      <c r="R1105" s="84"/>
      <c r="S1105" s="84"/>
      <c r="T1105" s="84"/>
      <c r="U1105" s="84"/>
      <c r="V1105" s="84"/>
      <c r="W1105" s="84"/>
      <c r="X1105" s="84"/>
    </row>
    <row r="1106" spans="1:24" ht="15" customHeight="1" x14ac:dyDescent="0.2">
      <c r="A1106" s="84"/>
      <c r="B1106" s="84"/>
      <c r="C1106" s="84"/>
      <c r="D1106" s="84"/>
      <c r="E1106" s="84"/>
      <c r="F1106" s="84"/>
      <c r="G1106" s="84"/>
      <c r="H1106" s="84"/>
      <c r="I1106" s="84"/>
      <c r="J1106" s="84"/>
      <c r="K1106" s="84"/>
      <c r="L1106" s="84"/>
      <c r="M1106" s="84"/>
      <c r="N1106" s="84"/>
      <c r="O1106" s="84"/>
      <c r="P1106" s="84"/>
      <c r="Q1106" s="84"/>
      <c r="R1106" s="84"/>
      <c r="S1106" s="84"/>
      <c r="T1106" s="84"/>
      <c r="U1106" s="84"/>
      <c r="V1106" s="84"/>
      <c r="W1106" s="84"/>
      <c r="X1106" s="84"/>
    </row>
    <row r="1107" spans="1:24" ht="15" customHeight="1" x14ac:dyDescent="0.2">
      <c r="A1107" s="84"/>
      <c r="B1107" s="84"/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  <c r="S1107" s="84"/>
      <c r="T1107" s="84"/>
      <c r="U1107" s="84"/>
      <c r="V1107" s="84"/>
      <c r="W1107" s="84"/>
      <c r="X1107" s="84"/>
    </row>
    <row r="1108" spans="1:24" ht="15" customHeight="1" x14ac:dyDescent="0.2">
      <c r="A1108" s="84"/>
      <c r="B1108" s="84"/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  <c r="S1108" s="84"/>
      <c r="T1108" s="84"/>
      <c r="U1108" s="84"/>
      <c r="V1108" s="84"/>
      <c r="W1108" s="84"/>
      <c r="X1108" s="84"/>
    </row>
    <row r="1109" spans="1:24" ht="15" customHeight="1" x14ac:dyDescent="0.2">
      <c r="A1109" s="84"/>
      <c r="B1109" s="84"/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  <c r="S1109" s="84"/>
      <c r="T1109" s="84"/>
      <c r="U1109" s="84"/>
      <c r="V1109" s="84"/>
      <c r="W1109" s="84"/>
      <c r="X1109" s="84"/>
    </row>
    <row r="1110" spans="1:24" ht="15" customHeight="1" x14ac:dyDescent="0.2">
      <c r="A1110" s="84"/>
      <c r="B1110" s="84"/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  <c r="S1110" s="84"/>
      <c r="T1110" s="84"/>
      <c r="U1110" s="84"/>
      <c r="V1110" s="84"/>
      <c r="W1110" s="84"/>
      <c r="X1110" s="84"/>
    </row>
    <row r="1111" spans="1:24" ht="15" customHeight="1" x14ac:dyDescent="0.2">
      <c r="A1111" s="84"/>
      <c r="B1111" s="84"/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  <c r="S1111" s="84"/>
      <c r="T1111" s="84"/>
      <c r="U1111" s="84"/>
      <c r="V1111" s="84"/>
      <c r="W1111" s="84"/>
      <c r="X1111" s="84"/>
    </row>
    <row r="1112" spans="1:24" ht="15" customHeight="1" x14ac:dyDescent="0.2">
      <c r="A1112" s="84"/>
      <c r="B1112" s="84"/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  <c r="S1112" s="84"/>
      <c r="T1112" s="84"/>
      <c r="U1112" s="84"/>
      <c r="V1112" s="84"/>
      <c r="W1112" s="84"/>
      <c r="X1112" s="84"/>
    </row>
    <row r="1113" spans="1:24" ht="15" customHeight="1" x14ac:dyDescent="0.2">
      <c r="A1113" s="84"/>
      <c r="B1113" s="84"/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  <c r="S1113" s="84"/>
      <c r="T1113" s="84"/>
      <c r="U1113" s="84"/>
      <c r="V1113" s="84"/>
      <c r="W1113" s="84"/>
      <c r="X1113" s="84"/>
    </row>
    <row r="1114" spans="1:24" ht="15" customHeight="1" x14ac:dyDescent="0.2">
      <c r="A1114" s="84"/>
      <c r="B1114" s="84"/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  <c r="S1114" s="84"/>
      <c r="T1114" s="84"/>
      <c r="U1114" s="84"/>
      <c r="V1114" s="84"/>
      <c r="W1114" s="84"/>
      <c r="X1114" s="84"/>
    </row>
    <row r="1115" spans="1:24" ht="15" customHeight="1" x14ac:dyDescent="0.2">
      <c r="A1115" s="84"/>
      <c r="B1115" s="84"/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  <c r="S1115" s="84"/>
      <c r="T1115" s="84"/>
      <c r="U1115" s="84"/>
      <c r="V1115" s="84"/>
      <c r="W1115" s="84"/>
      <c r="X1115" s="84"/>
    </row>
    <row r="1116" spans="1:24" ht="15" customHeight="1" x14ac:dyDescent="0.2">
      <c r="A1116" s="84"/>
      <c r="B1116" s="84"/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  <c r="S1116" s="84"/>
      <c r="T1116" s="84"/>
      <c r="U1116" s="84"/>
      <c r="V1116" s="84"/>
      <c r="W1116" s="84"/>
      <c r="X1116" s="84"/>
    </row>
    <row r="1117" spans="1:24" ht="15" customHeight="1" x14ac:dyDescent="0.2">
      <c r="A1117" s="84"/>
      <c r="B1117" s="84"/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  <c r="S1117" s="84"/>
      <c r="T1117" s="84"/>
      <c r="U1117" s="84"/>
      <c r="V1117" s="84"/>
      <c r="W1117" s="84"/>
      <c r="X1117" s="84"/>
    </row>
    <row r="1118" spans="1:24" ht="15" customHeight="1" x14ac:dyDescent="0.2">
      <c r="A1118" s="84"/>
      <c r="B1118" s="84"/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  <c r="S1118" s="84"/>
      <c r="T1118" s="84"/>
      <c r="U1118" s="84"/>
      <c r="V1118" s="84"/>
      <c r="W1118" s="84"/>
      <c r="X1118" s="84"/>
    </row>
    <row r="1119" spans="1:24" ht="15" customHeight="1" x14ac:dyDescent="0.2">
      <c r="A1119" s="84"/>
      <c r="B1119" s="84"/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  <c r="S1119" s="84"/>
      <c r="T1119" s="84"/>
      <c r="U1119" s="84"/>
      <c r="V1119" s="84"/>
      <c r="W1119" s="84"/>
      <c r="X1119" s="84"/>
    </row>
    <row r="1120" spans="1:24" ht="15" customHeight="1" x14ac:dyDescent="0.2">
      <c r="A1120" s="84"/>
      <c r="B1120" s="84"/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  <c r="S1120" s="84"/>
      <c r="T1120" s="84"/>
      <c r="U1120" s="84"/>
      <c r="V1120" s="84"/>
      <c r="W1120" s="84"/>
      <c r="X1120" s="84"/>
    </row>
    <row r="1121" spans="1:24" ht="15" customHeight="1" x14ac:dyDescent="0.2">
      <c r="A1121" s="84"/>
      <c r="B1121" s="84"/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  <c r="S1121" s="84"/>
      <c r="T1121" s="84"/>
      <c r="U1121" s="84"/>
      <c r="V1121" s="84"/>
      <c r="W1121" s="84"/>
      <c r="X1121" s="84"/>
    </row>
    <row r="1122" spans="1:24" ht="15" customHeight="1" x14ac:dyDescent="0.2">
      <c r="A1122" s="84"/>
      <c r="B1122" s="84"/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  <c r="S1122" s="84"/>
      <c r="T1122" s="84"/>
      <c r="U1122" s="84"/>
      <c r="V1122" s="84"/>
      <c r="W1122" s="84"/>
      <c r="X1122" s="84"/>
    </row>
    <row r="1123" spans="1:24" ht="15" customHeight="1" x14ac:dyDescent="0.2">
      <c r="A1123" s="84"/>
      <c r="B1123" s="84"/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  <c r="S1123" s="84"/>
      <c r="T1123" s="84"/>
      <c r="U1123" s="84"/>
      <c r="V1123" s="84"/>
      <c r="W1123" s="84"/>
      <c r="X1123" s="84"/>
    </row>
    <row r="1124" spans="1:24" ht="15" customHeight="1" x14ac:dyDescent="0.2">
      <c r="A1124" s="84"/>
      <c r="B1124" s="84"/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  <c r="S1124" s="84"/>
      <c r="T1124" s="84"/>
      <c r="U1124" s="84"/>
      <c r="V1124" s="84"/>
      <c r="W1124" s="84"/>
      <c r="X1124" s="84"/>
    </row>
    <row r="1125" spans="1:24" ht="15" customHeight="1" x14ac:dyDescent="0.2">
      <c r="A1125" s="84"/>
      <c r="B1125" s="84"/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  <c r="S1125" s="84"/>
      <c r="T1125" s="84"/>
      <c r="U1125" s="84"/>
      <c r="V1125" s="84"/>
      <c r="W1125" s="84"/>
      <c r="X1125" s="84"/>
    </row>
    <row r="1126" spans="1:24" ht="15" customHeight="1" x14ac:dyDescent="0.2">
      <c r="A1126" s="84"/>
      <c r="B1126" s="84"/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  <c r="S1126" s="84"/>
      <c r="T1126" s="84"/>
      <c r="U1126" s="84"/>
      <c r="V1126" s="84"/>
      <c r="W1126" s="84"/>
      <c r="X1126" s="84"/>
    </row>
    <row r="1127" spans="1:24" ht="15" customHeight="1" x14ac:dyDescent="0.2">
      <c r="A1127" s="84"/>
      <c r="B1127" s="84"/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  <c r="S1127" s="84"/>
      <c r="T1127" s="84"/>
      <c r="U1127" s="84"/>
      <c r="V1127" s="84"/>
      <c r="W1127" s="84"/>
      <c r="X1127" s="84"/>
    </row>
    <row r="1128" spans="1:24" ht="15" customHeight="1" x14ac:dyDescent="0.2">
      <c r="A1128" s="84"/>
      <c r="B1128" s="84"/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  <c r="S1128" s="84"/>
      <c r="T1128" s="84"/>
      <c r="U1128" s="84"/>
      <c r="V1128" s="84"/>
      <c r="W1128" s="84"/>
      <c r="X1128" s="84"/>
    </row>
    <row r="1129" spans="1:24" ht="15" customHeight="1" x14ac:dyDescent="0.2">
      <c r="A1129" s="84"/>
      <c r="B1129" s="84"/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  <c r="S1129" s="84"/>
      <c r="T1129" s="84"/>
      <c r="U1129" s="84"/>
      <c r="V1129" s="84"/>
      <c r="W1129" s="84"/>
      <c r="X1129" s="84"/>
    </row>
    <row r="1130" spans="1:24" ht="15" customHeight="1" x14ac:dyDescent="0.2">
      <c r="A1130" s="84"/>
      <c r="B1130" s="84"/>
      <c r="C1130" s="84"/>
      <c r="D1130" s="84"/>
      <c r="E1130" s="84"/>
      <c r="F1130" s="84"/>
      <c r="G1130" s="84"/>
      <c r="H1130" s="84"/>
      <c r="I1130" s="84"/>
      <c r="J1130" s="84"/>
      <c r="K1130" s="84"/>
      <c r="L1130" s="84"/>
      <c r="M1130" s="84"/>
      <c r="N1130" s="84"/>
      <c r="O1130" s="84"/>
      <c r="P1130" s="84"/>
      <c r="Q1130" s="84"/>
      <c r="R1130" s="84"/>
      <c r="S1130" s="84"/>
      <c r="T1130" s="84"/>
      <c r="U1130" s="84"/>
      <c r="V1130" s="84"/>
      <c r="W1130" s="84"/>
      <c r="X1130" s="84"/>
    </row>
    <row r="1131" spans="1:24" ht="15" customHeight="1" x14ac:dyDescent="0.2">
      <c r="A1131" s="84"/>
      <c r="B1131" s="84"/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  <c r="S1131" s="84"/>
      <c r="T1131" s="84"/>
      <c r="U1131" s="84"/>
      <c r="V1131" s="84"/>
      <c r="W1131" s="84"/>
      <c r="X1131" s="84"/>
    </row>
    <row r="1132" spans="1:24" ht="15" customHeight="1" x14ac:dyDescent="0.2">
      <c r="A1132" s="84"/>
      <c r="B1132" s="84"/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  <c r="S1132" s="84"/>
      <c r="T1132" s="84"/>
      <c r="U1132" s="84"/>
      <c r="V1132" s="84"/>
      <c r="W1132" s="84"/>
      <c r="X1132" s="84"/>
    </row>
    <row r="1133" spans="1:24" ht="15" customHeight="1" x14ac:dyDescent="0.2">
      <c r="A1133" s="84"/>
      <c r="B1133" s="84"/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  <c r="S1133" s="84"/>
      <c r="T1133" s="84"/>
      <c r="U1133" s="84"/>
      <c r="V1133" s="84"/>
      <c r="W1133" s="84"/>
      <c r="X1133" s="84"/>
    </row>
    <row r="1134" spans="1:24" ht="15" customHeight="1" x14ac:dyDescent="0.2">
      <c r="A1134" s="84"/>
      <c r="B1134" s="84"/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  <c r="S1134" s="84"/>
      <c r="T1134" s="84"/>
      <c r="U1134" s="84"/>
      <c r="V1134" s="84"/>
      <c r="W1134" s="84"/>
      <c r="X1134" s="84"/>
    </row>
    <row r="1135" spans="1:24" ht="15" customHeight="1" x14ac:dyDescent="0.2">
      <c r="A1135" s="84"/>
      <c r="B1135" s="84"/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  <c r="S1135" s="84"/>
      <c r="T1135" s="84"/>
      <c r="U1135" s="84"/>
      <c r="V1135" s="84"/>
      <c r="W1135" s="84"/>
      <c r="X1135" s="84"/>
    </row>
    <row r="1136" spans="1:24" ht="15" customHeight="1" x14ac:dyDescent="0.2">
      <c r="A1136" s="84"/>
      <c r="B1136" s="84"/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  <c r="S1136" s="84"/>
      <c r="T1136" s="84"/>
      <c r="U1136" s="84"/>
      <c r="V1136" s="84"/>
      <c r="W1136" s="84"/>
      <c r="X1136" s="84"/>
    </row>
    <row r="1137" spans="1:24" ht="15" customHeight="1" x14ac:dyDescent="0.2">
      <c r="A1137" s="84"/>
      <c r="B1137" s="84"/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  <c r="S1137" s="84"/>
      <c r="T1137" s="84"/>
      <c r="U1137" s="84"/>
      <c r="V1137" s="84"/>
      <c r="W1137" s="84"/>
      <c r="X1137" s="84"/>
    </row>
    <row r="1138" spans="1:24" ht="15" customHeight="1" x14ac:dyDescent="0.2">
      <c r="A1138" s="84"/>
      <c r="B1138" s="84"/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  <c r="S1138" s="84"/>
      <c r="T1138" s="84"/>
      <c r="U1138" s="84"/>
      <c r="V1138" s="84"/>
      <c r="W1138" s="84"/>
      <c r="X1138" s="84"/>
    </row>
    <row r="1139" spans="1:24" ht="15" customHeight="1" x14ac:dyDescent="0.2">
      <c r="A1139" s="84"/>
      <c r="B1139" s="84"/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  <c r="S1139" s="84"/>
      <c r="T1139" s="84"/>
      <c r="U1139" s="84"/>
      <c r="V1139" s="84"/>
      <c r="W1139" s="84"/>
      <c r="X1139" s="84"/>
    </row>
    <row r="1140" spans="1:24" ht="15" customHeight="1" x14ac:dyDescent="0.2">
      <c r="A1140" s="84"/>
      <c r="B1140" s="84"/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  <c r="S1140" s="84"/>
      <c r="T1140" s="84"/>
      <c r="U1140" s="84"/>
      <c r="V1140" s="84"/>
      <c r="W1140" s="84"/>
      <c r="X1140" s="84"/>
    </row>
    <row r="1141" spans="1:24" ht="15" customHeight="1" x14ac:dyDescent="0.2">
      <c r="A1141" s="84"/>
      <c r="B1141" s="84"/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  <c r="S1141" s="84"/>
      <c r="T1141" s="84"/>
      <c r="U1141" s="84"/>
      <c r="V1141" s="84"/>
      <c r="W1141" s="84"/>
      <c r="X1141" s="84"/>
    </row>
    <row r="1142" spans="1:24" ht="15" customHeight="1" x14ac:dyDescent="0.2">
      <c r="A1142" s="84"/>
      <c r="B1142" s="84"/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  <c r="S1142" s="84"/>
      <c r="T1142" s="84"/>
      <c r="U1142" s="84"/>
      <c r="V1142" s="84"/>
      <c r="W1142" s="84"/>
      <c r="X1142" s="84"/>
    </row>
    <row r="1143" spans="1:24" ht="15" customHeight="1" x14ac:dyDescent="0.2">
      <c r="A1143" s="84"/>
      <c r="B1143" s="84"/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  <c r="R1143" s="84"/>
      <c r="S1143" s="84"/>
      <c r="T1143" s="84"/>
      <c r="U1143" s="84"/>
      <c r="V1143" s="84"/>
      <c r="W1143" s="84"/>
      <c r="X1143" s="84"/>
    </row>
    <row r="1144" spans="1:24" ht="15" customHeight="1" x14ac:dyDescent="0.2">
      <c r="A1144" s="84"/>
      <c r="B1144" s="84"/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  <c r="R1144" s="84"/>
      <c r="S1144" s="84"/>
      <c r="T1144" s="84"/>
      <c r="U1144" s="84"/>
      <c r="V1144" s="84"/>
      <c r="W1144" s="84"/>
      <c r="X1144" s="84"/>
    </row>
    <row r="1145" spans="1:24" ht="15" customHeight="1" x14ac:dyDescent="0.2">
      <c r="A1145" s="84"/>
      <c r="B1145" s="84"/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  <c r="R1145" s="84"/>
      <c r="S1145" s="84"/>
      <c r="T1145" s="84"/>
      <c r="U1145" s="84"/>
      <c r="V1145" s="84"/>
      <c r="W1145" s="84"/>
      <c r="X1145" s="84"/>
    </row>
    <row r="1146" spans="1:24" ht="15" customHeight="1" x14ac:dyDescent="0.2">
      <c r="A1146" s="84"/>
      <c r="B1146" s="84"/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  <c r="R1146" s="84"/>
      <c r="S1146" s="84"/>
      <c r="T1146" s="84"/>
      <c r="U1146" s="84"/>
      <c r="V1146" s="84"/>
      <c r="W1146" s="84"/>
      <c r="X1146" s="84"/>
    </row>
    <row r="1147" spans="1:24" ht="15" customHeight="1" x14ac:dyDescent="0.2">
      <c r="A1147" s="84"/>
      <c r="B1147" s="84"/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  <c r="R1147" s="84"/>
      <c r="S1147" s="84"/>
      <c r="T1147" s="84"/>
      <c r="U1147" s="84"/>
      <c r="V1147" s="84"/>
      <c r="W1147" s="84"/>
      <c r="X1147" s="84"/>
    </row>
    <row r="1148" spans="1:24" ht="15" customHeight="1" x14ac:dyDescent="0.2">
      <c r="A1148" s="84"/>
      <c r="B1148" s="84"/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  <c r="R1148" s="84"/>
      <c r="S1148" s="84"/>
      <c r="T1148" s="84"/>
      <c r="U1148" s="84"/>
      <c r="V1148" s="84"/>
      <c r="W1148" s="84"/>
      <c r="X1148" s="84"/>
    </row>
    <row r="1149" spans="1:24" ht="15" customHeight="1" x14ac:dyDescent="0.2">
      <c r="A1149" s="84"/>
      <c r="B1149" s="84"/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  <c r="R1149" s="84"/>
      <c r="S1149" s="84"/>
      <c r="T1149" s="84"/>
      <c r="U1149" s="84"/>
      <c r="V1149" s="84"/>
      <c r="W1149" s="84"/>
      <c r="X1149" s="84"/>
    </row>
    <row r="1150" spans="1:24" ht="15" customHeight="1" x14ac:dyDescent="0.2">
      <c r="A1150" s="84"/>
      <c r="B1150" s="84"/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  <c r="R1150" s="84"/>
      <c r="S1150" s="84"/>
      <c r="T1150" s="84"/>
      <c r="U1150" s="84"/>
      <c r="V1150" s="84"/>
      <c r="W1150" s="84"/>
      <c r="X1150" s="84"/>
    </row>
    <row r="1151" spans="1:24" ht="15" customHeight="1" x14ac:dyDescent="0.2">
      <c r="A1151" s="84"/>
      <c r="B1151" s="84"/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  <c r="R1151" s="84"/>
      <c r="S1151" s="84"/>
      <c r="T1151" s="84"/>
      <c r="U1151" s="84"/>
      <c r="V1151" s="84"/>
      <c r="W1151" s="84"/>
      <c r="X1151" s="84"/>
    </row>
    <row r="1152" spans="1:24" ht="15" customHeight="1" x14ac:dyDescent="0.2">
      <c r="A1152" s="84"/>
      <c r="B1152" s="84"/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  <c r="R1152" s="84"/>
      <c r="S1152" s="84"/>
      <c r="T1152" s="84"/>
      <c r="U1152" s="84"/>
      <c r="V1152" s="84"/>
      <c r="W1152" s="84"/>
      <c r="X1152" s="84"/>
    </row>
    <row r="1153" spans="1:24" ht="15" customHeight="1" x14ac:dyDescent="0.2">
      <c r="A1153" s="84"/>
      <c r="B1153" s="84"/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  <c r="S1153" s="84"/>
      <c r="T1153" s="84"/>
      <c r="U1153" s="84"/>
      <c r="V1153" s="84"/>
      <c r="W1153" s="84"/>
      <c r="X1153" s="84"/>
    </row>
    <row r="1154" spans="1:24" ht="15" customHeight="1" x14ac:dyDescent="0.2">
      <c r="A1154" s="84"/>
      <c r="B1154" s="84"/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  <c r="S1154" s="84"/>
      <c r="T1154" s="84"/>
      <c r="U1154" s="84"/>
      <c r="V1154" s="84"/>
      <c r="W1154" s="84"/>
      <c r="X1154" s="84"/>
    </row>
    <row r="1155" spans="1:24" ht="15" customHeight="1" x14ac:dyDescent="0.2">
      <c r="A1155" s="84"/>
      <c r="B1155" s="84"/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  <c r="S1155" s="84"/>
      <c r="T1155" s="84"/>
      <c r="U1155" s="84"/>
      <c r="V1155" s="84"/>
      <c r="W1155" s="84"/>
      <c r="X1155" s="84"/>
    </row>
    <row r="1156" spans="1:24" ht="15" customHeight="1" x14ac:dyDescent="0.2">
      <c r="A1156" s="84"/>
      <c r="B1156" s="84"/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  <c r="S1156" s="84"/>
      <c r="T1156" s="84"/>
      <c r="U1156" s="84"/>
      <c r="V1156" s="84"/>
      <c r="W1156" s="84"/>
      <c r="X1156" s="84"/>
    </row>
    <row r="1157" spans="1:24" ht="15" customHeight="1" x14ac:dyDescent="0.2">
      <c r="A1157" s="84"/>
      <c r="B1157" s="84"/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  <c r="S1157" s="84"/>
      <c r="T1157" s="84"/>
      <c r="U1157" s="84"/>
      <c r="V1157" s="84"/>
      <c r="W1157" s="84"/>
      <c r="X1157" s="84"/>
    </row>
    <row r="1158" spans="1:24" ht="15" customHeight="1" x14ac:dyDescent="0.2">
      <c r="A1158" s="84"/>
      <c r="B1158" s="84"/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  <c r="S1158" s="84"/>
      <c r="T1158" s="84"/>
      <c r="U1158" s="84"/>
      <c r="V1158" s="84"/>
      <c r="W1158" s="84"/>
      <c r="X1158" s="84"/>
    </row>
    <row r="1159" spans="1:24" ht="15" customHeight="1" x14ac:dyDescent="0.2">
      <c r="A1159" s="84"/>
      <c r="B1159" s="84"/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  <c r="S1159" s="84"/>
      <c r="T1159" s="84"/>
      <c r="U1159" s="84"/>
      <c r="V1159" s="84"/>
      <c r="W1159" s="84"/>
      <c r="X1159" s="84"/>
    </row>
    <row r="1160" spans="1:24" ht="15" customHeight="1" x14ac:dyDescent="0.2">
      <c r="A1160" s="84"/>
      <c r="B1160" s="84"/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  <c r="S1160" s="84"/>
      <c r="T1160" s="84"/>
      <c r="U1160" s="84"/>
      <c r="V1160" s="84"/>
      <c r="W1160" s="84"/>
      <c r="X1160" s="84"/>
    </row>
    <row r="1161" spans="1:24" ht="15" customHeight="1" x14ac:dyDescent="0.2">
      <c r="A1161" s="84"/>
      <c r="B1161" s="84"/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  <c r="S1161" s="84"/>
      <c r="T1161" s="84"/>
      <c r="U1161" s="84"/>
      <c r="V1161" s="84"/>
      <c r="W1161" s="84"/>
      <c r="X1161" s="84"/>
    </row>
    <row r="1162" spans="1:24" ht="15" customHeight="1" x14ac:dyDescent="0.2">
      <c r="A1162" s="84"/>
      <c r="B1162" s="84"/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  <c r="S1162" s="84"/>
      <c r="T1162" s="84"/>
      <c r="U1162" s="84"/>
      <c r="V1162" s="84"/>
      <c r="W1162" s="84"/>
      <c r="X1162" s="84"/>
    </row>
    <row r="1163" spans="1:24" ht="15" customHeight="1" x14ac:dyDescent="0.2">
      <c r="A1163" s="84"/>
      <c r="B1163" s="84"/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  <c r="S1163" s="84"/>
      <c r="T1163" s="84"/>
      <c r="U1163" s="84"/>
      <c r="V1163" s="84"/>
      <c r="W1163" s="84"/>
      <c r="X1163" s="84"/>
    </row>
    <row r="1164" spans="1:24" ht="15" customHeight="1" x14ac:dyDescent="0.2">
      <c r="A1164" s="84"/>
      <c r="B1164" s="84"/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  <c r="S1164" s="84"/>
      <c r="T1164" s="84"/>
      <c r="U1164" s="84"/>
      <c r="V1164" s="84"/>
      <c r="W1164" s="84"/>
      <c r="X1164" s="84"/>
    </row>
    <row r="1165" spans="1:24" ht="15" customHeight="1" x14ac:dyDescent="0.2">
      <c r="A1165" s="84"/>
      <c r="B1165" s="84"/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  <c r="S1165" s="84"/>
      <c r="T1165" s="84"/>
      <c r="U1165" s="84"/>
      <c r="V1165" s="84"/>
      <c r="W1165" s="84"/>
      <c r="X1165" s="84"/>
    </row>
    <row r="1166" spans="1:24" ht="15" customHeight="1" x14ac:dyDescent="0.2">
      <c r="A1166" s="84"/>
      <c r="B1166" s="84"/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  <c r="S1166" s="84"/>
      <c r="T1166" s="84"/>
      <c r="U1166" s="84"/>
      <c r="V1166" s="84"/>
      <c r="W1166" s="84"/>
      <c r="X1166" s="84"/>
    </row>
    <row r="1167" spans="1:24" ht="15" customHeight="1" x14ac:dyDescent="0.2">
      <c r="A1167" s="84"/>
      <c r="B1167" s="84"/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  <c r="S1167" s="84"/>
      <c r="T1167" s="84"/>
      <c r="U1167" s="84"/>
      <c r="V1167" s="84"/>
      <c r="W1167" s="84"/>
      <c r="X1167" s="84"/>
    </row>
    <row r="1168" spans="1:24" ht="15" customHeight="1" x14ac:dyDescent="0.2">
      <c r="A1168" s="84"/>
      <c r="B1168" s="84"/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  <c r="S1168" s="84"/>
      <c r="T1168" s="84"/>
      <c r="U1168" s="84"/>
      <c r="V1168" s="84"/>
      <c r="W1168" s="84"/>
      <c r="X1168" s="84"/>
    </row>
    <row r="1169" spans="1:24" ht="15" customHeight="1" x14ac:dyDescent="0.2">
      <c r="A1169" s="84"/>
      <c r="B1169" s="84"/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  <c r="S1169" s="84"/>
      <c r="T1169" s="84"/>
      <c r="U1169" s="84"/>
      <c r="V1169" s="84"/>
      <c r="W1169" s="84"/>
      <c r="X1169" s="84"/>
    </row>
    <row r="1170" spans="1:24" ht="15" customHeight="1" x14ac:dyDescent="0.2">
      <c r="A1170" s="84"/>
      <c r="B1170" s="84"/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  <c r="S1170" s="84"/>
      <c r="T1170" s="84"/>
      <c r="U1170" s="84"/>
      <c r="V1170" s="84"/>
      <c r="W1170" s="84"/>
      <c r="X1170" s="84"/>
    </row>
    <row r="1171" spans="1:24" ht="15" customHeight="1" x14ac:dyDescent="0.2">
      <c r="A1171" s="84"/>
      <c r="B1171" s="84"/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  <c r="S1171" s="84"/>
      <c r="T1171" s="84"/>
      <c r="U1171" s="84"/>
      <c r="V1171" s="84"/>
      <c r="W1171" s="84"/>
      <c r="X1171" s="84"/>
    </row>
    <row r="1172" spans="1:24" ht="15" customHeight="1" x14ac:dyDescent="0.2">
      <c r="A1172" s="84"/>
      <c r="B1172" s="84"/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  <c r="S1172" s="84"/>
      <c r="T1172" s="84"/>
      <c r="U1172" s="84"/>
      <c r="V1172" s="84"/>
      <c r="W1172" s="84"/>
      <c r="X1172" s="84"/>
    </row>
    <row r="1173" spans="1:24" ht="15" customHeight="1" x14ac:dyDescent="0.2">
      <c r="A1173" s="84"/>
      <c r="B1173" s="84"/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  <c r="S1173" s="84"/>
      <c r="T1173" s="84"/>
      <c r="U1173" s="84"/>
      <c r="V1173" s="84"/>
      <c r="W1173" s="84"/>
      <c r="X1173" s="84"/>
    </row>
    <row r="1174" spans="1:24" ht="15" customHeight="1" x14ac:dyDescent="0.2">
      <c r="A1174" s="84"/>
      <c r="B1174" s="84"/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  <c r="S1174" s="84"/>
      <c r="T1174" s="84"/>
      <c r="U1174" s="84"/>
      <c r="V1174" s="84"/>
      <c r="W1174" s="84"/>
      <c r="X1174" s="84"/>
    </row>
    <row r="1175" spans="1:24" ht="15" customHeight="1" x14ac:dyDescent="0.2">
      <c r="A1175" s="84"/>
      <c r="B1175" s="84"/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  <c r="S1175" s="84"/>
      <c r="T1175" s="84"/>
      <c r="U1175" s="84"/>
      <c r="V1175" s="84"/>
      <c r="W1175" s="84"/>
      <c r="X1175" s="84"/>
    </row>
    <row r="1176" spans="1:24" ht="15" customHeight="1" x14ac:dyDescent="0.2">
      <c r="A1176" s="84"/>
      <c r="B1176" s="84"/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  <c r="R1176" s="84"/>
      <c r="S1176" s="84"/>
      <c r="T1176" s="84"/>
      <c r="U1176" s="84"/>
      <c r="V1176" s="84"/>
      <c r="W1176" s="84"/>
      <c r="X1176" s="84"/>
    </row>
    <row r="1177" spans="1:24" ht="15" customHeight="1" x14ac:dyDescent="0.2">
      <c r="A1177" s="84"/>
      <c r="B1177" s="84"/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  <c r="R1177" s="84"/>
      <c r="S1177" s="84"/>
      <c r="T1177" s="84"/>
      <c r="U1177" s="84"/>
      <c r="V1177" s="84"/>
      <c r="W1177" s="84"/>
      <c r="X1177" s="84"/>
    </row>
    <row r="1178" spans="1:24" ht="15" customHeight="1" x14ac:dyDescent="0.2">
      <c r="A1178" s="84"/>
      <c r="B1178" s="84"/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  <c r="R1178" s="84"/>
      <c r="S1178" s="84"/>
      <c r="T1178" s="84"/>
      <c r="U1178" s="84"/>
      <c r="V1178" s="84"/>
      <c r="W1178" s="84"/>
      <c r="X1178" s="84"/>
    </row>
    <row r="1179" spans="1:24" ht="15" customHeight="1" x14ac:dyDescent="0.2">
      <c r="A1179" s="84"/>
      <c r="B1179" s="84"/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  <c r="S1179" s="84"/>
      <c r="T1179" s="84"/>
      <c r="U1179" s="84"/>
      <c r="V1179" s="84"/>
      <c r="W1179" s="84"/>
      <c r="X1179" s="84"/>
    </row>
    <row r="1180" spans="1:24" ht="15" customHeight="1" x14ac:dyDescent="0.2">
      <c r="A1180" s="84"/>
      <c r="B1180" s="84"/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  <c r="S1180" s="84"/>
      <c r="T1180" s="84"/>
      <c r="U1180" s="84"/>
      <c r="V1180" s="84"/>
      <c r="W1180" s="84"/>
      <c r="X1180" s="84"/>
    </row>
    <row r="1181" spans="1:24" ht="15" customHeight="1" x14ac:dyDescent="0.2">
      <c r="A1181" s="84"/>
      <c r="B1181" s="84"/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  <c r="S1181" s="84"/>
      <c r="T1181" s="84"/>
      <c r="U1181" s="84"/>
      <c r="V1181" s="84"/>
      <c r="W1181" s="84"/>
      <c r="X1181" s="84"/>
    </row>
    <row r="1182" spans="1:24" ht="15" customHeight="1" x14ac:dyDescent="0.2">
      <c r="A1182" s="84"/>
      <c r="B1182" s="84"/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  <c r="S1182" s="84"/>
      <c r="T1182" s="84"/>
      <c r="U1182" s="84"/>
      <c r="V1182" s="84"/>
      <c r="W1182" s="84"/>
      <c r="X1182" s="84"/>
    </row>
    <row r="1183" spans="1:24" ht="15" customHeight="1" x14ac:dyDescent="0.2">
      <c r="A1183" s="84"/>
      <c r="B1183" s="84"/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  <c r="S1183" s="84"/>
      <c r="T1183" s="84"/>
      <c r="U1183" s="84"/>
      <c r="V1183" s="84"/>
      <c r="W1183" s="84"/>
      <c r="X1183" s="84"/>
    </row>
    <row r="1184" spans="1:24" ht="15" customHeight="1" x14ac:dyDescent="0.2">
      <c r="A1184" s="84"/>
      <c r="B1184" s="84"/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  <c r="S1184" s="84"/>
      <c r="T1184" s="84"/>
      <c r="U1184" s="84"/>
      <c r="V1184" s="84"/>
      <c r="W1184" s="84"/>
      <c r="X1184" s="84"/>
    </row>
    <row r="1185" spans="1:24" ht="15" customHeight="1" x14ac:dyDescent="0.2">
      <c r="A1185" s="84"/>
      <c r="B1185" s="84"/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  <c r="S1185" s="84"/>
      <c r="T1185" s="84"/>
      <c r="U1185" s="84"/>
      <c r="V1185" s="84"/>
      <c r="W1185" s="84"/>
      <c r="X1185" s="84"/>
    </row>
    <row r="1186" spans="1:24" ht="15" customHeight="1" x14ac:dyDescent="0.2">
      <c r="A1186" s="84"/>
      <c r="B1186" s="84"/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  <c r="S1186" s="84"/>
      <c r="T1186" s="84"/>
      <c r="U1186" s="84"/>
      <c r="V1186" s="84"/>
      <c r="W1186" s="84"/>
      <c r="X1186" s="84"/>
    </row>
    <row r="1187" spans="1:24" ht="15" customHeight="1" x14ac:dyDescent="0.2">
      <c r="A1187" s="84"/>
      <c r="B1187" s="84"/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  <c r="S1187" s="84"/>
      <c r="T1187" s="84"/>
      <c r="U1187" s="84"/>
      <c r="V1187" s="84"/>
      <c r="W1187" s="84"/>
      <c r="X1187" s="84"/>
    </row>
    <row r="1188" spans="1:24" ht="15" customHeight="1" x14ac:dyDescent="0.2">
      <c r="A1188" s="84"/>
      <c r="B1188" s="84"/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  <c r="S1188" s="84"/>
      <c r="T1188" s="84"/>
      <c r="U1188" s="84"/>
      <c r="V1188" s="84"/>
      <c r="W1188" s="84"/>
      <c r="X1188" s="84"/>
    </row>
    <row r="1189" spans="1:24" ht="15" customHeight="1" x14ac:dyDescent="0.2">
      <c r="A1189" s="84"/>
      <c r="B1189" s="84"/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  <c r="S1189" s="84"/>
      <c r="T1189" s="84"/>
      <c r="U1189" s="84"/>
      <c r="V1189" s="84"/>
      <c r="W1189" s="84"/>
      <c r="X1189" s="84"/>
    </row>
    <row r="1190" spans="1:24" ht="15" customHeight="1" x14ac:dyDescent="0.2">
      <c r="A1190" s="84"/>
      <c r="B1190" s="84"/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  <c r="S1190" s="84"/>
      <c r="T1190" s="84"/>
      <c r="U1190" s="84"/>
      <c r="V1190" s="84"/>
      <c r="W1190" s="84"/>
      <c r="X1190" s="84"/>
    </row>
    <row r="1191" spans="1:24" ht="15" customHeight="1" x14ac:dyDescent="0.2">
      <c r="A1191" s="84"/>
      <c r="B1191" s="84"/>
      <c r="C1191" s="84"/>
      <c r="D1191" s="84"/>
      <c r="E1191" s="84"/>
      <c r="F1191" s="84"/>
      <c r="G1191" s="84"/>
      <c r="H1191" s="84"/>
      <c r="I1191" s="84"/>
      <c r="J1191" s="84"/>
      <c r="K1191" s="84"/>
      <c r="L1191" s="84"/>
      <c r="M1191" s="84"/>
      <c r="N1191" s="84"/>
      <c r="O1191" s="84"/>
      <c r="P1191" s="84"/>
      <c r="Q1191" s="84"/>
      <c r="R1191" s="84"/>
      <c r="S1191" s="84"/>
      <c r="T1191" s="84"/>
      <c r="U1191" s="84"/>
      <c r="V1191" s="84"/>
      <c r="W1191" s="84"/>
      <c r="X1191" s="84"/>
    </row>
    <row r="1192" spans="1:24" ht="15" customHeight="1" x14ac:dyDescent="0.2">
      <c r="A1192" s="84"/>
      <c r="B1192" s="84"/>
      <c r="C1192" s="84"/>
      <c r="D1192" s="84"/>
      <c r="E1192" s="84"/>
      <c r="F1192" s="84"/>
      <c r="G1192" s="84"/>
      <c r="H1192" s="84"/>
      <c r="I1192" s="84"/>
      <c r="J1192" s="84"/>
      <c r="K1192" s="84"/>
      <c r="L1192" s="84"/>
      <c r="M1192" s="84"/>
      <c r="N1192" s="84"/>
      <c r="O1192" s="84"/>
      <c r="P1192" s="84"/>
      <c r="Q1192" s="84"/>
      <c r="R1192" s="84"/>
      <c r="S1192" s="84"/>
      <c r="T1192" s="84"/>
      <c r="U1192" s="84"/>
      <c r="V1192" s="84"/>
      <c r="W1192" s="84"/>
      <c r="X1192" s="84"/>
    </row>
    <row r="1193" spans="1:24" ht="15" customHeight="1" x14ac:dyDescent="0.2">
      <c r="A1193" s="84"/>
      <c r="B1193" s="84"/>
      <c r="C1193" s="84"/>
      <c r="D1193" s="84"/>
      <c r="E1193" s="84"/>
      <c r="F1193" s="84"/>
      <c r="G1193" s="84"/>
      <c r="H1193" s="84"/>
      <c r="I1193" s="84"/>
      <c r="J1193" s="84"/>
      <c r="K1193" s="84"/>
      <c r="L1193" s="84"/>
      <c r="M1193" s="84"/>
      <c r="N1193" s="84"/>
      <c r="O1193" s="84"/>
      <c r="P1193" s="84"/>
      <c r="Q1193" s="84"/>
      <c r="R1193" s="84"/>
      <c r="S1193" s="84"/>
      <c r="T1193" s="84"/>
      <c r="U1193" s="84"/>
      <c r="V1193" s="84"/>
      <c r="W1193" s="84"/>
      <c r="X1193" s="84"/>
    </row>
    <row r="1194" spans="1:24" ht="15" customHeight="1" x14ac:dyDescent="0.2">
      <c r="A1194" s="84"/>
      <c r="B1194" s="84"/>
      <c r="C1194" s="84"/>
      <c r="D1194" s="84"/>
      <c r="E1194" s="84"/>
      <c r="F1194" s="84"/>
      <c r="G1194" s="84"/>
      <c r="H1194" s="84"/>
      <c r="I1194" s="84"/>
      <c r="J1194" s="84"/>
      <c r="K1194" s="84"/>
      <c r="L1194" s="84"/>
      <c r="M1194" s="84"/>
      <c r="N1194" s="84"/>
      <c r="O1194" s="84"/>
      <c r="P1194" s="84"/>
      <c r="Q1194" s="84"/>
      <c r="R1194" s="84"/>
      <c r="S1194" s="84"/>
      <c r="T1194" s="84"/>
      <c r="U1194" s="84"/>
      <c r="V1194" s="84"/>
      <c r="W1194" s="84"/>
      <c r="X1194" s="84"/>
    </row>
    <row r="1195" spans="1:24" ht="15" customHeight="1" x14ac:dyDescent="0.2">
      <c r="A1195" s="84"/>
      <c r="B1195" s="84"/>
      <c r="C1195" s="84"/>
      <c r="D1195" s="84"/>
      <c r="E1195" s="84"/>
      <c r="F1195" s="84"/>
      <c r="G1195" s="84"/>
      <c r="H1195" s="84"/>
      <c r="I1195" s="84"/>
      <c r="J1195" s="84"/>
      <c r="K1195" s="84"/>
      <c r="L1195" s="84"/>
      <c r="M1195" s="84"/>
      <c r="N1195" s="84"/>
      <c r="O1195" s="84"/>
      <c r="P1195" s="84"/>
      <c r="Q1195" s="84"/>
      <c r="R1195" s="84"/>
      <c r="S1195" s="84"/>
      <c r="T1195" s="84"/>
      <c r="U1195" s="84"/>
      <c r="V1195" s="84"/>
      <c r="W1195" s="84"/>
      <c r="X1195" s="84"/>
    </row>
    <row r="1196" spans="1:24" ht="15" customHeight="1" x14ac:dyDescent="0.2">
      <c r="A1196" s="84"/>
      <c r="B1196" s="84"/>
      <c r="C1196" s="84"/>
      <c r="D1196" s="84"/>
      <c r="E1196" s="84"/>
      <c r="F1196" s="84"/>
      <c r="G1196" s="84"/>
      <c r="H1196" s="84"/>
      <c r="I1196" s="84"/>
      <c r="J1196" s="84"/>
      <c r="K1196" s="84"/>
      <c r="L1196" s="84"/>
      <c r="M1196" s="84"/>
      <c r="N1196" s="84"/>
      <c r="O1196" s="84"/>
      <c r="P1196" s="84"/>
      <c r="Q1196" s="84"/>
      <c r="R1196" s="84"/>
      <c r="S1196" s="84"/>
      <c r="T1196" s="84"/>
      <c r="U1196" s="84"/>
      <c r="V1196" s="84"/>
      <c r="W1196" s="84"/>
      <c r="X1196" s="84"/>
    </row>
    <row r="1197" spans="1:24" ht="15" customHeight="1" x14ac:dyDescent="0.2">
      <c r="A1197" s="84"/>
      <c r="B1197" s="84"/>
      <c r="C1197" s="84"/>
      <c r="D1197" s="84"/>
      <c r="E1197" s="84"/>
      <c r="F1197" s="84"/>
      <c r="G1197" s="84"/>
      <c r="H1197" s="84"/>
      <c r="I1197" s="84"/>
      <c r="J1197" s="84"/>
      <c r="K1197" s="84"/>
      <c r="L1197" s="84"/>
      <c r="M1197" s="84"/>
      <c r="N1197" s="84"/>
      <c r="O1197" s="84"/>
      <c r="P1197" s="84"/>
      <c r="Q1197" s="84"/>
      <c r="R1197" s="84"/>
      <c r="S1197" s="84"/>
      <c r="T1197" s="84"/>
      <c r="U1197" s="84"/>
      <c r="V1197" s="84"/>
      <c r="W1197" s="84"/>
      <c r="X1197" s="84"/>
    </row>
    <row r="1198" spans="1:24" ht="15" customHeight="1" x14ac:dyDescent="0.2">
      <c r="A1198" s="84"/>
      <c r="B1198" s="84"/>
      <c r="C1198" s="84"/>
      <c r="D1198" s="84"/>
      <c r="E1198" s="84"/>
      <c r="F1198" s="84"/>
      <c r="G1198" s="84"/>
      <c r="H1198" s="84"/>
      <c r="I1198" s="84"/>
      <c r="J1198" s="84"/>
      <c r="K1198" s="84"/>
      <c r="L1198" s="84"/>
      <c r="M1198" s="84"/>
      <c r="N1198" s="84"/>
      <c r="O1198" s="84"/>
      <c r="P1198" s="84"/>
      <c r="Q1198" s="84"/>
      <c r="R1198" s="84"/>
      <c r="S1198" s="84"/>
      <c r="T1198" s="84"/>
      <c r="U1198" s="84"/>
      <c r="V1198" s="84"/>
      <c r="W1198" s="84"/>
      <c r="X1198" s="84"/>
    </row>
    <row r="1199" spans="1:24" ht="15" customHeight="1" x14ac:dyDescent="0.2">
      <c r="A1199" s="84"/>
      <c r="B1199" s="84"/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  <c r="S1199" s="84"/>
      <c r="T1199" s="84"/>
      <c r="U1199" s="84"/>
      <c r="V1199" s="84"/>
      <c r="W1199" s="84"/>
      <c r="X1199" s="84"/>
    </row>
    <row r="1200" spans="1:24" ht="15" customHeight="1" x14ac:dyDescent="0.2">
      <c r="A1200" s="84"/>
      <c r="B1200" s="84"/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  <c r="S1200" s="84"/>
      <c r="T1200" s="84"/>
      <c r="U1200" s="84"/>
      <c r="V1200" s="84"/>
      <c r="W1200" s="84"/>
      <c r="X1200" s="84"/>
    </row>
    <row r="1201" spans="1:24" ht="15" customHeight="1" x14ac:dyDescent="0.2">
      <c r="A1201" s="84"/>
      <c r="B1201" s="84"/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  <c r="S1201" s="84"/>
      <c r="T1201" s="84"/>
      <c r="U1201" s="84"/>
      <c r="V1201" s="84"/>
      <c r="W1201" s="84"/>
      <c r="X1201" s="84"/>
    </row>
    <row r="1202" spans="1:24" ht="15" customHeight="1" x14ac:dyDescent="0.2">
      <c r="A1202" s="84"/>
      <c r="B1202" s="84"/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  <c r="S1202" s="84"/>
      <c r="T1202" s="84"/>
      <c r="U1202" s="84"/>
      <c r="V1202" s="84"/>
      <c r="W1202" s="84"/>
      <c r="X1202" s="84"/>
    </row>
    <row r="1203" spans="1:24" ht="15" customHeight="1" x14ac:dyDescent="0.2">
      <c r="A1203" s="84"/>
      <c r="B1203" s="84"/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  <c r="S1203" s="84"/>
      <c r="T1203" s="84"/>
      <c r="U1203" s="84"/>
      <c r="V1203" s="84"/>
      <c r="W1203" s="84"/>
      <c r="X1203" s="84"/>
    </row>
    <row r="1204" spans="1:24" ht="15" customHeight="1" x14ac:dyDescent="0.2">
      <c r="A1204" s="84"/>
      <c r="B1204" s="84"/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  <c r="S1204" s="84"/>
      <c r="T1204" s="84"/>
      <c r="U1204" s="84"/>
      <c r="V1204" s="84"/>
      <c r="W1204" s="84"/>
      <c r="X1204" s="84"/>
    </row>
    <row r="1205" spans="1:24" ht="15" customHeight="1" x14ac:dyDescent="0.2">
      <c r="A1205" s="84"/>
      <c r="B1205" s="84"/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  <c r="S1205" s="84"/>
      <c r="T1205" s="84"/>
      <c r="U1205" s="84"/>
      <c r="V1205" s="84"/>
      <c r="W1205" s="84"/>
      <c r="X1205" s="84"/>
    </row>
    <row r="1206" spans="1:24" ht="15" customHeight="1" x14ac:dyDescent="0.2">
      <c r="A1206" s="84"/>
      <c r="B1206" s="84"/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  <c r="S1206" s="84"/>
      <c r="T1206" s="84"/>
      <c r="U1206" s="84"/>
      <c r="V1206" s="84"/>
      <c r="W1206" s="84"/>
      <c r="X1206" s="84"/>
    </row>
    <row r="1207" spans="1:24" ht="15" customHeight="1" x14ac:dyDescent="0.2">
      <c r="A1207" s="84"/>
      <c r="B1207" s="84"/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  <c r="S1207" s="84"/>
      <c r="T1207" s="84"/>
      <c r="U1207" s="84"/>
      <c r="V1207" s="84"/>
      <c r="W1207" s="84"/>
      <c r="X1207" s="84"/>
    </row>
    <row r="1208" spans="1:24" ht="15" customHeight="1" x14ac:dyDescent="0.2">
      <c r="A1208" s="84"/>
      <c r="B1208" s="84"/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  <c r="S1208" s="84"/>
      <c r="T1208" s="84"/>
      <c r="U1208" s="84"/>
      <c r="V1208" s="84"/>
      <c r="W1208" s="84"/>
      <c r="X1208" s="84"/>
    </row>
    <row r="1209" spans="1:24" ht="15" customHeight="1" x14ac:dyDescent="0.2">
      <c r="A1209" s="84"/>
      <c r="B1209" s="84"/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  <c r="S1209" s="84"/>
      <c r="T1209" s="84"/>
      <c r="U1209" s="84"/>
      <c r="V1209" s="84"/>
      <c r="W1209" s="84"/>
      <c r="X1209" s="84"/>
    </row>
    <row r="1210" spans="1:24" ht="15" customHeight="1" x14ac:dyDescent="0.2">
      <c r="A1210" s="84"/>
      <c r="B1210" s="84"/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  <c r="S1210" s="84"/>
      <c r="T1210" s="84"/>
      <c r="U1210" s="84"/>
      <c r="V1210" s="84"/>
      <c r="W1210" s="84"/>
      <c r="X1210" s="84"/>
    </row>
    <row r="1211" spans="1:24" ht="15" customHeight="1" x14ac:dyDescent="0.2">
      <c r="A1211" s="84"/>
      <c r="B1211" s="84"/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  <c r="S1211" s="84"/>
      <c r="T1211" s="84"/>
      <c r="U1211" s="84"/>
      <c r="V1211" s="84"/>
      <c r="W1211" s="84"/>
      <c r="X1211" s="84"/>
    </row>
    <row r="1212" spans="1:24" ht="15" customHeight="1" x14ac:dyDescent="0.2">
      <c r="A1212" s="84"/>
      <c r="B1212" s="84"/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  <c r="S1212" s="84"/>
      <c r="T1212" s="84"/>
      <c r="U1212" s="84"/>
      <c r="V1212" s="84"/>
      <c r="W1212" s="84"/>
      <c r="X1212" s="84"/>
    </row>
    <row r="1213" spans="1:24" ht="15" customHeight="1" x14ac:dyDescent="0.2">
      <c r="A1213" s="84"/>
      <c r="B1213" s="84"/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  <c r="S1213" s="84"/>
      <c r="T1213" s="84"/>
      <c r="U1213" s="84"/>
      <c r="V1213" s="84"/>
      <c r="W1213" s="84"/>
      <c r="X1213" s="84"/>
    </row>
    <row r="1214" spans="1:24" ht="15" customHeight="1" x14ac:dyDescent="0.2">
      <c r="A1214" s="84"/>
      <c r="B1214" s="84"/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  <c r="S1214" s="84"/>
      <c r="T1214" s="84"/>
      <c r="U1214" s="84"/>
      <c r="V1214" s="84"/>
      <c r="W1214" s="84"/>
      <c r="X1214" s="84"/>
    </row>
    <row r="1215" spans="1:24" ht="15" customHeight="1" x14ac:dyDescent="0.2">
      <c r="A1215" s="84"/>
      <c r="B1215" s="84"/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  <c r="S1215" s="84"/>
      <c r="T1215" s="84"/>
      <c r="U1215" s="84"/>
      <c r="V1215" s="84"/>
      <c r="W1215" s="84"/>
      <c r="X1215" s="84"/>
    </row>
    <row r="1216" spans="1:24" ht="15" customHeight="1" x14ac:dyDescent="0.2">
      <c r="A1216" s="84"/>
      <c r="B1216" s="84"/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  <c r="S1216" s="84"/>
      <c r="T1216" s="84"/>
      <c r="U1216" s="84"/>
      <c r="V1216" s="84"/>
      <c r="W1216" s="84"/>
      <c r="X1216" s="84"/>
    </row>
    <row r="1217" spans="1:24" ht="15" customHeight="1" x14ac:dyDescent="0.2">
      <c r="A1217" s="84"/>
      <c r="B1217" s="84"/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  <c r="S1217" s="84"/>
      <c r="T1217" s="84"/>
      <c r="U1217" s="84"/>
      <c r="V1217" s="84"/>
      <c r="W1217" s="84"/>
      <c r="X1217" s="84"/>
    </row>
    <row r="1218" spans="1:24" ht="15" customHeight="1" x14ac:dyDescent="0.2">
      <c r="A1218" s="84"/>
      <c r="B1218" s="84"/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  <c r="S1218" s="84"/>
      <c r="T1218" s="84"/>
      <c r="U1218" s="84"/>
      <c r="V1218" s="84"/>
      <c r="W1218" s="84"/>
      <c r="X1218" s="84"/>
    </row>
    <row r="1219" spans="1:24" ht="15" customHeight="1" x14ac:dyDescent="0.2">
      <c r="A1219" s="84"/>
      <c r="B1219" s="84"/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  <c r="S1219" s="84"/>
      <c r="T1219" s="84"/>
      <c r="U1219" s="84"/>
      <c r="V1219" s="84"/>
      <c r="W1219" s="84"/>
      <c r="X1219" s="84"/>
    </row>
    <row r="1220" spans="1:24" ht="15" customHeight="1" x14ac:dyDescent="0.2">
      <c r="A1220" s="84"/>
      <c r="B1220" s="84"/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  <c r="S1220" s="84"/>
      <c r="T1220" s="84"/>
      <c r="U1220" s="84"/>
      <c r="V1220" s="84"/>
      <c r="W1220" s="84"/>
      <c r="X1220" s="84"/>
    </row>
    <row r="1221" spans="1:24" ht="15" customHeight="1" x14ac:dyDescent="0.2">
      <c r="A1221" s="84"/>
      <c r="B1221" s="84"/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  <c r="S1221" s="84"/>
      <c r="T1221" s="84"/>
      <c r="U1221" s="84"/>
      <c r="V1221" s="84"/>
      <c r="W1221" s="84"/>
      <c r="X1221" s="84"/>
    </row>
    <row r="1222" spans="1:24" ht="15" customHeight="1" x14ac:dyDescent="0.2">
      <c r="A1222" s="84"/>
      <c r="B1222" s="84"/>
      <c r="C1222" s="84"/>
      <c r="D1222" s="84"/>
      <c r="E1222" s="84"/>
      <c r="F1222" s="84"/>
      <c r="G1222" s="84"/>
      <c r="H1222" s="84"/>
      <c r="I1222" s="84"/>
      <c r="J1222" s="84"/>
      <c r="K1222" s="84"/>
      <c r="L1222" s="84"/>
      <c r="M1222" s="84"/>
      <c r="N1222" s="84"/>
      <c r="O1222" s="84"/>
      <c r="P1222" s="84"/>
      <c r="Q1222" s="84"/>
      <c r="R1222" s="84"/>
      <c r="S1222" s="84"/>
      <c r="T1222" s="84"/>
      <c r="U1222" s="84"/>
      <c r="V1222" s="84"/>
      <c r="W1222" s="84"/>
      <c r="X1222" s="84"/>
    </row>
    <row r="1223" spans="1:24" ht="15" customHeight="1" x14ac:dyDescent="0.2">
      <c r="A1223" s="84"/>
      <c r="B1223" s="84"/>
      <c r="C1223" s="84"/>
      <c r="D1223" s="84"/>
      <c r="E1223" s="84"/>
      <c r="F1223" s="84"/>
      <c r="G1223" s="84"/>
      <c r="H1223" s="84"/>
      <c r="I1223" s="84"/>
      <c r="J1223" s="84"/>
      <c r="K1223" s="84"/>
      <c r="L1223" s="84"/>
      <c r="M1223" s="84"/>
      <c r="N1223" s="84"/>
      <c r="O1223" s="84"/>
      <c r="P1223" s="84"/>
      <c r="Q1223" s="84"/>
      <c r="R1223" s="84"/>
      <c r="S1223" s="84"/>
      <c r="T1223" s="84"/>
      <c r="U1223" s="84"/>
      <c r="V1223" s="84"/>
      <c r="W1223" s="84"/>
      <c r="X1223" s="84"/>
    </row>
    <row r="1224" spans="1:24" ht="15" customHeight="1" x14ac:dyDescent="0.2">
      <c r="A1224" s="84"/>
      <c r="B1224" s="84"/>
      <c r="C1224" s="84"/>
      <c r="D1224" s="84"/>
      <c r="E1224" s="84"/>
      <c r="F1224" s="84"/>
      <c r="G1224" s="84"/>
      <c r="H1224" s="84"/>
      <c r="I1224" s="84"/>
      <c r="J1224" s="84"/>
      <c r="K1224" s="84"/>
      <c r="L1224" s="84"/>
      <c r="M1224" s="84"/>
      <c r="N1224" s="84"/>
      <c r="O1224" s="84"/>
      <c r="P1224" s="84"/>
      <c r="Q1224" s="84"/>
      <c r="R1224" s="84"/>
      <c r="S1224" s="84"/>
      <c r="T1224" s="84"/>
      <c r="U1224" s="84"/>
      <c r="V1224" s="84"/>
      <c r="W1224" s="84"/>
      <c r="X1224" s="84"/>
    </row>
    <row r="1225" spans="1:24" ht="15" customHeight="1" x14ac:dyDescent="0.2">
      <c r="A1225" s="84"/>
      <c r="B1225" s="84"/>
      <c r="C1225" s="84"/>
      <c r="D1225" s="84"/>
      <c r="E1225" s="84"/>
      <c r="F1225" s="84"/>
      <c r="G1225" s="84"/>
      <c r="H1225" s="84"/>
      <c r="I1225" s="84"/>
      <c r="J1225" s="84"/>
      <c r="K1225" s="84"/>
      <c r="L1225" s="84"/>
      <c r="M1225" s="84"/>
      <c r="N1225" s="84"/>
      <c r="O1225" s="84"/>
      <c r="P1225" s="84"/>
      <c r="Q1225" s="84"/>
      <c r="R1225" s="84"/>
      <c r="S1225" s="84"/>
      <c r="T1225" s="84"/>
      <c r="U1225" s="84"/>
      <c r="V1225" s="84"/>
      <c r="W1225" s="84"/>
      <c r="X1225" s="84"/>
    </row>
    <row r="1226" spans="1:24" ht="15" customHeight="1" x14ac:dyDescent="0.2">
      <c r="A1226" s="84"/>
      <c r="B1226" s="84"/>
      <c r="C1226" s="84"/>
      <c r="D1226" s="84"/>
      <c r="E1226" s="84"/>
      <c r="F1226" s="84"/>
      <c r="G1226" s="84"/>
      <c r="H1226" s="84"/>
      <c r="I1226" s="84"/>
      <c r="J1226" s="84"/>
      <c r="K1226" s="84"/>
      <c r="L1226" s="84"/>
      <c r="M1226" s="84"/>
      <c r="N1226" s="84"/>
      <c r="O1226" s="84"/>
      <c r="P1226" s="84"/>
      <c r="Q1226" s="84"/>
      <c r="R1226" s="84"/>
      <c r="S1226" s="84"/>
      <c r="T1226" s="84"/>
      <c r="U1226" s="84"/>
      <c r="V1226" s="84"/>
      <c r="W1226" s="84"/>
      <c r="X1226" s="84"/>
    </row>
    <row r="1227" spans="1:24" ht="15" customHeight="1" x14ac:dyDescent="0.2">
      <c r="A1227" s="84"/>
      <c r="B1227" s="84"/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  <c r="S1227" s="84"/>
      <c r="T1227" s="84"/>
      <c r="U1227" s="84"/>
      <c r="V1227" s="84"/>
      <c r="W1227" s="84"/>
      <c r="X1227" s="84"/>
    </row>
    <row r="1228" spans="1:24" ht="15" customHeight="1" x14ac:dyDescent="0.2">
      <c r="A1228" s="84"/>
      <c r="B1228" s="84"/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  <c r="S1228" s="84"/>
      <c r="T1228" s="84"/>
      <c r="U1228" s="84"/>
      <c r="V1228" s="84"/>
      <c r="W1228" s="84"/>
      <c r="X1228" s="84"/>
    </row>
    <row r="1229" spans="1:24" ht="15" customHeight="1" x14ac:dyDescent="0.2">
      <c r="A1229" s="84"/>
      <c r="B1229" s="84"/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  <c r="S1229" s="84"/>
      <c r="T1229" s="84"/>
      <c r="U1229" s="84"/>
      <c r="V1229" s="84"/>
      <c r="W1229" s="84"/>
      <c r="X1229" s="84"/>
    </row>
    <row r="1230" spans="1:24" ht="15" customHeight="1" x14ac:dyDescent="0.2">
      <c r="A1230" s="84"/>
      <c r="B1230" s="84"/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  <c r="S1230" s="84"/>
      <c r="T1230" s="84"/>
      <c r="U1230" s="84"/>
      <c r="V1230" s="84"/>
      <c r="W1230" s="84"/>
      <c r="X1230" s="84"/>
    </row>
    <row r="1231" spans="1:24" ht="15" customHeight="1" x14ac:dyDescent="0.2">
      <c r="A1231" s="84"/>
      <c r="B1231" s="84"/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  <c r="S1231" s="84"/>
      <c r="T1231" s="84"/>
      <c r="U1231" s="84"/>
      <c r="V1231" s="84"/>
      <c r="W1231" s="84"/>
      <c r="X1231" s="84"/>
    </row>
    <row r="1232" spans="1:24" ht="15" customHeight="1" x14ac:dyDescent="0.2">
      <c r="A1232" s="84"/>
      <c r="B1232" s="84"/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  <c r="S1232" s="84"/>
      <c r="T1232" s="84"/>
      <c r="U1232" s="84"/>
      <c r="V1232" s="84"/>
      <c r="W1232" s="84"/>
      <c r="X1232" s="84"/>
    </row>
    <row r="1233" spans="1:24" ht="15" customHeight="1" x14ac:dyDescent="0.2">
      <c r="A1233" s="84"/>
      <c r="B1233" s="84"/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  <c r="S1233" s="84"/>
      <c r="T1233" s="84"/>
      <c r="U1233" s="84"/>
      <c r="V1233" s="84"/>
      <c r="W1233" s="84"/>
      <c r="X1233" s="84"/>
    </row>
    <row r="1234" spans="1:24" ht="15" customHeight="1" x14ac:dyDescent="0.2">
      <c r="A1234" s="84"/>
      <c r="B1234" s="84"/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  <c r="S1234" s="84"/>
      <c r="T1234" s="84"/>
      <c r="U1234" s="84"/>
      <c r="V1234" s="84"/>
      <c r="W1234" s="84"/>
      <c r="X1234" s="84"/>
    </row>
    <row r="1235" spans="1:24" ht="15" customHeight="1" x14ac:dyDescent="0.2">
      <c r="A1235" s="84"/>
      <c r="B1235" s="84"/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  <c r="S1235" s="84"/>
      <c r="T1235" s="84"/>
      <c r="U1235" s="84"/>
      <c r="V1235" s="84"/>
      <c r="W1235" s="84"/>
      <c r="X1235" s="84"/>
    </row>
    <row r="1236" spans="1:24" ht="15" customHeight="1" x14ac:dyDescent="0.2">
      <c r="A1236" s="84"/>
      <c r="B1236" s="84"/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  <c r="S1236" s="84"/>
      <c r="T1236" s="84"/>
      <c r="U1236" s="84"/>
      <c r="V1236" s="84"/>
      <c r="W1236" s="84"/>
      <c r="X1236" s="84"/>
    </row>
    <row r="1237" spans="1:24" ht="15" customHeight="1" x14ac:dyDescent="0.2">
      <c r="A1237" s="84"/>
      <c r="B1237" s="84"/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  <c r="S1237" s="84"/>
      <c r="T1237" s="84"/>
      <c r="U1237" s="84"/>
      <c r="V1237" s="84"/>
      <c r="W1237" s="84"/>
      <c r="X1237" s="84"/>
    </row>
    <row r="1238" spans="1:24" ht="15" customHeight="1" x14ac:dyDescent="0.2">
      <c r="A1238" s="84"/>
      <c r="B1238" s="84"/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  <c r="S1238" s="84"/>
      <c r="T1238" s="84"/>
      <c r="U1238" s="84"/>
      <c r="V1238" s="84"/>
      <c r="W1238" s="84"/>
      <c r="X1238" s="84"/>
    </row>
    <row r="1239" spans="1:24" ht="15" customHeight="1" x14ac:dyDescent="0.2">
      <c r="A1239" s="84"/>
      <c r="B1239" s="84"/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  <c r="R1239" s="84"/>
      <c r="S1239" s="84"/>
      <c r="T1239" s="84"/>
      <c r="U1239" s="84"/>
      <c r="V1239" s="84"/>
      <c r="W1239" s="84"/>
      <c r="X1239" s="84"/>
    </row>
    <row r="1240" spans="1:24" ht="15" customHeight="1" x14ac:dyDescent="0.2">
      <c r="A1240" s="84"/>
      <c r="B1240" s="84"/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  <c r="R1240" s="84"/>
      <c r="S1240" s="84"/>
      <c r="T1240" s="84"/>
      <c r="U1240" s="84"/>
      <c r="V1240" s="84"/>
      <c r="W1240" s="84"/>
      <c r="X1240" s="84"/>
    </row>
    <row r="1241" spans="1:24" ht="15" customHeight="1" x14ac:dyDescent="0.2">
      <c r="A1241" s="84"/>
      <c r="B1241" s="84"/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  <c r="R1241" s="84"/>
      <c r="S1241" s="84"/>
      <c r="T1241" s="84"/>
      <c r="U1241" s="84"/>
      <c r="V1241" s="84"/>
      <c r="W1241" s="84"/>
      <c r="X1241" s="84"/>
    </row>
    <row r="1242" spans="1:24" ht="15" customHeight="1" x14ac:dyDescent="0.2">
      <c r="A1242" s="84"/>
      <c r="B1242" s="84"/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  <c r="R1242" s="84"/>
      <c r="S1242" s="84"/>
      <c r="T1242" s="84"/>
      <c r="U1242" s="84"/>
      <c r="V1242" s="84"/>
      <c r="W1242" s="84"/>
      <c r="X1242" s="84"/>
    </row>
    <row r="1243" spans="1:24" ht="15" customHeight="1" x14ac:dyDescent="0.2">
      <c r="A1243" s="84"/>
      <c r="B1243" s="84"/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  <c r="R1243" s="84"/>
      <c r="S1243" s="84"/>
      <c r="T1243" s="84"/>
      <c r="U1243" s="84"/>
      <c r="V1243" s="84"/>
      <c r="W1243" s="84"/>
      <c r="X1243" s="84"/>
    </row>
    <row r="1244" spans="1:24" ht="15" customHeight="1" x14ac:dyDescent="0.2">
      <c r="A1244" s="84"/>
      <c r="B1244" s="84"/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  <c r="R1244" s="84"/>
      <c r="S1244" s="84"/>
      <c r="T1244" s="84"/>
      <c r="U1244" s="84"/>
      <c r="V1244" s="84"/>
      <c r="W1244" s="84"/>
      <c r="X1244" s="84"/>
    </row>
    <row r="1245" spans="1:24" ht="15" customHeight="1" x14ac:dyDescent="0.2">
      <c r="A1245" s="84"/>
      <c r="B1245" s="84"/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  <c r="S1245" s="84"/>
      <c r="T1245" s="84"/>
      <c r="U1245" s="84"/>
      <c r="V1245" s="84"/>
      <c r="W1245" s="84"/>
      <c r="X1245" s="84"/>
    </row>
    <row r="1246" spans="1:24" ht="15" customHeight="1" x14ac:dyDescent="0.2">
      <c r="A1246" s="84"/>
      <c r="B1246" s="84"/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  <c r="W1246" s="84"/>
      <c r="X1246" s="84"/>
    </row>
    <row r="1247" spans="1:24" ht="15" customHeight="1" x14ac:dyDescent="0.2">
      <c r="A1247" s="84"/>
      <c r="B1247" s="84"/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  <c r="S1247" s="84"/>
      <c r="T1247" s="84"/>
      <c r="U1247" s="84"/>
      <c r="V1247" s="84"/>
      <c r="W1247" s="84"/>
      <c r="X1247" s="84"/>
    </row>
    <row r="1248" spans="1:24" ht="15" customHeight="1" x14ac:dyDescent="0.2">
      <c r="A1248" s="84"/>
      <c r="B1248" s="84"/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  <c r="S1248" s="84"/>
      <c r="T1248" s="84"/>
      <c r="U1248" s="84"/>
      <c r="V1248" s="84"/>
      <c r="W1248" s="84"/>
      <c r="X1248" s="84"/>
    </row>
    <row r="1249" spans="1:24" ht="15" customHeight="1" x14ac:dyDescent="0.2">
      <c r="A1249" s="84"/>
      <c r="B1249" s="84"/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  <c r="S1249" s="84"/>
      <c r="T1249" s="84"/>
      <c r="U1249" s="84"/>
      <c r="V1249" s="84"/>
      <c r="W1249" s="84"/>
      <c r="X1249" s="84"/>
    </row>
    <row r="1250" spans="1:24" ht="15" customHeight="1" x14ac:dyDescent="0.2">
      <c r="A1250" s="84"/>
      <c r="B1250" s="84"/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  <c r="S1250" s="84"/>
      <c r="T1250" s="84"/>
      <c r="U1250" s="84"/>
      <c r="V1250" s="84"/>
      <c r="W1250" s="84"/>
      <c r="X1250" s="84"/>
    </row>
    <row r="1251" spans="1:24" ht="15" customHeight="1" x14ac:dyDescent="0.2">
      <c r="A1251" s="84"/>
      <c r="B1251" s="84"/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  <c r="S1251" s="84"/>
      <c r="T1251" s="84"/>
      <c r="U1251" s="84"/>
      <c r="V1251" s="84"/>
      <c r="W1251" s="84"/>
      <c r="X1251" s="84"/>
    </row>
    <row r="1252" spans="1:24" ht="15" customHeight="1" x14ac:dyDescent="0.2">
      <c r="A1252" s="84"/>
      <c r="B1252" s="84"/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  <c r="S1252" s="84"/>
      <c r="T1252" s="84"/>
      <c r="U1252" s="84"/>
      <c r="V1252" s="84"/>
      <c r="W1252" s="84"/>
      <c r="X1252" s="84"/>
    </row>
    <row r="1253" spans="1:24" ht="15" customHeight="1" x14ac:dyDescent="0.2">
      <c r="A1253" s="84"/>
      <c r="B1253" s="84"/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  <c r="S1253" s="84"/>
      <c r="T1253" s="84"/>
      <c r="U1253" s="84"/>
      <c r="V1253" s="84"/>
      <c r="W1253" s="84"/>
      <c r="X1253" s="84"/>
    </row>
    <row r="1254" spans="1:24" ht="15" customHeight="1" x14ac:dyDescent="0.2">
      <c r="A1254" s="84"/>
      <c r="B1254" s="84"/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  <c r="S1254" s="84"/>
      <c r="T1254" s="84"/>
      <c r="U1254" s="84"/>
      <c r="V1254" s="84"/>
      <c r="W1254" s="84"/>
      <c r="X1254" s="84"/>
    </row>
    <row r="1255" spans="1:24" ht="15" customHeight="1" x14ac:dyDescent="0.2">
      <c r="A1255" s="84"/>
      <c r="B1255" s="84"/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  <c r="S1255" s="84"/>
      <c r="T1255" s="84"/>
      <c r="U1255" s="84"/>
      <c r="V1255" s="84"/>
      <c r="W1255" s="84"/>
      <c r="X1255" s="84"/>
    </row>
    <row r="1256" spans="1:24" ht="15" customHeight="1" x14ac:dyDescent="0.2">
      <c r="A1256" s="84"/>
      <c r="B1256" s="84"/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  <c r="S1256" s="84"/>
      <c r="T1256" s="84"/>
      <c r="U1256" s="84"/>
      <c r="V1256" s="84"/>
      <c r="W1256" s="84"/>
      <c r="X1256" s="84"/>
    </row>
    <row r="1257" spans="1:24" ht="15" customHeight="1" x14ac:dyDescent="0.2">
      <c r="A1257" s="84"/>
      <c r="B1257" s="84"/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  <c r="S1257" s="84"/>
      <c r="T1257" s="84"/>
      <c r="U1257" s="84"/>
      <c r="V1257" s="84"/>
      <c r="W1257" s="84"/>
      <c r="X1257" s="84"/>
    </row>
    <row r="1258" spans="1:24" ht="15" customHeight="1" x14ac:dyDescent="0.2">
      <c r="A1258" s="84"/>
      <c r="B1258" s="84"/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  <c r="S1258" s="84"/>
      <c r="T1258" s="84"/>
      <c r="U1258" s="84"/>
      <c r="V1258" s="84"/>
      <c r="W1258" s="84"/>
      <c r="X1258" s="84"/>
    </row>
    <row r="1259" spans="1:24" ht="15" customHeight="1" x14ac:dyDescent="0.2">
      <c r="A1259" s="84"/>
      <c r="B1259" s="84"/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  <c r="S1259" s="84"/>
      <c r="T1259" s="84"/>
      <c r="U1259" s="84"/>
      <c r="V1259" s="84"/>
      <c r="W1259" s="84"/>
      <c r="X1259" s="84"/>
    </row>
    <row r="1260" spans="1:24" ht="15" customHeight="1" x14ac:dyDescent="0.2">
      <c r="A1260" s="84"/>
      <c r="B1260" s="84"/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  <c r="S1260" s="84"/>
      <c r="T1260" s="84"/>
      <c r="U1260" s="84"/>
      <c r="V1260" s="84"/>
      <c r="W1260" s="84"/>
      <c r="X1260" s="84"/>
    </row>
    <row r="1261" spans="1:24" ht="15" customHeight="1" x14ac:dyDescent="0.2">
      <c r="A1261" s="84"/>
      <c r="B1261" s="84"/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  <c r="S1261" s="84"/>
      <c r="T1261" s="84"/>
      <c r="U1261" s="84"/>
      <c r="V1261" s="84"/>
      <c r="W1261" s="84"/>
      <c r="X1261" s="84"/>
    </row>
    <row r="1262" spans="1:24" ht="15" customHeight="1" x14ac:dyDescent="0.2">
      <c r="A1262" s="84"/>
      <c r="B1262" s="84"/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  <c r="S1262" s="84"/>
      <c r="T1262" s="84"/>
      <c r="U1262" s="84"/>
      <c r="V1262" s="84"/>
      <c r="W1262" s="84"/>
      <c r="X1262" s="84"/>
    </row>
    <row r="1263" spans="1:24" ht="15" customHeight="1" x14ac:dyDescent="0.2">
      <c r="A1263" s="84"/>
      <c r="B1263" s="84"/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  <c r="S1263" s="84"/>
      <c r="T1263" s="84"/>
      <c r="U1263" s="84"/>
      <c r="V1263" s="84"/>
      <c r="W1263" s="84"/>
      <c r="X1263" s="84"/>
    </row>
    <row r="1264" spans="1:24" ht="15" customHeight="1" x14ac:dyDescent="0.2">
      <c r="A1264" s="84"/>
      <c r="B1264" s="84"/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  <c r="S1264" s="84"/>
      <c r="T1264" s="84"/>
      <c r="U1264" s="84"/>
      <c r="V1264" s="84"/>
      <c r="W1264" s="84"/>
      <c r="X1264" s="84"/>
    </row>
    <row r="1265" spans="1:24" ht="15" customHeight="1" x14ac:dyDescent="0.2">
      <c r="A1265" s="84"/>
      <c r="B1265" s="84"/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  <c r="S1265" s="84"/>
      <c r="T1265" s="84"/>
      <c r="U1265" s="84"/>
      <c r="V1265" s="84"/>
      <c r="W1265" s="84"/>
      <c r="X1265" s="84"/>
    </row>
    <row r="1266" spans="1:24" ht="15" customHeight="1" x14ac:dyDescent="0.2">
      <c r="A1266" s="84"/>
      <c r="B1266" s="84"/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  <c r="S1266" s="84"/>
      <c r="T1266" s="84"/>
      <c r="U1266" s="84"/>
      <c r="V1266" s="84"/>
      <c r="W1266" s="84"/>
      <c r="X1266" s="84"/>
    </row>
    <row r="1267" spans="1:24" ht="15" customHeight="1" x14ac:dyDescent="0.2">
      <c r="A1267" s="84"/>
      <c r="B1267" s="84"/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  <c r="S1267" s="84"/>
      <c r="T1267" s="84"/>
      <c r="U1267" s="84"/>
      <c r="V1267" s="84"/>
      <c r="W1267" s="84"/>
      <c r="X1267" s="84"/>
    </row>
    <row r="1268" spans="1:24" ht="15" customHeight="1" x14ac:dyDescent="0.2">
      <c r="A1268" s="84"/>
      <c r="B1268" s="84"/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  <c r="R1268" s="84"/>
      <c r="S1268" s="84"/>
      <c r="T1268" s="84"/>
      <c r="U1268" s="84"/>
      <c r="V1268" s="84"/>
      <c r="W1268" s="84"/>
      <c r="X1268" s="84"/>
    </row>
    <row r="1269" spans="1:24" ht="15" customHeight="1" x14ac:dyDescent="0.2">
      <c r="A1269" s="84"/>
      <c r="B1269" s="84"/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  <c r="R1269" s="84"/>
      <c r="S1269" s="84"/>
      <c r="T1269" s="84"/>
      <c r="U1269" s="84"/>
      <c r="V1269" s="84"/>
      <c r="W1269" s="84"/>
      <c r="X1269" s="84"/>
    </row>
    <row r="1270" spans="1:24" ht="15" customHeight="1" x14ac:dyDescent="0.2">
      <c r="A1270" s="84"/>
      <c r="B1270" s="84"/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  <c r="R1270" s="84"/>
      <c r="S1270" s="84"/>
      <c r="T1270" s="84"/>
      <c r="U1270" s="84"/>
      <c r="V1270" s="84"/>
      <c r="W1270" s="84"/>
      <c r="X1270" s="84"/>
    </row>
    <row r="1271" spans="1:24" ht="15" customHeight="1" x14ac:dyDescent="0.2">
      <c r="A1271" s="84"/>
      <c r="B1271" s="84"/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  <c r="R1271" s="84"/>
      <c r="S1271" s="84"/>
      <c r="T1271" s="84"/>
      <c r="U1271" s="84"/>
      <c r="V1271" s="84"/>
      <c r="W1271" s="84"/>
      <c r="X1271" s="84"/>
    </row>
    <row r="1272" spans="1:24" ht="15" customHeight="1" x14ac:dyDescent="0.2">
      <c r="A1272" s="84"/>
      <c r="B1272" s="84"/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  <c r="R1272" s="84"/>
      <c r="S1272" s="84"/>
      <c r="T1272" s="84"/>
      <c r="U1272" s="84"/>
      <c r="V1272" s="84"/>
      <c r="W1272" s="84"/>
      <c r="X1272" s="84"/>
    </row>
    <row r="1273" spans="1:24" ht="15" customHeight="1" x14ac:dyDescent="0.2">
      <c r="A1273" s="84"/>
      <c r="B1273" s="84"/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  <c r="R1273" s="84"/>
      <c r="S1273" s="84"/>
      <c r="T1273" s="84"/>
      <c r="U1273" s="84"/>
      <c r="V1273" s="84"/>
      <c r="W1273" s="84"/>
      <c r="X1273" s="84"/>
    </row>
    <row r="1274" spans="1:24" ht="15" customHeight="1" x14ac:dyDescent="0.2">
      <c r="A1274" s="84"/>
      <c r="B1274" s="84"/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  <c r="R1274" s="84"/>
      <c r="S1274" s="84"/>
      <c r="T1274" s="84"/>
      <c r="U1274" s="84"/>
      <c r="V1274" s="84"/>
      <c r="W1274" s="84"/>
      <c r="X1274" s="84"/>
    </row>
    <row r="1275" spans="1:24" ht="15" customHeight="1" x14ac:dyDescent="0.2">
      <c r="A1275" s="84"/>
      <c r="B1275" s="84"/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  <c r="S1275" s="84"/>
      <c r="T1275" s="84"/>
      <c r="U1275" s="84"/>
      <c r="V1275" s="84"/>
      <c r="W1275" s="84"/>
      <c r="X1275" s="84"/>
    </row>
    <row r="1276" spans="1:24" ht="15" customHeight="1" x14ac:dyDescent="0.2">
      <c r="A1276" s="84"/>
      <c r="B1276" s="84"/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  <c r="S1276" s="84"/>
      <c r="T1276" s="84"/>
      <c r="U1276" s="84"/>
      <c r="V1276" s="84"/>
      <c r="W1276" s="84"/>
      <c r="X1276" s="84"/>
    </row>
    <row r="1277" spans="1:24" ht="15" customHeight="1" x14ac:dyDescent="0.2">
      <c r="A1277" s="84"/>
      <c r="B1277" s="84"/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  <c r="S1277" s="84"/>
      <c r="T1277" s="84"/>
      <c r="U1277" s="84"/>
      <c r="V1277" s="84"/>
      <c r="W1277" s="84"/>
      <c r="X1277" s="84"/>
    </row>
    <row r="1278" spans="1:24" ht="15" customHeight="1" x14ac:dyDescent="0.2">
      <c r="A1278" s="84"/>
      <c r="B1278" s="84"/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  <c r="S1278" s="84"/>
      <c r="T1278" s="84"/>
      <c r="U1278" s="84"/>
      <c r="V1278" s="84"/>
      <c r="W1278" s="84"/>
      <c r="X1278" s="84"/>
    </row>
    <row r="1279" spans="1:24" ht="15" customHeight="1" x14ac:dyDescent="0.2">
      <c r="A1279" s="84"/>
      <c r="B1279" s="84"/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  <c r="S1279" s="84"/>
      <c r="T1279" s="84"/>
      <c r="U1279" s="84"/>
      <c r="V1279" s="84"/>
      <c r="W1279" s="84"/>
      <c r="X1279" s="84"/>
    </row>
    <row r="1280" spans="1:24" ht="15" customHeight="1" x14ac:dyDescent="0.2">
      <c r="A1280" s="84"/>
      <c r="B1280" s="84"/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  <c r="S1280" s="84"/>
      <c r="T1280" s="84"/>
      <c r="U1280" s="84"/>
      <c r="V1280" s="84"/>
      <c r="W1280" s="84"/>
      <c r="X1280" s="84"/>
    </row>
    <row r="1281" spans="1:24" ht="15" customHeight="1" x14ac:dyDescent="0.2">
      <c r="A1281" s="84"/>
      <c r="B1281" s="84"/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  <c r="S1281" s="84"/>
      <c r="T1281" s="84"/>
      <c r="U1281" s="84"/>
      <c r="V1281" s="84"/>
      <c r="W1281" s="84"/>
      <c r="X1281" s="84"/>
    </row>
    <row r="1282" spans="1:24" ht="15" customHeight="1" x14ac:dyDescent="0.2">
      <c r="A1282" s="84"/>
      <c r="B1282" s="84"/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  <c r="S1282" s="84"/>
      <c r="T1282" s="84"/>
      <c r="U1282" s="84"/>
      <c r="V1282" s="84"/>
      <c r="W1282" s="84"/>
      <c r="X1282" s="84"/>
    </row>
    <row r="1283" spans="1:24" ht="15" customHeight="1" x14ac:dyDescent="0.2">
      <c r="A1283" s="84"/>
      <c r="B1283" s="84"/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  <c r="S1283" s="84"/>
      <c r="T1283" s="84"/>
      <c r="U1283" s="84"/>
      <c r="V1283" s="84"/>
      <c r="W1283" s="84"/>
      <c r="X1283" s="84"/>
    </row>
    <row r="1284" spans="1:24" ht="15" customHeight="1" x14ac:dyDescent="0.2">
      <c r="A1284" s="84"/>
      <c r="B1284" s="84"/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  <c r="S1284" s="84"/>
      <c r="T1284" s="84"/>
      <c r="U1284" s="84"/>
      <c r="V1284" s="84"/>
      <c r="W1284" s="84"/>
      <c r="X1284" s="84"/>
    </row>
    <row r="1285" spans="1:24" ht="15" customHeight="1" x14ac:dyDescent="0.2">
      <c r="A1285" s="84"/>
      <c r="B1285" s="84"/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  <c r="S1285" s="84"/>
      <c r="T1285" s="84"/>
      <c r="U1285" s="84"/>
      <c r="V1285" s="84"/>
      <c r="W1285" s="84"/>
      <c r="X1285" s="84"/>
    </row>
    <row r="1286" spans="1:24" ht="15" customHeight="1" x14ac:dyDescent="0.2">
      <c r="A1286" s="84"/>
      <c r="B1286" s="84"/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  <c r="S1286" s="84"/>
      <c r="T1286" s="84"/>
      <c r="U1286" s="84"/>
      <c r="V1286" s="84"/>
      <c r="W1286" s="84"/>
      <c r="X1286" s="84"/>
    </row>
    <row r="1287" spans="1:24" ht="15" customHeight="1" x14ac:dyDescent="0.2">
      <c r="A1287" s="84"/>
      <c r="B1287" s="84"/>
      <c r="C1287" s="84"/>
      <c r="D1287" s="84"/>
      <c r="E1287" s="84"/>
      <c r="F1287" s="84"/>
      <c r="G1287" s="84"/>
      <c r="H1287" s="84"/>
      <c r="I1287" s="84"/>
      <c r="J1287" s="84"/>
      <c r="K1287" s="84"/>
      <c r="L1287" s="84"/>
      <c r="M1287" s="84"/>
      <c r="N1287" s="84"/>
      <c r="O1287" s="84"/>
      <c r="P1287" s="84"/>
      <c r="Q1287" s="84"/>
      <c r="R1287" s="84"/>
      <c r="S1287" s="84"/>
      <c r="T1287" s="84"/>
      <c r="U1287" s="84"/>
      <c r="V1287" s="84"/>
      <c r="W1287" s="84"/>
      <c r="X1287" s="84"/>
    </row>
    <row r="1288" spans="1:24" ht="15" customHeight="1" x14ac:dyDescent="0.2">
      <c r="A1288" s="84"/>
      <c r="B1288" s="84"/>
      <c r="C1288" s="84"/>
      <c r="D1288" s="84"/>
      <c r="E1288" s="84"/>
      <c r="F1288" s="84"/>
      <c r="G1288" s="84"/>
      <c r="H1288" s="84"/>
      <c r="I1288" s="84"/>
      <c r="J1288" s="84"/>
      <c r="K1288" s="84"/>
      <c r="L1288" s="84"/>
      <c r="M1288" s="84"/>
      <c r="N1288" s="84"/>
      <c r="O1288" s="84"/>
      <c r="P1288" s="84"/>
      <c r="Q1288" s="84"/>
      <c r="R1288" s="84"/>
      <c r="S1288" s="84"/>
      <c r="T1288" s="84"/>
      <c r="U1288" s="84"/>
      <c r="V1288" s="84"/>
      <c r="W1288" s="84"/>
      <c r="X1288" s="84"/>
    </row>
    <row r="1289" spans="1:24" ht="15" customHeight="1" x14ac:dyDescent="0.2">
      <c r="A1289" s="84"/>
      <c r="B1289" s="84"/>
      <c r="C1289" s="84"/>
      <c r="D1289" s="84"/>
      <c r="E1289" s="84"/>
      <c r="F1289" s="84"/>
      <c r="G1289" s="84"/>
      <c r="H1289" s="84"/>
      <c r="I1289" s="84"/>
      <c r="J1289" s="84"/>
      <c r="K1289" s="84"/>
      <c r="L1289" s="84"/>
      <c r="M1289" s="84"/>
      <c r="N1289" s="84"/>
      <c r="O1289" s="84"/>
      <c r="P1289" s="84"/>
      <c r="Q1289" s="84"/>
      <c r="R1289" s="84"/>
      <c r="S1289" s="84"/>
      <c r="T1289" s="84"/>
      <c r="U1289" s="84"/>
      <c r="V1289" s="84"/>
      <c r="W1289" s="84"/>
      <c r="X1289" s="84"/>
    </row>
    <row r="1290" spans="1:24" ht="15" customHeight="1" x14ac:dyDescent="0.2">
      <c r="A1290" s="84"/>
      <c r="B1290" s="84"/>
      <c r="C1290" s="84"/>
      <c r="D1290" s="84"/>
      <c r="E1290" s="84"/>
      <c r="F1290" s="84"/>
      <c r="G1290" s="84"/>
      <c r="H1290" s="84"/>
      <c r="I1290" s="84"/>
      <c r="J1290" s="84"/>
      <c r="K1290" s="84"/>
      <c r="L1290" s="84"/>
      <c r="M1290" s="84"/>
      <c r="N1290" s="84"/>
      <c r="O1290" s="84"/>
      <c r="P1290" s="84"/>
      <c r="Q1290" s="84"/>
      <c r="R1290" s="84"/>
      <c r="S1290" s="84"/>
      <c r="T1290" s="84"/>
      <c r="U1290" s="84"/>
      <c r="V1290" s="84"/>
      <c r="W1290" s="84"/>
      <c r="X1290" s="84"/>
    </row>
    <row r="1291" spans="1:24" ht="15" customHeight="1" x14ac:dyDescent="0.2">
      <c r="A1291" s="84"/>
      <c r="B1291" s="84"/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  <c r="S1291" s="84"/>
      <c r="T1291" s="84"/>
      <c r="U1291" s="84"/>
      <c r="V1291" s="84"/>
      <c r="W1291" s="84"/>
      <c r="X1291" s="84"/>
    </row>
    <row r="1292" spans="1:24" ht="15" customHeight="1" x14ac:dyDescent="0.2">
      <c r="A1292" s="84"/>
      <c r="B1292" s="84"/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  <c r="S1292" s="84"/>
      <c r="T1292" s="84"/>
      <c r="U1292" s="84"/>
      <c r="V1292" s="84"/>
      <c r="W1292" s="84"/>
      <c r="X1292" s="84"/>
    </row>
    <row r="1293" spans="1:24" ht="15" customHeight="1" x14ac:dyDescent="0.2">
      <c r="A1293" s="84"/>
      <c r="B1293" s="84"/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  <c r="S1293" s="84"/>
      <c r="T1293" s="84"/>
      <c r="U1293" s="84"/>
      <c r="V1293" s="84"/>
      <c r="W1293" s="84"/>
      <c r="X1293" s="84"/>
    </row>
    <row r="1294" spans="1:24" ht="15" customHeight="1" x14ac:dyDescent="0.2">
      <c r="A1294" s="84"/>
      <c r="B1294" s="84"/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  <c r="S1294" s="84"/>
      <c r="T1294" s="84"/>
      <c r="U1294" s="84"/>
      <c r="V1294" s="84"/>
      <c r="W1294" s="84"/>
      <c r="X1294" s="84"/>
    </row>
    <row r="1295" spans="1:24" ht="15" customHeight="1" x14ac:dyDescent="0.2">
      <c r="A1295" s="84"/>
      <c r="B1295" s="84"/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  <c r="S1295" s="84"/>
      <c r="T1295" s="84"/>
      <c r="U1295" s="84"/>
      <c r="V1295" s="84"/>
      <c r="W1295" s="84"/>
      <c r="X1295" s="84"/>
    </row>
    <row r="1296" spans="1:24" ht="15" customHeight="1" x14ac:dyDescent="0.2">
      <c r="A1296" s="84"/>
      <c r="B1296" s="84"/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  <c r="S1296" s="84"/>
      <c r="T1296" s="84"/>
      <c r="U1296" s="84"/>
      <c r="V1296" s="84"/>
      <c r="W1296" s="84"/>
      <c r="X1296" s="84"/>
    </row>
    <row r="1297" spans="1:24" ht="15" customHeight="1" x14ac:dyDescent="0.2">
      <c r="A1297" s="84"/>
      <c r="B1297" s="84"/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  <c r="S1297" s="84"/>
      <c r="T1297" s="84"/>
      <c r="U1297" s="84"/>
      <c r="V1297" s="84"/>
      <c r="W1297" s="84"/>
      <c r="X1297" s="84"/>
    </row>
    <row r="1298" spans="1:24" ht="15" customHeight="1" x14ac:dyDescent="0.2">
      <c r="A1298" s="84"/>
      <c r="B1298" s="84"/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  <c r="S1298" s="84"/>
      <c r="T1298" s="84"/>
      <c r="U1298" s="84"/>
      <c r="V1298" s="84"/>
      <c r="W1298" s="84"/>
      <c r="X1298" s="84"/>
    </row>
    <row r="1299" spans="1:24" ht="15" customHeight="1" x14ac:dyDescent="0.2">
      <c r="A1299" s="84"/>
      <c r="B1299" s="84"/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  <c r="S1299" s="84"/>
      <c r="T1299" s="84"/>
      <c r="U1299" s="84"/>
      <c r="V1299" s="84"/>
      <c r="W1299" s="84"/>
      <c r="X1299" s="84"/>
    </row>
    <row r="1300" spans="1:24" ht="15" customHeight="1" x14ac:dyDescent="0.2">
      <c r="A1300" s="84"/>
      <c r="B1300" s="84"/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  <c r="S1300" s="84"/>
      <c r="T1300" s="84"/>
      <c r="U1300" s="84"/>
      <c r="V1300" s="84"/>
      <c r="W1300" s="84"/>
      <c r="X1300" s="84"/>
    </row>
    <row r="1301" spans="1:24" ht="15" customHeight="1" x14ac:dyDescent="0.2">
      <c r="A1301" s="84"/>
      <c r="B1301" s="84"/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  <c r="S1301" s="84"/>
      <c r="T1301" s="84"/>
      <c r="U1301" s="84"/>
      <c r="V1301" s="84"/>
      <c r="W1301" s="84"/>
      <c r="X1301" s="84"/>
    </row>
    <row r="1302" spans="1:24" ht="15" customHeight="1" x14ac:dyDescent="0.2">
      <c r="A1302" s="84"/>
      <c r="B1302" s="84"/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  <c r="S1302" s="84"/>
      <c r="T1302" s="84"/>
      <c r="U1302" s="84"/>
      <c r="V1302" s="84"/>
      <c r="W1302" s="84"/>
      <c r="X1302" s="84"/>
    </row>
    <row r="1303" spans="1:24" ht="15" customHeight="1" x14ac:dyDescent="0.2">
      <c r="A1303" s="84"/>
      <c r="B1303" s="84"/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  <c r="S1303" s="84"/>
      <c r="T1303" s="84"/>
      <c r="U1303" s="84"/>
      <c r="V1303" s="84"/>
      <c r="W1303" s="84"/>
      <c r="X1303" s="84"/>
    </row>
    <row r="1304" spans="1:24" ht="15" customHeight="1" x14ac:dyDescent="0.2">
      <c r="A1304" s="84"/>
      <c r="B1304" s="84"/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  <c r="S1304" s="84"/>
      <c r="T1304" s="84"/>
      <c r="U1304" s="84"/>
      <c r="V1304" s="84"/>
      <c r="W1304" s="84"/>
      <c r="X1304" s="84"/>
    </row>
    <row r="1305" spans="1:24" ht="15" customHeight="1" x14ac:dyDescent="0.2">
      <c r="A1305" s="84"/>
      <c r="B1305" s="84"/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  <c r="S1305" s="84"/>
      <c r="T1305" s="84"/>
      <c r="U1305" s="84"/>
      <c r="V1305" s="84"/>
      <c r="W1305" s="84"/>
      <c r="X1305" s="84"/>
    </row>
    <row r="1306" spans="1:24" ht="15" customHeight="1" x14ac:dyDescent="0.2">
      <c r="A1306" s="84"/>
      <c r="B1306" s="84"/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  <c r="S1306" s="84"/>
      <c r="T1306" s="84"/>
      <c r="U1306" s="84"/>
      <c r="V1306" s="84"/>
      <c r="W1306" s="84"/>
      <c r="X1306" s="84"/>
    </row>
    <row r="1307" spans="1:24" ht="15" customHeight="1" x14ac:dyDescent="0.2">
      <c r="A1307" s="84"/>
      <c r="B1307" s="84"/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  <c r="S1307" s="84"/>
      <c r="T1307" s="84"/>
      <c r="U1307" s="84"/>
      <c r="V1307" s="84"/>
      <c r="W1307" s="84"/>
      <c r="X1307" s="84"/>
    </row>
    <row r="1308" spans="1:24" ht="15" customHeight="1" x14ac:dyDescent="0.2">
      <c r="A1308" s="84"/>
      <c r="B1308" s="84"/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  <c r="S1308" s="84"/>
      <c r="T1308" s="84"/>
      <c r="U1308" s="84"/>
      <c r="V1308" s="84"/>
      <c r="W1308" s="84"/>
      <c r="X1308" s="84"/>
    </row>
    <row r="1309" spans="1:24" ht="15" customHeight="1" x14ac:dyDescent="0.2">
      <c r="A1309" s="84"/>
      <c r="B1309" s="84"/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  <c r="S1309" s="84"/>
      <c r="T1309" s="84"/>
      <c r="U1309" s="84"/>
      <c r="V1309" s="84"/>
      <c r="W1309" s="84"/>
      <c r="X1309" s="84"/>
    </row>
    <row r="1310" spans="1:24" ht="15" customHeight="1" x14ac:dyDescent="0.2">
      <c r="A1310" s="84"/>
      <c r="B1310" s="84"/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  <c r="S1310" s="84"/>
      <c r="T1310" s="84"/>
      <c r="U1310" s="84"/>
      <c r="V1310" s="84"/>
      <c r="W1310" s="84"/>
      <c r="X1310" s="84"/>
    </row>
    <row r="1311" spans="1:24" ht="15" customHeight="1" x14ac:dyDescent="0.2">
      <c r="A1311" s="84"/>
      <c r="B1311" s="84"/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  <c r="S1311" s="84"/>
      <c r="T1311" s="84"/>
      <c r="U1311" s="84"/>
      <c r="V1311" s="84"/>
      <c r="W1311" s="84"/>
      <c r="X1311" s="84"/>
    </row>
    <row r="1312" spans="1:24" ht="15" customHeight="1" x14ac:dyDescent="0.2">
      <c r="A1312" s="84"/>
      <c r="B1312" s="84"/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  <c r="S1312" s="84"/>
      <c r="T1312" s="84"/>
      <c r="U1312" s="84"/>
      <c r="V1312" s="84"/>
      <c r="W1312" s="84"/>
      <c r="X1312" s="84"/>
    </row>
    <row r="1313" spans="1:24" ht="15" customHeight="1" x14ac:dyDescent="0.2">
      <c r="A1313" s="84"/>
      <c r="B1313" s="84"/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  <c r="S1313" s="84"/>
      <c r="T1313" s="84"/>
      <c r="U1313" s="84"/>
      <c r="V1313" s="84"/>
      <c r="W1313" s="84"/>
      <c r="X1313" s="84"/>
    </row>
    <row r="1314" spans="1:24" ht="15" customHeight="1" x14ac:dyDescent="0.2">
      <c r="A1314" s="84"/>
      <c r="B1314" s="84"/>
      <c r="C1314" s="84"/>
      <c r="D1314" s="84"/>
      <c r="E1314" s="84"/>
      <c r="F1314" s="84"/>
      <c r="G1314" s="84"/>
      <c r="H1314" s="84"/>
      <c r="I1314" s="84"/>
      <c r="J1314" s="84"/>
      <c r="K1314" s="84"/>
      <c r="L1314" s="84"/>
      <c r="M1314" s="84"/>
      <c r="N1314" s="84"/>
      <c r="O1314" s="84"/>
      <c r="P1314" s="84"/>
      <c r="Q1314" s="84"/>
      <c r="R1314" s="84"/>
      <c r="S1314" s="84"/>
      <c r="T1314" s="84"/>
      <c r="U1314" s="84"/>
      <c r="V1314" s="84"/>
      <c r="W1314" s="84"/>
      <c r="X1314" s="84"/>
    </row>
    <row r="1315" spans="1:24" ht="15" customHeight="1" x14ac:dyDescent="0.2">
      <c r="A1315" s="84"/>
      <c r="B1315" s="84"/>
      <c r="C1315" s="84"/>
      <c r="D1315" s="84"/>
      <c r="E1315" s="84"/>
      <c r="F1315" s="84"/>
      <c r="G1315" s="84"/>
      <c r="H1315" s="84"/>
      <c r="I1315" s="84"/>
      <c r="J1315" s="84"/>
      <c r="K1315" s="84"/>
      <c r="L1315" s="84"/>
      <c r="M1315" s="84"/>
      <c r="N1315" s="84"/>
      <c r="O1315" s="84"/>
      <c r="P1315" s="84"/>
      <c r="Q1315" s="84"/>
      <c r="R1315" s="84"/>
      <c r="S1315" s="84"/>
      <c r="T1315" s="84"/>
      <c r="U1315" s="84"/>
      <c r="V1315" s="84"/>
      <c r="W1315" s="84"/>
      <c r="X1315" s="84"/>
    </row>
    <row r="1316" spans="1:24" ht="15" customHeight="1" x14ac:dyDescent="0.2">
      <c r="A1316" s="84"/>
      <c r="B1316" s="84"/>
      <c r="C1316" s="84"/>
      <c r="D1316" s="84"/>
      <c r="E1316" s="84"/>
      <c r="F1316" s="84"/>
      <c r="G1316" s="84"/>
      <c r="H1316" s="84"/>
      <c r="I1316" s="84"/>
      <c r="J1316" s="84"/>
      <c r="K1316" s="84"/>
      <c r="L1316" s="84"/>
      <c r="M1316" s="84"/>
      <c r="N1316" s="84"/>
      <c r="O1316" s="84"/>
      <c r="P1316" s="84"/>
      <c r="Q1316" s="84"/>
      <c r="R1316" s="84"/>
      <c r="S1316" s="84"/>
      <c r="T1316" s="84"/>
      <c r="U1316" s="84"/>
      <c r="V1316" s="84"/>
      <c r="W1316" s="84"/>
      <c r="X1316" s="84"/>
    </row>
    <row r="1317" spans="1:24" ht="15" customHeight="1" x14ac:dyDescent="0.2">
      <c r="A1317" s="84"/>
      <c r="B1317" s="84"/>
      <c r="C1317" s="84"/>
      <c r="D1317" s="84"/>
      <c r="E1317" s="84"/>
      <c r="F1317" s="84"/>
      <c r="G1317" s="84"/>
      <c r="H1317" s="84"/>
      <c r="I1317" s="84"/>
      <c r="J1317" s="84"/>
      <c r="K1317" s="84"/>
      <c r="L1317" s="84"/>
      <c r="M1317" s="84"/>
      <c r="N1317" s="84"/>
      <c r="O1317" s="84"/>
      <c r="P1317" s="84"/>
      <c r="Q1317" s="84"/>
      <c r="R1317" s="84"/>
      <c r="S1317" s="84"/>
      <c r="T1317" s="84"/>
      <c r="U1317" s="84"/>
      <c r="V1317" s="84"/>
      <c r="W1317" s="84"/>
      <c r="X1317" s="84"/>
    </row>
    <row r="1318" spans="1:24" ht="15" customHeight="1" x14ac:dyDescent="0.2">
      <c r="A1318" s="84"/>
      <c r="B1318" s="84"/>
      <c r="C1318" s="84"/>
      <c r="D1318" s="84"/>
      <c r="E1318" s="84"/>
      <c r="F1318" s="84"/>
      <c r="G1318" s="84"/>
      <c r="H1318" s="84"/>
      <c r="I1318" s="84"/>
      <c r="J1318" s="84"/>
      <c r="K1318" s="84"/>
      <c r="L1318" s="84"/>
      <c r="M1318" s="84"/>
      <c r="N1318" s="84"/>
      <c r="O1318" s="84"/>
      <c r="P1318" s="84"/>
      <c r="Q1318" s="84"/>
      <c r="R1318" s="84"/>
      <c r="S1318" s="84"/>
      <c r="T1318" s="84"/>
      <c r="U1318" s="84"/>
      <c r="V1318" s="84"/>
      <c r="W1318" s="84"/>
      <c r="X1318" s="84"/>
    </row>
    <row r="1319" spans="1:24" ht="15" customHeight="1" x14ac:dyDescent="0.2">
      <c r="A1319" s="84"/>
      <c r="B1319" s="84"/>
      <c r="C1319" s="84"/>
      <c r="D1319" s="84"/>
      <c r="E1319" s="84"/>
      <c r="F1319" s="84"/>
      <c r="G1319" s="84"/>
      <c r="H1319" s="84"/>
      <c r="I1319" s="84"/>
      <c r="J1319" s="84"/>
      <c r="K1319" s="84"/>
      <c r="L1319" s="84"/>
      <c r="M1319" s="84"/>
      <c r="N1319" s="84"/>
      <c r="O1319" s="84"/>
      <c r="P1319" s="84"/>
      <c r="Q1319" s="84"/>
      <c r="R1319" s="84"/>
      <c r="S1319" s="84"/>
      <c r="T1319" s="84"/>
      <c r="U1319" s="84"/>
      <c r="V1319" s="84"/>
      <c r="W1319" s="84"/>
      <c r="X1319" s="84"/>
    </row>
    <row r="1320" spans="1:24" ht="15" customHeight="1" x14ac:dyDescent="0.2">
      <c r="A1320" s="84"/>
      <c r="B1320" s="84"/>
      <c r="C1320" s="84"/>
      <c r="D1320" s="84"/>
      <c r="E1320" s="84"/>
      <c r="F1320" s="84"/>
      <c r="G1320" s="84"/>
      <c r="H1320" s="84"/>
      <c r="I1320" s="84"/>
      <c r="J1320" s="84"/>
      <c r="K1320" s="84"/>
      <c r="L1320" s="84"/>
      <c r="M1320" s="84"/>
      <c r="N1320" s="84"/>
      <c r="O1320" s="84"/>
      <c r="P1320" s="84"/>
      <c r="Q1320" s="84"/>
      <c r="R1320" s="84"/>
      <c r="S1320" s="84"/>
      <c r="T1320" s="84"/>
      <c r="U1320" s="84"/>
      <c r="V1320" s="84"/>
      <c r="W1320" s="84"/>
      <c r="X1320" s="84"/>
    </row>
    <row r="1321" spans="1:24" ht="15" customHeight="1" x14ac:dyDescent="0.2">
      <c r="A1321" s="84"/>
      <c r="B1321" s="84"/>
      <c r="C1321" s="84"/>
      <c r="D1321" s="84"/>
      <c r="E1321" s="84"/>
      <c r="F1321" s="84"/>
      <c r="G1321" s="84"/>
      <c r="H1321" s="84"/>
      <c r="I1321" s="84"/>
      <c r="J1321" s="84"/>
      <c r="K1321" s="84"/>
      <c r="L1321" s="84"/>
      <c r="M1321" s="84"/>
      <c r="N1321" s="84"/>
      <c r="O1321" s="84"/>
      <c r="P1321" s="84"/>
      <c r="Q1321" s="84"/>
      <c r="R1321" s="84"/>
      <c r="S1321" s="84"/>
      <c r="T1321" s="84"/>
      <c r="U1321" s="84"/>
      <c r="V1321" s="84"/>
      <c r="W1321" s="84"/>
      <c r="X1321" s="84"/>
    </row>
    <row r="1322" spans="1:24" ht="15" customHeight="1" x14ac:dyDescent="0.2">
      <c r="A1322" s="84"/>
      <c r="B1322" s="84"/>
      <c r="C1322" s="84"/>
      <c r="D1322" s="84"/>
      <c r="E1322" s="84"/>
      <c r="F1322" s="84"/>
      <c r="G1322" s="84"/>
      <c r="H1322" s="84"/>
      <c r="I1322" s="84"/>
      <c r="J1322" s="84"/>
      <c r="K1322" s="84"/>
      <c r="L1322" s="84"/>
      <c r="M1322" s="84"/>
      <c r="N1322" s="84"/>
      <c r="O1322" s="84"/>
      <c r="P1322" s="84"/>
      <c r="Q1322" s="84"/>
      <c r="R1322" s="84"/>
      <c r="S1322" s="84"/>
      <c r="T1322" s="84"/>
      <c r="U1322" s="84"/>
      <c r="V1322" s="84"/>
      <c r="W1322" s="84"/>
      <c r="X1322" s="84"/>
    </row>
    <row r="1323" spans="1:24" ht="15" customHeight="1" x14ac:dyDescent="0.2">
      <c r="A1323" s="84"/>
      <c r="B1323" s="84"/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  <c r="S1323" s="84"/>
      <c r="T1323" s="84"/>
      <c r="U1323" s="84"/>
      <c r="V1323" s="84"/>
      <c r="W1323" s="84"/>
      <c r="X1323" s="84"/>
    </row>
    <row r="1324" spans="1:24" ht="15" customHeight="1" x14ac:dyDescent="0.2">
      <c r="A1324" s="84"/>
      <c r="B1324" s="84"/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  <c r="S1324" s="84"/>
      <c r="T1324" s="84"/>
      <c r="U1324" s="84"/>
      <c r="V1324" s="84"/>
      <c r="W1324" s="84"/>
      <c r="X1324" s="84"/>
    </row>
    <row r="1325" spans="1:24" ht="15" customHeight="1" x14ac:dyDescent="0.2">
      <c r="A1325" s="84"/>
      <c r="B1325" s="84"/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  <c r="S1325" s="84"/>
      <c r="T1325" s="84"/>
      <c r="U1325" s="84"/>
      <c r="V1325" s="84"/>
      <c r="W1325" s="84"/>
      <c r="X1325" s="84"/>
    </row>
    <row r="1326" spans="1:24" ht="15" customHeight="1" x14ac:dyDescent="0.2">
      <c r="A1326" s="84"/>
      <c r="B1326" s="84"/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  <c r="S1326" s="84"/>
      <c r="T1326" s="84"/>
      <c r="U1326" s="84"/>
      <c r="V1326" s="84"/>
      <c r="W1326" s="84"/>
      <c r="X1326" s="84"/>
    </row>
    <row r="1327" spans="1:24" ht="15" customHeight="1" x14ac:dyDescent="0.2">
      <c r="A1327" s="84"/>
      <c r="B1327" s="84"/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  <c r="S1327" s="84"/>
      <c r="T1327" s="84"/>
      <c r="U1327" s="84"/>
      <c r="V1327" s="84"/>
      <c r="W1327" s="84"/>
      <c r="X1327" s="84"/>
    </row>
    <row r="1328" spans="1:24" ht="15" customHeight="1" x14ac:dyDescent="0.2">
      <c r="A1328" s="84"/>
      <c r="B1328" s="84"/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  <c r="S1328" s="84"/>
      <c r="T1328" s="84"/>
      <c r="U1328" s="84"/>
      <c r="V1328" s="84"/>
      <c r="W1328" s="84"/>
      <c r="X1328" s="84"/>
    </row>
    <row r="1329" spans="1:24" ht="15" customHeight="1" x14ac:dyDescent="0.2">
      <c r="A1329" s="84"/>
      <c r="B1329" s="84"/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</row>
    <row r="1330" spans="1:24" ht="15" customHeight="1" x14ac:dyDescent="0.2">
      <c r="A1330" s="84"/>
      <c r="B1330" s="84"/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</row>
    <row r="1331" spans="1:24" ht="15" customHeight="1" x14ac:dyDescent="0.2">
      <c r="A1331" s="84"/>
      <c r="B1331" s="84"/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</row>
    <row r="1332" spans="1:24" ht="15" customHeight="1" x14ac:dyDescent="0.2">
      <c r="A1332" s="84"/>
      <c r="B1332" s="84"/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</row>
    <row r="1333" spans="1:24" ht="15" customHeight="1" x14ac:dyDescent="0.2">
      <c r="A1333" s="84"/>
      <c r="B1333" s="84"/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</row>
    <row r="1334" spans="1:24" ht="15" customHeight="1" x14ac:dyDescent="0.2">
      <c r="A1334" s="84"/>
      <c r="B1334" s="84"/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</row>
    <row r="1335" spans="1:24" ht="15" customHeight="1" x14ac:dyDescent="0.2">
      <c r="A1335" s="84"/>
      <c r="B1335" s="84"/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  <c r="R1335" s="84"/>
      <c r="S1335" s="84"/>
      <c r="T1335" s="84"/>
      <c r="U1335" s="84"/>
      <c r="V1335" s="84"/>
      <c r="W1335" s="84"/>
      <c r="X1335" s="84"/>
    </row>
    <row r="1336" spans="1:24" ht="15" customHeight="1" x14ac:dyDescent="0.2">
      <c r="A1336" s="84"/>
      <c r="B1336" s="84"/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  <c r="R1336" s="84"/>
      <c r="S1336" s="84"/>
      <c r="T1336" s="84"/>
      <c r="U1336" s="84"/>
      <c r="V1336" s="84"/>
      <c r="W1336" s="84"/>
      <c r="X1336" s="84"/>
    </row>
    <row r="1337" spans="1:24" ht="15" customHeight="1" x14ac:dyDescent="0.2">
      <c r="A1337" s="84"/>
      <c r="B1337" s="84"/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  <c r="S1337" s="84"/>
      <c r="T1337" s="84"/>
      <c r="U1337" s="84"/>
      <c r="V1337" s="84"/>
      <c r="W1337" s="84"/>
      <c r="X1337" s="84"/>
    </row>
    <row r="1338" spans="1:24" ht="15" customHeight="1" x14ac:dyDescent="0.2">
      <c r="A1338" s="84"/>
      <c r="B1338" s="84"/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  <c r="S1338" s="84"/>
      <c r="T1338" s="84"/>
      <c r="U1338" s="84"/>
      <c r="V1338" s="84"/>
      <c r="W1338" s="84"/>
      <c r="X1338" s="84"/>
    </row>
    <row r="1339" spans="1:24" ht="15" customHeight="1" x14ac:dyDescent="0.2">
      <c r="A1339" s="84"/>
      <c r="B1339" s="84"/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  <c r="S1339" s="84"/>
      <c r="T1339" s="84"/>
      <c r="U1339" s="84"/>
      <c r="V1339" s="84"/>
      <c r="W1339" s="84"/>
      <c r="X1339" s="84"/>
    </row>
    <row r="1340" spans="1:24" ht="15" customHeight="1" x14ac:dyDescent="0.2">
      <c r="A1340" s="84"/>
      <c r="B1340" s="84"/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  <c r="S1340" s="84"/>
      <c r="T1340" s="84"/>
      <c r="U1340" s="84"/>
      <c r="V1340" s="84"/>
      <c r="W1340" s="84"/>
      <c r="X1340" s="84"/>
    </row>
    <row r="1341" spans="1:24" ht="15" customHeight="1" x14ac:dyDescent="0.2">
      <c r="A1341" s="84"/>
      <c r="B1341" s="84"/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  <c r="S1341" s="84"/>
      <c r="T1341" s="84"/>
      <c r="U1341" s="84"/>
      <c r="V1341" s="84"/>
      <c r="W1341" s="84"/>
      <c r="X1341" s="84"/>
    </row>
    <row r="1342" spans="1:24" ht="15" customHeight="1" x14ac:dyDescent="0.2">
      <c r="A1342" s="84"/>
      <c r="B1342" s="84"/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  <c r="S1342" s="84"/>
      <c r="T1342" s="84"/>
      <c r="U1342" s="84"/>
      <c r="V1342" s="84"/>
      <c r="W1342" s="84"/>
      <c r="X1342" s="84"/>
    </row>
    <row r="1343" spans="1:24" ht="15" customHeight="1" x14ac:dyDescent="0.2">
      <c r="A1343" s="84"/>
      <c r="B1343" s="84"/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  <c r="S1343" s="84"/>
      <c r="T1343" s="84"/>
      <c r="U1343" s="84"/>
      <c r="V1343" s="84"/>
      <c r="W1343" s="84"/>
      <c r="X1343" s="84"/>
    </row>
    <row r="1344" spans="1:24" ht="15" customHeight="1" x14ac:dyDescent="0.2">
      <c r="A1344" s="84"/>
      <c r="B1344" s="84"/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  <c r="S1344" s="84"/>
      <c r="T1344" s="84"/>
      <c r="U1344" s="84"/>
      <c r="V1344" s="84"/>
      <c r="W1344" s="84"/>
      <c r="X1344" s="84"/>
    </row>
    <row r="1345" spans="1:24" ht="15" customHeight="1" x14ac:dyDescent="0.2">
      <c r="A1345" s="84"/>
      <c r="B1345" s="84"/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  <c r="S1345" s="84"/>
      <c r="T1345" s="84"/>
      <c r="U1345" s="84"/>
      <c r="V1345" s="84"/>
      <c r="W1345" s="84"/>
      <c r="X1345" s="84"/>
    </row>
    <row r="1346" spans="1:24" ht="15" customHeight="1" x14ac:dyDescent="0.2">
      <c r="A1346" s="84"/>
      <c r="B1346" s="84"/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  <c r="S1346" s="84"/>
      <c r="T1346" s="84"/>
      <c r="U1346" s="84"/>
      <c r="V1346" s="84"/>
      <c r="W1346" s="84"/>
      <c r="X1346" s="84"/>
    </row>
    <row r="1347" spans="1:24" ht="15" customHeight="1" x14ac:dyDescent="0.2">
      <c r="A1347" s="84"/>
      <c r="B1347" s="84"/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  <c r="S1347" s="84"/>
      <c r="T1347" s="84"/>
      <c r="U1347" s="84"/>
      <c r="V1347" s="84"/>
      <c r="W1347" s="84"/>
      <c r="X1347" s="84"/>
    </row>
    <row r="1348" spans="1:24" ht="15" customHeight="1" x14ac:dyDescent="0.2">
      <c r="A1348" s="84"/>
      <c r="B1348" s="84"/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  <c r="S1348" s="84"/>
      <c r="T1348" s="84"/>
      <c r="U1348" s="84"/>
      <c r="V1348" s="84"/>
      <c r="W1348" s="84"/>
      <c r="X1348" s="84"/>
    </row>
    <row r="1349" spans="1:24" ht="15" customHeight="1" x14ac:dyDescent="0.2">
      <c r="A1349" s="84"/>
      <c r="B1349" s="84"/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  <c r="S1349" s="84"/>
      <c r="T1349" s="84"/>
      <c r="U1349" s="84"/>
      <c r="V1349" s="84"/>
      <c r="W1349" s="84"/>
      <c r="X1349" s="84"/>
    </row>
    <row r="1350" spans="1:24" ht="15" customHeight="1" x14ac:dyDescent="0.2">
      <c r="A1350" s="84"/>
      <c r="B1350" s="84"/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  <c r="S1350" s="84"/>
      <c r="T1350" s="84"/>
      <c r="U1350" s="84"/>
      <c r="V1350" s="84"/>
      <c r="W1350" s="84"/>
      <c r="X1350" s="84"/>
    </row>
    <row r="1351" spans="1:24" ht="15" customHeight="1" x14ac:dyDescent="0.2">
      <c r="A1351" s="84"/>
      <c r="B1351" s="84"/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  <c r="S1351" s="84"/>
      <c r="T1351" s="84"/>
      <c r="U1351" s="84"/>
      <c r="V1351" s="84"/>
      <c r="W1351" s="84"/>
      <c r="X1351" s="84"/>
    </row>
    <row r="1352" spans="1:24" ht="15" customHeight="1" x14ac:dyDescent="0.2">
      <c r="A1352" s="84"/>
      <c r="B1352" s="84"/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  <c r="S1352" s="84"/>
      <c r="T1352" s="84"/>
      <c r="U1352" s="84"/>
      <c r="V1352" s="84"/>
      <c r="W1352" s="84"/>
      <c r="X1352" s="84"/>
    </row>
    <row r="1353" spans="1:24" ht="15" customHeight="1" x14ac:dyDescent="0.2">
      <c r="A1353" s="84"/>
      <c r="B1353" s="84"/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  <c r="S1353" s="84"/>
      <c r="T1353" s="84"/>
      <c r="U1353" s="84"/>
      <c r="V1353" s="84"/>
      <c r="W1353" s="84"/>
      <c r="X1353" s="84"/>
    </row>
    <row r="1354" spans="1:24" ht="15" customHeight="1" x14ac:dyDescent="0.2">
      <c r="A1354" s="84"/>
      <c r="B1354" s="84"/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  <c r="S1354" s="84"/>
      <c r="T1354" s="84"/>
      <c r="U1354" s="84"/>
      <c r="V1354" s="84"/>
      <c r="W1354" s="84"/>
      <c r="X1354" s="84"/>
    </row>
    <row r="1355" spans="1:24" ht="15" customHeight="1" x14ac:dyDescent="0.2">
      <c r="A1355" s="84"/>
      <c r="B1355" s="84"/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  <c r="S1355" s="84"/>
      <c r="T1355" s="84"/>
      <c r="U1355" s="84"/>
      <c r="V1355" s="84"/>
      <c r="W1355" s="84"/>
      <c r="X1355" s="84"/>
    </row>
    <row r="1356" spans="1:24" ht="15" customHeight="1" x14ac:dyDescent="0.2">
      <c r="A1356" s="84"/>
      <c r="B1356" s="84"/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  <c r="S1356" s="84"/>
      <c r="T1356" s="84"/>
      <c r="U1356" s="84"/>
      <c r="V1356" s="84"/>
      <c r="W1356" s="84"/>
      <c r="X1356" s="84"/>
    </row>
    <row r="1357" spans="1:24" ht="15" customHeight="1" x14ac:dyDescent="0.2">
      <c r="A1357" s="84"/>
      <c r="B1357" s="84"/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U1357" s="84"/>
      <c r="V1357" s="84"/>
      <c r="W1357" s="84"/>
      <c r="X1357" s="84"/>
    </row>
    <row r="1358" spans="1:24" ht="15" customHeight="1" x14ac:dyDescent="0.2">
      <c r="A1358" s="84"/>
      <c r="B1358" s="84"/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  <c r="S1358" s="84"/>
      <c r="T1358" s="84"/>
      <c r="U1358" s="84"/>
      <c r="V1358" s="84"/>
      <c r="W1358" s="84"/>
      <c r="X1358" s="84"/>
    </row>
    <row r="1359" spans="1:24" ht="15" customHeight="1" x14ac:dyDescent="0.2">
      <c r="A1359" s="84"/>
      <c r="B1359" s="84"/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  <c r="S1359" s="84"/>
      <c r="T1359" s="84"/>
      <c r="U1359" s="84"/>
      <c r="V1359" s="84"/>
      <c r="W1359" s="84"/>
      <c r="X1359" s="84"/>
    </row>
    <row r="1360" spans="1:24" ht="15" customHeight="1" x14ac:dyDescent="0.2">
      <c r="A1360" s="84"/>
      <c r="B1360" s="84"/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  <c r="R1360" s="84"/>
      <c r="S1360" s="84"/>
      <c r="T1360" s="84"/>
      <c r="U1360" s="84"/>
      <c r="V1360" s="84"/>
      <c r="W1360" s="84"/>
      <c r="X1360" s="84"/>
    </row>
    <row r="1361" spans="1:24" ht="15" customHeight="1" x14ac:dyDescent="0.2">
      <c r="A1361" s="84"/>
      <c r="B1361" s="84"/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  <c r="R1361" s="84"/>
      <c r="S1361" s="84"/>
      <c r="T1361" s="84"/>
      <c r="U1361" s="84"/>
      <c r="V1361" s="84"/>
      <c r="W1361" s="84"/>
      <c r="X1361" s="84"/>
    </row>
    <row r="1362" spans="1:24" ht="15" customHeight="1" x14ac:dyDescent="0.2">
      <c r="A1362" s="84"/>
      <c r="B1362" s="84"/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  <c r="R1362" s="84"/>
      <c r="S1362" s="84"/>
      <c r="T1362" s="84"/>
      <c r="U1362" s="84"/>
      <c r="V1362" s="84"/>
      <c r="W1362" s="84"/>
      <c r="X1362" s="84"/>
    </row>
    <row r="1363" spans="1:24" ht="15" customHeight="1" x14ac:dyDescent="0.2">
      <c r="A1363" s="84"/>
      <c r="B1363" s="84"/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  <c r="R1363" s="84"/>
      <c r="S1363" s="84"/>
      <c r="T1363" s="84"/>
      <c r="U1363" s="84"/>
      <c r="V1363" s="84"/>
      <c r="W1363" s="84"/>
      <c r="X1363" s="84"/>
    </row>
    <row r="1364" spans="1:24" ht="15" customHeight="1" x14ac:dyDescent="0.2">
      <c r="A1364" s="84"/>
      <c r="B1364" s="84"/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  <c r="R1364" s="84"/>
      <c r="S1364" s="84"/>
      <c r="T1364" s="84"/>
      <c r="U1364" s="84"/>
      <c r="V1364" s="84"/>
      <c r="W1364" s="84"/>
      <c r="X1364" s="84"/>
    </row>
    <row r="1365" spans="1:24" ht="15" customHeight="1" x14ac:dyDescent="0.2">
      <c r="A1365" s="84"/>
      <c r="B1365" s="84"/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  <c r="R1365" s="84"/>
      <c r="S1365" s="84"/>
      <c r="T1365" s="84"/>
      <c r="U1365" s="84"/>
      <c r="V1365" s="84"/>
      <c r="W1365" s="84"/>
      <c r="X1365" s="84"/>
    </row>
    <row r="1366" spans="1:24" ht="15" customHeight="1" x14ac:dyDescent="0.2">
      <c r="A1366" s="84"/>
      <c r="B1366" s="84"/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  <c r="R1366" s="84"/>
      <c r="S1366" s="84"/>
      <c r="T1366" s="84"/>
      <c r="U1366" s="84"/>
      <c r="V1366" s="84"/>
      <c r="W1366" s="84"/>
      <c r="X1366" s="84"/>
    </row>
    <row r="1367" spans="1:24" ht="15" customHeight="1" x14ac:dyDescent="0.2">
      <c r="A1367" s="84"/>
      <c r="B1367" s="84"/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  <c r="R1367" s="84"/>
      <c r="S1367" s="84"/>
      <c r="T1367" s="84"/>
      <c r="U1367" s="84"/>
      <c r="V1367" s="84"/>
      <c r="W1367" s="84"/>
      <c r="X1367" s="84"/>
    </row>
    <row r="1368" spans="1:24" ht="15" customHeight="1" x14ac:dyDescent="0.2">
      <c r="A1368" s="84"/>
      <c r="B1368" s="84"/>
      <c r="C1368" s="84"/>
      <c r="D1368" s="84"/>
      <c r="E1368" s="84"/>
      <c r="F1368" s="84"/>
      <c r="G1368" s="84"/>
      <c r="H1368" s="84"/>
      <c r="I1368" s="84"/>
      <c r="J1368" s="84"/>
      <c r="K1368" s="84"/>
      <c r="L1368" s="84"/>
      <c r="M1368" s="84"/>
      <c r="N1368" s="84"/>
      <c r="O1368" s="84"/>
      <c r="P1368" s="84"/>
      <c r="Q1368" s="84"/>
      <c r="R1368" s="84"/>
      <c r="S1368" s="84"/>
      <c r="T1368" s="84"/>
      <c r="U1368" s="84"/>
      <c r="V1368" s="84"/>
      <c r="W1368" s="84"/>
      <c r="X1368" s="84"/>
    </row>
    <row r="1369" spans="1:24" ht="15" customHeight="1" x14ac:dyDescent="0.2">
      <c r="A1369" s="84"/>
      <c r="B1369" s="84"/>
      <c r="C1369" s="84"/>
      <c r="D1369" s="84"/>
      <c r="E1369" s="84"/>
      <c r="F1369" s="84"/>
      <c r="G1369" s="84"/>
      <c r="H1369" s="84"/>
      <c r="I1369" s="84"/>
      <c r="J1369" s="84"/>
      <c r="K1369" s="84"/>
      <c r="L1369" s="84"/>
      <c r="M1369" s="84"/>
      <c r="N1369" s="84"/>
      <c r="O1369" s="84"/>
      <c r="P1369" s="84"/>
      <c r="Q1369" s="84"/>
      <c r="R1369" s="84"/>
      <c r="S1369" s="84"/>
      <c r="T1369" s="84"/>
      <c r="U1369" s="84"/>
      <c r="V1369" s="84"/>
      <c r="W1369" s="84"/>
      <c r="X1369" s="84"/>
    </row>
    <row r="1370" spans="1:24" ht="15" customHeight="1" x14ac:dyDescent="0.2">
      <c r="A1370" s="84"/>
      <c r="B1370" s="84"/>
      <c r="C1370" s="84"/>
      <c r="D1370" s="84"/>
      <c r="E1370" s="84"/>
      <c r="F1370" s="84"/>
      <c r="G1370" s="84"/>
      <c r="H1370" s="84"/>
      <c r="I1370" s="84"/>
      <c r="J1370" s="84"/>
      <c r="K1370" s="84"/>
      <c r="L1370" s="84"/>
      <c r="M1370" s="84"/>
      <c r="N1370" s="84"/>
      <c r="O1370" s="84"/>
      <c r="P1370" s="84"/>
      <c r="Q1370" s="84"/>
      <c r="R1370" s="84"/>
      <c r="S1370" s="84"/>
      <c r="T1370" s="84"/>
      <c r="U1370" s="84"/>
      <c r="V1370" s="84"/>
      <c r="W1370" s="84"/>
      <c r="X1370" s="84"/>
    </row>
    <row r="1371" spans="1:24" ht="15" customHeight="1" x14ac:dyDescent="0.2">
      <c r="A1371" s="84"/>
      <c r="B1371" s="84"/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  <c r="S1371" s="84"/>
      <c r="T1371" s="84"/>
      <c r="U1371" s="84"/>
      <c r="V1371" s="84"/>
      <c r="W1371" s="84"/>
      <c r="X1371" s="84"/>
    </row>
    <row r="1372" spans="1:24" ht="15" customHeight="1" x14ac:dyDescent="0.2">
      <c r="A1372" s="84"/>
      <c r="B1372" s="84"/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  <c r="S1372" s="84"/>
      <c r="T1372" s="84"/>
      <c r="U1372" s="84"/>
      <c r="V1372" s="84"/>
      <c r="W1372" s="84"/>
      <c r="X1372" s="84"/>
    </row>
    <row r="1373" spans="1:24" ht="15" customHeight="1" x14ac:dyDescent="0.2">
      <c r="A1373" s="84"/>
      <c r="B1373" s="84"/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  <c r="S1373" s="84"/>
      <c r="T1373" s="84"/>
      <c r="U1373" s="84"/>
      <c r="V1373" s="84"/>
      <c r="W1373" s="84"/>
      <c r="X1373" s="84"/>
    </row>
    <row r="1374" spans="1:24" ht="15" customHeight="1" x14ac:dyDescent="0.2">
      <c r="A1374" s="84"/>
      <c r="B1374" s="84"/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  <c r="S1374" s="84"/>
      <c r="T1374" s="84"/>
      <c r="U1374" s="84"/>
      <c r="V1374" s="84"/>
      <c r="W1374" s="84"/>
      <c r="X1374" s="84"/>
    </row>
    <row r="1375" spans="1:24" ht="15" customHeight="1" x14ac:dyDescent="0.2">
      <c r="A1375" s="84"/>
      <c r="B1375" s="84"/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  <c r="S1375" s="84"/>
      <c r="T1375" s="84"/>
      <c r="U1375" s="84"/>
      <c r="V1375" s="84"/>
      <c r="W1375" s="84"/>
      <c r="X1375" s="84"/>
    </row>
    <row r="1376" spans="1:24" ht="15" customHeight="1" x14ac:dyDescent="0.2">
      <c r="A1376" s="84"/>
      <c r="B1376" s="84"/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  <c r="S1376" s="84"/>
      <c r="T1376" s="84"/>
      <c r="U1376" s="84"/>
      <c r="V1376" s="84"/>
      <c r="W1376" s="84"/>
      <c r="X1376" s="84"/>
    </row>
    <row r="1377" spans="1:24" ht="15" customHeight="1" x14ac:dyDescent="0.2">
      <c r="A1377" s="84"/>
      <c r="B1377" s="84"/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  <c r="S1377" s="84"/>
      <c r="T1377" s="84"/>
      <c r="U1377" s="84"/>
      <c r="V1377" s="84"/>
      <c r="W1377" s="84"/>
      <c r="X1377" s="84"/>
    </row>
    <row r="1378" spans="1:24" ht="15" customHeight="1" x14ac:dyDescent="0.2">
      <c r="A1378" s="84"/>
      <c r="B1378" s="84"/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  <c r="S1378" s="84"/>
      <c r="T1378" s="84"/>
      <c r="U1378" s="84"/>
      <c r="V1378" s="84"/>
      <c r="W1378" s="84"/>
      <c r="X1378" s="84"/>
    </row>
    <row r="1379" spans="1:24" ht="15" customHeight="1" x14ac:dyDescent="0.2">
      <c r="A1379" s="84"/>
      <c r="B1379" s="84"/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  <c r="S1379" s="84"/>
      <c r="T1379" s="84"/>
      <c r="U1379" s="84"/>
      <c r="V1379" s="84"/>
      <c r="W1379" s="84"/>
      <c r="X1379" s="84"/>
    </row>
    <row r="1380" spans="1:24" ht="15" customHeight="1" x14ac:dyDescent="0.2">
      <c r="A1380" s="84"/>
      <c r="B1380" s="84"/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  <c r="S1380" s="84"/>
      <c r="T1380" s="84"/>
      <c r="U1380" s="84"/>
      <c r="V1380" s="84"/>
      <c r="W1380" s="84"/>
      <c r="X1380" s="84"/>
    </row>
    <row r="1381" spans="1:24" ht="15" customHeight="1" x14ac:dyDescent="0.2">
      <c r="A1381" s="84"/>
      <c r="B1381" s="84"/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  <c r="S1381" s="84"/>
      <c r="T1381" s="84"/>
      <c r="U1381" s="84"/>
      <c r="V1381" s="84"/>
      <c r="W1381" s="84"/>
      <c r="X1381" s="84"/>
    </row>
    <row r="1382" spans="1:24" ht="15" customHeight="1" x14ac:dyDescent="0.2">
      <c r="A1382" s="84"/>
      <c r="B1382" s="84"/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  <c r="S1382" s="84"/>
      <c r="T1382" s="84"/>
      <c r="U1382" s="84"/>
      <c r="V1382" s="84"/>
      <c r="W1382" s="84"/>
      <c r="X1382" s="84"/>
    </row>
    <row r="1383" spans="1:24" ht="15" customHeight="1" x14ac:dyDescent="0.2">
      <c r="A1383" s="84"/>
      <c r="B1383" s="84"/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  <c r="S1383" s="84"/>
      <c r="T1383" s="84"/>
      <c r="U1383" s="84"/>
      <c r="V1383" s="84"/>
      <c r="W1383" s="84"/>
      <c r="X1383" s="84"/>
    </row>
    <row r="1384" spans="1:24" ht="15" customHeight="1" x14ac:dyDescent="0.2">
      <c r="A1384" s="84"/>
      <c r="B1384" s="84"/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  <c r="S1384" s="84"/>
      <c r="T1384" s="84"/>
      <c r="U1384" s="84"/>
      <c r="V1384" s="84"/>
      <c r="W1384" s="84"/>
      <c r="X1384" s="84"/>
    </row>
    <row r="1385" spans="1:24" ht="15" customHeight="1" x14ac:dyDescent="0.2">
      <c r="A1385" s="84"/>
      <c r="B1385" s="84"/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  <c r="S1385" s="84"/>
      <c r="T1385" s="84"/>
      <c r="U1385" s="84"/>
      <c r="V1385" s="84"/>
      <c r="W1385" s="84"/>
      <c r="X1385" s="84"/>
    </row>
    <row r="1386" spans="1:24" ht="15" customHeight="1" x14ac:dyDescent="0.2">
      <c r="A1386" s="84"/>
      <c r="B1386" s="84"/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  <c r="S1386" s="84"/>
      <c r="T1386" s="84"/>
      <c r="U1386" s="84"/>
      <c r="V1386" s="84"/>
      <c r="W1386" s="84"/>
      <c r="X1386" s="84"/>
    </row>
    <row r="1387" spans="1:24" ht="15" customHeight="1" x14ac:dyDescent="0.2">
      <c r="A1387" s="84"/>
      <c r="B1387" s="84"/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  <c r="S1387" s="84"/>
      <c r="T1387" s="84"/>
      <c r="U1387" s="84"/>
      <c r="V1387" s="84"/>
      <c r="W1387" s="84"/>
      <c r="X1387" s="84"/>
    </row>
    <row r="1388" spans="1:24" ht="15" customHeight="1" x14ac:dyDescent="0.2">
      <c r="A1388" s="84"/>
      <c r="B1388" s="84"/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  <c r="S1388" s="84"/>
      <c r="T1388" s="84"/>
      <c r="U1388" s="84"/>
      <c r="V1388" s="84"/>
      <c r="W1388" s="84"/>
      <c r="X1388" s="84"/>
    </row>
    <row r="1389" spans="1:24" ht="15" customHeight="1" x14ac:dyDescent="0.2">
      <c r="A1389" s="84"/>
      <c r="B1389" s="84"/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  <c r="S1389" s="84"/>
      <c r="T1389" s="84"/>
      <c r="U1389" s="84"/>
      <c r="V1389" s="84"/>
      <c r="W1389" s="84"/>
      <c r="X1389" s="84"/>
    </row>
    <row r="1390" spans="1:24" ht="15" customHeight="1" x14ac:dyDescent="0.2">
      <c r="A1390" s="84"/>
      <c r="B1390" s="84"/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  <c r="S1390" s="84"/>
      <c r="T1390" s="84"/>
      <c r="U1390" s="84"/>
      <c r="V1390" s="84"/>
      <c r="W1390" s="84"/>
      <c r="X1390" s="84"/>
    </row>
    <row r="1391" spans="1:24" ht="15" customHeight="1" x14ac:dyDescent="0.2">
      <c r="A1391" s="84"/>
      <c r="B1391" s="84"/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  <c r="S1391" s="84"/>
      <c r="T1391" s="84"/>
      <c r="U1391" s="84"/>
      <c r="V1391" s="84"/>
      <c r="W1391" s="84"/>
      <c r="X1391" s="84"/>
    </row>
    <row r="1392" spans="1:24" ht="15" customHeight="1" x14ac:dyDescent="0.2">
      <c r="A1392" s="84"/>
      <c r="B1392" s="84"/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  <c r="S1392" s="84"/>
      <c r="T1392" s="84"/>
      <c r="U1392" s="84"/>
      <c r="V1392" s="84"/>
      <c r="W1392" s="84"/>
      <c r="X1392" s="84"/>
    </row>
    <row r="1393" spans="1:24" ht="15" customHeight="1" x14ac:dyDescent="0.2">
      <c r="A1393" s="84"/>
      <c r="B1393" s="84"/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  <c r="S1393" s="84"/>
      <c r="T1393" s="84"/>
      <c r="U1393" s="84"/>
      <c r="V1393" s="84"/>
      <c r="W1393" s="84"/>
      <c r="X1393" s="84"/>
    </row>
    <row r="1394" spans="1:24" ht="15" customHeight="1" x14ac:dyDescent="0.2">
      <c r="A1394" s="84"/>
      <c r="B1394" s="84"/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  <c r="S1394" s="84"/>
      <c r="T1394" s="84"/>
      <c r="U1394" s="84"/>
      <c r="V1394" s="84"/>
      <c r="W1394" s="84"/>
      <c r="X1394" s="84"/>
    </row>
    <row r="1395" spans="1:24" ht="15" customHeight="1" x14ac:dyDescent="0.2">
      <c r="A1395" s="84"/>
      <c r="B1395" s="84"/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  <c r="S1395" s="84"/>
      <c r="T1395" s="84"/>
      <c r="U1395" s="84"/>
      <c r="V1395" s="84"/>
      <c r="W1395" s="84"/>
      <c r="X1395" s="84"/>
    </row>
    <row r="1396" spans="1:24" ht="15" customHeight="1" x14ac:dyDescent="0.2">
      <c r="A1396" s="84"/>
      <c r="B1396" s="84"/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  <c r="S1396" s="84"/>
      <c r="T1396" s="84"/>
      <c r="U1396" s="84"/>
      <c r="V1396" s="84"/>
      <c r="W1396" s="84"/>
      <c r="X1396" s="84"/>
    </row>
    <row r="1397" spans="1:24" ht="15" customHeight="1" x14ac:dyDescent="0.2">
      <c r="A1397" s="84"/>
      <c r="B1397" s="84"/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  <c r="S1397" s="84"/>
      <c r="T1397" s="84"/>
      <c r="U1397" s="84"/>
      <c r="V1397" s="84"/>
      <c r="W1397" s="84"/>
      <c r="X1397" s="84"/>
    </row>
    <row r="1398" spans="1:24" ht="15" customHeight="1" x14ac:dyDescent="0.2">
      <c r="A1398" s="84"/>
      <c r="B1398" s="84"/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  <c r="S1398" s="84"/>
      <c r="T1398" s="84"/>
      <c r="U1398" s="84"/>
      <c r="V1398" s="84"/>
      <c r="W1398" s="84"/>
      <c r="X1398" s="84"/>
    </row>
    <row r="1399" spans="1:24" ht="15" customHeight="1" x14ac:dyDescent="0.2">
      <c r="A1399" s="84"/>
      <c r="B1399" s="84"/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  <c r="S1399" s="84"/>
      <c r="T1399" s="84"/>
      <c r="U1399" s="84"/>
      <c r="V1399" s="84"/>
      <c r="W1399" s="84"/>
      <c r="X1399" s="84"/>
    </row>
    <row r="1400" spans="1:24" ht="15" customHeight="1" x14ac:dyDescent="0.2">
      <c r="A1400" s="84"/>
      <c r="B1400" s="84"/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  <c r="S1400" s="84"/>
      <c r="T1400" s="84"/>
      <c r="U1400" s="84"/>
      <c r="V1400" s="84"/>
      <c r="W1400" s="84"/>
      <c r="X1400" s="84"/>
    </row>
    <row r="1401" spans="1:24" ht="15" customHeight="1" x14ac:dyDescent="0.2">
      <c r="A1401" s="84"/>
      <c r="B1401" s="84"/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  <c r="S1401" s="84"/>
      <c r="T1401" s="84"/>
      <c r="U1401" s="84"/>
      <c r="V1401" s="84"/>
      <c r="W1401" s="84"/>
      <c r="X1401" s="84"/>
    </row>
    <row r="1402" spans="1:24" ht="15" customHeight="1" x14ac:dyDescent="0.2">
      <c r="A1402" s="84"/>
      <c r="B1402" s="84"/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  <c r="S1402" s="84"/>
      <c r="T1402" s="84"/>
      <c r="U1402" s="84"/>
      <c r="V1402" s="84"/>
      <c r="W1402" s="84"/>
      <c r="X1402" s="84"/>
    </row>
    <row r="1403" spans="1:24" ht="15" customHeight="1" x14ac:dyDescent="0.2">
      <c r="A1403" s="84"/>
      <c r="B1403" s="84"/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  <c r="S1403" s="84"/>
      <c r="T1403" s="84"/>
      <c r="U1403" s="84"/>
      <c r="V1403" s="84"/>
      <c r="W1403" s="84"/>
      <c r="X1403" s="84"/>
    </row>
    <row r="1404" spans="1:24" ht="15" customHeight="1" x14ac:dyDescent="0.2">
      <c r="A1404" s="84"/>
      <c r="B1404" s="84"/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  <c r="S1404" s="84"/>
      <c r="T1404" s="84"/>
      <c r="U1404" s="84"/>
      <c r="V1404" s="84"/>
      <c r="W1404" s="84"/>
      <c r="X1404" s="84"/>
    </row>
    <row r="1405" spans="1:24" ht="15" customHeight="1" x14ac:dyDescent="0.2">
      <c r="A1405" s="84"/>
      <c r="B1405" s="84"/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  <c r="S1405" s="84"/>
      <c r="T1405" s="84"/>
      <c r="U1405" s="84"/>
      <c r="V1405" s="84"/>
      <c r="W1405" s="84"/>
      <c r="X1405" s="84"/>
    </row>
    <row r="1406" spans="1:24" ht="15" customHeight="1" x14ac:dyDescent="0.2">
      <c r="A1406" s="84"/>
      <c r="B1406" s="84"/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  <c r="S1406" s="84"/>
      <c r="T1406" s="84"/>
      <c r="U1406" s="84"/>
      <c r="V1406" s="84"/>
      <c r="W1406" s="84"/>
      <c r="X1406" s="84"/>
    </row>
    <row r="1407" spans="1:24" ht="15" customHeight="1" x14ac:dyDescent="0.2">
      <c r="A1407" s="84"/>
      <c r="B1407" s="84"/>
      <c r="C1407" s="84"/>
      <c r="D1407" s="84"/>
      <c r="E1407" s="84"/>
      <c r="F1407" s="84"/>
      <c r="G1407" s="84"/>
      <c r="H1407" s="84"/>
      <c r="I1407" s="84"/>
      <c r="J1407" s="84"/>
      <c r="K1407" s="84"/>
      <c r="L1407" s="84"/>
      <c r="M1407" s="84"/>
      <c r="N1407" s="84"/>
      <c r="O1407" s="84"/>
      <c r="P1407" s="84"/>
      <c r="Q1407" s="84"/>
      <c r="R1407" s="84"/>
      <c r="S1407" s="84"/>
      <c r="T1407" s="84"/>
      <c r="U1407" s="84"/>
      <c r="V1407" s="84"/>
      <c r="W1407" s="84"/>
      <c r="X1407" s="84"/>
    </row>
    <row r="1408" spans="1:24" ht="15" customHeight="1" x14ac:dyDescent="0.2">
      <c r="A1408" s="84"/>
      <c r="B1408" s="84"/>
      <c r="C1408" s="84"/>
      <c r="D1408" s="84"/>
      <c r="E1408" s="84"/>
      <c r="F1408" s="84"/>
      <c r="G1408" s="84"/>
      <c r="H1408" s="84"/>
      <c r="I1408" s="84"/>
      <c r="J1408" s="84"/>
      <c r="K1408" s="84"/>
      <c r="L1408" s="84"/>
      <c r="M1408" s="84"/>
      <c r="N1408" s="84"/>
      <c r="O1408" s="84"/>
      <c r="P1408" s="84"/>
      <c r="Q1408" s="84"/>
      <c r="R1408" s="84"/>
      <c r="S1408" s="84"/>
      <c r="T1408" s="84"/>
      <c r="U1408" s="84"/>
      <c r="V1408" s="84"/>
      <c r="W1408" s="84"/>
      <c r="X1408" s="84"/>
    </row>
    <row r="1409" spans="1:24" ht="15" customHeight="1" x14ac:dyDescent="0.2">
      <c r="A1409" s="84"/>
      <c r="B1409" s="84"/>
      <c r="C1409" s="84"/>
      <c r="D1409" s="84"/>
      <c r="E1409" s="84"/>
      <c r="F1409" s="84"/>
      <c r="G1409" s="84"/>
      <c r="H1409" s="84"/>
      <c r="I1409" s="84"/>
      <c r="J1409" s="84"/>
      <c r="K1409" s="84"/>
      <c r="L1409" s="84"/>
      <c r="M1409" s="84"/>
      <c r="N1409" s="84"/>
      <c r="O1409" s="84"/>
      <c r="P1409" s="84"/>
      <c r="Q1409" s="84"/>
      <c r="R1409" s="84"/>
      <c r="S1409" s="84"/>
      <c r="T1409" s="84"/>
      <c r="U1409" s="84"/>
      <c r="V1409" s="84"/>
      <c r="W1409" s="84"/>
      <c r="X1409" s="84"/>
    </row>
    <row r="1410" spans="1:24" ht="15" customHeight="1" x14ac:dyDescent="0.2">
      <c r="A1410" s="84"/>
      <c r="B1410" s="84"/>
      <c r="C1410" s="84"/>
      <c r="D1410" s="84"/>
      <c r="E1410" s="84"/>
      <c r="F1410" s="84"/>
      <c r="G1410" s="84"/>
      <c r="H1410" s="84"/>
      <c r="I1410" s="84"/>
      <c r="J1410" s="84"/>
      <c r="K1410" s="84"/>
      <c r="L1410" s="84"/>
      <c r="M1410" s="84"/>
      <c r="N1410" s="84"/>
      <c r="O1410" s="84"/>
      <c r="P1410" s="84"/>
      <c r="Q1410" s="84"/>
      <c r="R1410" s="84"/>
      <c r="S1410" s="84"/>
      <c r="T1410" s="84"/>
      <c r="U1410" s="84"/>
      <c r="V1410" s="84"/>
      <c r="W1410" s="84"/>
      <c r="X1410" s="84"/>
    </row>
    <row r="1411" spans="1:24" ht="15" customHeight="1" x14ac:dyDescent="0.2">
      <c r="A1411" s="84"/>
      <c r="B1411" s="84"/>
      <c r="C1411" s="84"/>
      <c r="D1411" s="84"/>
      <c r="E1411" s="84"/>
      <c r="F1411" s="84"/>
      <c r="G1411" s="84"/>
      <c r="H1411" s="84"/>
      <c r="I1411" s="84"/>
      <c r="J1411" s="84"/>
      <c r="K1411" s="84"/>
      <c r="L1411" s="84"/>
      <c r="M1411" s="84"/>
      <c r="N1411" s="84"/>
      <c r="O1411" s="84"/>
      <c r="P1411" s="84"/>
      <c r="Q1411" s="84"/>
      <c r="R1411" s="84"/>
      <c r="S1411" s="84"/>
      <c r="T1411" s="84"/>
      <c r="U1411" s="84"/>
      <c r="V1411" s="84"/>
      <c r="W1411" s="84"/>
      <c r="X1411" s="84"/>
    </row>
    <row r="1412" spans="1:24" ht="15" customHeight="1" x14ac:dyDescent="0.2">
      <c r="A1412" s="84"/>
      <c r="B1412" s="84"/>
      <c r="C1412" s="84"/>
      <c r="D1412" s="84"/>
      <c r="E1412" s="84"/>
      <c r="F1412" s="84"/>
      <c r="G1412" s="84"/>
      <c r="H1412" s="84"/>
      <c r="I1412" s="84"/>
      <c r="J1412" s="84"/>
      <c r="K1412" s="84"/>
      <c r="L1412" s="84"/>
      <c r="M1412" s="84"/>
      <c r="N1412" s="84"/>
      <c r="O1412" s="84"/>
      <c r="P1412" s="84"/>
      <c r="Q1412" s="84"/>
      <c r="R1412" s="84"/>
      <c r="S1412" s="84"/>
      <c r="T1412" s="84"/>
      <c r="U1412" s="84"/>
      <c r="V1412" s="84"/>
      <c r="W1412" s="84"/>
      <c r="X1412" s="84"/>
    </row>
    <row r="1413" spans="1:24" ht="15" customHeight="1" x14ac:dyDescent="0.2">
      <c r="A1413" s="84"/>
      <c r="B1413" s="84"/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  <c r="R1413" s="84"/>
      <c r="S1413" s="84"/>
      <c r="T1413" s="84"/>
      <c r="U1413" s="84"/>
      <c r="V1413" s="84"/>
      <c r="W1413" s="84"/>
      <c r="X1413" s="84"/>
    </row>
    <row r="1414" spans="1:24" ht="15" customHeight="1" x14ac:dyDescent="0.2">
      <c r="A1414" s="84"/>
      <c r="B1414" s="84"/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  <c r="R1414" s="84"/>
      <c r="S1414" s="84"/>
      <c r="T1414" s="84"/>
      <c r="U1414" s="84"/>
      <c r="V1414" s="84"/>
      <c r="W1414" s="84"/>
      <c r="X1414" s="84"/>
    </row>
    <row r="1415" spans="1:24" ht="15" customHeight="1" x14ac:dyDescent="0.2">
      <c r="A1415" s="84"/>
      <c r="B1415" s="84"/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  <c r="R1415" s="84"/>
      <c r="S1415" s="84"/>
      <c r="T1415" s="84"/>
      <c r="U1415" s="84"/>
      <c r="V1415" s="84"/>
      <c r="W1415" s="84"/>
      <c r="X1415" s="84"/>
    </row>
    <row r="1416" spans="1:24" ht="15" customHeight="1" x14ac:dyDescent="0.2">
      <c r="A1416" s="84"/>
      <c r="B1416" s="84"/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  <c r="R1416" s="84"/>
      <c r="S1416" s="84"/>
      <c r="T1416" s="84"/>
      <c r="U1416" s="84"/>
      <c r="V1416" s="84"/>
      <c r="W1416" s="84"/>
      <c r="X1416" s="84"/>
    </row>
    <row r="1417" spans="1:24" ht="15" customHeight="1" x14ac:dyDescent="0.2">
      <c r="A1417" s="84"/>
      <c r="B1417" s="84"/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  <c r="R1417" s="84"/>
      <c r="S1417" s="84"/>
      <c r="T1417" s="84"/>
      <c r="U1417" s="84"/>
      <c r="V1417" s="84"/>
      <c r="W1417" s="84"/>
      <c r="X1417" s="84"/>
    </row>
    <row r="1418" spans="1:24" ht="15" customHeight="1" x14ac:dyDescent="0.2">
      <c r="A1418" s="84"/>
      <c r="B1418" s="84"/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  <c r="R1418" s="84"/>
      <c r="S1418" s="84"/>
      <c r="T1418" s="84"/>
      <c r="U1418" s="84"/>
      <c r="V1418" s="84"/>
      <c r="W1418" s="84"/>
      <c r="X1418" s="84"/>
    </row>
    <row r="1419" spans="1:24" ht="15" customHeight="1" x14ac:dyDescent="0.2">
      <c r="A1419" s="84"/>
      <c r="B1419" s="84"/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  <c r="S1419" s="84"/>
      <c r="T1419" s="84"/>
      <c r="U1419" s="84"/>
      <c r="V1419" s="84"/>
      <c r="W1419" s="84"/>
      <c r="X1419" s="84"/>
    </row>
    <row r="1420" spans="1:24" ht="15" customHeight="1" x14ac:dyDescent="0.2">
      <c r="A1420" s="84"/>
      <c r="B1420" s="84"/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  <c r="S1420" s="84"/>
      <c r="T1420" s="84"/>
      <c r="U1420" s="84"/>
      <c r="V1420" s="84"/>
      <c r="W1420" s="84"/>
      <c r="X1420" s="84"/>
    </row>
    <row r="1421" spans="1:24" ht="15" customHeight="1" x14ac:dyDescent="0.2">
      <c r="A1421" s="84"/>
      <c r="B1421" s="84"/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  <c r="S1421" s="84"/>
      <c r="T1421" s="84"/>
      <c r="U1421" s="84"/>
      <c r="V1421" s="84"/>
      <c r="W1421" s="84"/>
      <c r="X1421" s="84"/>
    </row>
    <row r="1422" spans="1:24" ht="15" customHeight="1" x14ac:dyDescent="0.2">
      <c r="A1422" s="84"/>
      <c r="B1422" s="84"/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  <c r="S1422" s="84"/>
      <c r="T1422" s="84"/>
      <c r="U1422" s="84"/>
      <c r="V1422" s="84"/>
      <c r="W1422" s="84"/>
      <c r="X1422" s="84"/>
    </row>
    <row r="1423" spans="1:24" ht="15" customHeight="1" x14ac:dyDescent="0.2">
      <c r="A1423" s="84"/>
      <c r="B1423" s="84"/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  <c r="S1423" s="84"/>
      <c r="T1423" s="84"/>
      <c r="U1423" s="84"/>
      <c r="V1423" s="84"/>
      <c r="W1423" s="84"/>
      <c r="X1423" s="84"/>
    </row>
    <row r="1424" spans="1:24" ht="15" customHeight="1" x14ac:dyDescent="0.2">
      <c r="A1424" s="84"/>
      <c r="B1424" s="84"/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  <c r="S1424" s="84"/>
      <c r="T1424" s="84"/>
      <c r="U1424" s="84"/>
      <c r="V1424" s="84"/>
      <c r="W1424" s="84"/>
      <c r="X1424" s="84"/>
    </row>
    <row r="1425" spans="1:24" ht="15" customHeight="1" x14ac:dyDescent="0.2">
      <c r="A1425" s="84"/>
      <c r="B1425" s="84"/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  <c r="S1425" s="84"/>
      <c r="T1425" s="84"/>
      <c r="U1425" s="84"/>
      <c r="V1425" s="84"/>
      <c r="W1425" s="84"/>
      <c r="X1425" s="84"/>
    </row>
    <row r="1426" spans="1:24" ht="15" customHeight="1" x14ac:dyDescent="0.2">
      <c r="A1426" s="84"/>
      <c r="B1426" s="84"/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  <c r="S1426" s="84"/>
      <c r="T1426" s="84"/>
      <c r="U1426" s="84"/>
      <c r="V1426" s="84"/>
      <c r="W1426" s="84"/>
      <c r="X1426" s="84"/>
    </row>
    <row r="1427" spans="1:24" ht="15" customHeight="1" x14ac:dyDescent="0.2">
      <c r="A1427" s="84"/>
      <c r="B1427" s="84"/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  <c r="S1427" s="84"/>
      <c r="T1427" s="84"/>
      <c r="U1427" s="84"/>
      <c r="V1427" s="84"/>
      <c r="W1427" s="84"/>
      <c r="X1427" s="84"/>
    </row>
    <row r="1428" spans="1:24" ht="15" customHeight="1" x14ac:dyDescent="0.2">
      <c r="A1428" s="84"/>
      <c r="B1428" s="84"/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  <c r="S1428" s="84"/>
      <c r="T1428" s="84"/>
      <c r="U1428" s="84"/>
      <c r="V1428" s="84"/>
      <c r="W1428" s="84"/>
      <c r="X1428" s="84"/>
    </row>
    <row r="1429" spans="1:24" ht="15" customHeight="1" x14ac:dyDescent="0.2">
      <c r="A1429" s="84"/>
      <c r="B1429" s="84"/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  <c r="S1429" s="84"/>
      <c r="T1429" s="84"/>
      <c r="U1429" s="84"/>
      <c r="V1429" s="84"/>
      <c r="W1429" s="84"/>
      <c r="X1429" s="84"/>
    </row>
    <row r="1430" spans="1:24" ht="15" customHeight="1" x14ac:dyDescent="0.2">
      <c r="A1430" s="84"/>
      <c r="B1430" s="84"/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  <c r="S1430" s="84"/>
      <c r="T1430" s="84"/>
      <c r="U1430" s="84"/>
      <c r="V1430" s="84"/>
      <c r="W1430" s="84"/>
      <c r="X1430" s="84"/>
    </row>
    <row r="1431" spans="1:24" ht="15" customHeight="1" x14ac:dyDescent="0.2">
      <c r="A1431" s="84"/>
      <c r="B1431" s="84"/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  <c r="S1431" s="84"/>
      <c r="T1431" s="84"/>
      <c r="U1431" s="84"/>
      <c r="V1431" s="84"/>
      <c r="W1431" s="84"/>
      <c r="X1431" s="84"/>
    </row>
    <row r="1432" spans="1:24" ht="15" customHeight="1" x14ac:dyDescent="0.2">
      <c r="A1432" s="84"/>
      <c r="B1432" s="84"/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  <c r="S1432" s="84"/>
      <c r="T1432" s="84"/>
      <c r="U1432" s="84"/>
      <c r="V1432" s="84"/>
      <c r="W1432" s="84"/>
      <c r="X1432" s="84"/>
    </row>
    <row r="1433" spans="1:24" ht="15" customHeight="1" x14ac:dyDescent="0.2">
      <c r="A1433" s="84"/>
      <c r="B1433" s="84"/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  <c r="S1433" s="84"/>
      <c r="T1433" s="84"/>
      <c r="U1433" s="84"/>
      <c r="V1433" s="84"/>
      <c r="W1433" s="84"/>
      <c r="X1433" s="84"/>
    </row>
    <row r="1434" spans="1:24" ht="15" customHeight="1" x14ac:dyDescent="0.2">
      <c r="A1434" s="84"/>
      <c r="B1434" s="84"/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  <c r="S1434" s="84"/>
      <c r="T1434" s="84"/>
      <c r="U1434" s="84"/>
      <c r="V1434" s="84"/>
      <c r="W1434" s="84"/>
      <c r="X1434" s="84"/>
    </row>
    <row r="1435" spans="1:24" ht="15" customHeight="1" x14ac:dyDescent="0.2">
      <c r="A1435" s="84"/>
      <c r="B1435" s="84"/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  <c r="S1435" s="84"/>
      <c r="T1435" s="84"/>
      <c r="U1435" s="84"/>
      <c r="V1435" s="84"/>
      <c r="W1435" s="84"/>
      <c r="X1435" s="84"/>
    </row>
    <row r="1436" spans="1:24" ht="15" customHeight="1" x14ac:dyDescent="0.2">
      <c r="A1436" s="84"/>
      <c r="B1436" s="84"/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  <c r="S1436" s="84"/>
      <c r="T1436" s="84"/>
      <c r="U1436" s="84"/>
      <c r="V1436" s="84"/>
      <c r="W1436" s="84"/>
      <c r="X1436" s="84"/>
    </row>
    <row r="1437" spans="1:24" ht="15" customHeight="1" x14ac:dyDescent="0.2">
      <c r="A1437" s="84"/>
      <c r="B1437" s="84"/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  <c r="S1437" s="84"/>
      <c r="T1437" s="84"/>
      <c r="U1437" s="84"/>
      <c r="V1437" s="84"/>
      <c r="W1437" s="84"/>
      <c r="X1437" s="84"/>
    </row>
    <row r="1438" spans="1:24" ht="15" customHeight="1" x14ac:dyDescent="0.2">
      <c r="A1438" s="84"/>
      <c r="B1438" s="84"/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  <c r="S1438" s="84"/>
      <c r="T1438" s="84"/>
      <c r="U1438" s="84"/>
      <c r="V1438" s="84"/>
      <c r="W1438" s="84"/>
      <c r="X1438" s="84"/>
    </row>
    <row r="1439" spans="1:24" ht="15" customHeight="1" x14ac:dyDescent="0.2">
      <c r="A1439" s="84"/>
      <c r="B1439" s="84"/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  <c r="S1439" s="84"/>
      <c r="T1439" s="84"/>
      <c r="U1439" s="84"/>
      <c r="V1439" s="84"/>
      <c r="W1439" s="84"/>
      <c r="X1439" s="84"/>
    </row>
    <row r="1440" spans="1:24" ht="15" customHeight="1" x14ac:dyDescent="0.2">
      <c r="A1440" s="84"/>
      <c r="B1440" s="84"/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  <c r="S1440" s="84"/>
      <c r="T1440" s="84"/>
      <c r="U1440" s="84"/>
      <c r="V1440" s="84"/>
      <c r="W1440" s="84"/>
      <c r="X1440" s="84"/>
    </row>
    <row r="1441" spans="1:24" ht="15" customHeight="1" x14ac:dyDescent="0.2">
      <c r="A1441" s="84"/>
      <c r="B1441" s="84"/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  <c r="S1441" s="84"/>
      <c r="T1441" s="84"/>
      <c r="U1441" s="84"/>
      <c r="V1441" s="84"/>
      <c r="W1441" s="84"/>
      <c r="X1441" s="84"/>
    </row>
    <row r="1442" spans="1:24" ht="15" customHeight="1" x14ac:dyDescent="0.2">
      <c r="A1442" s="84"/>
      <c r="B1442" s="84"/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  <c r="S1442" s="84"/>
      <c r="T1442" s="84"/>
      <c r="U1442" s="84"/>
      <c r="V1442" s="84"/>
      <c r="W1442" s="84"/>
      <c r="X1442" s="84"/>
    </row>
    <row r="1443" spans="1:24" ht="15" customHeight="1" x14ac:dyDescent="0.2">
      <c r="A1443" s="84"/>
      <c r="B1443" s="84"/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  <c r="S1443" s="84"/>
      <c r="T1443" s="84"/>
      <c r="U1443" s="84"/>
      <c r="V1443" s="84"/>
      <c r="W1443" s="84"/>
      <c r="X1443" s="84"/>
    </row>
    <row r="1444" spans="1:24" ht="15" customHeight="1" x14ac:dyDescent="0.2">
      <c r="A1444" s="84"/>
      <c r="B1444" s="84"/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  <c r="S1444" s="84"/>
      <c r="T1444" s="84"/>
      <c r="U1444" s="84"/>
      <c r="V1444" s="84"/>
      <c r="W1444" s="84"/>
      <c r="X1444" s="84"/>
    </row>
    <row r="1445" spans="1:24" ht="15" customHeight="1" x14ac:dyDescent="0.2">
      <c r="A1445" s="84"/>
      <c r="B1445" s="84"/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  <c r="S1445" s="84"/>
      <c r="T1445" s="84"/>
      <c r="U1445" s="84"/>
      <c r="V1445" s="84"/>
      <c r="W1445" s="84"/>
      <c r="X1445" s="84"/>
    </row>
    <row r="1446" spans="1:24" ht="15" customHeight="1" x14ac:dyDescent="0.2">
      <c r="A1446" s="84"/>
      <c r="B1446" s="84"/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  <c r="S1446" s="84"/>
      <c r="T1446" s="84"/>
      <c r="U1446" s="84"/>
      <c r="V1446" s="84"/>
      <c r="W1446" s="84"/>
      <c r="X1446" s="84"/>
    </row>
    <row r="1447" spans="1:24" ht="15" customHeight="1" x14ac:dyDescent="0.2">
      <c r="A1447" s="84"/>
      <c r="B1447" s="84"/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  <c r="S1447" s="84"/>
      <c r="T1447" s="84"/>
      <c r="U1447" s="84"/>
      <c r="V1447" s="84"/>
      <c r="W1447" s="84"/>
      <c r="X1447" s="84"/>
    </row>
    <row r="1448" spans="1:24" ht="15" customHeight="1" x14ac:dyDescent="0.2">
      <c r="A1448" s="84"/>
      <c r="B1448" s="84"/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  <c r="S1448" s="84"/>
      <c r="T1448" s="84"/>
      <c r="U1448" s="84"/>
      <c r="V1448" s="84"/>
      <c r="W1448" s="84"/>
      <c r="X1448" s="84"/>
    </row>
    <row r="1449" spans="1:24" ht="15" customHeight="1" x14ac:dyDescent="0.2">
      <c r="A1449" s="84"/>
      <c r="B1449" s="84"/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  <c r="S1449" s="84"/>
      <c r="T1449" s="84"/>
      <c r="U1449" s="84"/>
      <c r="V1449" s="84"/>
      <c r="W1449" s="84"/>
      <c r="X1449" s="84"/>
    </row>
    <row r="1450" spans="1:24" ht="15" customHeight="1" x14ac:dyDescent="0.2">
      <c r="A1450" s="84"/>
      <c r="B1450" s="84"/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  <c r="S1450" s="84"/>
      <c r="T1450" s="84"/>
      <c r="U1450" s="84"/>
      <c r="V1450" s="84"/>
      <c r="W1450" s="84"/>
      <c r="X1450" s="84"/>
    </row>
    <row r="1451" spans="1:24" ht="15" customHeight="1" x14ac:dyDescent="0.2">
      <c r="A1451" s="84"/>
      <c r="B1451" s="84"/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  <c r="S1451" s="84"/>
      <c r="T1451" s="84"/>
      <c r="U1451" s="84"/>
      <c r="V1451" s="84"/>
      <c r="W1451" s="84"/>
      <c r="X1451" s="84"/>
    </row>
    <row r="1452" spans="1:24" ht="15" customHeight="1" x14ac:dyDescent="0.2">
      <c r="A1452" s="84"/>
      <c r="B1452" s="84"/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  <c r="S1452" s="84"/>
      <c r="T1452" s="84"/>
      <c r="U1452" s="84"/>
      <c r="V1452" s="84"/>
      <c r="W1452" s="84"/>
      <c r="X1452" s="84"/>
    </row>
    <row r="1453" spans="1:24" ht="15" customHeight="1" x14ac:dyDescent="0.2">
      <c r="A1453" s="84"/>
      <c r="B1453" s="84"/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  <c r="S1453" s="84"/>
      <c r="T1453" s="84"/>
      <c r="U1453" s="84"/>
      <c r="V1453" s="84"/>
      <c r="W1453" s="84"/>
      <c r="X1453" s="84"/>
    </row>
    <row r="1454" spans="1:24" ht="15" customHeight="1" x14ac:dyDescent="0.2">
      <c r="A1454" s="84"/>
      <c r="B1454" s="84"/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  <c r="S1454" s="84"/>
      <c r="T1454" s="84"/>
      <c r="U1454" s="84"/>
      <c r="V1454" s="84"/>
      <c r="W1454" s="84"/>
      <c r="X1454" s="84"/>
    </row>
    <row r="1455" spans="1:24" ht="15" customHeight="1" x14ac:dyDescent="0.2">
      <c r="A1455" s="84"/>
      <c r="B1455" s="84"/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  <c r="R1455" s="84"/>
      <c r="S1455" s="84"/>
      <c r="T1455" s="84"/>
      <c r="U1455" s="84"/>
      <c r="V1455" s="84"/>
      <c r="W1455" s="84"/>
      <c r="X1455" s="84"/>
    </row>
    <row r="1456" spans="1:24" ht="15" customHeight="1" x14ac:dyDescent="0.2">
      <c r="A1456" s="84"/>
      <c r="B1456" s="84"/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  <c r="R1456" s="84"/>
      <c r="S1456" s="84"/>
      <c r="T1456" s="84"/>
      <c r="U1456" s="84"/>
      <c r="V1456" s="84"/>
      <c r="W1456" s="84"/>
      <c r="X1456" s="84"/>
    </row>
    <row r="1457" spans="1:24" ht="15" customHeight="1" x14ac:dyDescent="0.2">
      <c r="A1457" s="84"/>
      <c r="B1457" s="84"/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  <c r="R1457" s="84"/>
      <c r="S1457" s="84"/>
      <c r="T1457" s="84"/>
      <c r="U1457" s="84"/>
      <c r="V1457" s="84"/>
      <c r="W1457" s="84"/>
      <c r="X1457" s="84"/>
    </row>
    <row r="1458" spans="1:24" ht="15" customHeight="1" x14ac:dyDescent="0.2">
      <c r="A1458" s="84"/>
      <c r="B1458" s="84"/>
      <c r="C1458" s="84"/>
      <c r="D1458" s="84"/>
      <c r="E1458" s="84"/>
      <c r="F1458" s="84"/>
      <c r="G1458" s="84"/>
      <c r="H1458" s="84"/>
      <c r="I1458" s="84"/>
      <c r="J1458" s="84"/>
      <c r="K1458" s="84"/>
      <c r="L1458" s="84"/>
      <c r="M1458" s="84"/>
      <c r="N1458" s="84"/>
      <c r="O1458" s="84"/>
      <c r="P1458" s="84"/>
      <c r="Q1458" s="84"/>
      <c r="R1458" s="84"/>
      <c r="S1458" s="84"/>
      <c r="T1458" s="84"/>
      <c r="U1458" s="84"/>
      <c r="V1458" s="84"/>
      <c r="W1458" s="84"/>
      <c r="X1458" s="84"/>
    </row>
    <row r="1459" spans="1:24" ht="15" customHeight="1" x14ac:dyDescent="0.2">
      <c r="A1459" s="84"/>
      <c r="B1459" s="84"/>
      <c r="C1459" s="84"/>
      <c r="D1459" s="84"/>
      <c r="E1459" s="84"/>
      <c r="F1459" s="84"/>
      <c r="G1459" s="84"/>
      <c r="H1459" s="84"/>
      <c r="I1459" s="84"/>
      <c r="J1459" s="84"/>
      <c r="K1459" s="84"/>
      <c r="L1459" s="84"/>
      <c r="M1459" s="84"/>
      <c r="N1459" s="84"/>
      <c r="O1459" s="84"/>
      <c r="P1459" s="84"/>
      <c r="Q1459" s="84"/>
      <c r="R1459" s="84"/>
      <c r="S1459" s="84"/>
      <c r="T1459" s="84"/>
      <c r="U1459" s="84"/>
      <c r="V1459" s="84"/>
      <c r="W1459" s="84"/>
      <c r="X1459" s="84"/>
    </row>
    <row r="1460" spans="1:24" ht="15" customHeight="1" x14ac:dyDescent="0.2">
      <c r="A1460" s="84"/>
      <c r="B1460" s="84"/>
      <c r="C1460" s="84"/>
      <c r="D1460" s="84"/>
      <c r="E1460" s="84"/>
      <c r="F1460" s="84"/>
      <c r="G1460" s="84"/>
      <c r="H1460" s="84"/>
      <c r="I1460" s="84"/>
      <c r="J1460" s="84"/>
      <c r="K1460" s="84"/>
      <c r="L1460" s="84"/>
      <c r="M1460" s="84"/>
      <c r="N1460" s="84"/>
      <c r="O1460" s="84"/>
      <c r="P1460" s="84"/>
      <c r="Q1460" s="84"/>
      <c r="R1460" s="84"/>
      <c r="S1460" s="84"/>
      <c r="T1460" s="84"/>
      <c r="U1460" s="84"/>
      <c r="V1460" s="84"/>
      <c r="W1460" s="84"/>
      <c r="X1460" s="84"/>
    </row>
    <row r="1461" spans="1:24" ht="15" customHeight="1" x14ac:dyDescent="0.2">
      <c r="A1461" s="84"/>
      <c r="B1461" s="84"/>
      <c r="C1461" s="84"/>
      <c r="D1461" s="84"/>
      <c r="E1461" s="84"/>
      <c r="F1461" s="84"/>
      <c r="G1461" s="84"/>
      <c r="H1461" s="84"/>
      <c r="I1461" s="84"/>
      <c r="J1461" s="84"/>
      <c r="K1461" s="84"/>
      <c r="L1461" s="84"/>
      <c r="M1461" s="84"/>
      <c r="N1461" s="84"/>
      <c r="O1461" s="84"/>
      <c r="P1461" s="84"/>
      <c r="Q1461" s="84"/>
      <c r="R1461" s="84"/>
      <c r="S1461" s="84"/>
      <c r="T1461" s="84"/>
      <c r="U1461" s="84"/>
      <c r="V1461" s="84"/>
      <c r="W1461" s="84"/>
      <c r="X1461" s="84"/>
    </row>
    <row r="1462" spans="1:24" ht="15" customHeight="1" x14ac:dyDescent="0.2">
      <c r="A1462" s="84"/>
      <c r="B1462" s="84"/>
      <c r="C1462" s="84"/>
      <c r="D1462" s="84"/>
      <c r="E1462" s="84"/>
      <c r="F1462" s="84"/>
      <c r="G1462" s="84"/>
      <c r="H1462" s="84"/>
      <c r="I1462" s="84"/>
      <c r="J1462" s="84"/>
      <c r="K1462" s="84"/>
      <c r="L1462" s="84"/>
      <c r="M1462" s="84"/>
      <c r="N1462" s="84"/>
      <c r="O1462" s="84"/>
      <c r="P1462" s="84"/>
      <c r="Q1462" s="84"/>
      <c r="R1462" s="84"/>
      <c r="S1462" s="84"/>
      <c r="T1462" s="84"/>
      <c r="U1462" s="84"/>
      <c r="V1462" s="84"/>
      <c r="W1462" s="84"/>
      <c r="X1462" s="84"/>
    </row>
    <row r="1463" spans="1:24" ht="15" customHeight="1" x14ac:dyDescent="0.2">
      <c r="A1463" s="84"/>
      <c r="B1463" s="84"/>
      <c r="C1463" s="84"/>
      <c r="D1463" s="84"/>
      <c r="E1463" s="84"/>
      <c r="F1463" s="84"/>
      <c r="G1463" s="84"/>
      <c r="H1463" s="84"/>
      <c r="I1463" s="84"/>
      <c r="J1463" s="84"/>
      <c r="K1463" s="84"/>
      <c r="L1463" s="84"/>
      <c r="M1463" s="84"/>
      <c r="N1463" s="84"/>
      <c r="O1463" s="84"/>
      <c r="P1463" s="84"/>
      <c r="Q1463" s="84"/>
      <c r="R1463" s="84"/>
      <c r="S1463" s="84"/>
      <c r="T1463" s="84"/>
      <c r="U1463" s="84"/>
      <c r="V1463" s="84"/>
      <c r="W1463" s="84"/>
      <c r="X1463" s="84"/>
    </row>
    <row r="1464" spans="1:24" ht="15" customHeight="1" x14ac:dyDescent="0.2">
      <c r="A1464" s="84"/>
      <c r="B1464" s="84"/>
      <c r="C1464" s="84"/>
      <c r="D1464" s="84"/>
      <c r="E1464" s="84"/>
      <c r="F1464" s="84"/>
      <c r="G1464" s="84"/>
      <c r="H1464" s="84"/>
      <c r="I1464" s="84"/>
      <c r="J1464" s="84"/>
      <c r="K1464" s="84"/>
      <c r="L1464" s="84"/>
      <c r="M1464" s="84"/>
      <c r="N1464" s="84"/>
      <c r="O1464" s="84"/>
      <c r="P1464" s="84"/>
      <c r="Q1464" s="84"/>
      <c r="R1464" s="84"/>
      <c r="S1464" s="84"/>
      <c r="T1464" s="84"/>
      <c r="U1464" s="84"/>
      <c r="V1464" s="84"/>
      <c r="W1464" s="84"/>
      <c r="X1464" s="84"/>
    </row>
    <row r="1465" spans="1:24" ht="15" customHeight="1" x14ac:dyDescent="0.2">
      <c r="A1465" s="84"/>
      <c r="B1465" s="84"/>
      <c r="C1465" s="84"/>
      <c r="D1465" s="84"/>
      <c r="E1465" s="84"/>
      <c r="F1465" s="84"/>
      <c r="G1465" s="84"/>
      <c r="H1465" s="84"/>
      <c r="I1465" s="84"/>
      <c r="J1465" s="84"/>
      <c r="K1465" s="84"/>
      <c r="L1465" s="84"/>
      <c r="M1465" s="84"/>
      <c r="N1465" s="84"/>
      <c r="O1465" s="84"/>
      <c r="P1465" s="84"/>
      <c r="Q1465" s="84"/>
      <c r="R1465" s="84"/>
      <c r="S1465" s="84"/>
      <c r="T1465" s="84"/>
      <c r="U1465" s="84"/>
      <c r="V1465" s="84"/>
      <c r="W1465" s="84"/>
      <c r="X1465" s="84"/>
    </row>
    <row r="1466" spans="1:24" ht="15" customHeight="1" x14ac:dyDescent="0.2">
      <c r="A1466" s="84"/>
      <c r="B1466" s="84"/>
      <c r="C1466" s="84"/>
      <c r="D1466" s="84"/>
      <c r="E1466" s="84"/>
      <c r="F1466" s="84"/>
      <c r="G1466" s="84"/>
      <c r="H1466" s="84"/>
      <c r="I1466" s="84"/>
      <c r="J1466" s="84"/>
      <c r="K1466" s="84"/>
      <c r="L1466" s="84"/>
      <c r="M1466" s="84"/>
      <c r="N1466" s="84"/>
      <c r="O1466" s="84"/>
      <c r="P1466" s="84"/>
      <c r="Q1466" s="84"/>
      <c r="R1466" s="84"/>
      <c r="S1466" s="84"/>
      <c r="T1466" s="84"/>
      <c r="U1466" s="84"/>
      <c r="V1466" s="84"/>
      <c r="W1466" s="84"/>
      <c r="X1466" s="84"/>
    </row>
    <row r="1467" spans="1:24" ht="15" customHeight="1" x14ac:dyDescent="0.2">
      <c r="A1467" s="84"/>
      <c r="B1467" s="84"/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  <c r="S1467" s="84"/>
      <c r="T1467" s="84"/>
      <c r="U1467" s="84"/>
      <c r="V1467" s="84"/>
      <c r="W1467" s="84"/>
      <c r="X1467" s="84"/>
    </row>
    <row r="1468" spans="1:24" ht="15" customHeight="1" x14ac:dyDescent="0.2">
      <c r="A1468" s="84"/>
      <c r="B1468" s="84"/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  <c r="S1468" s="84"/>
      <c r="T1468" s="84"/>
      <c r="U1468" s="84"/>
      <c r="V1468" s="84"/>
      <c r="W1468" s="84"/>
      <c r="X1468" s="84"/>
    </row>
    <row r="1469" spans="1:24" ht="15" customHeight="1" x14ac:dyDescent="0.2">
      <c r="A1469" s="84"/>
      <c r="B1469" s="84"/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  <c r="S1469" s="84"/>
      <c r="T1469" s="84"/>
      <c r="U1469" s="84"/>
      <c r="V1469" s="84"/>
      <c r="W1469" s="84"/>
      <c r="X1469" s="84"/>
    </row>
    <row r="1470" spans="1:24" ht="15" customHeight="1" x14ac:dyDescent="0.2">
      <c r="A1470" s="84"/>
      <c r="B1470" s="84"/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  <c r="S1470" s="84"/>
      <c r="T1470" s="84"/>
      <c r="U1470" s="84"/>
      <c r="V1470" s="84"/>
      <c r="W1470" s="84"/>
      <c r="X1470" s="84"/>
    </row>
    <row r="1471" spans="1:24" ht="15" customHeight="1" x14ac:dyDescent="0.2">
      <c r="A1471" s="84"/>
      <c r="B1471" s="84"/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  <c r="S1471" s="84"/>
      <c r="T1471" s="84"/>
      <c r="U1471" s="84"/>
      <c r="V1471" s="84"/>
      <c r="W1471" s="84"/>
      <c r="X1471" s="84"/>
    </row>
    <row r="1472" spans="1:24" ht="15" customHeight="1" x14ac:dyDescent="0.2">
      <c r="A1472" s="84"/>
      <c r="B1472" s="84"/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  <c r="S1472" s="84"/>
      <c r="T1472" s="84"/>
      <c r="U1472" s="84"/>
      <c r="V1472" s="84"/>
      <c r="W1472" s="84"/>
      <c r="X1472" s="84"/>
    </row>
    <row r="1473" spans="1:24" ht="15" customHeight="1" x14ac:dyDescent="0.2">
      <c r="A1473" s="84"/>
      <c r="B1473" s="84"/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  <c r="S1473" s="84"/>
      <c r="T1473" s="84"/>
      <c r="U1473" s="84"/>
      <c r="V1473" s="84"/>
      <c r="W1473" s="84"/>
      <c r="X1473" s="84"/>
    </row>
    <row r="1474" spans="1:24" ht="15" customHeight="1" x14ac:dyDescent="0.2">
      <c r="A1474" s="84"/>
      <c r="B1474" s="84"/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  <c r="S1474" s="84"/>
      <c r="T1474" s="84"/>
      <c r="U1474" s="84"/>
      <c r="V1474" s="84"/>
      <c r="W1474" s="84"/>
      <c r="X1474" s="84"/>
    </row>
    <row r="1475" spans="1:24" ht="15" customHeight="1" x14ac:dyDescent="0.2">
      <c r="A1475" s="84"/>
      <c r="B1475" s="84"/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  <c r="S1475" s="84"/>
      <c r="T1475" s="84"/>
      <c r="U1475" s="84"/>
      <c r="V1475" s="84"/>
      <c r="W1475" s="84"/>
      <c r="X1475" s="84"/>
    </row>
    <row r="1476" spans="1:24" ht="15" customHeight="1" x14ac:dyDescent="0.2">
      <c r="A1476" s="84"/>
      <c r="B1476" s="84"/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  <c r="S1476" s="84"/>
      <c r="T1476" s="84"/>
      <c r="U1476" s="84"/>
      <c r="V1476" s="84"/>
      <c r="W1476" s="84"/>
      <c r="X1476" s="84"/>
    </row>
    <row r="1477" spans="1:24" ht="15" customHeight="1" x14ac:dyDescent="0.2">
      <c r="A1477" s="84"/>
      <c r="B1477" s="84"/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  <c r="S1477" s="84"/>
      <c r="T1477" s="84"/>
      <c r="U1477" s="84"/>
      <c r="V1477" s="84"/>
      <c r="W1477" s="84"/>
      <c r="X1477" s="84"/>
    </row>
    <row r="1478" spans="1:24" ht="15" customHeight="1" x14ac:dyDescent="0.2">
      <c r="A1478" s="84"/>
      <c r="B1478" s="84"/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  <c r="S1478" s="84"/>
      <c r="T1478" s="84"/>
      <c r="U1478" s="84"/>
      <c r="V1478" s="84"/>
      <c r="W1478" s="84"/>
      <c r="X1478" s="84"/>
    </row>
    <row r="1479" spans="1:24" ht="15" customHeight="1" x14ac:dyDescent="0.2">
      <c r="A1479" s="84"/>
      <c r="B1479" s="84"/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  <c r="S1479" s="84"/>
      <c r="T1479" s="84"/>
      <c r="U1479" s="84"/>
      <c r="V1479" s="84"/>
      <c r="W1479" s="84"/>
      <c r="X1479" s="84"/>
    </row>
    <row r="1480" spans="1:24" ht="15" customHeight="1" x14ac:dyDescent="0.2">
      <c r="A1480" s="84"/>
      <c r="B1480" s="84"/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  <c r="S1480" s="84"/>
      <c r="T1480" s="84"/>
      <c r="U1480" s="84"/>
      <c r="V1480" s="84"/>
      <c r="W1480" s="84"/>
      <c r="X1480" s="84"/>
    </row>
    <row r="1481" spans="1:24" ht="15" customHeight="1" x14ac:dyDescent="0.2">
      <c r="A1481" s="84"/>
      <c r="B1481" s="84"/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  <c r="S1481" s="84"/>
      <c r="T1481" s="84"/>
      <c r="U1481" s="84"/>
      <c r="V1481" s="84"/>
      <c r="W1481" s="84"/>
      <c r="X1481" s="84"/>
    </row>
    <row r="1482" spans="1:24" ht="15" customHeight="1" x14ac:dyDescent="0.2">
      <c r="A1482" s="84"/>
      <c r="B1482" s="84"/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  <c r="S1482" s="84"/>
      <c r="T1482" s="84"/>
      <c r="U1482" s="84"/>
      <c r="V1482" s="84"/>
      <c r="W1482" s="84"/>
      <c r="X1482" s="84"/>
    </row>
    <row r="1483" spans="1:24" ht="15" customHeight="1" x14ac:dyDescent="0.2">
      <c r="A1483" s="84"/>
      <c r="B1483" s="84"/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  <c r="S1483" s="84"/>
      <c r="T1483" s="84"/>
      <c r="U1483" s="84"/>
      <c r="V1483" s="84"/>
      <c r="W1483" s="84"/>
      <c r="X1483" s="84"/>
    </row>
    <row r="1484" spans="1:24" ht="15" customHeight="1" x14ac:dyDescent="0.2">
      <c r="A1484" s="84"/>
      <c r="B1484" s="84"/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  <c r="S1484" s="84"/>
      <c r="T1484" s="84"/>
      <c r="U1484" s="84"/>
      <c r="V1484" s="84"/>
      <c r="W1484" s="84"/>
      <c r="X1484" s="84"/>
    </row>
    <row r="1485" spans="1:24" ht="15" customHeight="1" x14ac:dyDescent="0.2">
      <c r="A1485" s="84"/>
      <c r="B1485" s="84"/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  <c r="S1485" s="84"/>
      <c r="T1485" s="84"/>
      <c r="U1485" s="84"/>
      <c r="V1485" s="84"/>
      <c r="W1485" s="84"/>
      <c r="X1485" s="84"/>
    </row>
    <row r="1486" spans="1:24" ht="15" customHeight="1" x14ac:dyDescent="0.2">
      <c r="A1486" s="84"/>
      <c r="B1486" s="84"/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  <c r="S1486" s="84"/>
      <c r="T1486" s="84"/>
      <c r="U1486" s="84"/>
      <c r="V1486" s="84"/>
      <c r="W1486" s="84"/>
      <c r="X1486" s="84"/>
    </row>
    <row r="1487" spans="1:24" ht="15" customHeight="1" x14ac:dyDescent="0.2">
      <c r="A1487" s="84"/>
      <c r="B1487" s="84"/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  <c r="S1487" s="84"/>
      <c r="T1487" s="84"/>
      <c r="U1487" s="84"/>
      <c r="V1487" s="84"/>
      <c r="W1487" s="84"/>
      <c r="X1487" s="84"/>
    </row>
    <row r="1488" spans="1:24" ht="15" customHeight="1" x14ac:dyDescent="0.2">
      <c r="A1488" s="84"/>
      <c r="B1488" s="84"/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  <c r="S1488" s="84"/>
      <c r="T1488" s="84"/>
      <c r="U1488" s="84"/>
      <c r="V1488" s="84"/>
      <c r="W1488" s="84"/>
      <c r="X1488" s="84"/>
    </row>
    <row r="1489" spans="1:24" ht="15" customHeight="1" x14ac:dyDescent="0.2">
      <c r="A1489" s="84"/>
      <c r="B1489" s="84"/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  <c r="S1489" s="84"/>
      <c r="T1489" s="84"/>
      <c r="U1489" s="84"/>
      <c r="V1489" s="84"/>
      <c r="W1489" s="84"/>
      <c r="X1489" s="84"/>
    </row>
    <row r="1490" spans="1:24" ht="15" customHeight="1" x14ac:dyDescent="0.2">
      <c r="A1490" s="84"/>
      <c r="B1490" s="84"/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  <c r="S1490" s="84"/>
      <c r="T1490" s="84"/>
      <c r="U1490" s="84"/>
      <c r="V1490" s="84"/>
      <c r="W1490" s="84"/>
      <c r="X1490" s="84"/>
    </row>
    <row r="1491" spans="1:24" ht="15" customHeight="1" x14ac:dyDescent="0.2">
      <c r="A1491" s="84"/>
      <c r="B1491" s="84"/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  <c r="S1491" s="84"/>
      <c r="T1491" s="84"/>
      <c r="U1491" s="84"/>
      <c r="V1491" s="84"/>
      <c r="W1491" s="84"/>
      <c r="X1491" s="84"/>
    </row>
    <row r="1492" spans="1:24" ht="15" customHeight="1" x14ac:dyDescent="0.2">
      <c r="A1492" s="84"/>
      <c r="B1492" s="84"/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  <c r="S1492" s="84"/>
      <c r="T1492" s="84"/>
      <c r="U1492" s="84"/>
      <c r="V1492" s="84"/>
      <c r="W1492" s="84"/>
      <c r="X1492" s="84"/>
    </row>
    <row r="1493" spans="1:24" ht="15" customHeight="1" x14ac:dyDescent="0.2">
      <c r="A1493" s="84"/>
      <c r="B1493" s="84"/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  <c r="S1493" s="84"/>
      <c r="T1493" s="84"/>
      <c r="U1493" s="84"/>
      <c r="V1493" s="84"/>
      <c r="W1493" s="84"/>
      <c r="X1493" s="84"/>
    </row>
    <row r="1494" spans="1:24" ht="15" customHeight="1" x14ac:dyDescent="0.2">
      <c r="A1494" s="84"/>
      <c r="B1494" s="84"/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  <c r="S1494" s="84"/>
      <c r="T1494" s="84"/>
      <c r="U1494" s="84"/>
      <c r="V1494" s="84"/>
      <c r="W1494" s="84"/>
      <c r="X1494" s="84"/>
    </row>
    <row r="1495" spans="1:24" ht="15" customHeight="1" x14ac:dyDescent="0.2">
      <c r="A1495" s="84"/>
      <c r="B1495" s="84"/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  <c r="S1495" s="84"/>
      <c r="T1495" s="84"/>
      <c r="U1495" s="84"/>
      <c r="V1495" s="84"/>
      <c r="W1495" s="84"/>
      <c r="X1495" s="84"/>
    </row>
    <row r="1496" spans="1:24" ht="15" customHeight="1" x14ac:dyDescent="0.2">
      <c r="A1496" s="84"/>
      <c r="B1496" s="84"/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  <c r="S1496" s="84"/>
      <c r="T1496" s="84"/>
      <c r="U1496" s="84"/>
      <c r="V1496" s="84"/>
      <c r="W1496" s="84"/>
      <c r="X1496" s="84"/>
    </row>
    <row r="1497" spans="1:24" ht="15" customHeight="1" x14ac:dyDescent="0.2">
      <c r="A1497" s="84"/>
      <c r="B1497" s="84"/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1:24" ht="15" customHeight="1" x14ac:dyDescent="0.2">
      <c r="A1498" s="84"/>
      <c r="B1498" s="84"/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  <c r="S1498" s="84"/>
      <c r="T1498" s="84"/>
      <c r="U1498" s="84"/>
      <c r="V1498" s="84"/>
      <c r="W1498" s="84"/>
      <c r="X1498" s="84"/>
    </row>
    <row r="1499" spans="1:24" ht="15" customHeight="1" x14ac:dyDescent="0.2">
      <c r="A1499" s="84"/>
      <c r="B1499" s="84"/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  <c r="S1499" s="84"/>
      <c r="T1499" s="84"/>
      <c r="U1499" s="84"/>
      <c r="V1499" s="84"/>
      <c r="W1499" s="84"/>
      <c r="X1499" s="84"/>
    </row>
    <row r="1500" spans="1:24" ht="15" customHeight="1" x14ac:dyDescent="0.2">
      <c r="A1500" s="84"/>
      <c r="B1500" s="84"/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  <c r="S1500" s="84"/>
      <c r="T1500" s="84"/>
      <c r="U1500" s="84"/>
      <c r="V1500" s="84"/>
      <c r="W1500" s="84"/>
      <c r="X1500" s="84"/>
    </row>
    <row r="1501" spans="1:24" ht="15" customHeight="1" x14ac:dyDescent="0.2">
      <c r="A1501" s="84"/>
      <c r="B1501" s="84"/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  <c r="S1501" s="84"/>
      <c r="T1501" s="84"/>
      <c r="U1501" s="84"/>
      <c r="V1501" s="84"/>
      <c r="W1501" s="84"/>
      <c r="X1501" s="84"/>
    </row>
    <row r="1502" spans="1:24" ht="15" customHeight="1" x14ac:dyDescent="0.2">
      <c r="A1502" s="84"/>
      <c r="B1502" s="84"/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  <c r="S1502" s="84"/>
      <c r="T1502" s="84"/>
      <c r="U1502" s="84"/>
      <c r="V1502" s="84"/>
      <c r="W1502" s="84"/>
      <c r="X1502" s="84"/>
    </row>
    <row r="1503" spans="1:24" ht="15" customHeight="1" x14ac:dyDescent="0.2">
      <c r="A1503" s="84"/>
      <c r="B1503" s="84"/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  <c r="R1503" s="84"/>
      <c r="S1503" s="84"/>
      <c r="T1503" s="84"/>
      <c r="U1503" s="84"/>
      <c r="V1503" s="84"/>
      <c r="W1503" s="84"/>
      <c r="X1503" s="84"/>
    </row>
    <row r="1504" spans="1:24" ht="15" customHeight="1" x14ac:dyDescent="0.2">
      <c r="A1504" s="84"/>
      <c r="B1504" s="84"/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  <c r="R1504" s="84"/>
      <c r="S1504" s="84"/>
      <c r="T1504" s="84"/>
      <c r="U1504" s="84"/>
      <c r="V1504" s="84"/>
      <c r="W1504" s="84"/>
      <c r="X1504" s="84"/>
    </row>
    <row r="1505" spans="1:24" ht="15" customHeight="1" x14ac:dyDescent="0.2">
      <c r="A1505" s="84"/>
      <c r="B1505" s="84"/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  <c r="R1505" s="84"/>
      <c r="S1505" s="84"/>
      <c r="T1505" s="84"/>
      <c r="U1505" s="84"/>
      <c r="V1505" s="84"/>
      <c r="W1505" s="84"/>
      <c r="X1505" s="84"/>
    </row>
    <row r="1506" spans="1:24" ht="15" customHeight="1" x14ac:dyDescent="0.2">
      <c r="A1506" s="84"/>
      <c r="B1506" s="84"/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  <c r="R1506" s="84"/>
      <c r="S1506" s="84"/>
      <c r="T1506" s="84"/>
      <c r="U1506" s="84"/>
      <c r="V1506" s="84"/>
      <c r="W1506" s="84"/>
      <c r="X1506" s="84"/>
    </row>
    <row r="1507" spans="1:24" ht="15" customHeight="1" x14ac:dyDescent="0.2">
      <c r="A1507" s="84"/>
      <c r="B1507" s="84"/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  <c r="R1507" s="84"/>
      <c r="S1507" s="84"/>
      <c r="T1507" s="84"/>
      <c r="U1507" s="84"/>
      <c r="V1507" s="84"/>
      <c r="W1507" s="84"/>
      <c r="X1507" s="84"/>
    </row>
    <row r="1508" spans="1:24" ht="15" customHeight="1" x14ac:dyDescent="0.2">
      <c r="A1508" s="84"/>
      <c r="B1508" s="84"/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  <c r="R1508" s="84"/>
      <c r="S1508" s="84"/>
      <c r="T1508" s="84"/>
      <c r="U1508" s="84"/>
      <c r="V1508" s="84"/>
      <c r="W1508" s="84"/>
      <c r="X1508" s="84"/>
    </row>
    <row r="1509" spans="1:24" ht="15" customHeight="1" x14ac:dyDescent="0.2">
      <c r="A1509" s="84"/>
      <c r="B1509" s="84"/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  <c r="R1509" s="84"/>
      <c r="S1509" s="84"/>
      <c r="T1509" s="84"/>
      <c r="U1509" s="84"/>
      <c r="V1509" s="84"/>
      <c r="W1509" s="84"/>
      <c r="X1509" s="84"/>
    </row>
    <row r="1510" spans="1:24" ht="15" customHeight="1" x14ac:dyDescent="0.2">
      <c r="A1510" s="84"/>
      <c r="B1510" s="84"/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  <c r="R1510" s="84"/>
      <c r="S1510" s="84"/>
      <c r="T1510" s="84"/>
      <c r="U1510" s="84"/>
      <c r="V1510" s="84"/>
      <c r="W1510" s="84"/>
      <c r="X1510" s="84"/>
    </row>
    <row r="1511" spans="1:24" ht="15" customHeight="1" x14ac:dyDescent="0.2">
      <c r="A1511" s="84"/>
      <c r="B1511" s="84"/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  <c r="R1511" s="84"/>
      <c r="S1511" s="84"/>
      <c r="T1511" s="84"/>
      <c r="U1511" s="84"/>
      <c r="V1511" s="84"/>
      <c r="W1511" s="84"/>
      <c r="X1511" s="84"/>
    </row>
    <row r="1512" spans="1:24" ht="15" customHeight="1" x14ac:dyDescent="0.2">
      <c r="A1512" s="84"/>
      <c r="B1512" s="84"/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  <c r="R1512" s="84"/>
      <c r="S1512" s="84"/>
      <c r="T1512" s="84"/>
      <c r="U1512" s="84"/>
      <c r="V1512" s="84"/>
      <c r="W1512" s="84"/>
      <c r="X1512" s="84"/>
    </row>
    <row r="1513" spans="1:24" ht="15" customHeight="1" x14ac:dyDescent="0.2">
      <c r="A1513" s="84"/>
      <c r="B1513" s="84"/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  <c r="R1513" s="84"/>
      <c r="S1513" s="84"/>
      <c r="T1513" s="84"/>
      <c r="U1513" s="84"/>
      <c r="V1513" s="84"/>
      <c r="W1513" s="84"/>
      <c r="X1513" s="84"/>
    </row>
    <row r="1514" spans="1:24" ht="15" customHeight="1" x14ac:dyDescent="0.2">
      <c r="A1514" s="84"/>
      <c r="B1514" s="84"/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  <c r="R1514" s="84"/>
      <c r="S1514" s="84"/>
      <c r="T1514" s="84"/>
      <c r="U1514" s="84"/>
      <c r="V1514" s="84"/>
      <c r="W1514" s="84"/>
      <c r="X1514" s="84"/>
    </row>
    <row r="1515" spans="1:24" ht="15" customHeight="1" x14ac:dyDescent="0.2">
      <c r="A1515" s="84"/>
      <c r="B1515" s="84"/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  <c r="S1515" s="84"/>
      <c r="T1515" s="84"/>
      <c r="U1515" s="84"/>
      <c r="V1515" s="84"/>
      <c r="W1515" s="84"/>
      <c r="X1515" s="84"/>
    </row>
    <row r="1516" spans="1:24" ht="15" customHeight="1" x14ac:dyDescent="0.2">
      <c r="A1516" s="84"/>
      <c r="B1516" s="84"/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  <c r="S1516" s="84"/>
      <c r="T1516" s="84"/>
      <c r="U1516" s="84"/>
      <c r="V1516" s="84"/>
      <c r="W1516" s="84"/>
      <c r="X1516" s="84"/>
    </row>
    <row r="1517" spans="1:24" ht="15" customHeight="1" x14ac:dyDescent="0.2">
      <c r="A1517" s="84"/>
      <c r="B1517" s="84"/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  <c r="S1517" s="84"/>
      <c r="T1517" s="84"/>
      <c r="U1517" s="84"/>
      <c r="V1517" s="84"/>
      <c r="W1517" s="84"/>
      <c r="X1517" s="84"/>
    </row>
    <row r="1518" spans="1:24" ht="15" customHeight="1" x14ac:dyDescent="0.2">
      <c r="A1518" s="84"/>
      <c r="B1518" s="84"/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  <c r="S1518" s="84"/>
      <c r="T1518" s="84"/>
      <c r="U1518" s="84"/>
      <c r="V1518" s="84"/>
      <c r="W1518" s="84"/>
      <c r="X1518" s="84"/>
    </row>
    <row r="1519" spans="1:24" ht="15" customHeight="1" x14ac:dyDescent="0.2">
      <c r="A1519" s="84"/>
      <c r="B1519" s="84"/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  <c r="S1519" s="84"/>
      <c r="T1519" s="84"/>
      <c r="U1519" s="84"/>
      <c r="V1519" s="84"/>
      <c r="W1519" s="84"/>
      <c r="X1519" s="84"/>
    </row>
    <row r="1520" spans="1:24" ht="15" customHeight="1" x14ac:dyDescent="0.2">
      <c r="A1520" s="84"/>
      <c r="B1520" s="84"/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  <c r="S1520" s="84"/>
      <c r="T1520" s="84"/>
      <c r="U1520" s="84"/>
      <c r="V1520" s="84"/>
      <c r="W1520" s="84"/>
      <c r="X1520" s="84"/>
    </row>
    <row r="1521" spans="1:24" ht="15" customHeight="1" x14ac:dyDescent="0.2">
      <c r="A1521" s="84"/>
      <c r="B1521" s="84"/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  <c r="S1521" s="84"/>
      <c r="T1521" s="84"/>
      <c r="U1521" s="84"/>
      <c r="V1521" s="84"/>
      <c r="W1521" s="84"/>
      <c r="X1521" s="84"/>
    </row>
    <row r="1522" spans="1:24" ht="15" customHeight="1" x14ac:dyDescent="0.2">
      <c r="A1522" s="84"/>
      <c r="B1522" s="84"/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  <c r="S1522" s="84"/>
      <c r="T1522" s="84"/>
      <c r="U1522" s="84"/>
      <c r="V1522" s="84"/>
      <c r="W1522" s="84"/>
      <c r="X1522" s="84"/>
    </row>
    <row r="1523" spans="1:24" ht="15" customHeight="1" x14ac:dyDescent="0.2">
      <c r="A1523" s="84"/>
      <c r="B1523" s="84"/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  <c r="S1523" s="84"/>
      <c r="T1523" s="84"/>
      <c r="U1523" s="84"/>
      <c r="V1523" s="84"/>
      <c r="W1523" s="84"/>
      <c r="X1523" s="84"/>
    </row>
    <row r="1524" spans="1:24" ht="15" customHeight="1" x14ac:dyDescent="0.2">
      <c r="A1524" s="84"/>
      <c r="B1524" s="84"/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  <c r="S1524" s="84"/>
      <c r="T1524" s="84"/>
      <c r="U1524" s="84"/>
      <c r="V1524" s="84"/>
      <c r="W1524" s="84"/>
      <c r="X1524" s="84"/>
    </row>
    <row r="1525" spans="1:24" ht="15" customHeight="1" x14ac:dyDescent="0.2">
      <c r="A1525" s="84"/>
      <c r="B1525" s="84"/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  <c r="S1525" s="84"/>
      <c r="T1525" s="84"/>
      <c r="U1525" s="84"/>
      <c r="V1525" s="84"/>
      <c r="W1525" s="84"/>
      <c r="X1525" s="84"/>
    </row>
    <row r="1526" spans="1:24" ht="15" customHeight="1" x14ac:dyDescent="0.2">
      <c r="A1526" s="84"/>
      <c r="B1526" s="84"/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  <c r="S1526" s="84"/>
      <c r="T1526" s="84"/>
      <c r="U1526" s="84"/>
      <c r="V1526" s="84"/>
      <c r="W1526" s="84"/>
      <c r="X1526" s="84"/>
    </row>
    <row r="1527" spans="1:24" ht="15" customHeight="1" x14ac:dyDescent="0.2">
      <c r="A1527" s="84"/>
      <c r="B1527" s="84"/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  <c r="W1527" s="84"/>
      <c r="X1527" s="84"/>
    </row>
    <row r="1528" spans="1:24" ht="15" customHeight="1" x14ac:dyDescent="0.2">
      <c r="A1528" s="84"/>
      <c r="B1528" s="84"/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  <c r="S1528" s="84"/>
      <c r="T1528" s="84"/>
      <c r="U1528" s="84"/>
      <c r="V1528" s="84"/>
      <c r="W1528" s="84"/>
      <c r="X1528" s="84"/>
    </row>
    <row r="1529" spans="1:24" ht="15" customHeight="1" x14ac:dyDescent="0.2">
      <c r="A1529" s="84"/>
      <c r="B1529" s="84"/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  <c r="S1529" s="84"/>
      <c r="T1529" s="84"/>
      <c r="U1529" s="84"/>
      <c r="V1529" s="84"/>
      <c r="W1529" s="84"/>
      <c r="X1529" s="84"/>
    </row>
    <row r="1530" spans="1:24" ht="15" customHeight="1" x14ac:dyDescent="0.2">
      <c r="A1530" s="84"/>
      <c r="B1530" s="84"/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  <c r="S1530" s="84"/>
      <c r="T1530" s="84"/>
      <c r="U1530" s="84"/>
      <c r="V1530" s="84"/>
      <c r="W1530" s="84"/>
      <c r="X1530" s="84"/>
    </row>
    <row r="1531" spans="1:24" ht="15" customHeight="1" x14ac:dyDescent="0.2">
      <c r="A1531" s="84"/>
      <c r="B1531" s="84"/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  <c r="S1531" s="84"/>
      <c r="T1531" s="84"/>
      <c r="U1531" s="84"/>
      <c r="V1531" s="84"/>
      <c r="W1531" s="84"/>
      <c r="X1531" s="84"/>
    </row>
    <row r="1532" spans="1:24" ht="15" customHeight="1" x14ac:dyDescent="0.2">
      <c r="A1532" s="84"/>
      <c r="B1532" s="84"/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  <c r="S1532" s="84"/>
      <c r="T1532" s="84"/>
      <c r="U1532" s="84"/>
      <c r="V1532" s="84"/>
      <c r="W1532" s="84"/>
      <c r="X1532" s="84"/>
    </row>
    <row r="1533" spans="1:24" ht="15" customHeight="1" x14ac:dyDescent="0.2">
      <c r="A1533" s="84"/>
      <c r="B1533" s="84"/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  <c r="S1533" s="84"/>
      <c r="T1533" s="84"/>
      <c r="U1533" s="84"/>
      <c r="V1533" s="84"/>
      <c r="W1533" s="84"/>
      <c r="X1533" s="84"/>
    </row>
    <row r="1534" spans="1:24" ht="15" customHeight="1" x14ac:dyDescent="0.2">
      <c r="A1534" s="84"/>
      <c r="B1534" s="84"/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  <c r="S1534" s="84"/>
      <c r="T1534" s="84"/>
      <c r="U1534" s="84"/>
      <c r="V1534" s="84"/>
      <c r="W1534" s="84"/>
      <c r="X1534" s="84"/>
    </row>
    <row r="1535" spans="1:24" ht="15" customHeight="1" x14ac:dyDescent="0.2">
      <c r="A1535" s="84"/>
      <c r="B1535" s="84"/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  <c r="S1535" s="84"/>
      <c r="T1535" s="84"/>
      <c r="U1535" s="84"/>
      <c r="V1535" s="84"/>
      <c r="W1535" s="84"/>
      <c r="X1535" s="84"/>
    </row>
    <row r="1536" spans="1:24" ht="15" customHeight="1" x14ac:dyDescent="0.2">
      <c r="A1536" s="84"/>
      <c r="B1536" s="84"/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  <c r="S1536" s="84"/>
      <c r="T1536" s="84"/>
      <c r="U1536" s="84"/>
      <c r="V1536" s="84"/>
      <c r="W1536" s="84"/>
      <c r="X1536" s="84"/>
    </row>
    <row r="1537" spans="1:24" ht="15" customHeight="1" x14ac:dyDescent="0.2">
      <c r="A1537" s="84"/>
      <c r="B1537" s="84"/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  <c r="S1537" s="84"/>
      <c r="T1537" s="84"/>
      <c r="U1537" s="84"/>
      <c r="V1537" s="84"/>
      <c r="W1537" s="84"/>
      <c r="X1537" s="84"/>
    </row>
    <row r="1538" spans="1:24" ht="15" customHeight="1" x14ac:dyDescent="0.2">
      <c r="A1538" s="84"/>
      <c r="B1538" s="84"/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  <c r="S1538" s="84"/>
      <c r="T1538" s="84"/>
      <c r="U1538" s="84"/>
      <c r="V1538" s="84"/>
      <c r="W1538" s="84"/>
      <c r="X1538" s="84"/>
    </row>
    <row r="1539" spans="1:24" ht="15" customHeight="1" x14ac:dyDescent="0.2">
      <c r="A1539" s="84"/>
      <c r="B1539" s="84"/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  <c r="S1539" s="84"/>
      <c r="T1539" s="84"/>
      <c r="U1539" s="84"/>
      <c r="V1539" s="84"/>
      <c r="W1539" s="84"/>
      <c r="X1539" s="84"/>
    </row>
    <row r="1540" spans="1:24" ht="15" customHeight="1" x14ac:dyDescent="0.2">
      <c r="A1540" s="84"/>
      <c r="B1540" s="84"/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  <c r="S1540" s="84"/>
      <c r="T1540" s="84"/>
      <c r="U1540" s="84"/>
      <c r="V1540" s="84"/>
      <c r="W1540" s="84"/>
      <c r="X1540" s="84"/>
    </row>
    <row r="1541" spans="1:24" ht="15" customHeight="1" x14ac:dyDescent="0.2">
      <c r="A1541" s="84"/>
      <c r="B1541" s="84"/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  <c r="S1541" s="84"/>
      <c r="T1541" s="84"/>
      <c r="U1541" s="84"/>
      <c r="V1541" s="84"/>
      <c r="W1541" s="84"/>
      <c r="X1541" s="84"/>
    </row>
    <row r="1542" spans="1:24" ht="15" customHeight="1" x14ac:dyDescent="0.2">
      <c r="A1542" s="84"/>
      <c r="B1542" s="84"/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  <c r="S1542" s="84"/>
      <c r="T1542" s="84"/>
      <c r="U1542" s="84"/>
      <c r="V1542" s="84"/>
      <c r="W1542" s="84"/>
      <c r="X1542" s="84"/>
    </row>
    <row r="1543" spans="1:24" ht="15" customHeight="1" x14ac:dyDescent="0.2">
      <c r="A1543" s="84"/>
      <c r="B1543" s="84"/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  <c r="S1543" s="84"/>
      <c r="T1543" s="84"/>
      <c r="U1543" s="84"/>
      <c r="V1543" s="84"/>
      <c r="W1543" s="84"/>
      <c r="X1543" s="84"/>
    </row>
    <row r="1544" spans="1:24" ht="15" customHeight="1" x14ac:dyDescent="0.2">
      <c r="A1544" s="84"/>
      <c r="B1544" s="84"/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  <c r="S1544" s="84"/>
      <c r="T1544" s="84"/>
      <c r="U1544" s="84"/>
      <c r="V1544" s="84"/>
      <c r="W1544" s="84"/>
      <c r="X1544" s="84"/>
    </row>
    <row r="1545" spans="1:24" ht="15" customHeight="1" x14ac:dyDescent="0.2">
      <c r="A1545" s="84"/>
      <c r="B1545" s="84"/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  <c r="S1545" s="84"/>
      <c r="T1545" s="84"/>
      <c r="U1545" s="84"/>
      <c r="V1545" s="84"/>
      <c r="W1545" s="84"/>
      <c r="X1545" s="84"/>
    </row>
    <row r="1546" spans="1:24" ht="15" customHeight="1" x14ac:dyDescent="0.2">
      <c r="A1546" s="84"/>
      <c r="B1546" s="84"/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  <c r="S1546" s="84"/>
      <c r="T1546" s="84"/>
      <c r="U1546" s="84"/>
      <c r="V1546" s="84"/>
      <c r="W1546" s="84"/>
      <c r="X1546" s="84"/>
    </row>
    <row r="1547" spans="1:24" ht="15" customHeight="1" x14ac:dyDescent="0.2">
      <c r="A1547" s="84"/>
      <c r="B1547" s="84"/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  <c r="S1547" s="84"/>
      <c r="T1547" s="84"/>
      <c r="U1547" s="84"/>
      <c r="V1547" s="84"/>
      <c r="W1547" s="84"/>
      <c r="X1547" s="84"/>
    </row>
    <row r="1548" spans="1:24" ht="15" customHeight="1" x14ac:dyDescent="0.2">
      <c r="A1548" s="84"/>
      <c r="B1548" s="84"/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  <c r="W1548" s="84"/>
      <c r="X1548" s="84"/>
    </row>
    <row r="1549" spans="1:24" ht="15" customHeight="1" x14ac:dyDescent="0.2">
      <c r="A1549" s="84"/>
      <c r="B1549" s="84"/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  <c r="S1549" s="84"/>
      <c r="T1549" s="84"/>
      <c r="U1549" s="84"/>
      <c r="V1549" s="84"/>
      <c r="W1549" s="84"/>
      <c r="X1549" s="84"/>
    </row>
    <row r="1550" spans="1:24" ht="15" customHeight="1" x14ac:dyDescent="0.2">
      <c r="A1550" s="84"/>
      <c r="B1550" s="84"/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  <c r="S1550" s="84"/>
      <c r="T1550" s="84"/>
      <c r="U1550" s="84"/>
      <c r="V1550" s="84"/>
      <c r="W1550" s="84"/>
      <c r="X1550" s="84"/>
    </row>
    <row r="1551" spans="1:24" ht="15" customHeight="1" x14ac:dyDescent="0.2">
      <c r="A1551" s="84"/>
      <c r="B1551" s="84"/>
      <c r="C1551" s="84"/>
      <c r="D1551" s="84"/>
      <c r="E1551" s="84"/>
      <c r="F1551" s="84"/>
      <c r="G1551" s="84"/>
      <c r="H1551" s="84"/>
      <c r="I1551" s="84"/>
      <c r="J1551" s="84"/>
      <c r="K1551" s="84"/>
      <c r="L1551" s="84"/>
      <c r="M1551" s="84"/>
      <c r="N1551" s="84"/>
      <c r="O1551" s="84"/>
      <c r="P1551" s="84"/>
      <c r="Q1551" s="84"/>
      <c r="R1551" s="84"/>
      <c r="S1551" s="84"/>
      <c r="T1551" s="84"/>
      <c r="U1551" s="84"/>
      <c r="V1551" s="84"/>
      <c r="W1551" s="84"/>
      <c r="X1551" s="84"/>
    </row>
    <row r="1552" spans="1:24" ht="15" customHeight="1" x14ac:dyDescent="0.2">
      <c r="A1552" s="84"/>
      <c r="B1552" s="84"/>
      <c r="C1552" s="84"/>
      <c r="D1552" s="84"/>
      <c r="E1552" s="84"/>
      <c r="F1552" s="84"/>
      <c r="G1552" s="84"/>
      <c r="H1552" s="84"/>
      <c r="I1552" s="84"/>
      <c r="J1552" s="84"/>
      <c r="K1552" s="84"/>
      <c r="L1552" s="84"/>
      <c r="M1552" s="84"/>
      <c r="N1552" s="84"/>
      <c r="O1552" s="84"/>
      <c r="P1552" s="84"/>
      <c r="Q1552" s="84"/>
      <c r="R1552" s="84"/>
      <c r="S1552" s="84"/>
      <c r="T1552" s="84"/>
      <c r="U1552" s="84"/>
      <c r="V1552" s="84"/>
      <c r="W1552" s="84"/>
      <c r="X1552" s="84"/>
    </row>
    <row r="1553" spans="1:24" ht="15" customHeight="1" x14ac:dyDescent="0.2">
      <c r="A1553" s="84"/>
      <c r="B1553" s="84"/>
      <c r="C1553" s="84"/>
      <c r="D1553" s="84"/>
      <c r="E1553" s="84"/>
      <c r="F1553" s="84"/>
      <c r="G1553" s="84"/>
      <c r="H1553" s="84"/>
      <c r="I1553" s="84"/>
      <c r="J1553" s="84"/>
      <c r="K1553" s="84"/>
      <c r="L1553" s="84"/>
      <c r="M1553" s="84"/>
      <c r="N1553" s="84"/>
      <c r="O1553" s="84"/>
      <c r="P1553" s="84"/>
      <c r="Q1553" s="84"/>
      <c r="R1553" s="84"/>
      <c r="S1553" s="84"/>
      <c r="T1553" s="84"/>
      <c r="U1553" s="84"/>
      <c r="V1553" s="84"/>
      <c r="W1553" s="84"/>
      <c r="X1553" s="84"/>
    </row>
    <row r="1554" spans="1:24" ht="15" customHeight="1" x14ac:dyDescent="0.2">
      <c r="A1554" s="84"/>
      <c r="B1554" s="84"/>
      <c r="C1554" s="84"/>
      <c r="D1554" s="84"/>
      <c r="E1554" s="84"/>
      <c r="F1554" s="84"/>
      <c r="G1554" s="84"/>
      <c r="H1554" s="84"/>
      <c r="I1554" s="84"/>
      <c r="J1554" s="84"/>
      <c r="K1554" s="84"/>
      <c r="L1554" s="84"/>
      <c r="M1554" s="84"/>
      <c r="N1554" s="84"/>
      <c r="O1554" s="84"/>
      <c r="P1554" s="84"/>
      <c r="Q1554" s="84"/>
      <c r="R1554" s="84"/>
      <c r="S1554" s="84"/>
      <c r="T1554" s="84"/>
      <c r="U1554" s="84"/>
      <c r="V1554" s="84"/>
      <c r="W1554" s="84"/>
      <c r="X1554" s="84"/>
    </row>
    <row r="1555" spans="1:24" ht="15" customHeight="1" x14ac:dyDescent="0.2">
      <c r="A1555" s="84"/>
      <c r="B1555" s="84"/>
      <c r="C1555" s="84"/>
      <c r="D1555" s="84"/>
      <c r="E1555" s="84"/>
      <c r="F1555" s="84"/>
      <c r="G1555" s="84"/>
      <c r="H1555" s="84"/>
      <c r="I1555" s="84"/>
      <c r="J1555" s="84"/>
      <c r="K1555" s="84"/>
      <c r="L1555" s="84"/>
      <c r="M1555" s="84"/>
      <c r="N1555" s="84"/>
      <c r="O1555" s="84"/>
      <c r="P1555" s="84"/>
      <c r="Q1555" s="84"/>
      <c r="R1555" s="84"/>
      <c r="S1555" s="84"/>
      <c r="T1555" s="84"/>
      <c r="U1555" s="84"/>
      <c r="V1555" s="84"/>
      <c r="W1555" s="84"/>
      <c r="X1555" s="84"/>
    </row>
    <row r="1556" spans="1:24" ht="15" customHeight="1" x14ac:dyDescent="0.2">
      <c r="A1556" s="84"/>
      <c r="B1556" s="84"/>
      <c r="C1556" s="84"/>
      <c r="D1556" s="84"/>
      <c r="E1556" s="84"/>
      <c r="F1556" s="84"/>
      <c r="G1556" s="84"/>
      <c r="H1556" s="84"/>
      <c r="I1556" s="84"/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</row>
    <row r="1557" spans="1:24" ht="15" customHeight="1" x14ac:dyDescent="0.2">
      <c r="A1557" s="84"/>
      <c r="B1557" s="84"/>
      <c r="C1557" s="84"/>
      <c r="D1557" s="84"/>
      <c r="E1557" s="84"/>
      <c r="F1557" s="84"/>
      <c r="G1557" s="84"/>
      <c r="H1557" s="84"/>
      <c r="I1557" s="84"/>
      <c r="J1557" s="84"/>
      <c r="K1557" s="84"/>
      <c r="L1557" s="84"/>
      <c r="M1557" s="84"/>
      <c r="N1557" s="84"/>
      <c r="O1557" s="84"/>
      <c r="P1557" s="84"/>
      <c r="Q1557" s="84"/>
      <c r="R1557" s="84"/>
      <c r="S1557" s="84"/>
      <c r="T1557" s="84"/>
      <c r="U1557" s="84"/>
      <c r="V1557" s="84"/>
      <c r="W1557" s="84"/>
      <c r="X1557" s="84"/>
    </row>
    <row r="1558" spans="1:24" ht="15" customHeight="1" x14ac:dyDescent="0.2">
      <c r="A1558" s="84"/>
      <c r="B1558" s="84"/>
      <c r="C1558" s="84"/>
      <c r="D1558" s="84"/>
      <c r="E1558" s="84"/>
      <c r="F1558" s="84"/>
      <c r="G1558" s="84"/>
      <c r="H1558" s="84"/>
      <c r="I1558" s="84"/>
      <c r="J1558" s="84"/>
      <c r="K1558" s="84"/>
      <c r="L1558" s="84"/>
      <c r="M1558" s="84"/>
      <c r="N1558" s="84"/>
      <c r="O1558" s="84"/>
      <c r="P1558" s="84"/>
      <c r="Q1558" s="84"/>
      <c r="R1558" s="84"/>
      <c r="S1558" s="84"/>
      <c r="T1558" s="84"/>
      <c r="U1558" s="84"/>
      <c r="V1558" s="84"/>
      <c r="W1558" s="84"/>
      <c r="X1558" s="84"/>
    </row>
    <row r="1559" spans="1:24" ht="15" customHeight="1" x14ac:dyDescent="0.2">
      <c r="A1559" s="84"/>
      <c r="B1559" s="84"/>
      <c r="C1559" s="84"/>
      <c r="D1559" s="84"/>
      <c r="E1559" s="84"/>
      <c r="F1559" s="84"/>
      <c r="G1559" s="84"/>
      <c r="H1559" s="84"/>
      <c r="I1559" s="84"/>
      <c r="J1559" s="84"/>
      <c r="K1559" s="84"/>
      <c r="L1559" s="84"/>
      <c r="M1559" s="84"/>
      <c r="N1559" s="84"/>
      <c r="O1559" s="84"/>
      <c r="P1559" s="84"/>
      <c r="Q1559" s="84"/>
      <c r="R1559" s="84"/>
      <c r="S1559" s="84"/>
      <c r="T1559" s="84"/>
      <c r="U1559" s="84"/>
      <c r="V1559" s="84"/>
      <c r="W1559" s="84"/>
      <c r="X1559" s="84"/>
    </row>
    <row r="1560" spans="1:24" ht="15" customHeight="1" x14ac:dyDescent="0.2">
      <c r="A1560" s="84"/>
      <c r="B1560" s="84"/>
      <c r="C1560" s="84"/>
      <c r="D1560" s="84"/>
      <c r="E1560" s="84"/>
      <c r="F1560" s="84"/>
      <c r="G1560" s="84"/>
      <c r="H1560" s="84"/>
      <c r="I1560" s="84"/>
      <c r="J1560" s="84"/>
      <c r="K1560" s="84"/>
      <c r="L1560" s="84"/>
      <c r="M1560" s="84"/>
      <c r="N1560" s="84"/>
      <c r="O1560" s="84"/>
      <c r="P1560" s="84"/>
      <c r="Q1560" s="84"/>
      <c r="R1560" s="84"/>
      <c r="S1560" s="84"/>
      <c r="T1560" s="84"/>
      <c r="U1560" s="84"/>
      <c r="V1560" s="84"/>
      <c r="W1560" s="84"/>
      <c r="X1560" s="84"/>
    </row>
    <row r="1561" spans="1:24" ht="15" customHeight="1" x14ac:dyDescent="0.2">
      <c r="A1561" s="84"/>
      <c r="B1561" s="84"/>
      <c r="C1561" s="84"/>
      <c r="D1561" s="84"/>
      <c r="E1561" s="84"/>
      <c r="F1561" s="84"/>
      <c r="G1561" s="84"/>
      <c r="H1561" s="84"/>
      <c r="I1561" s="84"/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</row>
    <row r="1562" spans="1:24" ht="15" customHeight="1" x14ac:dyDescent="0.2">
      <c r="A1562" s="84"/>
      <c r="B1562" s="84"/>
      <c r="C1562" s="84"/>
      <c r="D1562" s="84"/>
      <c r="E1562" s="84"/>
      <c r="F1562" s="84"/>
      <c r="G1562" s="84"/>
      <c r="H1562" s="84"/>
      <c r="I1562" s="84"/>
      <c r="J1562" s="84"/>
      <c r="K1562" s="84"/>
      <c r="L1562" s="84"/>
      <c r="M1562" s="84"/>
      <c r="N1562" s="84"/>
      <c r="O1562" s="84"/>
      <c r="P1562" s="84"/>
      <c r="Q1562" s="84"/>
      <c r="R1562" s="84"/>
      <c r="S1562" s="84"/>
      <c r="T1562" s="84"/>
      <c r="U1562" s="84"/>
      <c r="V1562" s="84"/>
      <c r="W1562" s="84"/>
      <c r="X1562" s="84"/>
    </row>
    <row r="1563" spans="1:24" ht="15" customHeight="1" x14ac:dyDescent="0.2">
      <c r="A1563" s="84"/>
      <c r="B1563" s="84"/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  <c r="S1563" s="84"/>
      <c r="T1563" s="84"/>
      <c r="U1563" s="84"/>
      <c r="V1563" s="84"/>
      <c r="W1563" s="84"/>
      <c r="X1563" s="84"/>
    </row>
    <row r="1564" spans="1:24" ht="15" customHeight="1" x14ac:dyDescent="0.2">
      <c r="A1564" s="84"/>
      <c r="B1564" s="84"/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  <c r="S1564" s="84"/>
      <c r="T1564" s="84"/>
      <c r="U1564" s="84"/>
      <c r="V1564" s="84"/>
      <c r="W1564" s="84"/>
      <c r="X1564" s="84"/>
    </row>
    <row r="1565" spans="1:24" ht="15" customHeight="1" x14ac:dyDescent="0.2">
      <c r="A1565" s="84"/>
      <c r="B1565" s="84"/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  <c r="S1565" s="84"/>
      <c r="T1565" s="84"/>
      <c r="U1565" s="84"/>
      <c r="V1565" s="84"/>
      <c r="W1565" s="84"/>
      <c r="X1565" s="84"/>
    </row>
    <row r="1566" spans="1:24" ht="15" customHeight="1" x14ac:dyDescent="0.2">
      <c r="A1566" s="84"/>
      <c r="B1566" s="84"/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  <c r="S1566" s="84"/>
      <c r="T1566" s="84"/>
      <c r="U1566" s="84"/>
      <c r="V1566" s="84"/>
      <c r="W1566" s="84"/>
      <c r="X1566" s="84"/>
    </row>
    <row r="1567" spans="1:24" ht="15" customHeight="1" x14ac:dyDescent="0.2">
      <c r="A1567" s="84"/>
      <c r="B1567" s="84"/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  <c r="S1567" s="84"/>
      <c r="T1567" s="84"/>
      <c r="U1567" s="84"/>
      <c r="V1567" s="84"/>
      <c r="W1567" s="84"/>
      <c r="X1567" s="84"/>
    </row>
    <row r="1568" spans="1:24" ht="15" customHeight="1" x14ac:dyDescent="0.2">
      <c r="A1568" s="84"/>
      <c r="B1568" s="84"/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  <c r="S1568" s="84"/>
      <c r="T1568" s="84"/>
      <c r="U1568" s="84"/>
      <c r="V1568" s="84"/>
      <c r="W1568" s="84"/>
      <c r="X1568" s="84"/>
    </row>
    <row r="1569" spans="1:24" ht="15" customHeight="1" x14ac:dyDescent="0.2">
      <c r="A1569" s="84"/>
      <c r="B1569" s="84"/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  <c r="S1569" s="84"/>
      <c r="T1569" s="84"/>
      <c r="U1569" s="84"/>
      <c r="V1569" s="84"/>
      <c r="W1569" s="84"/>
      <c r="X1569" s="84"/>
    </row>
    <row r="1570" spans="1:24" ht="15" customHeight="1" x14ac:dyDescent="0.2">
      <c r="A1570" s="84"/>
      <c r="B1570" s="84"/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  <c r="S1570" s="84"/>
      <c r="T1570" s="84"/>
      <c r="U1570" s="84"/>
      <c r="V1570" s="84"/>
      <c r="W1570" s="84"/>
      <c r="X1570" s="84"/>
    </row>
    <row r="1571" spans="1:24" ht="15" customHeight="1" x14ac:dyDescent="0.2">
      <c r="A1571" s="84"/>
      <c r="B1571" s="84"/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  <c r="S1571" s="84"/>
      <c r="T1571" s="84"/>
      <c r="U1571" s="84"/>
      <c r="V1571" s="84"/>
      <c r="W1571" s="84"/>
      <c r="X1571" s="84"/>
    </row>
    <row r="1572" spans="1:24" ht="15" customHeight="1" x14ac:dyDescent="0.2">
      <c r="A1572" s="84"/>
      <c r="B1572" s="84"/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  <c r="S1572" s="84"/>
      <c r="T1572" s="84"/>
      <c r="U1572" s="84"/>
      <c r="V1572" s="84"/>
      <c r="W1572" s="84"/>
      <c r="X1572" s="84"/>
    </row>
    <row r="1573" spans="1:24" ht="15" customHeight="1" x14ac:dyDescent="0.2">
      <c r="A1573" s="84"/>
      <c r="B1573" s="84"/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  <c r="S1573" s="84"/>
      <c r="T1573" s="84"/>
      <c r="U1573" s="84"/>
      <c r="V1573" s="84"/>
      <c r="W1573" s="84"/>
      <c r="X1573" s="84"/>
    </row>
    <row r="1574" spans="1:24" ht="15" customHeight="1" x14ac:dyDescent="0.2">
      <c r="A1574" s="84"/>
      <c r="B1574" s="84"/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  <c r="S1574" s="84"/>
      <c r="T1574" s="84"/>
      <c r="U1574" s="84"/>
      <c r="V1574" s="84"/>
      <c r="W1574" s="84"/>
      <c r="X1574" s="84"/>
    </row>
    <row r="1575" spans="1:24" ht="15" customHeight="1" x14ac:dyDescent="0.2">
      <c r="A1575" s="84"/>
      <c r="B1575" s="84"/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</row>
    <row r="1576" spans="1:24" ht="15" customHeight="1" x14ac:dyDescent="0.2">
      <c r="A1576" s="84"/>
      <c r="B1576" s="84"/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  <c r="S1576" s="84"/>
      <c r="T1576" s="84"/>
      <c r="U1576" s="84"/>
      <c r="V1576" s="84"/>
      <c r="W1576" s="84"/>
      <c r="X1576" s="84"/>
    </row>
    <row r="1577" spans="1:24" ht="15" customHeight="1" x14ac:dyDescent="0.2">
      <c r="A1577" s="84"/>
      <c r="B1577" s="84"/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  <c r="S1577" s="84"/>
      <c r="T1577" s="84"/>
      <c r="U1577" s="84"/>
      <c r="V1577" s="84"/>
      <c r="W1577" s="84"/>
      <c r="X1577" s="84"/>
    </row>
    <row r="1578" spans="1:24" ht="15" customHeight="1" x14ac:dyDescent="0.2">
      <c r="A1578" s="84"/>
      <c r="B1578" s="84"/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  <c r="S1578" s="84"/>
      <c r="T1578" s="84"/>
      <c r="U1578" s="84"/>
      <c r="V1578" s="84"/>
      <c r="W1578" s="84"/>
      <c r="X1578" s="84"/>
    </row>
    <row r="1579" spans="1:24" ht="15" customHeight="1" x14ac:dyDescent="0.2">
      <c r="A1579" s="84"/>
      <c r="B1579" s="84"/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  <c r="S1579" s="84"/>
      <c r="T1579" s="84"/>
      <c r="U1579" s="84"/>
      <c r="V1579" s="84"/>
      <c r="W1579" s="84"/>
      <c r="X1579" s="84"/>
    </row>
    <row r="1580" spans="1:24" ht="15" customHeight="1" x14ac:dyDescent="0.2">
      <c r="A1580" s="84"/>
      <c r="B1580" s="84"/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  <c r="S1580" s="84"/>
      <c r="T1580" s="84"/>
      <c r="U1580" s="84"/>
      <c r="V1580" s="84"/>
      <c r="W1580" s="84"/>
      <c r="X1580" s="84"/>
    </row>
    <row r="1581" spans="1:24" ht="15" customHeight="1" x14ac:dyDescent="0.2">
      <c r="A1581" s="84"/>
      <c r="B1581" s="84"/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  <c r="S1581" s="84"/>
      <c r="T1581" s="84"/>
      <c r="U1581" s="84"/>
      <c r="V1581" s="84"/>
      <c r="W1581" s="84"/>
      <c r="X1581" s="84"/>
    </row>
    <row r="1582" spans="1:24" ht="15" customHeight="1" x14ac:dyDescent="0.2">
      <c r="A1582" s="84"/>
      <c r="B1582" s="84"/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  <c r="S1582" s="84"/>
      <c r="T1582" s="84"/>
      <c r="U1582" s="84"/>
      <c r="V1582" s="84"/>
      <c r="W1582" s="84"/>
      <c r="X1582" s="84"/>
    </row>
    <row r="1583" spans="1:24" ht="15" customHeight="1" x14ac:dyDescent="0.2">
      <c r="A1583" s="84"/>
      <c r="B1583" s="84"/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  <c r="S1583" s="84"/>
      <c r="T1583" s="84"/>
      <c r="U1583" s="84"/>
      <c r="V1583" s="84"/>
      <c r="W1583" s="84"/>
      <c r="X1583" s="84"/>
    </row>
    <row r="1584" spans="1:24" ht="15" customHeight="1" x14ac:dyDescent="0.2">
      <c r="A1584" s="84"/>
      <c r="B1584" s="84"/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  <c r="S1584" s="84"/>
      <c r="T1584" s="84"/>
      <c r="U1584" s="84"/>
      <c r="V1584" s="84"/>
      <c r="W1584" s="84"/>
      <c r="X1584" s="84"/>
    </row>
    <row r="1585" spans="1:24" ht="15" customHeight="1" x14ac:dyDescent="0.2">
      <c r="A1585" s="84"/>
      <c r="B1585" s="84"/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  <c r="S1585" s="84"/>
      <c r="T1585" s="84"/>
      <c r="U1585" s="84"/>
      <c r="V1585" s="84"/>
      <c r="W1585" s="84"/>
      <c r="X1585" s="84"/>
    </row>
    <row r="1586" spans="1:24" ht="15" customHeight="1" x14ac:dyDescent="0.2">
      <c r="A1586" s="84"/>
      <c r="B1586" s="84"/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</row>
    <row r="1587" spans="1:24" ht="15" customHeight="1" x14ac:dyDescent="0.2">
      <c r="A1587" s="84"/>
      <c r="B1587" s="84"/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  <c r="S1587" s="84"/>
      <c r="T1587" s="84"/>
      <c r="U1587" s="84"/>
      <c r="V1587" s="84"/>
      <c r="W1587" s="84"/>
      <c r="X1587" s="84"/>
    </row>
    <row r="1588" spans="1:24" ht="15" customHeight="1" x14ac:dyDescent="0.2">
      <c r="A1588" s="84"/>
      <c r="B1588" s="84"/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  <c r="S1588" s="84"/>
      <c r="T1588" s="84"/>
      <c r="U1588" s="84"/>
      <c r="V1588" s="84"/>
      <c r="W1588" s="84"/>
      <c r="X1588" s="84"/>
    </row>
    <row r="1589" spans="1:24" ht="15" customHeight="1" x14ac:dyDescent="0.2">
      <c r="A1589" s="84"/>
      <c r="B1589" s="84"/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  <c r="S1589" s="84"/>
      <c r="T1589" s="84"/>
      <c r="U1589" s="84"/>
      <c r="V1589" s="84"/>
      <c r="W1589" s="84"/>
      <c r="X1589" s="84"/>
    </row>
    <row r="1590" spans="1:24" ht="15" customHeight="1" x14ac:dyDescent="0.2">
      <c r="A1590" s="84"/>
      <c r="B1590" s="84"/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  <c r="S1590" s="84"/>
      <c r="T1590" s="84"/>
      <c r="U1590" s="84"/>
      <c r="V1590" s="84"/>
      <c r="W1590" s="84"/>
      <c r="X1590" s="84"/>
    </row>
    <row r="1591" spans="1:24" ht="15" customHeight="1" x14ac:dyDescent="0.2">
      <c r="A1591" s="84"/>
      <c r="B1591" s="84"/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  <c r="S1591" s="84"/>
      <c r="T1591" s="84"/>
      <c r="U1591" s="84"/>
      <c r="V1591" s="84"/>
      <c r="W1591" s="84"/>
      <c r="X1591" s="84"/>
    </row>
    <row r="1592" spans="1:24" ht="15" customHeight="1" x14ac:dyDescent="0.2">
      <c r="A1592" s="84"/>
      <c r="B1592" s="84"/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  <c r="S1592" s="84"/>
      <c r="T1592" s="84"/>
      <c r="U1592" s="84"/>
      <c r="V1592" s="84"/>
      <c r="W1592" s="84"/>
      <c r="X1592" s="84"/>
    </row>
    <row r="1593" spans="1:24" ht="15" customHeight="1" x14ac:dyDescent="0.2">
      <c r="A1593" s="84"/>
      <c r="B1593" s="84"/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  <c r="S1593" s="84"/>
      <c r="T1593" s="84"/>
      <c r="U1593" s="84"/>
      <c r="V1593" s="84"/>
      <c r="W1593" s="84"/>
      <c r="X1593" s="84"/>
    </row>
    <row r="1594" spans="1:24" ht="15" customHeight="1" x14ac:dyDescent="0.2">
      <c r="A1594" s="84"/>
      <c r="B1594" s="84"/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  <c r="S1594" s="84"/>
      <c r="T1594" s="84"/>
      <c r="U1594" s="84"/>
      <c r="V1594" s="84"/>
      <c r="W1594" s="84"/>
      <c r="X1594" s="84"/>
    </row>
    <row r="1595" spans="1:24" ht="15" customHeight="1" x14ac:dyDescent="0.2">
      <c r="A1595" s="84"/>
      <c r="B1595" s="84"/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  <c r="S1595" s="84"/>
      <c r="T1595" s="84"/>
      <c r="U1595" s="84"/>
      <c r="V1595" s="84"/>
      <c r="W1595" s="84"/>
      <c r="X1595" s="84"/>
    </row>
    <row r="1596" spans="1:24" ht="15" customHeight="1" x14ac:dyDescent="0.2">
      <c r="A1596" s="84"/>
      <c r="B1596" s="84"/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  <c r="S1596" s="84"/>
      <c r="T1596" s="84"/>
      <c r="U1596" s="84"/>
      <c r="V1596" s="84"/>
      <c r="W1596" s="84"/>
      <c r="X1596" s="84"/>
    </row>
    <row r="1597" spans="1:24" ht="15" customHeight="1" x14ac:dyDescent="0.2">
      <c r="A1597" s="84"/>
      <c r="B1597" s="84"/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  <c r="S1597" s="84"/>
      <c r="T1597" s="84"/>
      <c r="U1597" s="84"/>
      <c r="V1597" s="84"/>
      <c r="W1597" s="84"/>
      <c r="X1597" s="84"/>
    </row>
    <row r="1598" spans="1:24" ht="15" customHeight="1" x14ac:dyDescent="0.2">
      <c r="A1598" s="84"/>
      <c r="B1598" s="84"/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  <c r="S1598" s="84"/>
      <c r="T1598" s="84"/>
      <c r="U1598" s="84"/>
      <c r="V1598" s="84"/>
      <c r="W1598" s="84"/>
      <c r="X1598" s="84"/>
    </row>
    <row r="1599" spans="1:24" ht="15" customHeight="1" x14ac:dyDescent="0.2">
      <c r="A1599" s="84"/>
      <c r="B1599" s="84"/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  <c r="R1599" s="84"/>
      <c r="S1599" s="84"/>
      <c r="T1599" s="84"/>
      <c r="U1599" s="84"/>
      <c r="V1599" s="84"/>
      <c r="W1599" s="84"/>
      <c r="X1599" s="84"/>
    </row>
    <row r="1600" spans="1:24" ht="15" customHeight="1" x14ac:dyDescent="0.2">
      <c r="A1600" s="84"/>
      <c r="B1600" s="84"/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  <c r="R1600" s="84"/>
      <c r="S1600" s="84"/>
      <c r="T1600" s="84"/>
      <c r="U1600" s="84"/>
      <c r="V1600" s="84"/>
      <c r="W1600" s="84"/>
      <c r="X1600" s="84"/>
    </row>
    <row r="1601" spans="1:24" ht="15" customHeight="1" x14ac:dyDescent="0.2">
      <c r="A1601" s="84"/>
      <c r="B1601" s="84"/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  <c r="R1601" s="84"/>
      <c r="S1601" s="84"/>
      <c r="T1601" s="84"/>
      <c r="U1601" s="84"/>
      <c r="V1601" s="84"/>
      <c r="W1601" s="84"/>
      <c r="X1601" s="84"/>
    </row>
    <row r="1602" spans="1:24" ht="15" customHeight="1" x14ac:dyDescent="0.2">
      <c r="A1602" s="84"/>
      <c r="B1602" s="84"/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  <c r="R1602" s="84"/>
      <c r="S1602" s="84"/>
      <c r="T1602" s="84"/>
      <c r="U1602" s="84"/>
      <c r="V1602" s="84"/>
      <c r="W1602" s="84"/>
      <c r="X1602" s="84"/>
    </row>
    <row r="1603" spans="1:24" ht="15" customHeight="1" x14ac:dyDescent="0.2">
      <c r="A1603" s="84"/>
      <c r="B1603" s="84"/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  <c r="R1603" s="84"/>
      <c r="S1603" s="84"/>
      <c r="T1603" s="84"/>
      <c r="U1603" s="84"/>
      <c r="V1603" s="84"/>
      <c r="W1603" s="84"/>
      <c r="X1603" s="84"/>
    </row>
    <row r="1604" spans="1:24" ht="15" customHeight="1" x14ac:dyDescent="0.2">
      <c r="A1604" s="84"/>
      <c r="B1604" s="84"/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  <c r="R1604" s="84"/>
      <c r="S1604" s="84"/>
      <c r="T1604" s="84"/>
      <c r="U1604" s="84"/>
      <c r="V1604" s="84"/>
      <c r="W1604" s="84"/>
      <c r="X1604" s="84"/>
    </row>
    <row r="1605" spans="1:24" ht="15" customHeight="1" x14ac:dyDescent="0.2">
      <c r="A1605" s="84"/>
      <c r="B1605" s="84"/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  <c r="R1605" s="84"/>
      <c r="S1605" s="84"/>
      <c r="T1605" s="84"/>
      <c r="U1605" s="84"/>
      <c r="V1605" s="84"/>
      <c r="W1605" s="84"/>
      <c r="X1605" s="84"/>
    </row>
    <row r="1606" spans="1:24" ht="15" customHeight="1" x14ac:dyDescent="0.2">
      <c r="A1606" s="84"/>
      <c r="B1606" s="84"/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  <c r="R1606" s="84"/>
      <c r="S1606" s="84"/>
      <c r="T1606" s="84"/>
      <c r="U1606" s="84"/>
      <c r="V1606" s="84"/>
      <c r="W1606" s="84"/>
      <c r="X1606" s="84"/>
    </row>
    <row r="1607" spans="1:24" ht="15" customHeight="1" x14ac:dyDescent="0.2">
      <c r="A1607" s="84"/>
      <c r="B1607" s="84"/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  <c r="R1607" s="84"/>
      <c r="S1607" s="84"/>
      <c r="T1607" s="84"/>
      <c r="U1607" s="84"/>
      <c r="V1607" s="84"/>
      <c r="W1607" s="84"/>
      <c r="X1607" s="84"/>
    </row>
    <row r="1608" spans="1:24" ht="15" customHeight="1" x14ac:dyDescent="0.2">
      <c r="A1608" s="84"/>
      <c r="B1608" s="84"/>
      <c r="C1608" s="84"/>
      <c r="D1608" s="84"/>
      <c r="E1608" s="84"/>
      <c r="F1608" s="84"/>
      <c r="G1608" s="84"/>
      <c r="H1608" s="84"/>
      <c r="I1608" s="84"/>
      <c r="J1608" s="84"/>
      <c r="K1608" s="84"/>
      <c r="L1608" s="84"/>
      <c r="M1608" s="84"/>
      <c r="N1608" s="84"/>
      <c r="O1608" s="84"/>
      <c r="P1608" s="84"/>
      <c r="Q1608" s="84"/>
      <c r="R1608" s="84"/>
      <c r="S1608" s="84"/>
      <c r="T1608" s="84"/>
      <c r="U1608" s="84"/>
      <c r="V1608" s="84"/>
      <c r="W1608" s="84"/>
      <c r="X1608" s="84"/>
    </row>
    <row r="1609" spans="1:24" ht="15" customHeight="1" x14ac:dyDescent="0.2">
      <c r="A1609" s="84"/>
      <c r="B1609" s="84"/>
      <c r="C1609" s="84"/>
      <c r="D1609" s="84"/>
      <c r="E1609" s="84"/>
      <c r="F1609" s="84"/>
      <c r="G1609" s="84"/>
      <c r="H1609" s="84"/>
      <c r="I1609" s="84"/>
      <c r="J1609" s="84"/>
      <c r="K1609" s="84"/>
      <c r="L1609" s="84"/>
      <c r="M1609" s="84"/>
      <c r="N1609" s="84"/>
      <c r="O1609" s="84"/>
      <c r="P1609" s="84"/>
      <c r="Q1609" s="84"/>
      <c r="R1609" s="84"/>
      <c r="S1609" s="84"/>
      <c r="T1609" s="84"/>
      <c r="U1609" s="84"/>
      <c r="V1609" s="84"/>
      <c r="W1609" s="84"/>
      <c r="X1609" s="84"/>
    </row>
    <row r="1610" spans="1:24" ht="15" customHeight="1" x14ac:dyDescent="0.2">
      <c r="A1610" s="84"/>
      <c r="B1610" s="84"/>
      <c r="C1610" s="84"/>
      <c r="D1610" s="84"/>
      <c r="E1610" s="84"/>
      <c r="F1610" s="84"/>
      <c r="G1610" s="84"/>
      <c r="H1610" s="84"/>
      <c r="I1610" s="84"/>
      <c r="J1610" s="84"/>
      <c r="K1610" s="84"/>
      <c r="L1610" s="84"/>
      <c r="M1610" s="84"/>
      <c r="N1610" s="84"/>
      <c r="O1610" s="84"/>
      <c r="P1610" s="84"/>
      <c r="Q1610" s="84"/>
      <c r="R1610" s="84"/>
      <c r="S1610" s="84"/>
      <c r="T1610" s="84"/>
      <c r="U1610" s="84"/>
      <c r="V1610" s="84"/>
      <c r="W1610" s="84"/>
      <c r="X1610" s="84"/>
    </row>
    <row r="1611" spans="1:24" ht="15" customHeight="1" x14ac:dyDescent="0.2">
      <c r="A1611" s="84"/>
      <c r="B1611" s="84"/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  <c r="S1611" s="84"/>
      <c r="T1611" s="84"/>
      <c r="U1611" s="84"/>
      <c r="V1611" s="84"/>
      <c r="W1611" s="84"/>
      <c r="X1611" s="84"/>
    </row>
    <row r="1612" spans="1:24" ht="15" customHeight="1" x14ac:dyDescent="0.2">
      <c r="A1612" s="84"/>
      <c r="B1612" s="84"/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  <c r="S1612" s="84"/>
      <c r="T1612" s="84"/>
      <c r="U1612" s="84"/>
      <c r="V1612" s="84"/>
      <c r="W1612" s="84"/>
      <c r="X1612" s="84"/>
    </row>
    <row r="1613" spans="1:24" ht="15" customHeight="1" x14ac:dyDescent="0.2">
      <c r="A1613" s="84"/>
      <c r="B1613" s="84"/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  <c r="S1613" s="84"/>
      <c r="T1613" s="84"/>
      <c r="U1613" s="84"/>
      <c r="V1613" s="84"/>
      <c r="W1613" s="84"/>
      <c r="X1613" s="84"/>
    </row>
    <row r="1614" spans="1:24" ht="15" customHeight="1" x14ac:dyDescent="0.2">
      <c r="A1614" s="84"/>
      <c r="B1614" s="84"/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  <c r="S1614" s="84"/>
      <c r="T1614" s="84"/>
      <c r="U1614" s="84"/>
      <c r="V1614" s="84"/>
      <c r="W1614" s="84"/>
      <c r="X1614" s="84"/>
    </row>
    <row r="1615" spans="1:24" ht="15" customHeight="1" x14ac:dyDescent="0.2">
      <c r="A1615" s="84"/>
      <c r="B1615" s="84"/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  <c r="S1615" s="84"/>
      <c r="T1615" s="84"/>
      <c r="U1615" s="84"/>
      <c r="V1615" s="84"/>
      <c r="W1615" s="84"/>
      <c r="X1615" s="84"/>
    </row>
    <row r="1616" spans="1:24" ht="15" customHeight="1" x14ac:dyDescent="0.2">
      <c r="A1616" s="84"/>
      <c r="B1616" s="84"/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  <c r="S1616" s="84"/>
      <c r="T1616" s="84"/>
      <c r="U1616" s="84"/>
      <c r="V1616" s="84"/>
      <c r="W1616" s="84"/>
      <c r="X1616" s="84"/>
    </row>
    <row r="1617" spans="1:24" ht="15" customHeight="1" x14ac:dyDescent="0.2">
      <c r="A1617" s="84"/>
      <c r="B1617" s="84"/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  <c r="S1617" s="84"/>
      <c r="T1617" s="84"/>
      <c r="U1617" s="84"/>
      <c r="V1617" s="84"/>
      <c r="W1617" s="84"/>
      <c r="X1617" s="84"/>
    </row>
    <row r="1618" spans="1:24" ht="15" customHeight="1" x14ac:dyDescent="0.2">
      <c r="A1618" s="84"/>
      <c r="B1618" s="84"/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  <c r="S1618" s="84"/>
      <c r="T1618" s="84"/>
      <c r="U1618" s="84"/>
      <c r="V1618" s="84"/>
      <c r="W1618" s="84"/>
      <c r="X1618" s="84"/>
    </row>
    <row r="1619" spans="1:24" ht="15" customHeight="1" x14ac:dyDescent="0.2">
      <c r="A1619" s="84"/>
      <c r="B1619" s="84"/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  <c r="S1619" s="84"/>
      <c r="T1619" s="84"/>
      <c r="U1619" s="84"/>
      <c r="V1619" s="84"/>
      <c r="W1619" s="84"/>
      <c r="X1619" s="84"/>
    </row>
    <row r="1620" spans="1:24" ht="15" customHeight="1" x14ac:dyDescent="0.2">
      <c r="A1620" s="84"/>
      <c r="B1620" s="84"/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  <c r="S1620" s="84"/>
      <c r="T1620" s="84"/>
      <c r="U1620" s="84"/>
      <c r="V1620" s="84"/>
      <c r="W1620" s="84"/>
      <c r="X1620" s="84"/>
    </row>
    <row r="1621" spans="1:24" ht="15" customHeight="1" x14ac:dyDescent="0.2">
      <c r="A1621" s="84"/>
      <c r="B1621" s="84"/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  <c r="W1621" s="84"/>
      <c r="X1621" s="84"/>
    </row>
    <row r="1622" spans="1:24" ht="15" customHeight="1" x14ac:dyDescent="0.2">
      <c r="A1622" s="84"/>
      <c r="B1622" s="84"/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  <c r="S1622" s="84"/>
      <c r="T1622" s="84"/>
      <c r="U1622" s="84"/>
      <c r="V1622" s="84"/>
      <c r="W1622" s="84"/>
      <c r="X1622" s="84"/>
    </row>
    <row r="1623" spans="1:24" ht="15" customHeight="1" x14ac:dyDescent="0.2">
      <c r="A1623" s="84"/>
      <c r="B1623" s="84"/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  <c r="S1623" s="84"/>
      <c r="T1623" s="84"/>
      <c r="U1623" s="84"/>
      <c r="V1623" s="84"/>
      <c r="W1623" s="84"/>
      <c r="X1623" s="84"/>
    </row>
    <row r="1624" spans="1:24" ht="15" customHeight="1" x14ac:dyDescent="0.2">
      <c r="A1624" s="84"/>
      <c r="B1624" s="84"/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  <c r="S1624" s="84"/>
      <c r="T1624" s="84"/>
      <c r="U1624" s="84"/>
      <c r="V1624" s="84"/>
      <c r="W1624" s="84"/>
      <c r="X1624" s="84"/>
    </row>
    <row r="1625" spans="1:24" ht="15" customHeight="1" x14ac:dyDescent="0.2">
      <c r="A1625" s="84"/>
      <c r="B1625" s="84"/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  <c r="S1625" s="84"/>
      <c r="T1625" s="84"/>
      <c r="U1625" s="84"/>
      <c r="V1625" s="84"/>
      <c r="W1625" s="84"/>
      <c r="X1625" s="84"/>
    </row>
    <row r="1626" spans="1:24" ht="15" customHeight="1" x14ac:dyDescent="0.2">
      <c r="A1626" s="84"/>
      <c r="B1626" s="84"/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  <c r="S1626" s="84"/>
      <c r="T1626" s="84"/>
      <c r="U1626" s="84"/>
      <c r="V1626" s="84"/>
      <c r="W1626" s="84"/>
      <c r="X1626" s="84"/>
    </row>
    <row r="1627" spans="1:24" ht="15" customHeight="1" x14ac:dyDescent="0.2">
      <c r="A1627" s="84"/>
      <c r="B1627" s="84"/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  <c r="S1627" s="84"/>
      <c r="T1627" s="84"/>
      <c r="U1627" s="84"/>
      <c r="V1627" s="84"/>
      <c r="W1627" s="84"/>
      <c r="X1627" s="84"/>
    </row>
    <row r="1628" spans="1:24" ht="15" customHeight="1" x14ac:dyDescent="0.2">
      <c r="A1628" s="84"/>
      <c r="B1628" s="84"/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  <c r="S1628" s="84"/>
      <c r="T1628" s="84"/>
      <c r="U1628" s="84"/>
      <c r="V1628" s="84"/>
      <c r="W1628" s="84"/>
      <c r="X1628" s="84"/>
    </row>
    <row r="1629" spans="1:24" ht="15" customHeight="1" x14ac:dyDescent="0.2">
      <c r="A1629" s="84"/>
      <c r="B1629" s="84"/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  <c r="S1629" s="84"/>
      <c r="T1629" s="84"/>
      <c r="U1629" s="84"/>
      <c r="V1629" s="84"/>
      <c r="W1629" s="84"/>
      <c r="X1629" s="84"/>
    </row>
    <row r="1630" spans="1:24" ht="15" customHeight="1" x14ac:dyDescent="0.2">
      <c r="A1630" s="84"/>
      <c r="B1630" s="84"/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  <c r="S1630" s="84"/>
      <c r="T1630" s="84"/>
      <c r="U1630" s="84"/>
      <c r="V1630" s="84"/>
      <c r="W1630" s="84"/>
      <c r="X1630" s="84"/>
    </row>
    <row r="1631" spans="1:24" ht="15" customHeight="1" x14ac:dyDescent="0.2">
      <c r="A1631" s="84"/>
      <c r="B1631" s="84"/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  <c r="S1631" s="84"/>
      <c r="T1631" s="84"/>
      <c r="U1631" s="84"/>
      <c r="V1631" s="84"/>
      <c r="W1631" s="84"/>
      <c r="X1631" s="84"/>
    </row>
    <row r="1632" spans="1:24" ht="15" customHeight="1" x14ac:dyDescent="0.2">
      <c r="A1632" s="84"/>
      <c r="B1632" s="84"/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  <c r="S1632" s="84"/>
      <c r="T1632" s="84"/>
      <c r="U1632" s="84"/>
      <c r="V1632" s="84"/>
      <c r="W1632" s="84"/>
      <c r="X1632" s="84"/>
    </row>
    <row r="1633" spans="1:24" ht="15" customHeight="1" x14ac:dyDescent="0.2">
      <c r="A1633" s="84"/>
      <c r="B1633" s="84"/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  <c r="S1633" s="84"/>
      <c r="T1633" s="84"/>
      <c r="U1633" s="84"/>
      <c r="V1633" s="84"/>
      <c r="W1633" s="84"/>
      <c r="X1633" s="84"/>
    </row>
    <row r="1634" spans="1:24" ht="15" customHeight="1" x14ac:dyDescent="0.2">
      <c r="A1634" s="84"/>
      <c r="B1634" s="84"/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  <c r="S1634" s="84"/>
      <c r="T1634" s="84"/>
      <c r="U1634" s="84"/>
      <c r="V1634" s="84"/>
      <c r="W1634" s="84"/>
      <c r="X1634" s="84"/>
    </row>
    <row r="1635" spans="1:24" ht="15" customHeight="1" x14ac:dyDescent="0.2">
      <c r="A1635" s="84"/>
      <c r="B1635" s="84"/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  <c r="S1635" s="84"/>
      <c r="T1635" s="84"/>
      <c r="U1635" s="84"/>
      <c r="V1635" s="84"/>
      <c r="W1635" s="84"/>
      <c r="X1635" s="84"/>
    </row>
    <row r="1636" spans="1:24" ht="15" customHeight="1" x14ac:dyDescent="0.2">
      <c r="A1636" s="84"/>
      <c r="B1636" s="84"/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</row>
    <row r="1637" spans="1:24" ht="15" customHeight="1" x14ac:dyDescent="0.2">
      <c r="A1637" s="84"/>
      <c r="B1637" s="84"/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  <c r="S1637" s="84"/>
      <c r="T1637" s="84"/>
      <c r="U1637" s="84"/>
      <c r="V1637" s="84"/>
      <c r="W1637" s="84"/>
      <c r="X1637" s="84"/>
    </row>
    <row r="1638" spans="1:24" ht="15" customHeight="1" x14ac:dyDescent="0.2">
      <c r="A1638" s="84"/>
      <c r="B1638" s="84"/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  <c r="S1638" s="84"/>
      <c r="T1638" s="84"/>
      <c r="U1638" s="84"/>
      <c r="V1638" s="84"/>
      <c r="W1638" s="84"/>
      <c r="X1638" s="84"/>
    </row>
    <row r="1639" spans="1:24" ht="15" customHeight="1" x14ac:dyDescent="0.2">
      <c r="A1639" s="84"/>
      <c r="B1639" s="84"/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  <c r="S1639" s="84"/>
      <c r="T1639" s="84"/>
      <c r="U1639" s="84"/>
      <c r="V1639" s="84"/>
      <c r="W1639" s="84"/>
      <c r="X1639" s="84"/>
    </row>
    <row r="1640" spans="1:24" ht="15" customHeight="1" x14ac:dyDescent="0.2">
      <c r="A1640" s="84"/>
      <c r="B1640" s="84"/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  <c r="S1640" s="84"/>
      <c r="T1640" s="84"/>
      <c r="U1640" s="84"/>
      <c r="V1640" s="84"/>
      <c r="W1640" s="84"/>
      <c r="X1640" s="84"/>
    </row>
    <row r="1641" spans="1:24" ht="15" customHeight="1" x14ac:dyDescent="0.2">
      <c r="A1641" s="84"/>
      <c r="B1641" s="84"/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  <c r="S1641" s="84"/>
      <c r="T1641" s="84"/>
      <c r="U1641" s="84"/>
      <c r="V1641" s="84"/>
      <c r="W1641" s="84"/>
      <c r="X1641" s="84"/>
    </row>
    <row r="1642" spans="1:24" ht="15" customHeight="1" x14ac:dyDescent="0.2">
      <c r="A1642" s="84"/>
      <c r="B1642" s="84"/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  <c r="S1642" s="84"/>
      <c r="T1642" s="84"/>
      <c r="U1642" s="84"/>
      <c r="V1642" s="84"/>
      <c r="W1642" s="84"/>
      <c r="X1642" s="84"/>
    </row>
    <row r="1643" spans="1:24" ht="15" customHeight="1" x14ac:dyDescent="0.2">
      <c r="A1643" s="84"/>
      <c r="B1643" s="84"/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  <c r="S1643" s="84"/>
      <c r="T1643" s="84"/>
      <c r="U1643" s="84"/>
      <c r="V1643" s="84"/>
      <c r="W1643" s="84"/>
      <c r="X1643" s="84"/>
    </row>
    <row r="1644" spans="1:24" ht="15" customHeight="1" x14ac:dyDescent="0.2">
      <c r="A1644" s="84"/>
      <c r="B1644" s="84"/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  <c r="S1644" s="84"/>
      <c r="T1644" s="84"/>
      <c r="U1644" s="84"/>
      <c r="V1644" s="84"/>
      <c r="W1644" s="84"/>
      <c r="X1644" s="84"/>
    </row>
    <row r="1645" spans="1:24" ht="15" customHeight="1" x14ac:dyDescent="0.2">
      <c r="A1645" s="84"/>
      <c r="B1645" s="84"/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  <c r="S1645" s="84"/>
      <c r="T1645" s="84"/>
      <c r="U1645" s="84"/>
      <c r="V1645" s="84"/>
      <c r="W1645" s="84"/>
      <c r="X1645" s="84"/>
    </row>
    <row r="1646" spans="1:24" ht="15" customHeight="1" x14ac:dyDescent="0.2">
      <c r="A1646" s="84"/>
      <c r="B1646" s="84"/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  <c r="S1646" s="84"/>
      <c r="T1646" s="84"/>
      <c r="U1646" s="84"/>
      <c r="V1646" s="84"/>
      <c r="W1646" s="84"/>
      <c r="X1646" s="84"/>
    </row>
    <row r="1647" spans="1:24" ht="15" customHeight="1" x14ac:dyDescent="0.2">
      <c r="A1647" s="84"/>
      <c r="B1647" s="84"/>
      <c r="C1647" s="84"/>
      <c r="D1647" s="84"/>
      <c r="E1647" s="84"/>
      <c r="F1647" s="84"/>
      <c r="G1647" s="84"/>
      <c r="H1647" s="84"/>
      <c r="I1647" s="84"/>
      <c r="J1647" s="84"/>
      <c r="K1647" s="84"/>
      <c r="L1647" s="84"/>
      <c r="M1647" s="84"/>
      <c r="N1647" s="84"/>
      <c r="O1647" s="84"/>
      <c r="P1647" s="84"/>
      <c r="Q1647" s="84"/>
      <c r="R1647" s="84"/>
      <c r="S1647" s="84"/>
      <c r="T1647" s="84"/>
      <c r="U1647" s="84"/>
      <c r="V1647" s="84"/>
      <c r="W1647" s="84"/>
      <c r="X1647" s="84"/>
    </row>
    <row r="1648" spans="1:24" ht="15" customHeight="1" x14ac:dyDescent="0.2">
      <c r="A1648" s="84"/>
      <c r="B1648" s="84"/>
      <c r="C1648" s="84"/>
      <c r="D1648" s="84"/>
      <c r="E1648" s="84"/>
      <c r="F1648" s="84"/>
      <c r="G1648" s="84"/>
      <c r="H1648" s="84"/>
      <c r="I1648" s="84"/>
      <c r="J1648" s="84"/>
      <c r="K1648" s="84"/>
      <c r="L1648" s="84"/>
      <c r="M1648" s="84"/>
      <c r="N1648" s="84"/>
      <c r="O1648" s="84"/>
      <c r="P1648" s="84"/>
      <c r="Q1648" s="84"/>
      <c r="R1648" s="84"/>
      <c r="S1648" s="84"/>
      <c r="T1648" s="84"/>
      <c r="U1648" s="84"/>
      <c r="V1648" s="84"/>
      <c r="W1648" s="84"/>
      <c r="X1648" s="84"/>
    </row>
    <row r="1649" spans="1:24" ht="15" customHeight="1" x14ac:dyDescent="0.2">
      <c r="A1649" s="84"/>
      <c r="B1649" s="84"/>
      <c r="C1649" s="84"/>
      <c r="D1649" s="84"/>
      <c r="E1649" s="84"/>
      <c r="F1649" s="84"/>
      <c r="G1649" s="84"/>
      <c r="H1649" s="84"/>
      <c r="I1649" s="84"/>
      <c r="J1649" s="84"/>
      <c r="K1649" s="84"/>
      <c r="L1649" s="84"/>
      <c r="M1649" s="84"/>
      <c r="N1649" s="84"/>
      <c r="O1649" s="84"/>
      <c r="P1649" s="84"/>
      <c r="Q1649" s="84"/>
      <c r="R1649" s="84"/>
      <c r="S1649" s="84"/>
      <c r="T1649" s="84"/>
      <c r="U1649" s="84"/>
      <c r="V1649" s="84"/>
      <c r="W1649" s="84"/>
      <c r="X1649" s="84"/>
    </row>
    <row r="1650" spans="1:24" ht="15" customHeight="1" x14ac:dyDescent="0.2">
      <c r="A1650" s="84"/>
      <c r="B1650" s="84"/>
      <c r="C1650" s="84"/>
      <c r="D1650" s="84"/>
      <c r="E1650" s="84"/>
      <c r="F1650" s="84"/>
      <c r="G1650" s="84"/>
      <c r="H1650" s="84"/>
      <c r="I1650" s="84"/>
      <c r="J1650" s="84"/>
      <c r="K1650" s="84"/>
      <c r="L1650" s="84"/>
      <c r="M1650" s="84"/>
      <c r="N1650" s="84"/>
      <c r="O1650" s="84"/>
      <c r="P1650" s="84"/>
      <c r="Q1650" s="84"/>
      <c r="R1650" s="84"/>
      <c r="S1650" s="84"/>
      <c r="T1650" s="84"/>
      <c r="U1650" s="84"/>
      <c r="V1650" s="84"/>
      <c r="W1650" s="84"/>
      <c r="X1650" s="84"/>
    </row>
    <row r="1651" spans="1:24" ht="15" customHeight="1" x14ac:dyDescent="0.2">
      <c r="A1651" s="84"/>
      <c r="B1651" s="84"/>
      <c r="C1651" s="84"/>
      <c r="D1651" s="84"/>
      <c r="E1651" s="84"/>
      <c r="F1651" s="84"/>
      <c r="G1651" s="84"/>
      <c r="H1651" s="84"/>
      <c r="I1651" s="84"/>
      <c r="J1651" s="84"/>
      <c r="K1651" s="84"/>
      <c r="L1651" s="84"/>
      <c r="M1651" s="84"/>
      <c r="N1651" s="84"/>
      <c r="O1651" s="84"/>
      <c r="P1651" s="84"/>
      <c r="Q1651" s="84"/>
      <c r="R1651" s="84"/>
      <c r="S1651" s="84"/>
      <c r="T1651" s="84"/>
      <c r="U1651" s="84"/>
      <c r="V1651" s="84"/>
      <c r="W1651" s="84"/>
      <c r="X1651" s="84"/>
    </row>
    <row r="1652" spans="1:24" ht="15" customHeight="1" x14ac:dyDescent="0.2">
      <c r="A1652" s="84"/>
      <c r="B1652" s="84"/>
      <c r="C1652" s="84"/>
      <c r="D1652" s="84"/>
      <c r="E1652" s="84"/>
      <c r="F1652" s="84"/>
      <c r="G1652" s="84"/>
      <c r="H1652" s="84"/>
      <c r="I1652" s="84"/>
      <c r="J1652" s="84"/>
      <c r="K1652" s="84"/>
      <c r="L1652" s="84"/>
      <c r="M1652" s="84"/>
      <c r="N1652" s="84"/>
      <c r="O1652" s="84"/>
      <c r="P1652" s="84"/>
      <c r="Q1652" s="84"/>
      <c r="R1652" s="84"/>
      <c r="S1652" s="84"/>
      <c r="T1652" s="84"/>
      <c r="U1652" s="84"/>
      <c r="V1652" s="84"/>
      <c r="W1652" s="84"/>
      <c r="X1652" s="84"/>
    </row>
    <row r="1653" spans="1:24" ht="15" customHeight="1" x14ac:dyDescent="0.2">
      <c r="A1653" s="84"/>
      <c r="B1653" s="84"/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  <c r="R1653" s="84"/>
      <c r="S1653" s="84"/>
      <c r="T1653" s="84"/>
      <c r="U1653" s="84"/>
      <c r="V1653" s="84"/>
      <c r="W1653" s="84"/>
      <c r="X1653" s="84"/>
    </row>
    <row r="1654" spans="1:24" ht="15" customHeight="1" x14ac:dyDescent="0.2">
      <c r="A1654" s="84"/>
      <c r="B1654" s="84"/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  <c r="R1654" s="84"/>
      <c r="S1654" s="84"/>
      <c r="T1654" s="84"/>
      <c r="U1654" s="84"/>
      <c r="V1654" s="84"/>
      <c r="W1654" s="84"/>
      <c r="X1654" s="84"/>
    </row>
    <row r="1655" spans="1:24" ht="15" customHeight="1" x14ac:dyDescent="0.2">
      <c r="A1655" s="84"/>
      <c r="B1655" s="84"/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  <c r="R1655" s="84"/>
      <c r="S1655" s="84"/>
      <c r="T1655" s="84"/>
      <c r="U1655" s="84"/>
      <c r="V1655" s="84"/>
      <c r="W1655" s="84"/>
      <c r="X1655" s="84"/>
    </row>
    <row r="1656" spans="1:24" ht="15" customHeight="1" x14ac:dyDescent="0.2">
      <c r="A1656" s="84"/>
      <c r="B1656" s="84"/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  <c r="R1656" s="84"/>
      <c r="S1656" s="84"/>
      <c r="T1656" s="84"/>
      <c r="U1656" s="84"/>
      <c r="V1656" s="84"/>
      <c r="W1656" s="84"/>
      <c r="X1656" s="84"/>
    </row>
    <row r="1657" spans="1:24" ht="15" customHeight="1" x14ac:dyDescent="0.2">
      <c r="A1657" s="84"/>
      <c r="B1657" s="84"/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  <c r="R1657" s="84"/>
      <c r="S1657" s="84"/>
      <c r="T1657" s="84"/>
      <c r="U1657" s="84"/>
      <c r="V1657" s="84"/>
      <c r="W1657" s="84"/>
      <c r="X1657" s="84"/>
    </row>
    <row r="1658" spans="1:24" ht="15" customHeight="1" x14ac:dyDescent="0.2">
      <c r="A1658" s="84"/>
      <c r="B1658" s="84"/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  <c r="R1658" s="84"/>
      <c r="S1658" s="84"/>
      <c r="T1658" s="84"/>
      <c r="U1658" s="84"/>
      <c r="V1658" s="84"/>
      <c r="W1658" s="84"/>
      <c r="X1658" s="84"/>
    </row>
    <row r="1659" spans="1:24" ht="15" customHeight="1" x14ac:dyDescent="0.2">
      <c r="A1659" s="84"/>
      <c r="B1659" s="84"/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  <c r="S1659" s="84"/>
      <c r="T1659" s="84"/>
      <c r="U1659" s="84"/>
      <c r="V1659" s="84"/>
      <c r="W1659" s="84"/>
      <c r="X1659" s="84"/>
    </row>
    <row r="1660" spans="1:24" ht="15" customHeight="1" x14ac:dyDescent="0.2">
      <c r="A1660" s="84"/>
      <c r="B1660" s="84"/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  <c r="X1660" s="84"/>
    </row>
    <row r="1661" spans="1:24" ht="15" customHeight="1" x14ac:dyDescent="0.2">
      <c r="A1661" s="84"/>
      <c r="B1661" s="84"/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  <c r="S1661" s="84"/>
      <c r="T1661" s="84"/>
      <c r="U1661" s="84"/>
      <c r="V1661" s="84"/>
      <c r="W1661" s="84"/>
      <c r="X1661" s="84"/>
    </row>
    <row r="1662" spans="1:24" ht="15" customHeight="1" x14ac:dyDescent="0.2">
      <c r="A1662" s="84"/>
      <c r="B1662" s="84"/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  <c r="S1662" s="84"/>
      <c r="T1662" s="84"/>
      <c r="U1662" s="84"/>
      <c r="V1662" s="84"/>
      <c r="W1662" s="84"/>
      <c r="X1662" s="84"/>
    </row>
    <row r="1663" spans="1:24" ht="15" customHeight="1" x14ac:dyDescent="0.2">
      <c r="A1663" s="84"/>
      <c r="B1663" s="84"/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  <c r="S1663" s="84"/>
      <c r="T1663" s="84"/>
      <c r="U1663" s="84"/>
      <c r="V1663" s="84"/>
      <c r="W1663" s="84"/>
      <c r="X1663" s="84"/>
    </row>
    <row r="1664" spans="1:24" ht="15" customHeight="1" x14ac:dyDescent="0.2">
      <c r="A1664" s="84"/>
      <c r="B1664" s="84"/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  <c r="S1664" s="84"/>
      <c r="T1664" s="84"/>
      <c r="U1664" s="84"/>
      <c r="V1664" s="84"/>
      <c r="W1664" s="84"/>
      <c r="X1664" s="84"/>
    </row>
    <row r="1665" spans="1:24" ht="15" customHeight="1" x14ac:dyDescent="0.2">
      <c r="A1665" s="84"/>
      <c r="B1665" s="84"/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  <c r="S1665" s="84"/>
      <c r="T1665" s="84"/>
      <c r="U1665" s="84"/>
      <c r="V1665" s="84"/>
      <c r="W1665" s="84"/>
      <c r="X1665" s="84"/>
    </row>
    <row r="1666" spans="1:24" ht="15" customHeight="1" x14ac:dyDescent="0.2">
      <c r="A1666" s="84"/>
      <c r="B1666" s="84"/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  <c r="S1666" s="84"/>
      <c r="T1666" s="84"/>
      <c r="U1666" s="84"/>
      <c r="V1666" s="84"/>
      <c r="W1666" s="84"/>
      <c r="X1666" s="84"/>
    </row>
    <row r="1667" spans="1:24" ht="15" customHeight="1" x14ac:dyDescent="0.2">
      <c r="A1667" s="84"/>
      <c r="B1667" s="84"/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  <c r="S1667" s="84"/>
      <c r="T1667" s="84"/>
      <c r="U1667" s="84"/>
      <c r="V1667" s="84"/>
      <c r="W1667" s="84"/>
      <c r="X1667" s="84"/>
    </row>
    <row r="1668" spans="1:24" ht="15" customHeight="1" x14ac:dyDescent="0.2">
      <c r="A1668" s="84"/>
      <c r="B1668" s="84"/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  <c r="S1668" s="84"/>
      <c r="T1668" s="84"/>
      <c r="U1668" s="84"/>
      <c r="V1668" s="84"/>
      <c r="W1668" s="84"/>
      <c r="X1668" s="84"/>
    </row>
    <row r="1669" spans="1:24" ht="15" customHeight="1" x14ac:dyDescent="0.2">
      <c r="A1669" s="84"/>
      <c r="B1669" s="84"/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  <c r="S1669" s="84"/>
      <c r="T1669" s="84"/>
      <c r="U1669" s="84"/>
      <c r="V1669" s="84"/>
      <c r="W1669" s="84"/>
      <c r="X1669" s="84"/>
    </row>
    <row r="1670" spans="1:24" ht="15" customHeight="1" x14ac:dyDescent="0.2">
      <c r="A1670" s="84"/>
      <c r="B1670" s="84"/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</row>
    <row r="1671" spans="1:24" ht="15" customHeight="1" x14ac:dyDescent="0.2">
      <c r="A1671" s="84"/>
      <c r="B1671" s="84"/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  <c r="S1671" s="84"/>
      <c r="T1671" s="84"/>
      <c r="U1671" s="84"/>
      <c r="V1671" s="84"/>
      <c r="W1671" s="84"/>
      <c r="X1671" s="84"/>
    </row>
    <row r="1672" spans="1:24" ht="15" customHeight="1" x14ac:dyDescent="0.2">
      <c r="A1672" s="84"/>
      <c r="B1672" s="84"/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  <c r="S1672" s="84"/>
      <c r="T1672" s="84"/>
      <c r="U1672" s="84"/>
      <c r="V1672" s="84"/>
      <c r="W1672" s="84"/>
      <c r="X1672" s="84"/>
    </row>
    <row r="1673" spans="1:24" ht="15" customHeight="1" x14ac:dyDescent="0.2">
      <c r="A1673" s="84"/>
      <c r="B1673" s="84"/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  <c r="S1673" s="84"/>
      <c r="T1673" s="84"/>
      <c r="U1673" s="84"/>
      <c r="V1673" s="84"/>
      <c r="W1673" s="84"/>
      <c r="X1673" s="84"/>
    </row>
    <row r="1674" spans="1:24" ht="15" customHeight="1" x14ac:dyDescent="0.2">
      <c r="A1674" s="84"/>
      <c r="B1674" s="84"/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  <c r="S1674" s="84"/>
      <c r="T1674" s="84"/>
      <c r="U1674" s="84"/>
      <c r="V1674" s="84"/>
      <c r="W1674" s="84"/>
      <c r="X1674" s="84"/>
    </row>
    <row r="1675" spans="1:24" ht="15" customHeight="1" x14ac:dyDescent="0.2">
      <c r="A1675" s="84"/>
      <c r="B1675" s="84"/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T1675" s="84"/>
      <c r="U1675" s="84"/>
      <c r="V1675" s="84"/>
      <c r="W1675" s="84"/>
      <c r="X1675" s="84"/>
    </row>
    <row r="1676" spans="1:24" ht="15" customHeight="1" x14ac:dyDescent="0.2">
      <c r="A1676" s="84"/>
      <c r="B1676" s="84"/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  <c r="S1676" s="84"/>
      <c r="T1676" s="84"/>
      <c r="U1676" s="84"/>
      <c r="V1676" s="84"/>
      <c r="W1676" s="84"/>
      <c r="X1676" s="84"/>
    </row>
    <row r="1677" spans="1:24" ht="15" customHeight="1" x14ac:dyDescent="0.2">
      <c r="A1677" s="84"/>
      <c r="B1677" s="84"/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  <c r="S1677" s="84"/>
      <c r="T1677" s="84"/>
      <c r="U1677" s="84"/>
      <c r="V1677" s="84"/>
      <c r="W1677" s="84"/>
      <c r="X1677" s="84"/>
    </row>
    <row r="1678" spans="1:24" ht="15" customHeight="1" x14ac:dyDescent="0.2">
      <c r="A1678" s="84"/>
      <c r="B1678" s="84"/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  <c r="S1678" s="84"/>
      <c r="T1678" s="84"/>
      <c r="U1678" s="84"/>
      <c r="V1678" s="84"/>
      <c r="W1678" s="84"/>
      <c r="X1678" s="84"/>
    </row>
    <row r="1679" spans="1:24" ht="15" customHeight="1" x14ac:dyDescent="0.2">
      <c r="A1679" s="84"/>
      <c r="B1679" s="84"/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  <c r="S1679" s="84"/>
      <c r="T1679" s="84"/>
      <c r="U1679" s="84"/>
      <c r="V1679" s="84"/>
      <c r="W1679" s="84"/>
      <c r="X1679" s="84"/>
    </row>
    <row r="1680" spans="1:24" ht="15" customHeight="1" x14ac:dyDescent="0.2">
      <c r="A1680" s="84"/>
      <c r="B1680" s="84"/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  <c r="S1680" s="84"/>
      <c r="T1680" s="84"/>
      <c r="U1680" s="84"/>
      <c r="V1680" s="84"/>
      <c r="W1680" s="84"/>
      <c r="X1680" s="84"/>
    </row>
    <row r="1681" spans="1:24" ht="15" customHeight="1" x14ac:dyDescent="0.2">
      <c r="A1681" s="84"/>
      <c r="B1681" s="84"/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  <c r="S1681" s="84"/>
      <c r="T1681" s="84"/>
      <c r="U1681" s="84"/>
      <c r="V1681" s="84"/>
      <c r="W1681" s="84"/>
      <c r="X1681" s="84"/>
    </row>
    <row r="1682" spans="1:24" ht="15" customHeight="1" x14ac:dyDescent="0.2">
      <c r="A1682" s="84"/>
      <c r="B1682" s="84"/>
      <c r="C1682" s="84"/>
      <c r="D1682" s="84"/>
      <c r="E1682" s="84"/>
      <c r="F1682" s="84"/>
      <c r="G1682" s="84"/>
      <c r="H1682" s="84"/>
      <c r="I1682" s="84"/>
      <c r="J1682" s="84"/>
      <c r="K1682" s="84"/>
      <c r="L1682" s="84"/>
      <c r="M1682" s="84"/>
      <c r="N1682" s="84"/>
      <c r="O1682" s="84"/>
      <c r="P1682" s="84"/>
      <c r="Q1682" s="84"/>
      <c r="R1682" s="84"/>
      <c r="S1682" s="84"/>
      <c r="T1682" s="84"/>
      <c r="U1682" s="84"/>
      <c r="V1682" s="84"/>
      <c r="W1682" s="84"/>
      <c r="X1682" s="84"/>
    </row>
    <row r="1683" spans="1:24" ht="15" customHeight="1" x14ac:dyDescent="0.2">
      <c r="A1683" s="84"/>
      <c r="B1683" s="84"/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  <c r="S1683" s="84"/>
      <c r="T1683" s="84"/>
      <c r="U1683" s="84"/>
      <c r="V1683" s="84"/>
      <c r="W1683" s="84"/>
      <c r="X1683" s="84"/>
    </row>
    <row r="1684" spans="1:24" ht="15" customHeight="1" x14ac:dyDescent="0.2">
      <c r="A1684" s="84"/>
      <c r="B1684" s="84"/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  <c r="S1684" s="84"/>
      <c r="T1684" s="84"/>
      <c r="U1684" s="84"/>
      <c r="V1684" s="84"/>
      <c r="W1684" s="84"/>
      <c r="X1684" s="84"/>
    </row>
    <row r="1685" spans="1:24" ht="15" customHeight="1" x14ac:dyDescent="0.2">
      <c r="A1685" s="84"/>
      <c r="B1685" s="84"/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  <c r="S1685" s="84"/>
      <c r="T1685" s="84"/>
      <c r="U1685" s="84"/>
      <c r="V1685" s="84"/>
      <c r="W1685" s="84"/>
      <c r="X1685" s="84"/>
    </row>
    <row r="1686" spans="1:24" ht="15" customHeight="1" x14ac:dyDescent="0.2">
      <c r="A1686" s="84"/>
      <c r="B1686" s="84"/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  <c r="S1686" s="84"/>
      <c r="T1686" s="84"/>
      <c r="U1686" s="84"/>
      <c r="V1686" s="84"/>
      <c r="W1686" s="84"/>
      <c r="X1686" s="84"/>
    </row>
    <row r="1687" spans="1:24" ht="15" customHeight="1" x14ac:dyDescent="0.2">
      <c r="A1687" s="84"/>
      <c r="B1687" s="84"/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  <c r="S1687" s="84"/>
      <c r="T1687" s="84"/>
      <c r="U1687" s="84"/>
      <c r="V1687" s="84"/>
      <c r="W1687" s="84"/>
      <c r="X1687" s="84"/>
    </row>
    <row r="1688" spans="1:24" ht="15" customHeight="1" x14ac:dyDescent="0.2">
      <c r="A1688" s="84"/>
      <c r="B1688" s="84"/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  <c r="S1688" s="84"/>
      <c r="T1688" s="84"/>
      <c r="U1688" s="84"/>
      <c r="V1688" s="84"/>
      <c r="W1688" s="84"/>
      <c r="X1688" s="84"/>
    </row>
    <row r="1689" spans="1:24" ht="15" customHeight="1" x14ac:dyDescent="0.2">
      <c r="A1689" s="84"/>
      <c r="B1689" s="84"/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</row>
    <row r="1690" spans="1:24" ht="15" customHeight="1" x14ac:dyDescent="0.2">
      <c r="A1690" s="84"/>
      <c r="B1690" s="84"/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  <c r="S1690" s="84"/>
      <c r="T1690" s="84"/>
      <c r="U1690" s="84"/>
      <c r="V1690" s="84"/>
      <c r="W1690" s="84"/>
      <c r="X1690" s="84"/>
    </row>
    <row r="1691" spans="1:24" ht="15" customHeight="1" x14ac:dyDescent="0.2">
      <c r="A1691" s="84"/>
      <c r="B1691" s="84"/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  <c r="S1691" s="84"/>
      <c r="T1691" s="84"/>
      <c r="U1691" s="84"/>
      <c r="V1691" s="84"/>
      <c r="W1691" s="84"/>
      <c r="X1691" s="84"/>
    </row>
    <row r="1692" spans="1:24" ht="15" customHeight="1" x14ac:dyDescent="0.2">
      <c r="A1692" s="84"/>
      <c r="B1692" s="84"/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</row>
    <row r="1693" spans="1:24" ht="15" customHeight="1" x14ac:dyDescent="0.2">
      <c r="A1693" s="84"/>
      <c r="B1693" s="84"/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  <c r="S1693" s="84"/>
      <c r="T1693" s="84"/>
      <c r="U1693" s="84"/>
      <c r="V1693" s="84"/>
      <c r="W1693" s="84"/>
      <c r="X1693" s="84"/>
    </row>
    <row r="1694" spans="1:24" ht="15" customHeight="1" x14ac:dyDescent="0.2">
      <c r="A1694" s="84"/>
      <c r="B1694" s="84"/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  <c r="S1694" s="84"/>
      <c r="T1694" s="84"/>
      <c r="U1694" s="84"/>
      <c r="V1694" s="84"/>
      <c r="W1694" s="84"/>
      <c r="X1694" s="84"/>
    </row>
    <row r="1695" spans="1:24" ht="15" customHeight="1" x14ac:dyDescent="0.2">
      <c r="A1695" s="84"/>
      <c r="B1695" s="84"/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  <c r="R1695" s="84"/>
      <c r="S1695" s="84"/>
      <c r="T1695" s="84"/>
      <c r="U1695" s="84"/>
      <c r="V1695" s="84"/>
      <c r="W1695" s="84"/>
      <c r="X1695" s="84"/>
    </row>
    <row r="1696" spans="1:24" ht="15" customHeight="1" x14ac:dyDescent="0.2">
      <c r="A1696" s="84"/>
      <c r="B1696" s="84"/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  <c r="R1696" s="84"/>
      <c r="S1696" s="84"/>
      <c r="T1696" s="84"/>
      <c r="U1696" s="84"/>
      <c r="V1696" s="84"/>
      <c r="W1696" s="84"/>
      <c r="X1696" s="84"/>
    </row>
    <row r="1697" spans="1:24" ht="15" customHeight="1" x14ac:dyDescent="0.2">
      <c r="A1697" s="84"/>
      <c r="B1697" s="84"/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  <c r="R1697" s="84"/>
      <c r="S1697" s="84"/>
      <c r="T1697" s="84"/>
      <c r="U1697" s="84"/>
      <c r="V1697" s="84"/>
      <c r="W1697" s="84"/>
      <c r="X1697" s="84"/>
    </row>
    <row r="1698" spans="1:24" ht="15" customHeight="1" x14ac:dyDescent="0.2">
      <c r="A1698" s="84"/>
      <c r="B1698" s="84"/>
      <c r="C1698" s="84"/>
      <c r="D1698" s="84"/>
      <c r="E1698" s="84"/>
      <c r="F1698" s="84"/>
      <c r="G1698" s="84"/>
      <c r="H1698" s="84"/>
      <c r="I1698" s="84"/>
      <c r="J1698" s="84"/>
      <c r="K1698" s="84"/>
      <c r="L1698" s="84"/>
      <c r="M1698" s="84"/>
      <c r="N1698" s="84"/>
      <c r="O1698" s="84"/>
      <c r="P1698" s="84"/>
      <c r="Q1698" s="84"/>
      <c r="R1698" s="84"/>
      <c r="S1698" s="84"/>
      <c r="T1698" s="84"/>
      <c r="U1698" s="84"/>
      <c r="V1698" s="84"/>
      <c r="W1698" s="84"/>
      <c r="X1698" s="84"/>
    </row>
    <row r="1699" spans="1:24" ht="15" customHeight="1" x14ac:dyDescent="0.2">
      <c r="A1699" s="84"/>
      <c r="B1699" s="84"/>
      <c r="C1699" s="84"/>
      <c r="D1699" s="84"/>
      <c r="E1699" s="84"/>
      <c r="F1699" s="84"/>
      <c r="G1699" s="84"/>
      <c r="H1699" s="84"/>
      <c r="I1699" s="84"/>
      <c r="J1699" s="84"/>
      <c r="K1699" s="84"/>
      <c r="L1699" s="84"/>
      <c r="M1699" s="84"/>
      <c r="N1699" s="84"/>
      <c r="O1699" s="84"/>
      <c r="P1699" s="84"/>
      <c r="Q1699" s="84"/>
      <c r="R1699" s="84"/>
      <c r="S1699" s="84"/>
      <c r="T1699" s="84"/>
      <c r="U1699" s="84"/>
      <c r="V1699" s="84"/>
      <c r="W1699" s="84"/>
      <c r="X1699" s="84"/>
    </row>
    <row r="1700" spans="1:24" ht="15" customHeight="1" x14ac:dyDescent="0.2">
      <c r="A1700" s="84"/>
      <c r="B1700" s="84"/>
      <c r="C1700" s="84"/>
      <c r="D1700" s="84"/>
      <c r="E1700" s="84"/>
      <c r="F1700" s="84"/>
      <c r="G1700" s="84"/>
      <c r="H1700" s="84"/>
      <c r="I1700" s="84"/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1:24" ht="15" customHeight="1" x14ac:dyDescent="0.2">
      <c r="A1701" s="84"/>
      <c r="B1701" s="84"/>
      <c r="C1701" s="84"/>
      <c r="D1701" s="84"/>
      <c r="E1701" s="84"/>
      <c r="F1701" s="84"/>
      <c r="G1701" s="84"/>
      <c r="H1701" s="84"/>
      <c r="I1701" s="84"/>
      <c r="J1701" s="84"/>
      <c r="K1701" s="84"/>
      <c r="L1701" s="84"/>
      <c r="M1701" s="84"/>
      <c r="N1701" s="84"/>
      <c r="O1701" s="84"/>
      <c r="P1701" s="84"/>
      <c r="Q1701" s="84"/>
      <c r="R1701" s="84"/>
      <c r="S1701" s="84"/>
      <c r="T1701" s="84"/>
      <c r="U1701" s="84"/>
      <c r="V1701" s="84"/>
      <c r="W1701" s="84"/>
      <c r="X1701" s="84"/>
    </row>
    <row r="1702" spans="1:24" ht="15" customHeight="1" x14ac:dyDescent="0.2">
      <c r="A1702" s="84"/>
      <c r="B1702" s="84"/>
      <c r="C1702" s="84"/>
      <c r="D1702" s="84"/>
      <c r="E1702" s="84"/>
      <c r="F1702" s="84"/>
      <c r="G1702" s="84"/>
      <c r="H1702" s="84"/>
      <c r="I1702" s="84"/>
      <c r="J1702" s="84"/>
      <c r="K1702" s="84"/>
      <c r="L1702" s="84"/>
      <c r="M1702" s="84"/>
      <c r="N1702" s="84"/>
      <c r="O1702" s="84"/>
      <c r="P1702" s="84"/>
      <c r="Q1702" s="84"/>
      <c r="R1702" s="84"/>
      <c r="S1702" s="84"/>
      <c r="T1702" s="84"/>
      <c r="U1702" s="84"/>
      <c r="V1702" s="84"/>
      <c r="W1702" s="84"/>
      <c r="X1702" s="84"/>
    </row>
    <row r="1703" spans="1:24" ht="15" customHeight="1" x14ac:dyDescent="0.2">
      <c r="A1703" s="84"/>
      <c r="B1703" s="84"/>
      <c r="C1703" s="84"/>
      <c r="D1703" s="84"/>
      <c r="E1703" s="84"/>
      <c r="F1703" s="84"/>
      <c r="G1703" s="84"/>
      <c r="H1703" s="84"/>
      <c r="I1703" s="84"/>
      <c r="J1703" s="84"/>
      <c r="K1703" s="84"/>
      <c r="L1703" s="84"/>
      <c r="M1703" s="84"/>
      <c r="N1703" s="84"/>
      <c r="O1703" s="84"/>
      <c r="P1703" s="84"/>
      <c r="Q1703" s="84"/>
      <c r="R1703" s="84"/>
      <c r="S1703" s="84"/>
      <c r="T1703" s="84"/>
      <c r="U1703" s="84"/>
      <c r="V1703" s="84"/>
      <c r="W1703" s="84"/>
      <c r="X1703" s="84"/>
    </row>
    <row r="1704" spans="1:24" ht="15" customHeight="1" x14ac:dyDescent="0.2">
      <c r="A1704" s="84"/>
      <c r="B1704" s="84"/>
      <c r="C1704" s="84"/>
      <c r="D1704" s="84"/>
      <c r="E1704" s="84"/>
      <c r="F1704" s="84"/>
      <c r="G1704" s="84"/>
      <c r="H1704" s="84"/>
      <c r="I1704" s="84"/>
      <c r="J1704" s="84"/>
      <c r="K1704" s="84"/>
      <c r="L1704" s="84"/>
      <c r="M1704" s="84"/>
      <c r="N1704" s="84"/>
      <c r="O1704" s="84"/>
      <c r="P1704" s="84"/>
      <c r="Q1704" s="84"/>
      <c r="R1704" s="84"/>
      <c r="S1704" s="84"/>
      <c r="T1704" s="84"/>
      <c r="U1704" s="84"/>
      <c r="V1704" s="84"/>
      <c r="W1704" s="84"/>
      <c r="X1704" s="84"/>
    </row>
    <row r="1705" spans="1:24" ht="15" customHeight="1" x14ac:dyDescent="0.2">
      <c r="A1705" s="84"/>
      <c r="B1705" s="84"/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  <c r="S1705" s="84"/>
      <c r="T1705" s="84"/>
      <c r="U1705" s="84"/>
      <c r="V1705" s="84"/>
      <c r="W1705" s="84"/>
      <c r="X1705" s="84"/>
    </row>
    <row r="1706" spans="1:24" ht="15" customHeight="1" x14ac:dyDescent="0.2">
      <c r="A1706" s="84"/>
      <c r="B1706" s="84"/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  <c r="S1706" s="84"/>
      <c r="T1706" s="84"/>
      <c r="U1706" s="84"/>
      <c r="V1706" s="84"/>
      <c r="W1706" s="84"/>
      <c r="X1706" s="84"/>
    </row>
    <row r="1707" spans="1:24" ht="15" customHeight="1" x14ac:dyDescent="0.2">
      <c r="A1707" s="84"/>
      <c r="B1707" s="84"/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  <c r="S1707" s="84"/>
      <c r="T1707" s="84"/>
      <c r="U1707" s="84"/>
      <c r="V1707" s="84"/>
      <c r="W1707" s="84"/>
      <c r="X1707" s="84"/>
    </row>
    <row r="1708" spans="1:24" ht="15" customHeight="1" x14ac:dyDescent="0.2">
      <c r="A1708" s="84"/>
      <c r="B1708" s="84"/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  <c r="S1708" s="84"/>
      <c r="T1708" s="84"/>
      <c r="U1708" s="84"/>
      <c r="V1708" s="84"/>
      <c r="W1708" s="84"/>
      <c r="X1708" s="84"/>
    </row>
    <row r="1709" spans="1:24" ht="15" customHeight="1" x14ac:dyDescent="0.2">
      <c r="A1709" s="84"/>
      <c r="B1709" s="84"/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  <c r="S1709" s="84"/>
      <c r="T1709" s="84"/>
      <c r="U1709" s="84"/>
      <c r="V1709" s="84"/>
      <c r="W1709" s="84"/>
      <c r="X1709" s="84"/>
    </row>
    <row r="1710" spans="1:24" ht="15" customHeight="1" x14ac:dyDescent="0.2">
      <c r="A1710" s="84"/>
      <c r="B1710" s="84"/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  <c r="S1710" s="84"/>
      <c r="T1710" s="84"/>
      <c r="U1710" s="84"/>
      <c r="V1710" s="84"/>
      <c r="W1710" s="84"/>
      <c r="X1710" s="84"/>
    </row>
    <row r="1711" spans="1:24" ht="15" customHeight="1" x14ac:dyDescent="0.2">
      <c r="A1711" s="84"/>
      <c r="B1711" s="84"/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  <c r="S1711" s="84"/>
      <c r="T1711" s="84"/>
      <c r="U1711" s="84"/>
      <c r="V1711" s="84"/>
      <c r="W1711" s="84"/>
      <c r="X1711" s="84"/>
    </row>
    <row r="1712" spans="1:24" ht="15" customHeight="1" x14ac:dyDescent="0.2">
      <c r="A1712" s="84"/>
      <c r="B1712" s="84"/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  <c r="S1712" s="84"/>
      <c r="T1712" s="84"/>
      <c r="U1712" s="84"/>
      <c r="V1712" s="84"/>
      <c r="W1712" s="84"/>
      <c r="X1712" s="84"/>
    </row>
    <row r="1713" spans="1:24" ht="15" customHeight="1" x14ac:dyDescent="0.2">
      <c r="A1713" s="84"/>
      <c r="B1713" s="84"/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  <c r="S1713" s="84"/>
      <c r="T1713" s="84"/>
      <c r="U1713" s="84"/>
      <c r="V1713" s="84"/>
      <c r="W1713" s="84"/>
      <c r="X1713" s="84"/>
    </row>
    <row r="1714" spans="1:24" ht="15" customHeight="1" x14ac:dyDescent="0.2">
      <c r="A1714" s="84"/>
      <c r="B1714" s="84"/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  <c r="S1714" s="84"/>
      <c r="T1714" s="84"/>
      <c r="U1714" s="84"/>
      <c r="V1714" s="84"/>
      <c r="W1714" s="84"/>
      <c r="X1714" s="84"/>
    </row>
    <row r="1715" spans="1:24" ht="15" customHeight="1" x14ac:dyDescent="0.2">
      <c r="A1715" s="84"/>
      <c r="B1715" s="84"/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  <c r="S1715" s="84"/>
      <c r="T1715" s="84"/>
      <c r="U1715" s="84"/>
      <c r="V1715" s="84"/>
      <c r="W1715" s="84"/>
      <c r="X1715" s="84"/>
    </row>
    <row r="1716" spans="1:24" ht="15" customHeight="1" x14ac:dyDescent="0.2">
      <c r="A1716" s="84"/>
      <c r="B1716" s="84"/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  <c r="S1716" s="84"/>
      <c r="T1716" s="84"/>
      <c r="U1716" s="84"/>
      <c r="V1716" s="84"/>
      <c r="W1716" s="84"/>
      <c r="X1716" s="84"/>
    </row>
    <row r="1717" spans="1:24" ht="15" customHeight="1" x14ac:dyDescent="0.2">
      <c r="A1717" s="84"/>
      <c r="B1717" s="84"/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  <c r="S1717" s="84"/>
      <c r="T1717" s="84"/>
      <c r="U1717" s="84"/>
      <c r="V1717" s="84"/>
      <c r="W1717" s="84"/>
      <c r="X1717" s="84"/>
    </row>
    <row r="1718" spans="1:24" ht="15" customHeight="1" x14ac:dyDescent="0.2">
      <c r="A1718" s="84"/>
      <c r="B1718" s="84"/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  <c r="S1718" s="84"/>
      <c r="T1718" s="84"/>
      <c r="U1718" s="84"/>
      <c r="V1718" s="84"/>
      <c r="W1718" s="84"/>
      <c r="X1718" s="84"/>
    </row>
    <row r="1719" spans="1:24" ht="15" customHeight="1" x14ac:dyDescent="0.2">
      <c r="A1719" s="84"/>
      <c r="B1719" s="84"/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  <c r="S1719" s="84"/>
      <c r="T1719" s="84"/>
      <c r="U1719" s="84"/>
      <c r="V1719" s="84"/>
      <c r="W1719" s="84"/>
      <c r="X1719" s="84"/>
    </row>
    <row r="1720" spans="1:24" ht="15" customHeight="1" x14ac:dyDescent="0.2">
      <c r="A1720" s="84"/>
      <c r="B1720" s="84"/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  <c r="S1720" s="84"/>
      <c r="T1720" s="84"/>
      <c r="U1720" s="84"/>
      <c r="V1720" s="84"/>
      <c r="W1720" s="84"/>
      <c r="X1720" s="84"/>
    </row>
    <row r="1721" spans="1:24" ht="15" customHeight="1" x14ac:dyDescent="0.2">
      <c r="A1721" s="84"/>
      <c r="B1721" s="84"/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  <c r="S1721" s="84"/>
      <c r="T1721" s="84"/>
      <c r="U1721" s="84"/>
      <c r="V1721" s="84"/>
      <c r="W1721" s="84"/>
      <c r="X1721" s="84"/>
    </row>
    <row r="1722" spans="1:24" ht="15" customHeight="1" x14ac:dyDescent="0.2">
      <c r="A1722" s="84"/>
      <c r="B1722" s="84"/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  <c r="S1722" s="84"/>
      <c r="T1722" s="84"/>
      <c r="U1722" s="84"/>
      <c r="V1722" s="84"/>
      <c r="W1722" s="84"/>
      <c r="X1722" s="84"/>
    </row>
    <row r="1723" spans="1:24" ht="15" customHeight="1" x14ac:dyDescent="0.2">
      <c r="A1723" s="84"/>
      <c r="B1723" s="84"/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  <c r="S1723" s="84"/>
      <c r="T1723" s="84"/>
      <c r="U1723" s="84"/>
      <c r="V1723" s="84"/>
      <c r="W1723" s="84"/>
      <c r="X1723" s="84"/>
    </row>
    <row r="1724" spans="1:24" ht="15" customHeight="1" x14ac:dyDescent="0.2">
      <c r="A1724" s="84"/>
      <c r="B1724" s="84"/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  <c r="S1724" s="84"/>
      <c r="T1724" s="84"/>
      <c r="U1724" s="84"/>
      <c r="V1724" s="84"/>
      <c r="W1724" s="84"/>
      <c r="X1724" s="84"/>
    </row>
    <row r="1725" spans="1:24" ht="15" customHeight="1" x14ac:dyDescent="0.2">
      <c r="A1725" s="84"/>
      <c r="B1725" s="84"/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  <c r="S1725" s="84"/>
      <c r="T1725" s="84"/>
      <c r="U1725" s="84"/>
      <c r="V1725" s="84"/>
      <c r="W1725" s="84"/>
      <c r="X1725" s="84"/>
    </row>
    <row r="1726" spans="1:24" ht="15" customHeight="1" x14ac:dyDescent="0.2">
      <c r="A1726" s="84"/>
      <c r="B1726" s="84"/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  <c r="S1726" s="84"/>
      <c r="T1726" s="84"/>
      <c r="U1726" s="84"/>
      <c r="V1726" s="84"/>
      <c r="W1726" s="84"/>
      <c r="X1726" s="84"/>
    </row>
    <row r="1727" spans="1:24" ht="15" customHeight="1" x14ac:dyDescent="0.2">
      <c r="A1727" s="84"/>
      <c r="B1727" s="84"/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  <c r="S1727" s="84"/>
      <c r="T1727" s="84"/>
      <c r="U1727" s="84"/>
      <c r="V1727" s="84"/>
      <c r="W1727" s="84"/>
      <c r="X1727" s="84"/>
    </row>
    <row r="1728" spans="1:24" ht="15" customHeight="1" x14ac:dyDescent="0.2">
      <c r="A1728" s="84"/>
      <c r="B1728" s="84"/>
      <c r="C1728" s="84"/>
      <c r="D1728" s="84"/>
      <c r="E1728" s="84"/>
      <c r="F1728" s="84"/>
      <c r="G1728" s="84"/>
      <c r="H1728" s="84"/>
      <c r="I1728" s="84"/>
      <c r="J1728" s="84"/>
      <c r="K1728" s="84"/>
      <c r="L1728" s="84"/>
      <c r="M1728" s="84"/>
      <c r="N1728" s="84"/>
      <c r="O1728" s="84"/>
      <c r="P1728" s="84"/>
      <c r="Q1728" s="84"/>
      <c r="R1728" s="84"/>
      <c r="S1728" s="84"/>
      <c r="T1728" s="84"/>
      <c r="U1728" s="84"/>
      <c r="V1728" s="84"/>
      <c r="W1728" s="84"/>
      <c r="X1728" s="84"/>
    </row>
    <row r="1729" spans="1:24" ht="15" customHeight="1" x14ac:dyDescent="0.2">
      <c r="A1729" s="84"/>
      <c r="B1729" s="84"/>
      <c r="C1729" s="84"/>
      <c r="D1729" s="84"/>
      <c r="E1729" s="84"/>
      <c r="F1729" s="84"/>
      <c r="G1729" s="84"/>
      <c r="H1729" s="84"/>
      <c r="I1729" s="84"/>
      <c r="J1729" s="84"/>
      <c r="K1729" s="84"/>
      <c r="L1729" s="84"/>
      <c r="M1729" s="84"/>
      <c r="N1729" s="84"/>
      <c r="O1729" s="84"/>
      <c r="P1729" s="84"/>
      <c r="Q1729" s="84"/>
      <c r="R1729" s="84"/>
      <c r="S1729" s="84"/>
      <c r="T1729" s="84"/>
      <c r="U1729" s="84"/>
      <c r="V1729" s="84"/>
      <c r="W1729" s="84"/>
      <c r="X1729" s="84"/>
    </row>
    <row r="1730" spans="1:24" ht="15" customHeight="1" x14ac:dyDescent="0.2">
      <c r="A1730" s="84"/>
      <c r="B1730" s="84"/>
      <c r="C1730" s="84"/>
      <c r="D1730" s="84"/>
      <c r="E1730" s="84"/>
      <c r="F1730" s="84"/>
      <c r="G1730" s="84"/>
      <c r="H1730" s="84"/>
      <c r="I1730" s="84"/>
      <c r="J1730" s="84"/>
      <c r="K1730" s="84"/>
      <c r="L1730" s="84"/>
      <c r="M1730" s="84"/>
      <c r="N1730" s="84"/>
      <c r="O1730" s="84"/>
      <c r="P1730" s="84"/>
      <c r="Q1730" s="84"/>
      <c r="R1730" s="84"/>
      <c r="S1730" s="84"/>
      <c r="T1730" s="84"/>
      <c r="U1730" s="84"/>
      <c r="V1730" s="84"/>
      <c r="W1730" s="84"/>
      <c r="X1730" s="84"/>
    </row>
    <row r="1731" spans="1:24" ht="15" customHeight="1" x14ac:dyDescent="0.2">
      <c r="A1731" s="84"/>
      <c r="B1731" s="84"/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  <c r="W1731" s="84"/>
      <c r="X1731" s="84"/>
    </row>
    <row r="1732" spans="1:24" ht="15" customHeight="1" x14ac:dyDescent="0.2">
      <c r="A1732" s="84"/>
      <c r="B1732" s="84"/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  <c r="S1732" s="84"/>
      <c r="T1732" s="84"/>
      <c r="U1732" s="84"/>
      <c r="V1732" s="84"/>
      <c r="W1732" s="84"/>
      <c r="X1732" s="84"/>
    </row>
    <row r="1733" spans="1:24" ht="15" customHeight="1" x14ac:dyDescent="0.2">
      <c r="A1733" s="84"/>
      <c r="B1733" s="84"/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  <c r="S1733" s="84"/>
      <c r="T1733" s="84"/>
      <c r="U1733" s="84"/>
      <c r="V1733" s="84"/>
      <c r="W1733" s="84"/>
      <c r="X1733" s="84"/>
    </row>
    <row r="1734" spans="1:24" ht="15" customHeight="1" x14ac:dyDescent="0.2">
      <c r="A1734" s="84"/>
      <c r="B1734" s="84"/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  <c r="S1734" s="84"/>
      <c r="T1734" s="84"/>
      <c r="U1734" s="84"/>
      <c r="V1734" s="84"/>
      <c r="W1734" s="84"/>
      <c r="X1734" s="84"/>
    </row>
    <row r="1735" spans="1:24" ht="15" customHeight="1" x14ac:dyDescent="0.2">
      <c r="A1735" s="84"/>
      <c r="B1735" s="84"/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  <c r="S1735" s="84"/>
      <c r="T1735" s="84"/>
      <c r="U1735" s="84"/>
      <c r="V1735" s="84"/>
      <c r="W1735" s="84"/>
      <c r="X1735" s="84"/>
    </row>
    <row r="1736" spans="1:24" ht="15" customHeight="1" x14ac:dyDescent="0.2">
      <c r="A1736" s="84"/>
      <c r="B1736" s="84"/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</row>
    <row r="1737" spans="1:24" ht="15" customHeight="1" x14ac:dyDescent="0.2">
      <c r="A1737" s="84"/>
      <c r="B1737" s="84"/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  <c r="S1737" s="84"/>
      <c r="T1737" s="84"/>
      <c r="U1737" s="84"/>
      <c r="V1737" s="84"/>
      <c r="W1737" s="84"/>
      <c r="X1737" s="84"/>
    </row>
    <row r="1738" spans="1:24" ht="15" customHeight="1" x14ac:dyDescent="0.2">
      <c r="A1738" s="84"/>
      <c r="B1738" s="84"/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  <c r="S1738" s="84"/>
      <c r="T1738" s="84"/>
      <c r="U1738" s="84"/>
      <c r="V1738" s="84"/>
      <c r="W1738" s="84"/>
      <c r="X1738" s="84"/>
    </row>
    <row r="1739" spans="1:24" ht="15" customHeight="1" x14ac:dyDescent="0.2">
      <c r="A1739" s="84"/>
      <c r="B1739" s="84"/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  <c r="S1739" s="84"/>
      <c r="T1739" s="84"/>
      <c r="U1739" s="84"/>
      <c r="V1739" s="84"/>
      <c r="W1739" s="84"/>
      <c r="X1739" s="84"/>
    </row>
    <row r="1740" spans="1:24" ht="15" customHeight="1" x14ac:dyDescent="0.2">
      <c r="A1740" s="84"/>
      <c r="B1740" s="84"/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  <c r="S1740" s="84"/>
      <c r="T1740" s="84"/>
      <c r="U1740" s="84"/>
      <c r="V1740" s="84"/>
      <c r="W1740" s="84"/>
      <c r="X1740" s="84"/>
    </row>
    <row r="1741" spans="1:24" ht="15" customHeight="1" x14ac:dyDescent="0.2">
      <c r="A1741" s="84"/>
      <c r="B1741" s="84"/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  <c r="S1741" s="84"/>
      <c r="T1741" s="84"/>
      <c r="U1741" s="84"/>
      <c r="V1741" s="84"/>
      <c r="W1741" s="84"/>
      <c r="X1741" s="84"/>
    </row>
    <row r="1742" spans="1:24" ht="15" customHeight="1" x14ac:dyDescent="0.2">
      <c r="A1742" s="84"/>
      <c r="B1742" s="84"/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  <c r="S1742" s="84"/>
      <c r="T1742" s="84"/>
      <c r="U1742" s="84"/>
      <c r="V1742" s="84"/>
      <c r="W1742" s="84"/>
      <c r="X1742" s="84"/>
    </row>
    <row r="1743" spans="1:24" ht="15" customHeight="1" x14ac:dyDescent="0.2">
      <c r="A1743" s="84"/>
      <c r="B1743" s="84"/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  <c r="R1743" s="84"/>
      <c r="S1743" s="84"/>
      <c r="T1743" s="84"/>
      <c r="U1743" s="84"/>
      <c r="V1743" s="84"/>
      <c r="W1743" s="84"/>
      <c r="X1743" s="84"/>
    </row>
    <row r="1744" spans="1:24" ht="15" customHeight="1" x14ac:dyDescent="0.2">
      <c r="A1744" s="84"/>
      <c r="B1744" s="84"/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  <c r="R1744" s="84"/>
      <c r="S1744" s="84"/>
      <c r="T1744" s="84"/>
      <c r="U1744" s="84"/>
      <c r="V1744" s="84"/>
      <c r="W1744" s="84"/>
      <c r="X1744" s="84"/>
    </row>
    <row r="1745" spans="1:24" ht="15" customHeight="1" x14ac:dyDescent="0.2">
      <c r="A1745" s="84"/>
      <c r="B1745" s="84"/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  <c r="R1745" s="84"/>
      <c r="S1745" s="84"/>
      <c r="T1745" s="84"/>
      <c r="U1745" s="84"/>
      <c r="V1745" s="84"/>
      <c r="W1745" s="84"/>
      <c r="X1745" s="84"/>
    </row>
    <row r="1746" spans="1:24" ht="15" customHeight="1" x14ac:dyDescent="0.2">
      <c r="A1746" s="84"/>
      <c r="B1746" s="84"/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  <c r="R1746" s="84"/>
      <c r="S1746" s="84"/>
      <c r="T1746" s="84"/>
      <c r="U1746" s="84"/>
      <c r="V1746" s="84"/>
      <c r="W1746" s="84"/>
      <c r="X1746" s="84"/>
    </row>
    <row r="1747" spans="1:24" ht="15" customHeight="1" x14ac:dyDescent="0.2">
      <c r="A1747" s="84"/>
      <c r="B1747" s="84"/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  <c r="R1747" s="84"/>
      <c r="S1747" s="84"/>
      <c r="T1747" s="84"/>
      <c r="U1747" s="84"/>
      <c r="V1747" s="84"/>
      <c r="W1747" s="84"/>
      <c r="X1747" s="84"/>
    </row>
    <row r="1748" spans="1:24" ht="15" customHeight="1" x14ac:dyDescent="0.2">
      <c r="A1748" s="84"/>
      <c r="B1748" s="84"/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  <c r="R1748" s="84"/>
      <c r="S1748" s="84"/>
      <c r="T1748" s="84"/>
      <c r="U1748" s="84"/>
      <c r="V1748" s="84"/>
      <c r="W1748" s="84"/>
      <c r="X1748" s="84"/>
    </row>
    <row r="1749" spans="1:24" ht="15" customHeight="1" x14ac:dyDescent="0.2">
      <c r="A1749" s="84"/>
      <c r="B1749" s="84"/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  <c r="R1749" s="84"/>
      <c r="S1749" s="84"/>
      <c r="T1749" s="84"/>
      <c r="U1749" s="84"/>
      <c r="V1749" s="84"/>
      <c r="W1749" s="84"/>
      <c r="X1749" s="84"/>
    </row>
    <row r="1750" spans="1:24" ht="15" customHeight="1" x14ac:dyDescent="0.2">
      <c r="A1750" s="84"/>
      <c r="B1750" s="84"/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  <c r="R1750" s="84"/>
      <c r="S1750" s="84"/>
      <c r="T1750" s="84"/>
      <c r="U1750" s="84"/>
      <c r="V1750" s="84"/>
      <c r="W1750" s="84"/>
      <c r="X1750" s="84"/>
    </row>
    <row r="1751" spans="1:24" ht="15" customHeight="1" x14ac:dyDescent="0.2">
      <c r="A1751" s="84"/>
      <c r="B1751" s="84"/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  <c r="S1751" s="84"/>
      <c r="T1751" s="84"/>
      <c r="U1751" s="84"/>
      <c r="V1751" s="84"/>
      <c r="W1751" s="84"/>
      <c r="X1751" s="84"/>
    </row>
    <row r="1752" spans="1:24" ht="15" customHeight="1" x14ac:dyDescent="0.2">
      <c r="A1752" s="84"/>
      <c r="B1752" s="84"/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  <c r="S1752" s="84"/>
      <c r="T1752" s="84"/>
      <c r="U1752" s="84"/>
      <c r="V1752" s="84"/>
      <c r="W1752" s="84"/>
      <c r="X1752" s="84"/>
    </row>
    <row r="1753" spans="1:24" ht="15" customHeight="1" x14ac:dyDescent="0.2">
      <c r="A1753" s="84"/>
      <c r="B1753" s="84"/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  <c r="S1753" s="84"/>
      <c r="T1753" s="84"/>
      <c r="U1753" s="84"/>
      <c r="V1753" s="84"/>
      <c r="W1753" s="84"/>
      <c r="X1753" s="84"/>
    </row>
    <row r="1754" spans="1:24" ht="15" customHeight="1" x14ac:dyDescent="0.2">
      <c r="A1754" s="84"/>
      <c r="B1754" s="84"/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  <c r="S1754" s="84"/>
      <c r="T1754" s="84"/>
      <c r="U1754" s="84"/>
      <c r="V1754" s="84"/>
      <c r="W1754" s="84"/>
      <c r="X1754" s="84"/>
    </row>
    <row r="1755" spans="1:24" ht="15" customHeight="1" x14ac:dyDescent="0.2">
      <c r="A1755" s="84"/>
      <c r="B1755" s="84"/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  <c r="S1755" s="84"/>
      <c r="T1755" s="84"/>
      <c r="U1755" s="84"/>
      <c r="V1755" s="84"/>
      <c r="W1755" s="84"/>
      <c r="X1755" s="84"/>
    </row>
    <row r="1756" spans="1:24" ht="15" customHeight="1" x14ac:dyDescent="0.2">
      <c r="A1756" s="84"/>
      <c r="B1756" s="84"/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  <c r="S1756" s="84"/>
      <c r="T1756" s="84"/>
      <c r="U1756" s="84"/>
      <c r="V1756" s="84"/>
      <c r="W1756" s="84"/>
      <c r="X1756" s="84"/>
    </row>
    <row r="1757" spans="1:24" ht="15" customHeight="1" x14ac:dyDescent="0.2">
      <c r="A1757" s="84"/>
      <c r="B1757" s="84"/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  <c r="S1757" s="84"/>
      <c r="T1757" s="84"/>
      <c r="U1757" s="84"/>
      <c r="V1757" s="84"/>
      <c r="W1757" s="84"/>
      <c r="X1757" s="84"/>
    </row>
    <row r="1758" spans="1:24" ht="15" customHeight="1" x14ac:dyDescent="0.2">
      <c r="A1758" s="84"/>
      <c r="B1758" s="84"/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  <c r="S1758" s="84"/>
      <c r="T1758" s="84"/>
      <c r="U1758" s="84"/>
      <c r="V1758" s="84"/>
      <c r="W1758" s="84"/>
      <c r="X1758" s="84"/>
    </row>
    <row r="1759" spans="1:24" ht="15" customHeight="1" x14ac:dyDescent="0.2">
      <c r="A1759" s="84"/>
      <c r="B1759" s="84"/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  <c r="S1759" s="84"/>
      <c r="T1759" s="84"/>
      <c r="U1759" s="84"/>
      <c r="V1759" s="84"/>
      <c r="W1759" s="84"/>
      <c r="X1759" s="84"/>
    </row>
    <row r="1760" spans="1:24" ht="15" customHeight="1" x14ac:dyDescent="0.2">
      <c r="A1760" s="84"/>
      <c r="B1760" s="84"/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  <c r="S1760" s="84"/>
      <c r="T1760" s="84"/>
      <c r="U1760" s="84"/>
      <c r="V1760" s="84"/>
      <c r="W1760" s="84"/>
      <c r="X1760" s="84"/>
    </row>
    <row r="1761" spans="1:24" ht="15" customHeight="1" x14ac:dyDescent="0.2">
      <c r="A1761" s="84"/>
      <c r="B1761" s="84"/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  <c r="S1761" s="84"/>
      <c r="T1761" s="84"/>
      <c r="U1761" s="84"/>
      <c r="V1761" s="84"/>
      <c r="W1761" s="84"/>
      <c r="X1761" s="84"/>
    </row>
    <row r="1762" spans="1:24" ht="15" customHeight="1" x14ac:dyDescent="0.2">
      <c r="A1762" s="84"/>
      <c r="B1762" s="84"/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  <c r="S1762" s="84"/>
      <c r="T1762" s="84"/>
      <c r="U1762" s="84"/>
      <c r="V1762" s="84"/>
      <c r="W1762" s="84"/>
      <c r="X1762" s="84"/>
    </row>
    <row r="1763" spans="1:24" ht="15" customHeight="1" x14ac:dyDescent="0.2">
      <c r="A1763" s="84"/>
      <c r="B1763" s="84"/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  <c r="S1763" s="84"/>
      <c r="T1763" s="84"/>
      <c r="U1763" s="84"/>
      <c r="V1763" s="84"/>
      <c r="W1763" s="84"/>
      <c r="X1763" s="84"/>
    </row>
    <row r="1764" spans="1:24" ht="15" customHeight="1" x14ac:dyDescent="0.2">
      <c r="A1764" s="84"/>
      <c r="B1764" s="84"/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  <c r="S1764" s="84"/>
      <c r="T1764" s="84"/>
      <c r="U1764" s="84"/>
      <c r="V1764" s="84"/>
      <c r="W1764" s="84"/>
      <c r="X1764" s="84"/>
    </row>
    <row r="1765" spans="1:24" ht="15" customHeight="1" x14ac:dyDescent="0.2">
      <c r="A1765" s="84"/>
      <c r="B1765" s="84"/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  <c r="S1765" s="84"/>
      <c r="T1765" s="84"/>
      <c r="U1765" s="84"/>
      <c r="V1765" s="84"/>
      <c r="W1765" s="84"/>
      <c r="X1765" s="84"/>
    </row>
    <row r="1766" spans="1:24" ht="15" customHeight="1" x14ac:dyDescent="0.2">
      <c r="A1766" s="84"/>
      <c r="B1766" s="84"/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  <c r="S1766" s="84"/>
      <c r="T1766" s="84"/>
      <c r="U1766" s="84"/>
      <c r="V1766" s="84"/>
      <c r="W1766" s="84"/>
      <c r="X1766" s="84"/>
    </row>
    <row r="1767" spans="1:24" ht="15" customHeight="1" x14ac:dyDescent="0.2">
      <c r="A1767" s="84"/>
      <c r="B1767" s="84"/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  <c r="S1767" s="84"/>
      <c r="T1767" s="84"/>
      <c r="U1767" s="84"/>
      <c r="V1767" s="84"/>
      <c r="W1767" s="84"/>
      <c r="X1767" s="84"/>
    </row>
    <row r="1768" spans="1:24" ht="15" customHeight="1" x14ac:dyDescent="0.2">
      <c r="A1768" s="84"/>
      <c r="B1768" s="84"/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  <c r="S1768" s="84"/>
      <c r="T1768" s="84"/>
      <c r="U1768" s="84"/>
      <c r="V1768" s="84"/>
      <c r="W1768" s="84"/>
      <c r="X1768" s="84"/>
    </row>
    <row r="1769" spans="1:24" ht="15" customHeight="1" x14ac:dyDescent="0.2">
      <c r="A1769" s="84"/>
      <c r="B1769" s="84"/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  <c r="S1769" s="84"/>
      <c r="T1769" s="84"/>
      <c r="U1769" s="84"/>
      <c r="V1769" s="84"/>
      <c r="W1769" s="84"/>
      <c r="X1769" s="84"/>
    </row>
    <row r="1770" spans="1:24" ht="15" customHeight="1" x14ac:dyDescent="0.2">
      <c r="A1770" s="84"/>
      <c r="B1770" s="84"/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  <c r="S1770" s="84"/>
      <c r="T1770" s="84"/>
      <c r="U1770" s="84"/>
      <c r="V1770" s="84"/>
      <c r="W1770" s="84"/>
      <c r="X1770" s="84"/>
    </row>
    <row r="1771" spans="1:24" ht="15" customHeight="1" x14ac:dyDescent="0.2">
      <c r="A1771" s="84"/>
      <c r="B1771" s="84"/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  <c r="S1771" s="84"/>
      <c r="T1771" s="84"/>
      <c r="U1771" s="84"/>
      <c r="V1771" s="84"/>
      <c r="W1771" s="84"/>
      <c r="X1771" s="84"/>
    </row>
    <row r="1772" spans="1:24" ht="15" customHeight="1" x14ac:dyDescent="0.2">
      <c r="A1772" s="84"/>
      <c r="B1772" s="84"/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  <c r="S1772" s="84"/>
      <c r="T1772" s="84"/>
      <c r="U1772" s="84"/>
      <c r="V1772" s="84"/>
      <c r="W1772" s="84"/>
      <c r="X1772" s="84"/>
    </row>
    <row r="1773" spans="1:24" ht="15" customHeight="1" x14ac:dyDescent="0.2">
      <c r="A1773" s="84"/>
      <c r="B1773" s="84"/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  <c r="S1773" s="84"/>
      <c r="T1773" s="84"/>
      <c r="U1773" s="84"/>
      <c r="V1773" s="84"/>
      <c r="W1773" s="84"/>
      <c r="X1773" s="84"/>
    </row>
    <row r="1774" spans="1:24" ht="15" customHeight="1" x14ac:dyDescent="0.2">
      <c r="A1774" s="84"/>
      <c r="B1774" s="84"/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  <c r="R1774" s="84"/>
      <c r="S1774" s="84"/>
      <c r="T1774" s="84"/>
      <c r="U1774" s="84"/>
      <c r="V1774" s="84"/>
      <c r="W1774" s="84"/>
      <c r="X1774" s="84"/>
    </row>
    <row r="1775" spans="1:24" ht="15" customHeight="1" x14ac:dyDescent="0.2">
      <c r="A1775" s="84"/>
      <c r="B1775" s="84"/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  <c r="R1775" s="84"/>
      <c r="S1775" s="84"/>
      <c r="T1775" s="84"/>
      <c r="U1775" s="84"/>
      <c r="V1775" s="84"/>
      <c r="W1775" s="84"/>
      <c r="X1775" s="84"/>
    </row>
    <row r="1776" spans="1:24" ht="15" customHeight="1" x14ac:dyDescent="0.2">
      <c r="A1776" s="84"/>
      <c r="B1776" s="84"/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  <c r="R1776" s="84"/>
      <c r="S1776" s="84"/>
      <c r="T1776" s="84"/>
      <c r="U1776" s="84"/>
      <c r="V1776" s="84"/>
      <c r="W1776" s="84"/>
      <c r="X1776" s="84"/>
    </row>
    <row r="1777" spans="1:24" ht="15" customHeight="1" x14ac:dyDescent="0.2">
      <c r="A1777" s="84"/>
      <c r="B1777" s="84"/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  <c r="R1777" s="84"/>
      <c r="S1777" s="84"/>
      <c r="T1777" s="84"/>
      <c r="U1777" s="84"/>
      <c r="V1777" s="84"/>
      <c r="W1777" s="84"/>
      <c r="X1777" s="84"/>
    </row>
    <row r="1778" spans="1:24" ht="15" customHeight="1" x14ac:dyDescent="0.2">
      <c r="A1778" s="84"/>
      <c r="B1778" s="84"/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  <c r="R1778" s="84"/>
      <c r="S1778" s="84"/>
      <c r="T1778" s="84"/>
      <c r="U1778" s="84"/>
      <c r="V1778" s="84"/>
      <c r="W1778" s="84"/>
      <c r="X1778" s="84"/>
    </row>
    <row r="1779" spans="1:24" ht="15" customHeight="1" x14ac:dyDescent="0.2">
      <c r="A1779" s="84"/>
      <c r="B1779" s="84"/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  <c r="S1779" s="84"/>
      <c r="T1779" s="84"/>
      <c r="U1779" s="84"/>
      <c r="V1779" s="84"/>
      <c r="W1779" s="84"/>
      <c r="X1779" s="84"/>
    </row>
    <row r="1780" spans="1:24" ht="15" customHeight="1" x14ac:dyDescent="0.2">
      <c r="A1780" s="84"/>
      <c r="B1780" s="84"/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  <c r="S1780" s="84"/>
      <c r="T1780" s="84"/>
      <c r="U1780" s="84"/>
      <c r="V1780" s="84"/>
      <c r="W1780" s="84"/>
      <c r="X1780" s="84"/>
    </row>
    <row r="1781" spans="1:24" ht="15" customHeight="1" x14ac:dyDescent="0.2">
      <c r="A1781" s="84"/>
      <c r="B1781" s="84"/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  <c r="S1781" s="84"/>
      <c r="T1781" s="84"/>
      <c r="U1781" s="84"/>
      <c r="V1781" s="84"/>
      <c r="W1781" s="84"/>
      <c r="X1781" s="84"/>
    </row>
    <row r="1782" spans="1:24" ht="15" customHeight="1" x14ac:dyDescent="0.2">
      <c r="A1782" s="84"/>
      <c r="B1782" s="84"/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  <c r="S1782" s="84"/>
      <c r="T1782" s="84"/>
      <c r="U1782" s="84"/>
      <c r="V1782" s="84"/>
      <c r="W1782" s="84"/>
      <c r="X1782" s="84"/>
    </row>
    <row r="1783" spans="1:24" ht="15" customHeight="1" x14ac:dyDescent="0.2">
      <c r="A1783" s="84"/>
      <c r="B1783" s="84"/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  <c r="S1783" s="84"/>
      <c r="T1783" s="84"/>
      <c r="U1783" s="84"/>
      <c r="V1783" s="84"/>
      <c r="W1783" s="84"/>
      <c r="X1783" s="84"/>
    </row>
    <row r="1784" spans="1:24" ht="15" customHeight="1" x14ac:dyDescent="0.2">
      <c r="A1784" s="84"/>
      <c r="B1784" s="84"/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  <c r="S1784" s="84"/>
      <c r="T1784" s="84"/>
      <c r="U1784" s="84"/>
      <c r="V1784" s="84"/>
      <c r="W1784" s="84"/>
      <c r="X1784" s="84"/>
    </row>
    <row r="1785" spans="1:24" ht="15" customHeight="1" x14ac:dyDescent="0.2">
      <c r="A1785" s="84"/>
      <c r="B1785" s="84"/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  <c r="S1785" s="84"/>
      <c r="T1785" s="84"/>
      <c r="U1785" s="84"/>
      <c r="V1785" s="84"/>
      <c r="W1785" s="84"/>
      <c r="X1785" s="84"/>
    </row>
    <row r="1786" spans="1:24" ht="15" customHeight="1" x14ac:dyDescent="0.2">
      <c r="A1786" s="84"/>
      <c r="B1786" s="84"/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  <c r="S1786" s="84"/>
      <c r="T1786" s="84"/>
      <c r="U1786" s="84"/>
      <c r="V1786" s="84"/>
      <c r="W1786" s="84"/>
      <c r="X1786" s="84"/>
    </row>
    <row r="1787" spans="1:24" ht="15" customHeight="1" x14ac:dyDescent="0.2">
      <c r="A1787" s="84"/>
      <c r="B1787" s="84"/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  <c r="S1787" s="84"/>
      <c r="T1787" s="84"/>
      <c r="U1787" s="84"/>
      <c r="V1787" s="84"/>
      <c r="W1787" s="84"/>
      <c r="X1787" s="84"/>
    </row>
    <row r="1788" spans="1:24" ht="15" customHeight="1" x14ac:dyDescent="0.2">
      <c r="A1788" s="84"/>
      <c r="B1788" s="84"/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  <c r="S1788" s="84"/>
      <c r="T1788" s="84"/>
      <c r="U1788" s="84"/>
      <c r="V1788" s="84"/>
      <c r="W1788" s="84"/>
      <c r="X1788" s="84"/>
    </row>
    <row r="1789" spans="1:24" ht="15" customHeight="1" x14ac:dyDescent="0.2">
      <c r="A1789" s="84"/>
      <c r="B1789" s="84"/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  <c r="S1789" s="84"/>
      <c r="T1789" s="84"/>
      <c r="U1789" s="84"/>
      <c r="V1789" s="84"/>
      <c r="W1789" s="84"/>
      <c r="X1789" s="84"/>
    </row>
    <row r="1790" spans="1:24" ht="15" customHeight="1" x14ac:dyDescent="0.2">
      <c r="A1790" s="84"/>
      <c r="B1790" s="84"/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  <c r="S1790" s="84"/>
      <c r="T1790" s="84"/>
      <c r="U1790" s="84"/>
      <c r="V1790" s="84"/>
      <c r="W1790" s="84"/>
      <c r="X1790" s="84"/>
    </row>
    <row r="1791" spans="1:24" ht="15" customHeight="1" x14ac:dyDescent="0.2">
      <c r="A1791" s="84"/>
      <c r="B1791" s="84"/>
      <c r="C1791" s="84"/>
      <c r="D1791" s="84"/>
      <c r="E1791" s="84"/>
      <c r="F1791" s="84"/>
      <c r="G1791" s="84"/>
      <c r="H1791" s="84"/>
      <c r="I1791" s="84"/>
      <c r="J1791" s="84"/>
      <c r="K1791" s="84"/>
      <c r="L1791" s="84"/>
      <c r="M1791" s="84"/>
      <c r="N1791" s="84"/>
      <c r="O1791" s="84"/>
      <c r="P1791" s="84"/>
      <c r="Q1791" s="84"/>
      <c r="R1791" s="84"/>
      <c r="S1791" s="84"/>
      <c r="T1791" s="84"/>
      <c r="U1791" s="84"/>
      <c r="V1791" s="84"/>
      <c r="W1791" s="84"/>
      <c r="X1791" s="84"/>
    </row>
    <row r="1792" spans="1:24" ht="15" customHeight="1" x14ac:dyDescent="0.2">
      <c r="A1792" s="84"/>
      <c r="B1792" s="84"/>
      <c r="C1792" s="84"/>
      <c r="D1792" s="84"/>
      <c r="E1792" s="84"/>
      <c r="F1792" s="84"/>
      <c r="G1792" s="84"/>
      <c r="H1792" s="84"/>
      <c r="I1792" s="84"/>
      <c r="J1792" s="84"/>
      <c r="K1792" s="84"/>
      <c r="L1792" s="84"/>
      <c r="M1792" s="84"/>
      <c r="N1792" s="84"/>
      <c r="O1792" s="84"/>
      <c r="P1792" s="84"/>
      <c r="Q1792" s="84"/>
      <c r="R1792" s="84"/>
      <c r="S1792" s="84"/>
      <c r="T1792" s="84"/>
      <c r="U1792" s="84"/>
      <c r="V1792" s="84"/>
      <c r="W1792" s="84"/>
      <c r="X1792" s="84"/>
    </row>
    <row r="1793" spans="1:24" ht="15" customHeight="1" x14ac:dyDescent="0.2">
      <c r="A1793" s="84"/>
      <c r="B1793" s="84"/>
      <c r="C1793" s="84"/>
      <c r="D1793" s="84"/>
      <c r="E1793" s="84"/>
      <c r="F1793" s="84"/>
      <c r="G1793" s="84"/>
      <c r="H1793" s="84"/>
      <c r="I1793" s="84"/>
      <c r="J1793" s="84"/>
      <c r="K1793" s="84"/>
      <c r="L1793" s="84"/>
      <c r="M1793" s="84"/>
      <c r="N1793" s="84"/>
      <c r="O1793" s="84"/>
      <c r="P1793" s="84"/>
      <c r="Q1793" s="84"/>
      <c r="R1793" s="84"/>
      <c r="S1793" s="84"/>
      <c r="T1793" s="84"/>
      <c r="U1793" s="84"/>
      <c r="V1793" s="84"/>
      <c r="W1793" s="84"/>
      <c r="X1793" s="84"/>
    </row>
    <row r="1794" spans="1:24" ht="15" customHeight="1" x14ac:dyDescent="0.2">
      <c r="A1794" s="84"/>
      <c r="B1794" s="84"/>
      <c r="C1794" s="84"/>
      <c r="D1794" s="84"/>
      <c r="E1794" s="84"/>
      <c r="F1794" s="84"/>
      <c r="G1794" s="84"/>
      <c r="H1794" s="84"/>
      <c r="I1794" s="84"/>
      <c r="J1794" s="84"/>
      <c r="K1794" s="84"/>
      <c r="L1794" s="84"/>
      <c r="M1794" s="84"/>
      <c r="N1794" s="84"/>
      <c r="O1794" s="84"/>
      <c r="P1794" s="84"/>
      <c r="Q1794" s="84"/>
      <c r="R1794" s="84"/>
      <c r="S1794" s="84"/>
      <c r="T1794" s="84"/>
      <c r="U1794" s="84"/>
      <c r="V1794" s="84"/>
      <c r="W1794" s="84"/>
      <c r="X1794" s="84"/>
    </row>
    <row r="1795" spans="1:24" ht="15" customHeight="1" x14ac:dyDescent="0.2">
      <c r="A1795" s="84"/>
      <c r="B1795" s="84"/>
      <c r="C1795" s="84"/>
      <c r="D1795" s="84"/>
      <c r="E1795" s="84"/>
      <c r="F1795" s="84"/>
      <c r="G1795" s="84"/>
      <c r="H1795" s="84"/>
      <c r="I1795" s="84"/>
      <c r="J1795" s="84"/>
      <c r="K1795" s="84"/>
      <c r="L1795" s="84"/>
      <c r="M1795" s="84"/>
      <c r="N1795" s="84"/>
      <c r="O1795" s="84"/>
      <c r="P1795" s="84"/>
      <c r="Q1795" s="84"/>
      <c r="R1795" s="84"/>
      <c r="S1795" s="84"/>
      <c r="T1795" s="84"/>
      <c r="U1795" s="84"/>
      <c r="V1795" s="84"/>
      <c r="W1795" s="84"/>
      <c r="X1795" s="84"/>
    </row>
    <row r="1796" spans="1:24" ht="15" customHeight="1" x14ac:dyDescent="0.2">
      <c r="A1796" s="84"/>
      <c r="B1796" s="84"/>
      <c r="C1796" s="84"/>
      <c r="D1796" s="84"/>
      <c r="E1796" s="84"/>
      <c r="F1796" s="84"/>
      <c r="G1796" s="84"/>
      <c r="H1796" s="84"/>
      <c r="I1796" s="84"/>
      <c r="J1796" s="84"/>
      <c r="K1796" s="84"/>
      <c r="L1796" s="84"/>
      <c r="M1796" s="84"/>
      <c r="N1796" s="84"/>
      <c r="O1796" s="84"/>
      <c r="P1796" s="84"/>
      <c r="Q1796" s="84"/>
      <c r="R1796" s="84"/>
      <c r="S1796" s="84"/>
      <c r="T1796" s="84"/>
      <c r="U1796" s="84"/>
      <c r="V1796" s="84"/>
      <c r="W1796" s="84"/>
      <c r="X1796" s="84"/>
    </row>
    <row r="1797" spans="1:24" ht="15" customHeight="1" x14ac:dyDescent="0.2">
      <c r="A1797" s="84"/>
      <c r="B1797" s="84"/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  <c r="S1797" s="84"/>
      <c r="T1797" s="84"/>
      <c r="U1797" s="84"/>
      <c r="V1797" s="84"/>
      <c r="W1797" s="84"/>
      <c r="X1797" s="84"/>
    </row>
    <row r="1798" spans="1:24" ht="15" customHeight="1" x14ac:dyDescent="0.2">
      <c r="A1798" s="84"/>
      <c r="B1798" s="84"/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  <c r="S1798" s="84"/>
      <c r="T1798" s="84"/>
      <c r="U1798" s="84"/>
      <c r="V1798" s="84"/>
      <c r="W1798" s="84"/>
      <c r="X1798" s="84"/>
    </row>
    <row r="1799" spans="1:24" ht="15" customHeight="1" x14ac:dyDescent="0.2">
      <c r="A1799" s="84"/>
      <c r="B1799" s="84"/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  <c r="S1799" s="84"/>
      <c r="T1799" s="84"/>
      <c r="U1799" s="84"/>
      <c r="V1799" s="84"/>
      <c r="W1799" s="84"/>
      <c r="X1799" s="84"/>
    </row>
    <row r="1800" spans="1:24" ht="15" customHeight="1" x14ac:dyDescent="0.2">
      <c r="A1800" s="84"/>
      <c r="B1800" s="84"/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  <c r="S1800" s="84"/>
      <c r="T1800" s="84"/>
      <c r="U1800" s="84"/>
      <c r="V1800" s="84"/>
      <c r="W1800" s="84"/>
      <c r="X1800" s="84"/>
    </row>
    <row r="1801" spans="1:24" ht="15" customHeight="1" x14ac:dyDescent="0.2">
      <c r="A1801" s="84"/>
      <c r="B1801" s="84"/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  <c r="S1801" s="84"/>
      <c r="T1801" s="84"/>
      <c r="U1801" s="84"/>
      <c r="V1801" s="84"/>
      <c r="W1801" s="84"/>
      <c r="X1801" s="84"/>
    </row>
    <row r="1802" spans="1:24" ht="15" customHeight="1" x14ac:dyDescent="0.2">
      <c r="A1802" s="84"/>
      <c r="B1802" s="84"/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  <c r="S1802" s="84"/>
      <c r="T1802" s="84"/>
      <c r="U1802" s="84"/>
      <c r="V1802" s="84"/>
      <c r="W1802" s="84"/>
      <c r="X1802" s="84"/>
    </row>
    <row r="1803" spans="1:24" ht="15" customHeight="1" x14ac:dyDescent="0.2">
      <c r="A1803" s="84"/>
      <c r="B1803" s="84"/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  <c r="S1803" s="84"/>
      <c r="T1803" s="84"/>
      <c r="U1803" s="84"/>
      <c r="V1803" s="84"/>
      <c r="W1803" s="84"/>
      <c r="X1803" s="84"/>
    </row>
    <row r="1804" spans="1:24" ht="15" customHeight="1" x14ac:dyDescent="0.2">
      <c r="A1804" s="84"/>
      <c r="B1804" s="84"/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  <c r="S1804" s="84"/>
      <c r="T1804" s="84"/>
      <c r="U1804" s="84"/>
      <c r="V1804" s="84"/>
      <c r="W1804" s="84"/>
      <c r="X1804" s="84"/>
    </row>
    <row r="1805" spans="1:24" ht="15" customHeight="1" x14ac:dyDescent="0.2">
      <c r="A1805" s="84"/>
      <c r="B1805" s="84"/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  <c r="S1805" s="84"/>
      <c r="T1805" s="84"/>
      <c r="U1805" s="84"/>
      <c r="V1805" s="84"/>
      <c r="W1805" s="84"/>
      <c r="X1805" s="84"/>
    </row>
    <row r="1806" spans="1:24" ht="15" customHeight="1" x14ac:dyDescent="0.2">
      <c r="A1806" s="84"/>
      <c r="B1806" s="84"/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  <c r="S1806" s="84"/>
      <c r="T1806" s="84"/>
      <c r="U1806" s="84"/>
      <c r="V1806" s="84"/>
      <c r="W1806" s="84"/>
      <c r="X1806" s="84"/>
    </row>
    <row r="1807" spans="1:24" ht="15" customHeight="1" x14ac:dyDescent="0.2">
      <c r="A1807" s="84"/>
      <c r="B1807" s="84"/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  <c r="S1807" s="84"/>
      <c r="T1807" s="84"/>
      <c r="U1807" s="84"/>
      <c r="V1807" s="84"/>
      <c r="W1807" s="84"/>
      <c r="X1807" s="84"/>
    </row>
    <row r="1808" spans="1:24" ht="15" customHeight="1" x14ac:dyDescent="0.2">
      <c r="A1808" s="84"/>
      <c r="B1808" s="84"/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  <c r="S1808" s="84"/>
      <c r="T1808" s="84"/>
      <c r="U1808" s="84"/>
      <c r="V1808" s="84"/>
      <c r="W1808" s="84"/>
      <c r="X1808" s="84"/>
    </row>
    <row r="1809" spans="1:24" ht="15" customHeight="1" x14ac:dyDescent="0.2">
      <c r="A1809" s="84"/>
      <c r="B1809" s="84"/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  <c r="S1809" s="84"/>
      <c r="T1809" s="84"/>
      <c r="U1809" s="84"/>
      <c r="V1809" s="84"/>
      <c r="W1809" s="84"/>
      <c r="X1809" s="84"/>
    </row>
    <row r="1810" spans="1:24" ht="15" customHeight="1" x14ac:dyDescent="0.2">
      <c r="A1810" s="84"/>
      <c r="B1810" s="84"/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  <c r="S1810" s="84"/>
      <c r="T1810" s="84"/>
      <c r="U1810" s="84"/>
      <c r="V1810" s="84"/>
      <c r="W1810" s="84"/>
      <c r="X1810" s="84"/>
    </row>
    <row r="1811" spans="1:24" ht="15" customHeight="1" x14ac:dyDescent="0.2">
      <c r="A1811" s="84"/>
      <c r="B1811" s="84"/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  <c r="S1811" s="84"/>
      <c r="T1811" s="84"/>
      <c r="U1811" s="84"/>
      <c r="V1811" s="84"/>
      <c r="W1811" s="84"/>
      <c r="X1811" s="84"/>
    </row>
    <row r="1812" spans="1:24" ht="15" customHeight="1" x14ac:dyDescent="0.2">
      <c r="A1812" s="84"/>
      <c r="B1812" s="84"/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  <c r="S1812" s="84"/>
      <c r="T1812" s="84"/>
      <c r="U1812" s="84"/>
      <c r="V1812" s="84"/>
      <c r="W1812" s="84"/>
      <c r="X1812" s="84"/>
    </row>
    <row r="1813" spans="1:24" ht="15" customHeight="1" x14ac:dyDescent="0.2">
      <c r="A1813" s="84"/>
      <c r="B1813" s="84"/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  <c r="S1813" s="84"/>
      <c r="T1813" s="84"/>
      <c r="U1813" s="84"/>
      <c r="V1813" s="84"/>
      <c r="W1813" s="84"/>
      <c r="X1813" s="84"/>
    </row>
    <row r="1814" spans="1:24" ht="15" customHeight="1" x14ac:dyDescent="0.2">
      <c r="A1814" s="84"/>
      <c r="B1814" s="84"/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  <c r="S1814" s="84"/>
      <c r="T1814" s="84"/>
      <c r="U1814" s="84"/>
      <c r="V1814" s="84"/>
      <c r="W1814" s="84"/>
      <c r="X1814" s="84"/>
    </row>
    <row r="1815" spans="1:24" ht="15" customHeight="1" x14ac:dyDescent="0.2">
      <c r="A1815" s="84"/>
      <c r="B1815" s="84"/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  <c r="S1815" s="84"/>
      <c r="T1815" s="84"/>
      <c r="U1815" s="84"/>
      <c r="V1815" s="84"/>
      <c r="W1815" s="84"/>
      <c r="X1815" s="84"/>
    </row>
    <row r="1816" spans="1:24" ht="15" customHeight="1" x14ac:dyDescent="0.2">
      <c r="A1816" s="84"/>
      <c r="B1816" s="84"/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  <c r="S1816" s="84"/>
      <c r="T1816" s="84"/>
      <c r="U1816" s="84"/>
      <c r="V1816" s="84"/>
      <c r="W1816" s="84"/>
      <c r="X1816" s="84"/>
    </row>
    <row r="1817" spans="1:24" ht="15" customHeight="1" x14ac:dyDescent="0.2">
      <c r="A1817" s="84"/>
      <c r="B1817" s="84"/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  <c r="S1817" s="84"/>
      <c r="T1817" s="84"/>
      <c r="U1817" s="84"/>
      <c r="V1817" s="84"/>
      <c r="W1817" s="84"/>
      <c r="X1817" s="84"/>
    </row>
    <row r="1818" spans="1:24" ht="15" customHeight="1" x14ac:dyDescent="0.2">
      <c r="A1818" s="84"/>
      <c r="B1818" s="84"/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  <c r="S1818" s="84"/>
      <c r="T1818" s="84"/>
      <c r="U1818" s="84"/>
      <c r="V1818" s="84"/>
      <c r="W1818" s="84"/>
      <c r="X1818" s="84"/>
    </row>
    <row r="1819" spans="1:24" ht="15" customHeight="1" x14ac:dyDescent="0.2">
      <c r="A1819" s="84"/>
      <c r="B1819" s="84"/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  <c r="S1819" s="84"/>
      <c r="T1819" s="84"/>
      <c r="U1819" s="84"/>
      <c r="V1819" s="84"/>
      <c r="W1819" s="84"/>
      <c r="X1819" s="84"/>
    </row>
    <row r="1820" spans="1:24" ht="15" customHeight="1" x14ac:dyDescent="0.2">
      <c r="A1820" s="84"/>
      <c r="B1820" s="84"/>
      <c r="C1820" s="84"/>
      <c r="D1820" s="84"/>
      <c r="E1820" s="84"/>
      <c r="F1820" s="84"/>
      <c r="G1820" s="84"/>
      <c r="H1820" s="84"/>
      <c r="I1820" s="84"/>
      <c r="J1820" s="84"/>
      <c r="K1820" s="84"/>
      <c r="L1820" s="84"/>
      <c r="M1820" s="84"/>
      <c r="N1820" s="84"/>
      <c r="O1820" s="84"/>
      <c r="P1820" s="84"/>
      <c r="Q1820" s="84"/>
      <c r="R1820" s="84"/>
      <c r="S1820" s="84"/>
      <c r="T1820" s="84"/>
      <c r="U1820" s="84"/>
      <c r="V1820" s="84"/>
      <c r="W1820" s="84"/>
      <c r="X1820" s="84"/>
    </row>
    <row r="1821" spans="1:24" ht="15" customHeight="1" x14ac:dyDescent="0.2">
      <c r="A1821" s="84"/>
      <c r="B1821" s="84"/>
      <c r="C1821" s="84"/>
      <c r="D1821" s="84"/>
      <c r="E1821" s="84"/>
      <c r="F1821" s="84"/>
      <c r="G1821" s="84"/>
      <c r="H1821" s="84"/>
      <c r="I1821" s="84"/>
      <c r="J1821" s="84"/>
      <c r="K1821" s="84"/>
      <c r="L1821" s="84"/>
      <c r="M1821" s="84"/>
      <c r="N1821" s="84"/>
      <c r="O1821" s="84"/>
      <c r="P1821" s="84"/>
      <c r="Q1821" s="84"/>
      <c r="R1821" s="84"/>
      <c r="S1821" s="84"/>
      <c r="T1821" s="84"/>
      <c r="U1821" s="84"/>
      <c r="V1821" s="84"/>
      <c r="W1821" s="84"/>
      <c r="X1821" s="84"/>
    </row>
    <row r="1822" spans="1:24" ht="15" customHeight="1" x14ac:dyDescent="0.2">
      <c r="A1822" s="84"/>
      <c r="B1822" s="84"/>
      <c r="C1822" s="84"/>
      <c r="D1822" s="84"/>
      <c r="E1822" s="84"/>
      <c r="F1822" s="84"/>
      <c r="G1822" s="84"/>
      <c r="H1822" s="84"/>
      <c r="I1822" s="84"/>
      <c r="J1822" s="84"/>
      <c r="K1822" s="84"/>
      <c r="L1822" s="84"/>
      <c r="M1822" s="84"/>
      <c r="N1822" s="84"/>
      <c r="O1822" s="84"/>
      <c r="P1822" s="84"/>
      <c r="Q1822" s="84"/>
      <c r="R1822" s="84"/>
      <c r="S1822" s="84"/>
      <c r="T1822" s="84"/>
      <c r="U1822" s="84"/>
      <c r="V1822" s="84"/>
      <c r="W1822" s="84"/>
      <c r="X1822" s="84"/>
    </row>
    <row r="1823" spans="1:24" ht="15" customHeight="1" x14ac:dyDescent="0.2">
      <c r="A1823" s="84"/>
      <c r="B1823" s="84"/>
      <c r="C1823" s="84"/>
      <c r="D1823" s="84"/>
      <c r="E1823" s="84"/>
      <c r="F1823" s="84"/>
      <c r="G1823" s="84"/>
      <c r="H1823" s="84"/>
      <c r="I1823" s="84"/>
      <c r="J1823" s="84"/>
      <c r="K1823" s="84"/>
      <c r="L1823" s="84"/>
      <c r="M1823" s="84"/>
      <c r="N1823" s="84"/>
      <c r="O1823" s="84"/>
      <c r="P1823" s="84"/>
      <c r="Q1823" s="84"/>
      <c r="R1823" s="84"/>
      <c r="S1823" s="84"/>
      <c r="T1823" s="84"/>
      <c r="U1823" s="84"/>
      <c r="V1823" s="84"/>
      <c r="W1823" s="84"/>
      <c r="X1823" s="84"/>
    </row>
    <row r="1824" spans="1:24" ht="15" customHeight="1" x14ac:dyDescent="0.2">
      <c r="A1824" s="84"/>
      <c r="B1824" s="84"/>
      <c r="C1824" s="84"/>
      <c r="D1824" s="84"/>
      <c r="E1824" s="84"/>
      <c r="F1824" s="84"/>
      <c r="G1824" s="84"/>
      <c r="H1824" s="84"/>
      <c r="I1824" s="84"/>
      <c r="J1824" s="84"/>
      <c r="K1824" s="84"/>
      <c r="L1824" s="84"/>
      <c r="M1824" s="84"/>
      <c r="N1824" s="84"/>
      <c r="O1824" s="84"/>
      <c r="P1824" s="84"/>
      <c r="Q1824" s="84"/>
      <c r="R1824" s="84"/>
      <c r="S1824" s="84"/>
      <c r="T1824" s="84"/>
      <c r="U1824" s="84"/>
      <c r="V1824" s="84"/>
      <c r="W1824" s="84"/>
      <c r="X1824" s="84"/>
    </row>
    <row r="1825" spans="1:24" ht="15" customHeight="1" x14ac:dyDescent="0.2">
      <c r="A1825" s="84"/>
      <c r="B1825" s="84"/>
      <c r="C1825" s="84"/>
      <c r="D1825" s="84"/>
      <c r="E1825" s="84"/>
      <c r="F1825" s="84"/>
      <c r="G1825" s="84"/>
      <c r="H1825" s="84"/>
      <c r="I1825" s="84"/>
      <c r="J1825" s="84"/>
      <c r="K1825" s="84"/>
      <c r="L1825" s="84"/>
      <c r="M1825" s="84"/>
      <c r="N1825" s="84"/>
      <c r="O1825" s="84"/>
      <c r="P1825" s="84"/>
      <c r="Q1825" s="84"/>
      <c r="R1825" s="84"/>
      <c r="S1825" s="84"/>
      <c r="T1825" s="84"/>
      <c r="U1825" s="84"/>
      <c r="V1825" s="84"/>
      <c r="W1825" s="84"/>
      <c r="X1825" s="84"/>
    </row>
    <row r="1826" spans="1:24" ht="15" customHeight="1" x14ac:dyDescent="0.2">
      <c r="A1826" s="84"/>
      <c r="B1826" s="84"/>
      <c r="C1826" s="84"/>
      <c r="D1826" s="84"/>
      <c r="E1826" s="84"/>
      <c r="F1826" s="84"/>
      <c r="G1826" s="84"/>
      <c r="H1826" s="84"/>
      <c r="I1826" s="84"/>
      <c r="J1826" s="84"/>
      <c r="K1826" s="84"/>
      <c r="L1826" s="84"/>
      <c r="M1826" s="84"/>
      <c r="N1826" s="84"/>
      <c r="O1826" s="84"/>
      <c r="P1826" s="84"/>
      <c r="Q1826" s="84"/>
      <c r="R1826" s="84"/>
      <c r="S1826" s="84"/>
      <c r="T1826" s="84"/>
      <c r="U1826" s="84"/>
      <c r="V1826" s="84"/>
      <c r="W1826" s="84"/>
      <c r="X1826" s="84"/>
    </row>
    <row r="1827" spans="1:24" ht="15" customHeight="1" x14ac:dyDescent="0.2">
      <c r="A1827" s="84"/>
      <c r="B1827" s="84"/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  <c r="S1827" s="84"/>
      <c r="T1827" s="84"/>
      <c r="U1827" s="84"/>
      <c r="V1827" s="84"/>
      <c r="W1827" s="84"/>
      <c r="X1827" s="84"/>
    </row>
    <row r="1828" spans="1:24" ht="15" customHeight="1" x14ac:dyDescent="0.2">
      <c r="A1828" s="84"/>
      <c r="B1828" s="84"/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  <c r="S1828" s="84"/>
      <c r="T1828" s="84"/>
      <c r="U1828" s="84"/>
      <c r="V1828" s="84"/>
      <c r="W1828" s="84"/>
      <c r="X1828" s="84"/>
    </row>
    <row r="1829" spans="1:24" ht="15" customHeight="1" x14ac:dyDescent="0.2">
      <c r="A1829" s="84"/>
      <c r="B1829" s="84"/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  <c r="S1829" s="84"/>
      <c r="T1829" s="84"/>
      <c r="U1829" s="84"/>
      <c r="V1829" s="84"/>
      <c r="W1829" s="84"/>
      <c r="X1829" s="84"/>
    </row>
    <row r="1830" spans="1:24" ht="15" customHeight="1" x14ac:dyDescent="0.2">
      <c r="A1830" s="84"/>
      <c r="B1830" s="84"/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  <c r="S1830" s="84"/>
      <c r="T1830" s="84"/>
      <c r="U1830" s="84"/>
      <c r="V1830" s="84"/>
      <c r="W1830" s="84"/>
      <c r="X1830" s="84"/>
    </row>
    <row r="1831" spans="1:24" ht="15" customHeight="1" x14ac:dyDescent="0.2">
      <c r="A1831" s="84"/>
      <c r="B1831" s="84"/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  <c r="S1831" s="84"/>
      <c r="T1831" s="84"/>
      <c r="U1831" s="84"/>
      <c r="V1831" s="84"/>
      <c r="W1831" s="84"/>
      <c r="X1831" s="84"/>
    </row>
    <row r="1832" spans="1:24" ht="15" customHeight="1" x14ac:dyDescent="0.2">
      <c r="A1832" s="84"/>
      <c r="B1832" s="84"/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  <c r="S1832" s="84"/>
      <c r="T1832" s="84"/>
      <c r="U1832" s="84"/>
      <c r="V1832" s="84"/>
      <c r="W1832" s="84"/>
      <c r="X1832" s="84"/>
    </row>
    <row r="1833" spans="1:24" ht="15" customHeight="1" x14ac:dyDescent="0.2">
      <c r="A1833" s="84"/>
      <c r="B1833" s="84"/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  <c r="S1833" s="84"/>
      <c r="T1833" s="84"/>
      <c r="U1833" s="84"/>
      <c r="V1833" s="84"/>
      <c r="W1833" s="84"/>
      <c r="X1833" s="84"/>
    </row>
    <row r="1834" spans="1:24" ht="15" customHeight="1" x14ac:dyDescent="0.2">
      <c r="A1834" s="84"/>
      <c r="B1834" s="84"/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  <c r="S1834" s="84"/>
      <c r="T1834" s="84"/>
      <c r="U1834" s="84"/>
      <c r="V1834" s="84"/>
      <c r="W1834" s="84"/>
      <c r="X1834" s="84"/>
    </row>
    <row r="1835" spans="1:24" ht="15" customHeight="1" x14ac:dyDescent="0.2">
      <c r="A1835" s="84"/>
      <c r="B1835" s="84"/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  <c r="S1835" s="84"/>
      <c r="T1835" s="84"/>
      <c r="U1835" s="84"/>
      <c r="V1835" s="84"/>
      <c r="W1835" s="84"/>
      <c r="X1835" s="84"/>
    </row>
    <row r="1836" spans="1:24" ht="15" customHeight="1" x14ac:dyDescent="0.2">
      <c r="A1836" s="84"/>
      <c r="B1836" s="84"/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  <c r="S1836" s="84"/>
      <c r="T1836" s="84"/>
      <c r="U1836" s="84"/>
      <c r="V1836" s="84"/>
      <c r="W1836" s="84"/>
      <c r="X1836" s="84"/>
    </row>
    <row r="1837" spans="1:24" ht="15" customHeight="1" x14ac:dyDescent="0.2">
      <c r="A1837" s="84"/>
      <c r="B1837" s="84"/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  <c r="S1837" s="84"/>
      <c r="T1837" s="84"/>
      <c r="U1837" s="84"/>
      <c r="V1837" s="84"/>
      <c r="W1837" s="84"/>
      <c r="X1837" s="84"/>
    </row>
    <row r="1838" spans="1:24" ht="15" customHeight="1" x14ac:dyDescent="0.2">
      <c r="A1838" s="84"/>
      <c r="B1838" s="84"/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  <c r="S1838" s="84"/>
      <c r="T1838" s="84"/>
      <c r="U1838" s="84"/>
      <c r="V1838" s="84"/>
      <c r="W1838" s="84"/>
      <c r="X1838" s="84"/>
    </row>
    <row r="1839" spans="1:24" ht="15" customHeight="1" x14ac:dyDescent="0.2">
      <c r="A1839" s="84"/>
      <c r="B1839" s="84"/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  <c r="R1839" s="84"/>
      <c r="S1839" s="84"/>
      <c r="T1839" s="84"/>
      <c r="U1839" s="84"/>
      <c r="V1839" s="84"/>
      <c r="W1839" s="84"/>
      <c r="X1839" s="84"/>
    </row>
    <row r="1840" spans="1:24" ht="15" customHeight="1" x14ac:dyDescent="0.2">
      <c r="A1840" s="84"/>
      <c r="B1840" s="84"/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  <c r="R1840" s="84"/>
      <c r="S1840" s="84"/>
      <c r="T1840" s="84"/>
      <c r="U1840" s="84"/>
      <c r="V1840" s="84"/>
      <c r="W1840" s="84"/>
      <c r="X1840" s="84"/>
    </row>
    <row r="1841" spans="1:24" ht="15" customHeight="1" x14ac:dyDescent="0.2">
      <c r="A1841" s="84"/>
      <c r="B1841" s="84"/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  <c r="R1841" s="84"/>
      <c r="S1841" s="84"/>
      <c r="T1841" s="84"/>
      <c r="U1841" s="84"/>
      <c r="V1841" s="84"/>
      <c r="W1841" s="84"/>
      <c r="X1841" s="84"/>
    </row>
    <row r="1842" spans="1:24" ht="15" customHeight="1" x14ac:dyDescent="0.2">
      <c r="A1842" s="84"/>
      <c r="B1842" s="84"/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  <c r="R1842" s="84"/>
      <c r="S1842" s="84"/>
      <c r="T1842" s="84"/>
      <c r="U1842" s="84"/>
      <c r="V1842" s="84"/>
      <c r="W1842" s="84"/>
      <c r="X1842" s="84"/>
    </row>
    <row r="1843" spans="1:24" ht="15" customHeight="1" x14ac:dyDescent="0.2">
      <c r="A1843" s="84"/>
      <c r="B1843" s="84"/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  <c r="S1843" s="84"/>
      <c r="T1843" s="84"/>
      <c r="U1843" s="84"/>
      <c r="V1843" s="84"/>
      <c r="W1843" s="84"/>
      <c r="X1843" s="84"/>
    </row>
    <row r="1844" spans="1:24" ht="15" customHeight="1" x14ac:dyDescent="0.2">
      <c r="A1844" s="84"/>
      <c r="B1844" s="84"/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  <c r="S1844" s="84"/>
      <c r="T1844" s="84"/>
      <c r="U1844" s="84"/>
      <c r="V1844" s="84"/>
      <c r="W1844" s="84"/>
      <c r="X1844" s="84"/>
    </row>
    <row r="1845" spans="1:24" ht="15" customHeight="1" x14ac:dyDescent="0.2">
      <c r="A1845" s="84"/>
      <c r="B1845" s="84"/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  <c r="S1845" s="84"/>
      <c r="T1845" s="84"/>
      <c r="U1845" s="84"/>
      <c r="V1845" s="84"/>
      <c r="W1845" s="84"/>
      <c r="X1845" s="84"/>
    </row>
    <row r="1846" spans="1:24" ht="15" customHeight="1" x14ac:dyDescent="0.2">
      <c r="A1846" s="84"/>
      <c r="B1846" s="84"/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  <c r="S1846" s="84"/>
      <c r="T1846" s="84"/>
      <c r="U1846" s="84"/>
      <c r="V1846" s="84"/>
      <c r="W1846" s="84"/>
      <c r="X1846" s="84"/>
    </row>
    <row r="1847" spans="1:24" ht="15" customHeight="1" x14ac:dyDescent="0.2">
      <c r="A1847" s="84"/>
      <c r="B1847" s="84"/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  <c r="S1847" s="84"/>
      <c r="T1847" s="84"/>
      <c r="U1847" s="84"/>
      <c r="V1847" s="84"/>
      <c r="W1847" s="84"/>
      <c r="X1847" s="84"/>
    </row>
    <row r="1848" spans="1:24" ht="15" customHeight="1" x14ac:dyDescent="0.2">
      <c r="A1848" s="84"/>
      <c r="B1848" s="84"/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  <c r="S1848" s="84"/>
      <c r="T1848" s="84"/>
      <c r="U1848" s="84"/>
      <c r="V1848" s="84"/>
      <c r="W1848" s="84"/>
      <c r="X1848" s="84"/>
    </row>
    <row r="1849" spans="1:24" ht="15" customHeight="1" x14ac:dyDescent="0.2">
      <c r="A1849" s="84"/>
      <c r="B1849" s="84"/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  <c r="S1849" s="84"/>
      <c r="T1849" s="84"/>
      <c r="U1849" s="84"/>
      <c r="V1849" s="84"/>
      <c r="W1849" s="84"/>
      <c r="X1849" s="84"/>
    </row>
    <row r="1850" spans="1:24" ht="15" customHeight="1" x14ac:dyDescent="0.2">
      <c r="A1850" s="84"/>
      <c r="B1850" s="84"/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  <c r="S1850" s="84"/>
      <c r="T1850" s="84"/>
      <c r="U1850" s="84"/>
      <c r="V1850" s="84"/>
      <c r="W1850" s="84"/>
      <c r="X1850" s="84"/>
    </row>
    <row r="1851" spans="1:24" ht="15" customHeight="1" x14ac:dyDescent="0.2">
      <c r="A1851" s="84"/>
      <c r="B1851" s="84"/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  <c r="S1851" s="84"/>
      <c r="T1851" s="84"/>
      <c r="U1851" s="84"/>
      <c r="V1851" s="84"/>
      <c r="W1851" s="84"/>
      <c r="X1851" s="84"/>
    </row>
    <row r="1852" spans="1:24" ht="15" customHeight="1" x14ac:dyDescent="0.2">
      <c r="A1852" s="84"/>
      <c r="B1852" s="84"/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  <c r="S1852" s="84"/>
      <c r="T1852" s="84"/>
      <c r="U1852" s="84"/>
      <c r="V1852" s="84"/>
      <c r="W1852" s="84"/>
      <c r="X1852" s="84"/>
    </row>
    <row r="1853" spans="1:24" ht="15" customHeight="1" x14ac:dyDescent="0.2">
      <c r="A1853" s="84"/>
      <c r="B1853" s="84"/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  <c r="S1853" s="84"/>
      <c r="T1853" s="84"/>
      <c r="U1853" s="84"/>
      <c r="V1853" s="84"/>
      <c r="W1853" s="84"/>
      <c r="X1853" s="84"/>
    </row>
    <row r="1854" spans="1:24" ht="15" customHeight="1" x14ac:dyDescent="0.2">
      <c r="A1854" s="84"/>
      <c r="B1854" s="84"/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  <c r="S1854" s="84"/>
      <c r="T1854" s="84"/>
      <c r="U1854" s="84"/>
      <c r="V1854" s="84"/>
      <c r="W1854" s="84"/>
      <c r="X1854" s="84"/>
    </row>
    <row r="1855" spans="1:24" ht="15" customHeight="1" x14ac:dyDescent="0.2">
      <c r="A1855" s="84"/>
      <c r="B1855" s="84"/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  <c r="S1855" s="84"/>
      <c r="T1855" s="84"/>
      <c r="U1855" s="84"/>
      <c r="V1855" s="84"/>
      <c r="W1855" s="84"/>
      <c r="X1855" s="84"/>
    </row>
    <row r="1856" spans="1:24" ht="15" customHeight="1" x14ac:dyDescent="0.2">
      <c r="A1856" s="84"/>
      <c r="B1856" s="84"/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  <c r="S1856" s="84"/>
      <c r="T1856" s="84"/>
      <c r="U1856" s="84"/>
      <c r="V1856" s="84"/>
      <c r="W1856" s="84"/>
      <c r="X1856" s="84"/>
    </row>
    <row r="1857" spans="1:24" ht="15" customHeight="1" x14ac:dyDescent="0.2">
      <c r="A1857" s="84"/>
      <c r="B1857" s="84"/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  <c r="S1857" s="84"/>
      <c r="T1857" s="84"/>
      <c r="U1857" s="84"/>
      <c r="V1857" s="84"/>
      <c r="W1857" s="84"/>
      <c r="X1857" s="84"/>
    </row>
    <row r="1858" spans="1:24" ht="15" customHeight="1" x14ac:dyDescent="0.2">
      <c r="A1858" s="84"/>
      <c r="B1858" s="84"/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  <c r="S1858" s="84"/>
      <c r="T1858" s="84"/>
      <c r="U1858" s="84"/>
      <c r="V1858" s="84"/>
      <c r="W1858" s="84"/>
      <c r="X1858" s="84"/>
    </row>
    <row r="1859" spans="1:24" ht="15" customHeight="1" x14ac:dyDescent="0.2">
      <c r="A1859" s="84"/>
      <c r="B1859" s="84"/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  <c r="S1859" s="84"/>
      <c r="T1859" s="84"/>
      <c r="U1859" s="84"/>
      <c r="V1859" s="84"/>
      <c r="W1859" s="84"/>
      <c r="X1859" s="84"/>
    </row>
    <row r="1860" spans="1:24" ht="15" customHeight="1" x14ac:dyDescent="0.2">
      <c r="A1860" s="84"/>
      <c r="B1860" s="84"/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  <c r="S1860" s="84"/>
      <c r="T1860" s="84"/>
      <c r="U1860" s="84"/>
      <c r="V1860" s="84"/>
      <c r="W1860" s="84"/>
      <c r="X1860" s="84"/>
    </row>
    <row r="1861" spans="1:24" ht="15" customHeight="1" x14ac:dyDescent="0.2">
      <c r="A1861" s="84"/>
      <c r="B1861" s="84"/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  <c r="S1861" s="84"/>
      <c r="T1861" s="84"/>
      <c r="U1861" s="84"/>
      <c r="V1861" s="84"/>
      <c r="W1861" s="84"/>
      <c r="X1861" s="84"/>
    </row>
    <row r="1862" spans="1:24" ht="15" customHeight="1" x14ac:dyDescent="0.2">
      <c r="A1862" s="84"/>
      <c r="B1862" s="84"/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  <c r="S1862" s="84"/>
      <c r="T1862" s="84"/>
      <c r="U1862" s="84"/>
      <c r="V1862" s="84"/>
      <c r="W1862" s="84"/>
      <c r="X1862" s="84"/>
    </row>
    <row r="1863" spans="1:24" ht="15" customHeight="1" x14ac:dyDescent="0.2">
      <c r="A1863" s="84"/>
      <c r="B1863" s="84"/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  <c r="S1863" s="84"/>
      <c r="T1863" s="84"/>
      <c r="U1863" s="84"/>
      <c r="V1863" s="84"/>
      <c r="W1863" s="84"/>
      <c r="X1863" s="84"/>
    </row>
    <row r="1864" spans="1:24" ht="15" customHeight="1" x14ac:dyDescent="0.2">
      <c r="A1864" s="84"/>
      <c r="B1864" s="84"/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  <c r="S1864" s="84"/>
      <c r="T1864" s="84"/>
      <c r="U1864" s="84"/>
      <c r="V1864" s="84"/>
      <c r="W1864" s="84"/>
      <c r="X1864" s="84"/>
    </row>
    <row r="1865" spans="1:24" ht="15" customHeight="1" x14ac:dyDescent="0.2">
      <c r="A1865" s="84"/>
      <c r="B1865" s="84"/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  <c r="S1865" s="84"/>
      <c r="T1865" s="84"/>
      <c r="U1865" s="84"/>
      <c r="V1865" s="84"/>
      <c r="W1865" s="84"/>
      <c r="X1865" s="84"/>
    </row>
    <row r="1866" spans="1:24" ht="15" customHeight="1" x14ac:dyDescent="0.2">
      <c r="A1866" s="84"/>
      <c r="B1866" s="84"/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  <c r="R1866" s="84"/>
      <c r="S1866" s="84"/>
      <c r="T1866" s="84"/>
      <c r="U1866" s="84"/>
      <c r="V1866" s="84"/>
      <c r="W1866" s="84"/>
      <c r="X1866" s="84"/>
    </row>
    <row r="1867" spans="1:24" ht="15" customHeight="1" x14ac:dyDescent="0.2">
      <c r="A1867" s="84"/>
      <c r="B1867" s="84"/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  <c r="R1867" s="84"/>
      <c r="S1867" s="84"/>
      <c r="T1867" s="84"/>
      <c r="U1867" s="84"/>
      <c r="V1867" s="84"/>
      <c r="W1867" s="84"/>
      <c r="X1867" s="84"/>
    </row>
    <row r="1868" spans="1:24" ht="15" customHeight="1" x14ac:dyDescent="0.2">
      <c r="A1868" s="84"/>
      <c r="B1868" s="84"/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  <c r="R1868" s="84"/>
      <c r="S1868" s="84"/>
      <c r="T1868" s="84"/>
      <c r="U1868" s="84"/>
      <c r="V1868" s="84"/>
      <c r="W1868" s="84"/>
      <c r="X1868" s="84"/>
    </row>
    <row r="1869" spans="1:24" ht="15" customHeight="1" x14ac:dyDescent="0.2">
      <c r="A1869" s="84"/>
      <c r="B1869" s="84"/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  <c r="R1869" s="84"/>
      <c r="S1869" s="84"/>
      <c r="T1869" s="84"/>
      <c r="U1869" s="84"/>
      <c r="V1869" s="84"/>
      <c r="W1869" s="84"/>
      <c r="X1869" s="84"/>
    </row>
    <row r="1870" spans="1:24" ht="15" customHeight="1" x14ac:dyDescent="0.2">
      <c r="A1870" s="84"/>
      <c r="B1870" s="84"/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  <c r="R1870" s="84"/>
      <c r="S1870" s="84"/>
      <c r="T1870" s="84"/>
      <c r="U1870" s="84"/>
      <c r="V1870" s="84"/>
      <c r="W1870" s="84"/>
      <c r="X1870" s="84"/>
    </row>
    <row r="1871" spans="1:24" ht="15" customHeight="1" x14ac:dyDescent="0.2">
      <c r="A1871" s="84"/>
      <c r="B1871" s="84"/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  <c r="R1871" s="84"/>
      <c r="S1871" s="84"/>
      <c r="T1871" s="84"/>
      <c r="U1871" s="84"/>
      <c r="V1871" s="84"/>
      <c r="W1871" s="84"/>
      <c r="X1871" s="84"/>
    </row>
    <row r="1872" spans="1:24" ht="15" customHeight="1" x14ac:dyDescent="0.2">
      <c r="A1872" s="84"/>
      <c r="B1872" s="84"/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  <c r="R1872" s="84"/>
      <c r="S1872" s="84"/>
      <c r="T1872" s="84"/>
      <c r="U1872" s="84"/>
      <c r="V1872" s="84"/>
      <c r="W1872" s="84"/>
      <c r="X1872" s="84"/>
    </row>
    <row r="1873" spans="1:24" ht="15" customHeight="1" x14ac:dyDescent="0.2">
      <c r="A1873" s="84"/>
      <c r="B1873" s="84"/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  <c r="R1873" s="84"/>
      <c r="S1873" s="84"/>
      <c r="T1873" s="84"/>
      <c r="U1873" s="84"/>
      <c r="V1873" s="84"/>
      <c r="W1873" s="84"/>
      <c r="X1873" s="84"/>
    </row>
    <row r="1874" spans="1:24" ht="15" customHeight="1" x14ac:dyDescent="0.2">
      <c r="A1874" s="84"/>
      <c r="B1874" s="84"/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  <c r="R1874" s="84"/>
      <c r="S1874" s="84"/>
      <c r="T1874" s="84"/>
      <c r="U1874" s="84"/>
      <c r="V1874" s="84"/>
      <c r="W1874" s="84"/>
      <c r="X1874" s="84"/>
    </row>
    <row r="1875" spans="1:24" ht="15" customHeight="1" x14ac:dyDescent="0.2">
      <c r="A1875" s="84"/>
      <c r="B1875" s="84"/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  <c r="S1875" s="84"/>
      <c r="T1875" s="84"/>
      <c r="U1875" s="84"/>
      <c r="V1875" s="84"/>
      <c r="W1875" s="84"/>
      <c r="X1875" s="84"/>
    </row>
    <row r="1876" spans="1:24" ht="15" customHeight="1" x14ac:dyDescent="0.2">
      <c r="A1876" s="84"/>
      <c r="B1876" s="84"/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  <c r="S1876" s="84"/>
      <c r="T1876" s="84"/>
      <c r="U1876" s="84"/>
      <c r="V1876" s="84"/>
      <c r="W1876" s="84"/>
      <c r="X1876" s="84"/>
    </row>
    <row r="1877" spans="1:24" ht="15" customHeight="1" x14ac:dyDescent="0.2">
      <c r="A1877" s="84"/>
      <c r="B1877" s="84"/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  <c r="S1877" s="84"/>
      <c r="T1877" s="84"/>
      <c r="U1877" s="84"/>
      <c r="V1877" s="84"/>
      <c r="W1877" s="84"/>
      <c r="X1877" s="84"/>
    </row>
    <row r="1878" spans="1:24" ht="15" customHeight="1" x14ac:dyDescent="0.2">
      <c r="A1878" s="84"/>
      <c r="B1878" s="84"/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  <c r="S1878" s="84"/>
      <c r="T1878" s="84"/>
      <c r="U1878" s="84"/>
      <c r="V1878" s="84"/>
      <c r="W1878" s="84"/>
      <c r="X1878" s="84"/>
    </row>
    <row r="1879" spans="1:24" ht="15" customHeight="1" x14ac:dyDescent="0.2">
      <c r="A1879" s="84"/>
      <c r="B1879" s="84"/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  <c r="S1879" s="84"/>
      <c r="T1879" s="84"/>
      <c r="U1879" s="84"/>
      <c r="V1879" s="84"/>
      <c r="W1879" s="84"/>
      <c r="X1879" s="84"/>
    </row>
    <row r="1880" spans="1:24" ht="15" customHeight="1" x14ac:dyDescent="0.2">
      <c r="A1880" s="84"/>
      <c r="B1880" s="84"/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  <c r="S1880" s="84"/>
      <c r="T1880" s="84"/>
      <c r="U1880" s="84"/>
      <c r="V1880" s="84"/>
      <c r="W1880" s="84"/>
      <c r="X1880" s="84"/>
    </row>
    <row r="1881" spans="1:24" ht="15" customHeight="1" x14ac:dyDescent="0.2">
      <c r="A1881" s="84"/>
      <c r="B1881" s="84"/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  <c r="S1881" s="84"/>
      <c r="T1881" s="84"/>
      <c r="U1881" s="84"/>
      <c r="V1881" s="84"/>
      <c r="W1881" s="84"/>
      <c r="X1881" s="84"/>
    </row>
    <row r="1882" spans="1:24" ht="15" customHeight="1" x14ac:dyDescent="0.2">
      <c r="A1882" s="84"/>
      <c r="B1882" s="84"/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  <c r="S1882" s="84"/>
      <c r="T1882" s="84"/>
      <c r="U1882" s="84"/>
      <c r="V1882" s="84"/>
      <c r="W1882" s="84"/>
      <c r="X1882" s="84"/>
    </row>
    <row r="1883" spans="1:24" ht="15" customHeight="1" x14ac:dyDescent="0.2">
      <c r="A1883" s="84"/>
      <c r="B1883" s="84"/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  <c r="S1883" s="84"/>
      <c r="T1883" s="84"/>
      <c r="U1883" s="84"/>
      <c r="V1883" s="84"/>
      <c r="W1883" s="84"/>
      <c r="X1883" s="84"/>
    </row>
    <row r="1884" spans="1:24" ht="15" customHeight="1" x14ac:dyDescent="0.2">
      <c r="A1884" s="84"/>
      <c r="B1884" s="84"/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  <c r="S1884" s="84"/>
      <c r="T1884" s="84"/>
      <c r="U1884" s="84"/>
      <c r="V1884" s="84"/>
      <c r="W1884" s="84"/>
      <c r="X1884" s="84"/>
    </row>
    <row r="1885" spans="1:24" ht="15" customHeight="1" x14ac:dyDescent="0.2">
      <c r="A1885" s="84"/>
      <c r="B1885" s="84"/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  <c r="S1885" s="84"/>
      <c r="T1885" s="84"/>
      <c r="U1885" s="84"/>
      <c r="V1885" s="84"/>
      <c r="W1885" s="84"/>
      <c r="X1885" s="84"/>
    </row>
    <row r="1886" spans="1:24" ht="15" customHeight="1" x14ac:dyDescent="0.2">
      <c r="A1886" s="84"/>
      <c r="B1886" s="84"/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  <c r="S1886" s="84"/>
      <c r="T1886" s="84"/>
      <c r="U1886" s="84"/>
      <c r="V1886" s="84"/>
      <c r="W1886" s="84"/>
      <c r="X1886" s="84"/>
    </row>
    <row r="1887" spans="1:24" ht="15" customHeight="1" x14ac:dyDescent="0.2">
      <c r="A1887" s="84"/>
      <c r="B1887" s="84"/>
      <c r="C1887" s="84"/>
      <c r="D1887" s="84"/>
      <c r="E1887" s="84"/>
      <c r="F1887" s="84"/>
      <c r="G1887" s="84"/>
      <c r="H1887" s="84"/>
      <c r="I1887" s="84"/>
      <c r="J1887" s="84"/>
      <c r="K1887" s="84"/>
      <c r="L1887" s="84"/>
      <c r="M1887" s="84"/>
      <c r="N1887" s="84"/>
      <c r="O1887" s="84"/>
      <c r="P1887" s="84"/>
      <c r="Q1887" s="84"/>
      <c r="R1887" s="84"/>
      <c r="S1887" s="84"/>
      <c r="T1887" s="84"/>
      <c r="U1887" s="84"/>
      <c r="V1887" s="84"/>
      <c r="W1887" s="84"/>
      <c r="X1887" s="84"/>
    </row>
    <row r="1888" spans="1:24" ht="15" customHeight="1" x14ac:dyDescent="0.2">
      <c r="A1888" s="84"/>
      <c r="B1888" s="84"/>
      <c r="C1888" s="84"/>
      <c r="D1888" s="84"/>
      <c r="E1888" s="84"/>
      <c r="F1888" s="84"/>
      <c r="G1888" s="84"/>
      <c r="H1888" s="84"/>
      <c r="I1888" s="84"/>
      <c r="J1888" s="84"/>
      <c r="K1888" s="84"/>
      <c r="L1888" s="84"/>
      <c r="M1888" s="84"/>
      <c r="N1888" s="84"/>
      <c r="O1888" s="84"/>
      <c r="P1888" s="84"/>
      <c r="Q1888" s="84"/>
      <c r="R1888" s="84"/>
      <c r="S1888" s="84"/>
      <c r="T1888" s="84"/>
      <c r="U1888" s="84"/>
      <c r="V1888" s="84"/>
      <c r="W1888" s="84"/>
      <c r="X1888" s="84"/>
    </row>
    <row r="1889" spans="1:24" ht="15" customHeight="1" x14ac:dyDescent="0.2">
      <c r="A1889" s="84"/>
      <c r="B1889" s="84"/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  <c r="S1889" s="84"/>
      <c r="T1889" s="84"/>
      <c r="U1889" s="84"/>
      <c r="V1889" s="84"/>
      <c r="W1889" s="84"/>
      <c r="X1889" s="84"/>
    </row>
    <row r="1890" spans="1:24" ht="15" customHeight="1" x14ac:dyDescent="0.2">
      <c r="A1890" s="84"/>
      <c r="B1890" s="84"/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  <c r="S1890" s="84"/>
      <c r="T1890" s="84"/>
      <c r="U1890" s="84"/>
      <c r="V1890" s="84"/>
      <c r="W1890" s="84"/>
      <c r="X1890" s="84"/>
    </row>
    <row r="1891" spans="1:24" ht="15" customHeight="1" x14ac:dyDescent="0.2">
      <c r="A1891" s="84"/>
      <c r="B1891" s="84"/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  <c r="S1891" s="84"/>
      <c r="T1891" s="84"/>
      <c r="U1891" s="84"/>
      <c r="V1891" s="84"/>
      <c r="W1891" s="84"/>
      <c r="X1891" s="84"/>
    </row>
    <row r="1892" spans="1:24" ht="15" customHeight="1" x14ac:dyDescent="0.2">
      <c r="A1892" s="84"/>
      <c r="B1892" s="84"/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  <c r="S1892" s="84"/>
      <c r="T1892" s="84"/>
      <c r="U1892" s="84"/>
      <c r="V1892" s="84"/>
      <c r="W1892" s="84"/>
      <c r="X1892" s="84"/>
    </row>
    <row r="1893" spans="1:24" ht="15" customHeight="1" x14ac:dyDescent="0.2">
      <c r="A1893" s="84"/>
      <c r="B1893" s="84"/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  <c r="S1893" s="84"/>
      <c r="T1893" s="84"/>
      <c r="U1893" s="84"/>
      <c r="V1893" s="84"/>
      <c r="W1893" s="84"/>
      <c r="X1893" s="84"/>
    </row>
    <row r="1894" spans="1:24" ht="15" customHeight="1" x14ac:dyDescent="0.2">
      <c r="A1894" s="84"/>
      <c r="B1894" s="84"/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  <c r="S1894" s="84"/>
      <c r="T1894" s="84"/>
      <c r="U1894" s="84"/>
      <c r="V1894" s="84"/>
      <c r="W1894" s="84"/>
      <c r="X1894" s="84"/>
    </row>
    <row r="1895" spans="1:24" ht="15" customHeight="1" x14ac:dyDescent="0.2">
      <c r="A1895" s="84"/>
      <c r="B1895" s="84"/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  <c r="S1895" s="84"/>
      <c r="T1895" s="84"/>
      <c r="U1895" s="84"/>
      <c r="V1895" s="84"/>
      <c r="W1895" s="84"/>
      <c r="X1895" s="84"/>
    </row>
    <row r="1896" spans="1:24" ht="15" customHeight="1" x14ac:dyDescent="0.2">
      <c r="A1896" s="84"/>
      <c r="B1896" s="84"/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  <c r="S1896" s="84"/>
      <c r="T1896" s="84"/>
      <c r="U1896" s="84"/>
      <c r="V1896" s="84"/>
      <c r="W1896" s="84"/>
      <c r="X1896" s="84"/>
    </row>
    <row r="1897" spans="1:24" ht="15" customHeight="1" x14ac:dyDescent="0.2">
      <c r="A1897" s="84"/>
      <c r="B1897" s="84"/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  <c r="S1897" s="84"/>
      <c r="T1897" s="84"/>
      <c r="U1897" s="84"/>
      <c r="V1897" s="84"/>
      <c r="W1897" s="84"/>
      <c r="X1897" s="84"/>
    </row>
    <row r="1898" spans="1:24" ht="15" customHeight="1" x14ac:dyDescent="0.2">
      <c r="A1898" s="84"/>
      <c r="B1898" s="84"/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  <c r="S1898" s="84"/>
      <c r="T1898" s="84"/>
      <c r="U1898" s="84"/>
      <c r="V1898" s="84"/>
      <c r="W1898" s="84"/>
      <c r="X1898" s="84"/>
    </row>
    <row r="1899" spans="1:24" ht="15" customHeight="1" x14ac:dyDescent="0.2">
      <c r="A1899" s="84"/>
      <c r="B1899" s="84"/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  <c r="S1899" s="84"/>
      <c r="T1899" s="84"/>
      <c r="U1899" s="84"/>
      <c r="V1899" s="84"/>
      <c r="W1899" s="84"/>
      <c r="X1899" s="84"/>
    </row>
    <row r="1900" spans="1:24" ht="15" customHeight="1" x14ac:dyDescent="0.2">
      <c r="A1900" s="84"/>
      <c r="B1900" s="84"/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  <c r="S1900" s="84"/>
      <c r="T1900" s="84"/>
      <c r="U1900" s="84"/>
      <c r="V1900" s="84"/>
      <c r="W1900" s="84"/>
      <c r="X1900" s="84"/>
    </row>
    <row r="1901" spans="1:24" ht="15" customHeight="1" x14ac:dyDescent="0.2">
      <c r="A1901" s="84"/>
      <c r="B1901" s="84"/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  <c r="S1901" s="84"/>
      <c r="T1901" s="84"/>
      <c r="U1901" s="84"/>
      <c r="V1901" s="84"/>
      <c r="W1901" s="84"/>
      <c r="X1901" s="84"/>
    </row>
    <row r="1902" spans="1:24" ht="15" customHeight="1" x14ac:dyDescent="0.2">
      <c r="A1902" s="84"/>
      <c r="B1902" s="84"/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  <c r="S1902" s="84"/>
      <c r="T1902" s="84"/>
      <c r="U1902" s="84"/>
      <c r="V1902" s="84"/>
      <c r="W1902" s="84"/>
      <c r="X1902" s="84"/>
    </row>
    <row r="1903" spans="1:24" ht="15" customHeight="1" x14ac:dyDescent="0.2">
      <c r="A1903" s="84"/>
      <c r="B1903" s="84"/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  <c r="S1903" s="84"/>
      <c r="T1903" s="84"/>
      <c r="U1903" s="84"/>
      <c r="V1903" s="84"/>
      <c r="W1903" s="84"/>
      <c r="X1903" s="84"/>
    </row>
    <row r="1904" spans="1:24" ht="15" customHeight="1" x14ac:dyDescent="0.2">
      <c r="A1904" s="84"/>
      <c r="B1904" s="84"/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  <c r="S1904" s="84"/>
      <c r="T1904" s="84"/>
      <c r="U1904" s="84"/>
      <c r="V1904" s="84"/>
      <c r="W1904" s="84"/>
      <c r="X1904" s="84"/>
    </row>
    <row r="1905" spans="1:24" ht="15" customHeight="1" x14ac:dyDescent="0.2">
      <c r="A1905" s="84"/>
      <c r="B1905" s="84"/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  <c r="S1905" s="84"/>
      <c r="T1905" s="84"/>
      <c r="U1905" s="84"/>
      <c r="V1905" s="84"/>
      <c r="W1905" s="84"/>
      <c r="X1905" s="84"/>
    </row>
    <row r="1906" spans="1:24" ht="15" customHeight="1" x14ac:dyDescent="0.2">
      <c r="A1906" s="84"/>
      <c r="B1906" s="84"/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  <c r="S1906" s="84"/>
      <c r="T1906" s="84"/>
      <c r="U1906" s="84"/>
      <c r="V1906" s="84"/>
      <c r="W1906" s="84"/>
      <c r="X1906" s="84"/>
    </row>
    <row r="1907" spans="1:24" ht="15" customHeight="1" x14ac:dyDescent="0.2">
      <c r="A1907" s="84"/>
      <c r="B1907" s="84"/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  <c r="S1907" s="84"/>
      <c r="T1907" s="84"/>
      <c r="U1907" s="84"/>
      <c r="V1907" s="84"/>
      <c r="W1907" s="84"/>
      <c r="X1907" s="84"/>
    </row>
    <row r="1908" spans="1:24" ht="15" customHeight="1" x14ac:dyDescent="0.2">
      <c r="A1908" s="84"/>
      <c r="B1908" s="84"/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  <c r="S1908" s="84"/>
      <c r="T1908" s="84"/>
      <c r="U1908" s="84"/>
      <c r="V1908" s="84"/>
      <c r="W1908" s="84"/>
      <c r="X1908" s="84"/>
    </row>
    <row r="1909" spans="1:24" ht="15" customHeight="1" x14ac:dyDescent="0.2">
      <c r="A1909" s="84"/>
      <c r="B1909" s="84"/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  <c r="S1909" s="84"/>
      <c r="T1909" s="84"/>
      <c r="U1909" s="84"/>
      <c r="V1909" s="84"/>
      <c r="W1909" s="84"/>
      <c r="X1909" s="84"/>
    </row>
    <row r="1910" spans="1:24" ht="15" customHeight="1" x14ac:dyDescent="0.2">
      <c r="A1910" s="84"/>
      <c r="B1910" s="84"/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  <c r="S1910" s="84"/>
      <c r="T1910" s="84"/>
      <c r="U1910" s="84"/>
      <c r="V1910" s="84"/>
      <c r="W1910" s="84"/>
      <c r="X1910" s="84"/>
    </row>
    <row r="1911" spans="1:24" ht="15" customHeight="1" x14ac:dyDescent="0.2">
      <c r="A1911" s="84"/>
      <c r="B1911" s="84"/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  <c r="S1911" s="84"/>
      <c r="T1911" s="84"/>
      <c r="U1911" s="84"/>
      <c r="V1911" s="84"/>
      <c r="W1911" s="84"/>
      <c r="X1911" s="84"/>
    </row>
    <row r="1912" spans="1:24" ht="15" customHeight="1" x14ac:dyDescent="0.2">
      <c r="A1912" s="84"/>
      <c r="B1912" s="84"/>
      <c r="C1912" s="84"/>
      <c r="D1912" s="84"/>
      <c r="E1912" s="84"/>
      <c r="F1912" s="84"/>
      <c r="G1912" s="84"/>
      <c r="H1912" s="84"/>
      <c r="I1912" s="84"/>
      <c r="J1912" s="84"/>
      <c r="K1912" s="84"/>
      <c r="L1912" s="84"/>
      <c r="M1912" s="84"/>
      <c r="N1912" s="84"/>
      <c r="O1912" s="84"/>
      <c r="P1912" s="84"/>
      <c r="Q1912" s="84"/>
      <c r="R1912" s="84"/>
      <c r="S1912" s="84"/>
      <c r="T1912" s="84"/>
      <c r="U1912" s="84"/>
      <c r="V1912" s="84"/>
      <c r="W1912" s="84"/>
      <c r="X1912" s="84"/>
    </row>
    <row r="1913" spans="1:24" ht="15" customHeight="1" x14ac:dyDescent="0.2">
      <c r="A1913" s="84"/>
      <c r="B1913" s="84"/>
      <c r="C1913" s="84"/>
      <c r="D1913" s="84"/>
      <c r="E1913" s="84"/>
      <c r="F1913" s="84"/>
      <c r="G1913" s="84"/>
      <c r="H1913" s="84"/>
      <c r="I1913" s="84"/>
      <c r="J1913" s="84"/>
      <c r="K1913" s="84"/>
      <c r="L1913" s="84"/>
      <c r="M1913" s="84"/>
      <c r="N1913" s="84"/>
      <c r="O1913" s="84"/>
      <c r="P1913" s="84"/>
      <c r="Q1913" s="84"/>
      <c r="R1913" s="84"/>
      <c r="S1913" s="84"/>
      <c r="T1913" s="84"/>
      <c r="U1913" s="84"/>
      <c r="V1913" s="84"/>
      <c r="W1913" s="84"/>
      <c r="X1913" s="84"/>
    </row>
    <row r="1914" spans="1:24" ht="15" customHeight="1" x14ac:dyDescent="0.2">
      <c r="A1914" s="84"/>
      <c r="B1914" s="84"/>
      <c r="C1914" s="84"/>
      <c r="D1914" s="84"/>
      <c r="E1914" s="84"/>
      <c r="F1914" s="84"/>
      <c r="G1914" s="84"/>
      <c r="H1914" s="84"/>
      <c r="I1914" s="84"/>
      <c r="J1914" s="84"/>
      <c r="K1914" s="84"/>
      <c r="L1914" s="84"/>
      <c r="M1914" s="84"/>
      <c r="N1914" s="84"/>
      <c r="O1914" s="84"/>
      <c r="P1914" s="84"/>
      <c r="Q1914" s="84"/>
      <c r="R1914" s="84"/>
      <c r="S1914" s="84"/>
      <c r="T1914" s="84"/>
      <c r="U1914" s="84"/>
      <c r="V1914" s="84"/>
      <c r="W1914" s="84"/>
      <c r="X1914" s="84"/>
    </row>
    <row r="1915" spans="1:24" ht="15" customHeight="1" x14ac:dyDescent="0.2">
      <c r="A1915" s="84"/>
      <c r="B1915" s="84"/>
      <c r="C1915" s="84"/>
      <c r="D1915" s="84"/>
      <c r="E1915" s="84"/>
      <c r="F1915" s="84"/>
      <c r="G1915" s="84"/>
      <c r="H1915" s="84"/>
      <c r="I1915" s="84"/>
      <c r="J1915" s="84"/>
      <c r="K1915" s="84"/>
      <c r="L1915" s="84"/>
      <c r="M1915" s="84"/>
      <c r="N1915" s="84"/>
      <c r="O1915" s="84"/>
      <c r="P1915" s="84"/>
      <c r="Q1915" s="84"/>
      <c r="R1915" s="84"/>
      <c r="S1915" s="84"/>
      <c r="T1915" s="84"/>
      <c r="U1915" s="84"/>
      <c r="V1915" s="84"/>
      <c r="W1915" s="84"/>
      <c r="X1915" s="84"/>
    </row>
    <row r="1916" spans="1:24" ht="15" customHeight="1" x14ac:dyDescent="0.2">
      <c r="A1916" s="84"/>
      <c r="B1916" s="84"/>
      <c r="C1916" s="84"/>
      <c r="D1916" s="84"/>
      <c r="E1916" s="84"/>
      <c r="F1916" s="84"/>
      <c r="G1916" s="84"/>
      <c r="H1916" s="84"/>
      <c r="I1916" s="84"/>
      <c r="J1916" s="84"/>
      <c r="K1916" s="84"/>
      <c r="L1916" s="84"/>
      <c r="M1916" s="84"/>
      <c r="N1916" s="84"/>
      <c r="O1916" s="84"/>
      <c r="P1916" s="84"/>
      <c r="Q1916" s="84"/>
      <c r="R1916" s="84"/>
      <c r="S1916" s="84"/>
      <c r="T1916" s="84"/>
      <c r="U1916" s="84"/>
      <c r="V1916" s="84"/>
      <c r="W1916" s="84"/>
      <c r="X1916" s="84"/>
    </row>
    <row r="1917" spans="1:24" ht="15" customHeight="1" x14ac:dyDescent="0.2">
      <c r="A1917" s="84"/>
      <c r="B1917" s="84"/>
      <c r="C1917" s="84"/>
      <c r="D1917" s="84"/>
      <c r="E1917" s="84"/>
      <c r="F1917" s="84"/>
      <c r="G1917" s="84"/>
      <c r="H1917" s="84"/>
      <c r="I1917" s="84"/>
      <c r="J1917" s="84"/>
      <c r="K1917" s="84"/>
      <c r="L1917" s="84"/>
      <c r="M1917" s="84"/>
      <c r="N1917" s="84"/>
      <c r="O1917" s="84"/>
      <c r="P1917" s="84"/>
      <c r="Q1917" s="84"/>
      <c r="R1917" s="84"/>
      <c r="S1917" s="84"/>
      <c r="T1917" s="84"/>
      <c r="U1917" s="84"/>
      <c r="V1917" s="84"/>
      <c r="W1917" s="84"/>
      <c r="X1917" s="84"/>
    </row>
    <row r="1918" spans="1:24" ht="15" customHeight="1" x14ac:dyDescent="0.2">
      <c r="A1918" s="84"/>
      <c r="B1918" s="84"/>
      <c r="C1918" s="84"/>
      <c r="D1918" s="84"/>
      <c r="E1918" s="84"/>
      <c r="F1918" s="84"/>
      <c r="G1918" s="84"/>
      <c r="H1918" s="84"/>
      <c r="I1918" s="84"/>
      <c r="J1918" s="84"/>
      <c r="K1918" s="84"/>
      <c r="L1918" s="84"/>
      <c r="M1918" s="84"/>
      <c r="N1918" s="84"/>
      <c r="O1918" s="84"/>
      <c r="P1918" s="84"/>
      <c r="Q1918" s="84"/>
      <c r="R1918" s="84"/>
      <c r="S1918" s="84"/>
      <c r="T1918" s="84"/>
      <c r="U1918" s="84"/>
      <c r="V1918" s="84"/>
      <c r="W1918" s="84"/>
      <c r="X1918" s="84"/>
    </row>
    <row r="1919" spans="1:24" ht="15" customHeight="1" x14ac:dyDescent="0.2">
      <c r="A1919" s="84"/>
      <c r="B1919" s="84"/>
      <c r="C1919" s="84"/>
      <c r="D1919" s="84"/>
      <c r="E1919" s="84"/>
      <c r="F1919" s="84"/>
      <c r="G1919" s="84"/>
      <c r="H1919" s="84"/>
      <c r="I1919" s="84"/>
      <c r="J1919" s="84"/>
      <c r="K1919" s="84"/>
      <c r="L1919" s="84"/>
      <c r="M1919" s="84"/>
      <c r="N1919" s="84"/>
      <c r="O1919" s="84"/>
      <c r="P1919" s="84"/>
      <c r="Q1919" s="84"/>
      <c r="R1919" s="84"/>
      <c r="S1919" s="84"/>
      <c r="T1919" s="84"/>
      <c r="U1919" s="84"/>
      <c r="V1919" s="84"/>
      <c r="W1919" s="84"/>
      <c r="X1919" s="84"/>
    </row>
    <row r="1920" spans="1:24" ht="15" customHeight="1" x14ac:dyDescent="0.2">
      <c r="A1920" s="84"/>
      <c r="B1920" s="84"/>
      <c r="C1920" s="84"/>
      <c r="D1920" s="84"/>
      <c r="E1920" s="84"/>
      <c r="F1920" s="84"/>
      <c r="G1920" s="84"/>
      <c r="H1920" s="84"/>
      <c r="I1920" s="84"/>
      <c r="J1920" s="84"/>
      <c r="K1920" s="84"/>
      <c r="L1920" s="84"/>
      <c r="M1920" s="84"/>
      <c r="N1920" s="84"/>
      <c r="O1920" s="84"/>
      <c r="P1920" s="84"/>
      <c r="Q1920" s="84"/>
      <c r="R1920" s="84"/>
      <c r="S1920" s="84"/>
      <c r="T1920" s="84"/>
      <c r="U1920" s="84"/>
      <c r="V1920" s="84"/>
      <c r="W1920" s="84"/>
      <c r="X1920" s="84"/>
    </row>
    <row r="1921" spans="1:24" ht="15" customHeight="1" x14ac:dyDescent="0.2">
      <c r="A1921" s="84"/>
      <c r="B1921" s="84"/>
      <c r="C1921" s="84"/>
      <c r="D1921" s="84"/>
      <c r="E1921" s="84"/>
      <c r="F1921" s="84"/>
      <c r="G1921" s="84"/>
      <c r="H1921" s="84"/>
      <c r="I1921" s="84"/>
      <c r="J1921" s="84"/>
      <c r="K1921" s="84"/>
      <c r="L1921" s="84"/>
      <c r="M1921" s="84"/>
      <c r="N1921" s="84"/>
      <c r="O1921" s="84"/>
      <c r="P1921" s="84"/>
      <c r="Q1921" s="84"/>
      <c r="R1921" s="84"/>
      <c r="S1921" s="84"/>
      <c r="T1921" s="84"/>
      <c r="U1921" s="84"/>
      <c r="V1921" s="84"/>
      <c r="W1921" s="84"/>
      <c r="X1921" s="84"/>
    </row>
    <row r="1922" spans="1:24" ht="15" customHeight="1" x14ac:dyDescent="0.2">
      <c r="A1922" s="84"/>
      <c r="B1922" s="84"/>
      <c r="C1922" s="84"/>
      <c r="D1922" s="84"/>
      <c r="E1922" s="84"/>
      <c r="F1922" s="84"/>
      <c r="G1922" s="84"/>
      <c r="H1922" s="84"/>
      <c r="I1922" s="84"/>
      <c r="J1922" s="84"/>
      <c r="K1922" s="84"/>
      <c r="L1922" s="84"/>
      <c r="M1922" s="84"/>
      <c r="N1922" s="84"/>
      <c r="O1922" s="84"/>
      <c r="P1922" s="84"/>
      <c r="Q1922" s="84"/>
      <c r="R1922" s="84"/>
      <c r="S1922" s="84"/>
      <c r="T1922" s="84"/>
      <c r="U1922" s="84"/>
      <c r="V1922" s="84"/>
      <c r="W1922" s="84"/>
      <c r="X1922" s="84"/>
    </row>
    <row r="1923" spans="1:24" ht="15" customHeight="1" x14ac:dyDescent="0.2">
      <c r="A1923" s="84"/>
      <c r="B1923" s="84"/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  <c r="S1923" s="84"/>
      <c r="T1923" s="84"/>
      <c r="U1923" s="84"/>
      <c r="V1923" s="84"/>
      <c r="W1923" s="84"/>
      <c r="X1923" s="84"/>
    </row>
    <row r="1924" spans="1:24" ht="15" customHeight="1" x14ac:dyDescent="0.2">
      <c r="A1924" s="84"/>
      <c r="B1924" s="84"/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  <c r="S1924" s="84"/>
      <c r="T1924" s="84"/>
      <c r="U1924" s="84"/>
      <c r="V1924" s="84"/>
      <c r="W1924" s="84"/>
      <c r="X1924" s="84"/>
    </row>
    <row r="1925" spans="1:24" ht="15" customHeight="1" x14ac:dyDescent="0.2">
      <c r="A1925" s="84"/>
      <c r="B1925" s="84"/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  <c r="S1925" s="84"/>
      <c r="T1925" s="84"/>
      <c r="U1925" s="84"/>
      <c r="V1925" s="84"/>
      <c r="W1925" s="84"/>
      <c r="X1925" s="84"/>
    </row>
    <row r="1926" spans="1:24" ht="15" customHeight="1" x14ac:dyDescent="0.2">
      <c r="A1926" s="84"/>
      <c r="B1926" s="84"/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  <c r="S1926" s="84"/>
      <c r="T1926" s="84"/>
      <c r="U1926" s="84"/>
      <c r="V1926" s="84"/>
      <c r="W1926" s="84"/>
      <c r="X1926" s="84"/>
    </row>
    <row r="1927" spans="1:24" ht="15" customHeight="1" x14ac:dyDescent="0.2">
      <c r="A1927" s="84"/>
      <c r="B1927" s="84"/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  <c r="S1927" s="84"/>
      <c r="T1927" s="84"/>
      <c r="U1927" s="84"/>
      <c r="V1927" s="84"/>
      <c r="W1927" s="84"/>
      <c r="X1927" s="84"/>
    </row>
    <row r="1928" spans="1:24" ht="15" customHeight="1" x14ac:dyDescent="0.2">
      <c r="A1928" s="84"/>
      <c r="B1928" s="84"/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  <c r="S1928" s="84"/>
      <c r="T1928" s="84"/>
      <c r="U1928" s="84"/>
      <c r="V1928" s="84"/>
      <c r="W1928" s="84"/>
      <c r="X1928" s="84"/>
    </row>
    <row r="1929" spans="1:24" ht="15" customHeight="1" x14ac:dyDescent="0.2">
      <c r="A1929" s="84"/>
      <c r="B1929" s="84"/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  <c r="S1929" s="84"/>
      <c r="T1929" s="84"/>
      <c r="U1929" s="84"/>
      <c r="V1929" s="84"/>
      <c r="W1929" s="84"/>
      <c r="X1929" s="84"/>
    </row>
    <row r="1930" spans="1:24" ht="15" customHeight="1" x14ac:dyDescent="0.2">
      <c r="A1930" s="84"/>
      <c r="B1930" s="84"/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  <c r="S1930" s="84"/>
      <c r="T1930" s="84"/>
      <c r="U1930" s="84"/>
      <c r="V1930" s="84"/>
      <c r="W1930" s="84"/>
      <c r="X1930" s="84"/>
    </row>
    <row r="1931" spans="1:24" ht="15" customHeight="1" x14ac:dyDescent="0.2">
      <c r="A1931" s="84"/>
      <c r="B1931" s="84"/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  <c r="S1931" s="84"/>
      <c r="T1931" s="84"/>
      <c r="U1931" s="84"/>
      <c r="V1931" s="84"/>
      <c r="W1931" s="84"/>
      <c r="X1931" s="84"/>
    </row>
    <row r="1932" spans="1:24" ht="15" customHeight="1" x14ac:dyDescent="0.2">
      <c r="A1932" s="84"/>
      <c r="B1932" s="84"/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  <c r="S1932" s="84"/>
      <c r="T1932" s="84"/>
      <c r="U1932" s="84"/>
      <c r="V1932" s="84"/>
      <c r="W1932" s="84"/>
      <c r="X1932" s="84"/>
    </row>
    <row r="1933" spans="1:24" ht="15" customHeight="1" x14ac:dyDescent="0.2">
      <c r="A1933" s="84"/>
      <c r="B1933" s="84"/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  <c r="S1933" s="84"/>
      <c r="T1933" s="84"/>
      <c r="U1933" s="84"/>
      <c r="V1933" s="84"/>
      <c r="W1933" s="84"/>
      <c r="X1933" s="84"/>
    </row>
    <row r="1934" spans="1:24" ht="15" customHeight="1" x14ac:dyDescent="0.2">
      <c r="A1934" s="84"/>
      <c r="B1934" s="84"/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  <c r="S1934" s="84"/>
      <c r="T1934" s="84"/>
      <c r="U1934" s="84"/>
      <c r="V1934" s="84"/>
      <c r="W1934" s="84"/>
      <c r="X1934" s="84"/>
    </row>
    <row r="1935" spans="1:24" ht="15" customHeight="1" x14ac:dyDescent="0.2">
      <c r="A1935" s="84"/>
      <c r="B1935" s="84"/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  <c r="S1935" s="84"/>
      <c r="T1935" s="84"/>
      <c r="U1935" s="84"/>
      <c r="V1935" s="84"/>
      <c r="W1935" s="84"/>
      <c r="X1935" s="84"/>
    </row>
    <row r="1936" spans="1:24" ht="15" customHeight="1" x14ac:dyDescent="0.2">
      <c r="A1936" s="84"/>
      <c r="B1936" s="84"/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  <c r="S1936" s="84"/>
      <c r="T1936" s="84"/>
      <c r="U1936" s="84"/>
      <c r="V1936" s="84"/>
      <c r="W1936" s="84"/>
      <c r="X1936" s="84"/>
    </row>
    <row r="1937" spans="1:24" ht="15" customHeight="1" x14ac:dyDescent="0.2">
      <c r="A1937" s="84"/>
      <c r="B1937" s="84"/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  <c r="S1937" s="84"/>
      <c r="T1937" s="84"/>
      <c r="U1937" s="84"/>
      <c r="V1937" s="84"/>
      <c r="W1937" s="84"/>
      <c r="X1937" s="84"/>
    </row>
    <row r="1938" spans="1:24" ht="15" customHeight="1" x14ac:dyDescent="0.2">
      <c r="A1938" s="84"/>
      <c r="B1938" s="84"/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  <c r="S1938" s="84"/>
      <c r="T1938" s="84"/>
      <c r="U1938" s="84"/>
      <c r="V1938" s="84"/>
      <c r="W1938" s="84"/>
      <c r="X1938" s="84"/>
    </row>
    <row r="1939" spans="1:24" ht="15" customHeight="1" x14ac:dyDescent="0.2">
      <c r="A1939" s="84"/>
      <c r="B1939" s="84"/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  <c r="S1939" s="84"/>
      <c r="T1939" s="84"/>
      <c r="U1939" s="84"/>
      <c r="V1939" s="84"/>
      <c r="W1939" s="84"/>
      <c r="X1939" s="84"/>
    </row>
    <row r="1940" spans="1:24" ht="15" customHeight="1" x14ac:dyDescent="0.2">
      <c r="A1940" s="84"/>
      <c r="B1940" s="84"/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  <c r="S1940" s="84"/>
      <c r="T1940" s="84"/>
      <c r="U1940" s="84"/>
      <c r="V1940" s="84"/>
      <c r="W1940" s="84"/>
      <c r="X1940" s="84"/>
    </row>
    <row r="1941" spans="1:24" ht="15" customHeight="1" x14ac:dyDescent="0.2">
      <c r="A1941" s="84"/>
      <c r="B1941" s="84"/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  <c r="S1941" s="84"/>
      <c r="T1941" s="84"/>
      <c r="U1941" s="84"/>
      <c r="V1941" s="84"/>
      <c r="W1941" s="84"/>
      <c r="X1941" s="84"/>
    </row>
    <row r="1942" spans="1:24" ht="15" customHeight="1" x14ac:dyDescent="0.2">
      <c r="A1942" s="84"/>
      <c r="B1942" s="84"/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  <c r="S1942" s="84"/>
      <c r="T1942" s="84"/>
      <c r="U1942" s="84"/>
      <c r="V1942" s="84"/>
      <c r="W1942" s="84"/>
      <c r="X1942" s="84"/>
    </row>
    <row r="1943" spans="1:24" ht="15" customHeight="1" x14ac:dyDescent="0.2">
      <c r="A1943" s="84"/>
      <c r="B1943" s="84"/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  <c r="S1943" s="84"/>
      <c r="T1943" s="84"/>
      <c r="U1943" s="84"/>
      <c r="V1943" s="84"/>
      <c r="W1943" s="84"/>
      <c r="X1943" s="84"/>
    </row>
    <row r="1944" spans="1:24" ht="15" customHeight="1" x14ac:dyDescent="0.2">
      <c r="A1944" s="84"/>
      <c r="B1944" s="84"/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  <c r="S1944" s="84"/>
      <c r="T1944" s="84"/>
      <c r="U1944" s="84"/>
      <c r="V1944" s="84"/>
      <c r="W1944" s="84"/>
      <c r="X1944" s="84"/>
    </row>
    <row r="1945" spans="1:24" ht="15" customHeight="1" x14ac:dyDescent="0.2">
      <c r="A1945" s="84"/>
      <c r="B1945" s="84"/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  <c r="S1945" s="84"/>
      <c r="T1945" s="84"/>
      <c r="U1945" s="84"/>
      <c r="V1945" s="84"/>
      <c r="W1945" s="84"/>
      <c r="X1945" s="84"/>
    </row>
    <row r="1946" spans="1:24" ht="15" customHeight="1" x14ac:dyDescent="0.2">
      <c r="A1946" s="84"/>
      <c r="B1946" s="84"/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  <c r="S1946" s="84"/>
      <c r="T1946" s="84"/>
      <c r="U1946" s="84"/>
      <c r="V1946" s="84"/>
      <c r="W1946" s="84"/>
      <c r="X1946" s="84"/>
    </row>
    <row r="1947" spans="1:24" ht="15" customHeight="1" x14ac:dyDescent="0.2">
      <c r="A1947" s="84"/>
      <c r="B1947" s="84"/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  <c r="S1947" s="84"/>
      <c r="T1947" s="84"/>
      <c r="U1947" s="84"/>
      <c r="V1947" s="84"/>
      <c r="W1947" s="84"/>
      <c r="X1947" s="84"/>
    </row>
    <row r="1948" spans="1:24" ht="15" customHeight="1" x14ac:dyDescent="0.2">
      <c r="A1948" s="84"/>
      <c r="B1948" s="84"/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  <c r="S1948" s="84"/>
      <c r="T1948" s="84"/>
      <c r="U1948" s="84"/>
      <c r="V1948" s="84"/>
      <c r="W1948" s="84"/>
      <c r="X1948" s="84"/>
    </row>
    <row r="1949" spans="1:24" ht="15" customHeight="1" x14ac:dyDescent="0.2">
      <c r="A1949" s="84"/>
      <c r="B1949" s="84"/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  <c r="S1949" s="84"/>
      <c r="T1949" s="84"/>
      <c r="U1949" s="84"/>
      <c r="V1949" s="84"/>
      <c r="W1949" s="84"/>
      <c r="X1949" s="84"/>
    </row>
    <row r="1950" spans="1:24" ht="15" customHeight="1" x14ac:dyDescent="0.2">
      <c r="A1950" s="84"/>
      <c r="B1950" s="84"/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  <c r="S1950" s="84"/>
      <c r="T1950" s="84"/>
      <c r="U1950" s="84"/>
      <c r="V1950" s="84"/>
      <c r="W1950" s="84"/>
      <c r="X1950" s="84"/>
    </row>
    <row r="1951" spans="1:24" ht="15" customHeight="1" x14ac:dyDescent="0.2">
      <c r="A1951" s="84"/>
      <c r="B1951" s="84"/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</row>
    <row r="1952" spans="1:24" ht="15" customHeight="1" x14ac:dyDescent="0.2">
      <c r="A1952" s="84"/>
      <c r="B1952" s="84"/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  <c r="S1952" s="84"/>
      <c r="T1952" s="84"/>
      <c r="U1952" s="84"/>
      <c r="V1952" s="84"/>
      <c r="W1952" s="84"/>
      <c r="X1952" s="84"/>
    </row>
    <row r="1953" spans="1:24" ht="15" customHeight="1" x14ac:dyDescent="0.2">
      <c r="A1953" s="84"/>
      <c r="B1953" s="84"/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  <c r="S1953" s="84"/>
      <c r="T1953" s="84"/>
      <c r="U1953" s="84"/>
      <c r="V1953" s="84"/>
      <c r="W1953" s="84"/>
      <c r="X1953" s="84"/>
    </row>
    <row r="1954" spans="1:24" ht="15" customHeight="1" x14ac:dyDescent="0.2">
      <c r="A1954" s="84"/>
      <c r="B1954" s="84"/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  <c r="S1954" s="84"/>
      <c r="T1954" s="84"/>
      <c r="U1954" s="84"/>
      <c r="V1954" s="84"/>
      <c r="W1954" s="84"/>
      <c r="X1954" s="84"/>
    </row>
    <row r="1955" spans="1:24" ht="15" customHeight="1" x14ac:dyDescent="0.2">
      <c r="A1955" s="84"/>
      <c r="B1955" s="84"/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  <c r="S1955" s="84"/>
      <c r="T1955" s="84"/>
      <c r="U1955" s="84"/>
      <c r="V1955" s="84"/>
      <c r="W1955" s="84"/>
      <c r="X1955" s="84"/>
    </row>
    <row r="1956" spans="1:24" ht="15" customHeight="1" x14ac:dyDescent="0.2">
      <c r="A1956" s="84"/>
      <c r="B1956" s="84"/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  <c r="S1956" s="84"/>
      <c r="T1956" s="84"/>
      <c r="U1956" s="84"/>
      <c r="V1956" s="84"/>
      <c r="W1956" s="84"/>
      <c r="X1956" s="84"/>
    </row>
    <row r="1957" spans="1:24" ht="15" customHeight="1" x14ac:dyDescent="0.2">
      <c r="A1957" s="84"/>
      <c r="B1957" s="84"/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  <c r="S1957" s="84"/>
      <c r="T1957" s="84"/>
      <c r="U1957" s="84"/>
      <c r="V1957" s="84"/>
      <c r="W1957" s="84"/>
      <c r="X1957" s="84"/>
    </row>
    <row r="1958" spans="1:24" ht="15" customHeight="1" x14ac:dyDescent="0.2">
      <c r="A1958" s="84"/>
      <c r="B1958" s="84"/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  <c r="S1958" s="84"/>
      <c r="T1958" s="84"/>
      <c r="U1958" s="84"/>
      <c r="V1958" s="84"/>
      <c r="W1958" s="84"/>
      <c r="X1958" s="84"/>
    </row>
    <row r="1959" spans="1:24" ht="15" customHeight="1" x14ac:dyDescent="0.2">
      <c r="A1959" s="84"/>
      <c r="B1959" s="84"/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  <c r="R1959" s="84"/>
      <c r="S1959" s="84"/>
      <c r="T1959" s="84"/>
      <c r="U1959" s="84"/>
      <c r="V1959" s="84"/>
      <c r="W1959" s="84"/>
      <c r="X1959" s="84"/>
    </row>
    <row r="1960" spans="1:24" ht="15" customHeight="1" x14ac:dyDescent="0.2">
      <c r="A1960" s="84"/>
      <c r="B1960" s="84"/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  <c r="R1960" s="84"/>
      <c r="S1960" s="84"/>
      <c r="T1960" s="84"/>
      <c r="U1960" s="84"/>
      <c r="V1960" s="84"/>
      <c r="W1960" s="84"/>
      <c r="X1960" s="84"/>
    </row>
    <row r="1961" spans="1:24" ht="15" customHeight="1" x14ac:dyDescent="0.2">
      <c r="A1961" s="84"/>
      <c r="B1961" s="84"/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  <c r="R1961" s="84"/>
      <c r="S1961" s="84"/>
      <c r="T1961" s="84"/>
      <c r="U1961" s="84"/>
      <c r="V1961" s="84"/>
      <c r="W1961" s="84"/>
      <c r="X1961" s="84"/>
    </row>
    <row r="1962" spans="1:24" ht="15" customHeight="1" x14ac:dyDescent="0.2">
      <c r="A1962" s="84"/>
      <c r="B1962" s="84"/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  <c r="R1962" s="84"/>
      <c r="S1962" s="84"/>
      <c r="T1962" s="84"/>
      <c r="U1962" s="84"/>
      <c r="V1962" s="84"/>
      <c r="W1962" s="84"/>
      <c r="X1962" s="84"/>
    </row>
    <row r="1963" spans="1:24" ht="15" customHeight="1" x14ac:dyDescent="0.2">
      <c r="A1963" s="84"/>
      <c r="B1963" s="84"/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  <c r="R1963" s="84"/>
      <c r="S1963" s="84"/>
      <c r="T1963" s="84"/>
      <c r="U1963" s="84"/>
      <c r="V1963" s="84"/>
      <c r="W1963" s="84"/>
      <c r="X1963" s="84"/>
    </row>
    <row r="1964" spans="1:24" ht="15" customHeight="1" x14ac:dyDescent="0.2">
      <c r="A1964" s="84"/>
      <c r="B1964" s="84"/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  <c r="R1964" s="84"/>
      <c r="S1964" s="84"/>
      <c r="T1964" s="84"/>
      <c r="U1964" s="84"/>
      <c r="V1964" s="84"/>
      <c r="W1964" s="84"/>
      <c r="X1964" s="84"/>
    </row>
    <row r="1965" spans="1:24" ht="15" customHeight="1" x14ac:dyDescent="0.2">
      <c r="A1965" s="84"/>
      <c r="B1965" s="84"/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  <c r="R1965" s="84"/>
      <c r="S1965" s="84"/>
      <c r="T1965" s="84"/>
      <c r="U1965" s="84"/>
      <c r="V1965" s="84"/>
      <c r="W1965" s="84"/>
      <c r="X1965" s="84"/>
    </row>
    <row r="1966" spans="1:24" ht="15" customHeight="1" x14ac:dyDescent="0.2">
      <c r="A1966" s="84"/>
      <c r="B1966" s="84"/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  <c r="R1966" s="84"/>
      <c r="S1966" s="84"/>
      <c r="T1966" s="84"/>
      <c r="U1966" s="84"/>
      <c r="V1966" s="84"/>
      <c r="W1966" s="84"/>
      <c r="X1966" s="84"/>
    </row>
    <row r="1967" spans="1:24" ht="15" customHeight="1" x14ac:dyDescent="0.2">
      <c r="A1967" s="84"/>
      <c r="B1967" s="84"/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  <c r="R1967" s="84"/>
      <c r="S1967" s="84"/>
      <c r="T1967" s="84"/>
      <c r="U1967" s="84"/>
      <c r="V1967" s="84"/>
      <c r="W1967" s="84"/>
      <c r="X1967" s="84"/>
    </row>
    <row r="1968" spans="1:24" ht="15" customHeight="1" x14ac:dyDescent="0.2">
      <c r="A1968" s="84"/>
      <c r="B1968" s="84"/>
      <c r="C1968" s="84"/>
      <c r="D1968" s="84"/>
      <c r="E1968" s="84"/>
      <c r="F1968" s="84"/>
      <c r="G1968" s="84"/>
      <c r="H1968" s="84"/>
      <c r="I1968" s="84"/>
      <c r="J1968" s="84"/>
      <c r="K1968" s="84"/>
      <c r="L1968" s="84"/>
      <c r="M1968" s="84"/>
      <c r="N1968" s="84"/>
      <c r="O1968" s="84"/>
      <c r="P1968" s="84"/>
      <c r="Q1968" s="84"/>
      <c r="R1968" s="84"/>
      <c r="S1968" s="84"/>
      <c r="T1968" s="84"/>
      <c r="U1968" s="84"/>
      <c r="V1968" s="84"/>
      <c r="W1968" s="84"/>
      <c r="X1968" s="84"/>
    </row>
    <row r="1969" spans="1:24" ht="15" customHeight="1" x14ac:dyDescent="0.2">
      <c r="A1969" s="84"/>
      <c r="B1969" s="84"/>
      <c r="C1969" s="84"/>
      <c r="D1969" s="84"/>
      <c r="E1969" s="84"/>
      <c r="F1969" s="84"/>
      <c r="G1969" s="84"/>
      <c r="H1969" s="84"/>
      <c r="I1969" s="84"/>
      <c r="J1969" s="84"/>
      <c r="K1969" s="84"/>
      <c r="L1969" s="84"/>
      <c r="M1969" s="84"/>
      <c r="N1969" s="84"/>
      <c r="O1969" s="84"/>
      <c r="P1969" s="84"/>
      <c r="Q1969" s="84"/>
      <c r="R1969" s="84"/>
      <c r="S1969" s="84"/>
      <c r="T1969" s="84"/>
      <c r="U1969" s="84"/>
      <c r="V1969" s="84"/>
      <c r="W1969" s="84"/>
      <c r="X1969" s="84"/>
    </row>
    <row r="1970" spans="1:24" ht="15" customHeight="1" x14ac:dyDescent="0.2">
      <c r="A1970" s="84"/>
      <c r="B1970" s="84"/>
      <c r="C1970" s="84"/>
      <c r="D1970" s="84"/>
      <c r="E1970" s="84"/>
      <c r="F1970" s="84"/>
      <c r="G1970" s="84"/>
      <c r="H1970" s="84"/>
      <c r="I1970" s="84"/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</row>
    <row r="1971" spans="1:24" ht="15" customHeight="1" x14ac:dyDescent="0.2">
      <c r="A1971" s="84"/>
      <c r="B1971" s="84"/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</row>
    <row r="1972" spans="1:24" ht="15" customHeight="1" x14ac:dyDescent="0.2">
      <c r="A1972" s="84"/>
      <c r="B1972" s="84"/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</row>
    <row r="1973" spans="1:24" ht="15" customHeight="1" x14ac:dyDescent="0.2">
      <c r="A1973" s="84"/>
      <c r="B1973" s="84"/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</row>
    <row r="1974" spans="1:24" ht="15" customHeight="1" x14ac:dyDescent="0.2">
      <c r="A1974" s="84"/>
      <c r="B1974" s="84"/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</row>
    <row r="1975" spans="1:24" ht="15" customHeight="1" x14ac:dyDescent="0.2">
      <c r="A1975" s="84"/>
      <c r="B1975" s="84"/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</row>
    <row r="1976" spans="1:24" ht="15" customHeight="1" x14ac:dyDescent="0.2">
      <c r="A1976" s="84"/>
      <c r="B1976" s="84"/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</row>
    <row r="1977" spans="1:24" ht="15" customHeight="1" x14ac:dyDescent="0.2">
      <c r="A1977" s="84"/>
      <c r="B1977" s="84"/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</row>
    <row r="1978" spans="1:24" ht="15" customHeight="1" x14ac:dyDescent="0.2">
      <c r="A1978" s="84"/>
      <c r="B1978" s="84"/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</row>
    <row r="1979" spans="1:24" ht="15" customHeight="1" x14ac:dyDescent="0.2">
      <c r="A1979" s="84"/>
      <c r="B1979" s="84"/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</row>
    <row r="1980" spans="1:24" ht="15" customHeight="1" x14ac:dyDescent="0.2">
      <c r="A1980" s="84"/>
      <c r="B1980" s="84"/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</row>
    <row r="1981" spans="1:24" ht="15" customHeight="1" x14ac:dyDescent="0.2">
      <c r="A1981" s="84"/>
      <c r="B1981" s="84"/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  <c r="S1981" s="84"/>
      <c r="T1981" s="84"/>
      <c r="U1981" s="84"/>
      <c r="V1981" s="84"/>
      <c r="W1981" s="84"/>
      <c r="X1981" s="84"/>
    </row>
    <row r="1982" spans="1:24" ht="15" customHeight="1" x14ac:dyDescent="0.2">
      <c r="A1982" s="84"/>
      <c r="B1982" s="84"/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  <c r="S1982" s="84"/>
      <c r="T1982" s="84"/>
      <c r="U1982" s="84"/>
      <c r="V1982" s="84"/>
      <c r="W1982" s="84"/>
      <c r="X1982" s="84"/>
    </row>
    <row r="1983" spans="1:24" ht="15" customHeight="1" x14ac:dyDescent="0.2">
      <c r="A1983" s="84"/>
      <c r="B1983" s="84"/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  <c r="S1983" s="84"/>
      <c r="T1983" s="84"/>
      <c r="U1983" s="84"/>
      <c r="V1983" s="84"/>
      <c r="W1983" s="84"/>
      <c r="X1983" s="84"/>
    </row>
    <row r="1984" spans="1:24" ht="15" customHeight="1" x14ac:dyDescent="0.2">
      <c r="A1984" s="84"/>
      <c r="B1984" s="84"/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  <c r="S1984" s="84"/>
      <c r="T1984" s="84"/>
      <c r="U1984" s="84"/>
      <c r="V1984" s="84"/>
      <c r="W1984" s="84"/>
      <c r="X1984" s="84"/>
    </row>
    <row r="1985" spans="1:24" ht="15" customHeight="1" x14ac:dyDescent="0.2">
      <c r="A1985" s="84"/>
      <c r="B1985" s="84"/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  <c r="S1985" s="84"/>
      <c r="T1985" s="84"/>
      <c r="U1985" s="84"/>
      <c r="V1985" s="84"/>
      <c r="W1985" s="84"/>
      <c r="X1985" s="84"/>
    </row>
    <row r="1986" spans="1:24" ht="15" customHeight="1" x14ac:dyDescent="0.2">
      <c r="A1986" s="84"/>
      <c r="B1986" s="84"/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  <c r="S1986" s="84"/>
      <c r="T1986" s="84"/>
      <c r="U1986" s="84"/>
      <c r="V1986" s="84"/>
      <c r="W1986" s="84"/>
      <c r="X1986" s="84"/>
    </row>
    <row r="1987" spans="1:24" ht="15" customHeight="1" x14ac:dyDescent="0.2">
      <c r="A1987" s="84"/>
      <c r="B1987" s="84"/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  <c r="S1987" s="84"/>
      <c r="T1987" s="84"/>
      <c r="U1987" s="84"/>
      <c r="V1987" s="84"/>
      <c r="W1987" s="84"/>
      <c r="X1987" s="84"/>
    </row>
    <row r="1988" spans="1:24" ht="15" customHeight="1" x14ac:dyDescent="0.2">
      <c r="A1988" s="84"/>
      <c r="B1988" s="84"/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  <c r="S1988" s="84"/>
      <c r="T1988" s="84"/>
      <c r="U1988" s="84"/>
      <c r="V1988" s="84"/>
      <c r="W1988" s="84"/>
      <c r="X1988" s="84"/>
    </row>
    <row r="1989" spans="1:24" ht="15" customHeight="1" x14ac:dyDescent="0.2">
      <c r="A1989" s="84"/>
      <c r="B1989" s="84"/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  <c r="S1989" s="84"/>
      <c r="T1989" s="84"/>
      <c r="U1989" s="84"/>
      <c r="V1989" s="84"/>
      <c r="W1989" s="84"/>
      <c r="X1989" s="84"/>
    </row>
    <row r="1990" spans="1:24" ht="15" customHeight="1" x14ac:dyDescent="0.2">
      <c r="A1990" s="84"/>
      <c r="B1990" s="84"/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  <c r="S1990" s="84"/>
      <c r="T1990" s="84"/>
      <c r="U1990" s="84"/>
      <c r="V1990" s="84"/>
      <c r="W1990" s="84"/>
      <c r="X1990" s="84"/>
    </row>
    <row r="1991" spans="1:24" ht="15" customHeight="1" x14ac:dyDescent="0.2">
      <c r="A1991" s="84"/>
      <c r="B1991" s="84"/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  <c r="S1991" s="84"/>
      <c r="T1991" s="84"/>
      <c r="U1991" s="84"/>
      <c r="V1991" s="84"/>
      <c r="W1991" s="84"/>
      <c r="X1991" s="84"/>
    </row>
    <row r="1992" spans="1:24" ht="15" customHeight="1" x14ac:dyDescent="0.2">
      <c r="A1992" s="84"/>
      <c r="B1992" s="84"/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  <c r="S1992" s="84"/>
      <c r="T1992" s="84"/>
      <c r="U1992" s="84"/>
      <c r="V1992" s="84"/>
      <c r="W1992" s="84"/>
      <c r="X1992" s="84"/>
    </row>
    <row r="1993" spans="1:24" ht="15" customHeight="1" x14ac:dyDescent="0.2">
      <c r="A1993" s="84"/>
      <c r="B1993" s="84"/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  <c r="S1993" s="84"/>
      <c r="T1993" s="84"/>
      <c r="U1993" s="84"/>
      <c r="V1993" s="84"/>
      <c r="W1993" s="84"/>
      <c r="X1993" s="84"/>
    </row>
    <row r="1994" spans="1:24" ht="15" customHeight="1" x14ac:dyDescent="0.2">
      <c r="A1994" s="84"/>
      <c r="B1994" s="84"/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  <c r="S1994" s="84"/>
      <c r="T1994" s="84"/>
      <c r="U1994" s="84"/>
      <c r="V1994" s="84"/>
      <c r="W1994" s="84"/>
      <c r="X1994" s="84"/>
    </row>
    <row r="1995" spans="1:24" ht="15" customHeight="1" x14ac:dyDescent="0.2">
      <c r="A1995" s="84"/>
      <c r="B1995" s="84"/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  <c r="S1995" s="84"/>
      <c r="T1995" s="84"/>
      <c r="U1995" s="84"/>
      <c r="V1995" s="84"/>
      <c r="W1995" s="84"/>
      <c r="X1995" s="84"/>
    </row>
    <row r="1996" spans="1:24" ht="15" customHeight="1" x14ac:dyDescent="0.2">
      <c r="A1996" s="84"/>
      <c r="B1996" s="84"/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  <c r="S1996" s="84"/>
      <c r="T1996" s="84"/>
      <c r="U1996" s="84"/>
      <c r="V1996" s="84"/>
      <c r="W1996" s="84"/>
      <c r="X1996" s="84"/>
    </row>
    <row r="1997" spans="1:24" ht="15" customHeight="1" x14ac:dyDescent="0.2">
      <c r="A1997" s="84"/>
      <c r="B1997" s="84"/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  <c r="S1997" s="84"/>
      <c r="T1997" s="84"/>
      <c r="U1997" s="84"/>
      <c r="V1997" s="84"/>
      <c r="W1997" s="84"/>
      <c r="X1997" s="84"/>
    </row>
    <row r="1998" spans="1:24" ht="15" customHeight="1" x14ac:dyDescent="0.2">
      <c r="A1998" s="84"/>
      <c r="B1998" s="84"/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  <c r="S1998" s="84"/>
      <c r="T1998" s="84"/>
      <c r="U1998" s="84"/>
      <c r="V1998" s="84"/>
      <c r="W1998" s="84"/>
      <c r="X1998" s="84"/>
    </row>
    <row r="1999" spans="1:24" ht="15" customHeight="1" x14ac:dyDescent="0.2">
      <c r="A1999" s="84"/>
      <c r="B1999" s="84"/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  <c r="S1999" s="84"/>
      <c r="T1999" s="84"/>
      <c r="U1999" s="84"/>
      <c r="V1999" s="84"/>
      <c r="W1999" s="84"/>
      <c r="X1999" s="84"/>
    </row>
    <row r="2000" spans="1:24" ht="15" customHeight="1" x14ac:dyDescent="0.2">
      <c r="A2000" s="84"/>
      <c r="B2000" s="84"/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  <c r="S2000" s="84"/>
      <c r="T2000" s="84"/>
      <c r="U2000" s="84"/>
      <c r="V2000" s="84"/>
      <c r="W2000" s="84"/>
      <c r="X2000" s="84"/>
    </row>
    <row r="2001" spans="1:24" ht="15" customHeight="1" x14ac:dyDescent="0.2">
      <c r="A2001" s="84"/>
      <c r="B2001" s="84"/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  <c r="S2001" s="84"/>
      <c r="T2001" s="84"/>
      <c r="U2001" s="84"/>
      <c r="V2001" s="84"/>
      <c r="W2001" s="84"/>
      <c r="X2001" s="84"/>
    </row>
    <row r="2002" spans="1:24" ht="15" customHeight="1" x14ac:dyDescent="0.2">
      <c r="A2002" s="84"/>
      <c r="B2002" s="84"/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  <c r="S2002" s="84"/>
      <c r="T2002" s="84"/>
      <c r="U2002" s="84"/>
      <c r="V2002" s="84"/>
      <c r="W2002" s="84"/>
      <c r="X2002" s="84"/>
    </row>
    <row r="2003" spans="1:24" ht="15" customHeight="1" x14ac:dyDescent="0.2">
      <c r="A2003" s="84"/>
      <c r="B2003" s="84"/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  <c r="S2003" s="84"/>
      <c r="T2003" s="84"/>
      <c r="U2003" s="84"/>
      <c r="V2003" s="84"/>
      <c r="W2003" s="84"/>
      <c r="X2003" s="84"/>
    </row>
    <row r="2004" spans="1:24" ht="15" customHeight="1" x14ac:dyDescent="0.2">
      <c r="A2004" s="84"/>
      <c r="B2004" s="84"/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  <c r="R2004" s="84"/>
      <c r="S2004" s="84"/>
      <c r="T2004" s="84"/>
      <c r="U2004" s="84"/>
      <c r="V2004" s="84"/>
      <c r="W2004" s="84"/>
      <c r="X2004" s="84"/>
    </row>
    <row r="2005" spans="1:24" ht="15" customHeight="1" x14ac:dyDescent="0.2">
      <c r="A2005" s="84"/>
      <c r="B2005" s="84"/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  <c r="R2005" s="84"/>
      <c r="S2005" s="84"/>
      <c r="T2005" s="84"/>
      <c r="U2005" s="84"/>
      <c r="V2005" s="84"/>
      <c r="W2005" s="84"/>
      <c r="X2005" s="84"/>
    </row>
    <row r="2006" spans="1:24" ht="15" customHeight="1" x14ac:dyDescent="0.2">
      <c r="A2006" s="84"/>
      <c r="B2006" s="84"/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  <c r="R2006" s="84"/>
      <c r="S2006" s="84"/>
      <c r="T2006" s="84"/>
      <c r="U2006" s="84"/>
      <c r="V2006" s="84"/>
      <c r="W2006" s="84"/>
      <c r="X2006" s="84"/>
    </row>
    <row r="2007" spans="1:24" ht="15" customHeight="1" x14ac:dyDescent="0.2">
      <c r="A2007" s="84"/>
      <c r="B2007" s="84"/>
      <c r="C2007" s="84"/>
      <c r="D2007" s="84"/>
      <c r="E2007" s="84"/>
      <c r="F2007" s="84"/>
      <c r="G2007" s="84"/>
      <c r="H2007" s="84"/>
      <c r="I2007" s="84"/>
      <c r="J2007" s="84"/>
      <c r="K2007" s="84"/>
      <c r="L2007" s="84"/>
      <c r="M2007" s="84"/>
      <c r="N2007" s="84"/>
      <c r="O2007" s="84"/>
      <c r="P2007" s="84"/>
      <c r="Q2007" s="84"/>
      <c r="R2007" s="84"/>
      <c r="S2007" s="84"/>
      <c r="T2007" s="84"/>
      <c r="U2007" s="84"/>
      <c r="V2007" s="84"/>
      <c r="W2007" s="84"/>
      <c r="X2007" s="84"/>
    </row>
    <row r="2008" spans="1:24" ht="15" customHeight="1" x14ac:dyDescent="0.2">
      <c r="A2008" s="84"/>
      <c r="B2008" s="84"/>
      <c r="C2008" s="84"/>
      <c r="D2008" s="84"/>
      <c r="E2008" s="84"/>
      <c r="F2008" s="84"/>
      <c r="G2008" s="84"/>
      <c r="H2008" s="84"/>
      <c r="I2008" s="84"/>
      <c r="J2008" s="84"/>
      <c r="K2008" s="84"/>
      <c r="L2008" s="84"/>
      <c r="M2008" s="84"/>
      <c r="N2008" s="84"/>
      <c r="O2008" s="84"/>
      <c r="P2008" s="84"/>
      <c r="Q2008" s="84"/>
      <c r="R2008" s="84"/>
      <c r="S2008" s="84"/>
      <c r="T2008" s="84"/>
      <c r="U2008" s="84"/>
      <c r="V2008" s="84"/>
      <c r="W2008" s="84"/>
      <c r="X2008" s="84"/>
    </row>
    <row r="2009" spans="1:24" ht="15" customHeight="1" x14ac:dyDescent="0.2">
      <c r="A2009" s="84"/>
      <c r="B2009" s="84"/>
      <c r="C2009" s="84"/>
      <c r="D2009" s="84"/>
      <c r="E2009" s="84"/>
      <c r="F2009" s="84"/>
      <c r="G2009" s="84"/>
      <c r="H2009" s="84"/>
      <c r="I2009" s="84"/>
      <c r="J2009" s="84"/>
      <c r="K2009" s="84"/>
      <c r="L2009" s="84"/>
      <c r="M2009" s="84"/>
      <c r="N2009" s="84"/>
      <c r="O2009" s="84"/>
      <c r="P2009" s="84"/>
      <c r="Q2009" s="84"/>
      <c r="R2009" s="84"/>
      <c r="S2009" s="84"/>
      <c r="T2009" s="84"/>
      <c r="U2009" s="84"/>
      <c r="V2009" s="84"/>
      <c r="W2009" s="84"/>
      <c r="X2009" s="84"/>
    </row>
    <row r="2010" spans="1:24" ht="15" customHeight="1" x14ac:dyDescent="0.2">
      <c r="A2010" s="84"/>
      <c r="B2010" s="84"/>
      <c r="C2010" s="84"/>
      <c r="D2010" s="84"/>
      <c r="E2010" s="84"/>
      <c r="F2010" s="84"/>
      <c r="G2010" s="84"/>
      <c r="H2010" s="84"/>
      <c r="I2010" s="84"/>
      <c r="J2010" s="84"/>
      <c r="K2010" s="84"/>
      <c r="L2010" s="84"/>
      <c r="M2010" s="84"/>
      <c r="N2010" s="84"/>
      <c r="O2010" s="84"/>
      <c r="P2010" s="84"/>
      <c r="Q2010" s="84"/>
      <c r="R2010" s="84"/>
      <c r="S2010" s="84"/>
      <c r="T2010" s="84"/>
      <c r="U2010" s="84"/>
      <c r="V2010" s="84"/>
      <c r="W2010" s="84"/>
      <c r="X2010" s="84"/>
    </row>
    <row r="2011" spans="1:24" ht="15" customHeight="1" x14ac:dyDescent="0.2">
      <c r="A2011" s="84"/>
      <c r="B2011" s="84"/>
      <c r="C2011" s="84"/>
      <c r="D2011" s="84"/>
      <c r="E2011" s="84"/>
      <c r="F2011" s="84"/>
      <c r="G2011" s="84"/>
      <c r="H2011" s="84"/>
      <c r="I2011" s="84"/>
      <c r="J2011" s="84"/>
      <c r="K2011" s="84"/>
      <c r="L2011" s="84"/>
      <c r="M2011" s="84"/>
      <c r="N2011" s="84"/>
      <c r="O2011" s="84"/>
      <c r="P2011" s="84"/>
      <c r="Q2011" s="84"/>
      <c r="R2011" s="84"/>
      <c r="S2011" s="84"/>
      <c r="T2011" s="84"/>
      <c r="U2011" s="84"/>
      <c r="V2011" s="84"/>
      <c r="W2011" s="84"/>
      <c r="X2011" s="84"/>
    </row>
    <row r="2012" spans="1:24" ht="15" customHeight="1" x14ac:dyDescent="0.2">
      <c r="A2012" s="84"/>
      <c r="B2012" s="84"/>
      <c r="C2012" s="84"/>
      <c r="D2012" s="84"/>
      <c r="E2012" s="84"/>
      <c r="F2012" s="84"/>
      <c r="G2012" s="84"/>
      <c r="H2012" s="84"/>
      <c r="I2012" s="84"/>
      <c r="J2012" s="84"/>
      <c r="K2012" s="84"/>
      <c r="L2012" s="84"/>
      <c r="M2012" s="84"/>
      <c r="N2012" s="84"/>
      <c r="O2012" s="84"/>
      <c r="P2012" s="84"/>
      <c r="Q2012" s="84"/>
      <c r="R2012" s="84"/>
      <c r="S2012" s="84"/>
      <c r="T2012" s="84"/>
      <c r="U2012" s="84"/>
      <c r="V2012" s="84"/>
      <c r="W2012" s="84"/>
      <c r="X2012" s="84"/>
    </row>
    <row r="2013" spans="1:24" ht="15" customHeight="1" x14ac:dyDescent="0.2">
      <c r="A2013" s="84"/>
      <c r="B2013" s="84"/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  <c r="R2013" s="84"/>
      <c r="S2013" s="84"/>
      <c r="T2013" s="84"/>
      <c r="U2013" s="84"/>
      <c r="V2013" s="84"/>
      <c r="W2013" s="84"/>
      <c r="X2013" s="84"/>
    </row>
    <row r="2014" spans="1:24" ht="15" customHeight="1" x14ac:dyDescent="0.2">
      <c r="A2014" s="84"/>
      <c r="B2014" s="84"/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  <c r="R2014" s="84"/>
      <c r="S2014" s="84"/>
      <c r="T2014" s="84"/>
      <c r="U2014" s="84"/>
      <c r="V2014" s="84"/>
      <c r="W2014" s="84"/>
      <c r="X2014" s="84"/>
    </row>
    <row r="2015" spans="1:24" ht="15" customHeight="1" x14ac:dyDescent="0.2">
      <c r="A2015" s="84"/>
      <c r="B2015" s="84"/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  <c r="R2015" s="84"/>
      <c r="S2015" s="84"/>
      <c r="T2015" s="84"/>
      <c r="U2015" s="84"/>
      <c r="V2015" s="84"/>
      <c r="W2015" s="84"/>
      <c r="X2015" s="84"/>
    </row>
    <row r="2016" spans="1:24" ht="15" customHeight="1" x14ac:dyDescent="0.2">
      <c r="A2016" s="84"/>
      <c r="B2016" s="84"/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  <c r="R2016" s="84"/>
      <c r="S2016" s="84"/>
      <c r="T2016" s="84"/>
      <c r="U2016" s="84"/>
      <c r="V2016" s="84"/>
      <c r="W2016" s="84"/>
      <c r="X2016" s="84"/>
    </row>
    <row r="2017" spans="1:24" ht="15" customHeight="1" x14ac:dyDescent="0.2">
      <c r="A2017" s="84"/>
      <c r="B2017" s="84"/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  <c r="R2017" s="84"/>
      <c r="S2017" s="84"/>
      <c r="T2017" s="84"/>
      <c r="U2017" s="84"/>
      <c r="V2017" s="84"/>
      <c r="W2017" s="84"/>
      <c r="X2017" s="84"/>
    </row>
    <row r="2018" spans="1:24" ht="15" customHeight="1" x14ac:dyDescent="0.2">
      <c r="A2018" s="84"/>
      <c r="B2018" s="84"/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  <c r="R2018" s="84"/>
      <c r="S2018" s="84"/>
      <c r="T2018" s="84"/>
      <c r="U2018" s="84"/>
      <c r="V2018" s="84"/>
      <c r="W2018" s="84"/>
      <c r="X2018" s="84"/>
    </row>
    <row r="2019" spans="1:24" ht="15" customHeight="1" x14ac:dyDescent="0.2">
      <c r="A2019" s="84"/>
      <c r="B2019" s="84"/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  <c r="R2019" s="84"/>
      <c r="S2019" s="84"/>
      <c r="T2019" s="84"/>
      <c r="U2019" s="84"/>
      <c r="V2019" s="84"/>
      <c r="W2019" s="84"/>
      <c r="X2019" s="84"/>
    </row>
    <row r="2020" spans="1:24" ht="15" customHeight="1" x14ac:dyDescent="0.2">
      <c r="A2020" s="84"/>
      <c r="B2020" s="84"/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  <c r="R2020" s="84"/>
      <c r="S2020" s="84"/>
      <c r="T2020" s="84"/>
      <c r="U2020" s="84"/>
      <c r="V2020" s="84"/>
      <c r="W2020" s="84"/>
      <c r="X2020" s="84"/>
    </row>
    <row r="2021" spans="1:24" ht="15" customHeight="1" x14ac:dyDescent="0.2">
      <c r="A2021" s="84"/>
      <c r="B2021" s="84"/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  <c r="R2021" s="84"/>
      <c r="S2021" s="84"/>
      <c r="T2021" s="84"/>
      <c r="U2021" s="84"/>
      <c r="V2021" s="84"/>
      <c r="W2021" s="84"/>
      <c r="X2021" s="84"/>
    </row>
    <row r="2022" spans="1:24" ht="15" customHeight="1" x14ac:dyDescent="0.2">
      <c r="A2022" s="84"/>
      <c r="B2022" s="84"/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  <c r="R2022" s="84"/>
      <c r="S2022" s="84"/>
      <c r="T2022" s="84"/>
      <c r="U2022" s="84"/>
      <c r="V2022" s="84"/>
      <c r="W2022" s="84"/>
      <c r="X2022" s="84"/>
    </row>
    <row r="2023" spans="1:24" ht="15" customHeight="1" x14ac:dyDescent="0.2">
      <c r="A2023" s="84"/>
      <c r="B2023" s="84"/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  <c r="R2023" s="84"/>
      <c r="S2023" s="84"/>
      <c r="T2023" s="84"/>
      <c r="U2023" s="84"/>
      <c r="V2023" s="84"/>
      <c r="W2023" s="84"/>
      <c r="X2023" s="84"/>
    </row>
    <row r="2024" spans="1:24" ht="15" customHeight="1" x14ac:dyDescent="0.2">
      <c r="A2024" s="84"/>
      <c r="B2024" s="84"/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  <c r="R2024" s="84"/>
      <c r="S2024" s="84"/>
      <c r="T2024" s="84"/>
      <c r="U2024" s="84"/>
      <c r="V2024" s="84"/>
      <c r="W2024" s="84"/>
      <c r="X2024" s="84"/>
    </row>
    <row r="2025" spans="1:24" ht="15" customHeight="1" x14ac:dyDescent="0.2">
      <c r="A2025" s="84"/>
      <c r="B2025" s="84"/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  <c r="R2025" s="84"/>
      <c r="S2025" s="84"/>
      <c r="T2025" s="84"/>
      <c r="U2025" s="84"/>
      <c r="V2025" s="84"/>
      <c r="W2025" s="84"/>
      <c r="X2025" s="84"/>
    </row>
    <row r="2026" spans="1:24" ht="15" customHeight="1" x14ac:dyDescent="0.2">
      <c r="A2026" s="84"/>
      <c r="B2026" s="84"/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  <c r="R2026" s="84"/>
      <c r="S2026" s="84"/>
      <c r="T2026" s="84"/>
      <c r="U2026" s="84"/>
      <c r="V2026" s="84"/>
      <c r="W2026" s="84"/>
      <c r="X2026" s="84"/>
    </row>
    <row r="2027" spans="1:24" ht="15" customHeight="1" x14ac:dyDescent="0.2">
      <c r="A2027" s="84"/>
      <c r="B2027" s="84"/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  <c r="S2027" s="84"/>
      <c r="T2027" s="84"/>
      <c r="U2027" s="84"/>
      <c r="V2027" s="84"/>
      <c r="W2027" s="84"/>
      <c r="X2027" s="84"/>
    </row>
    <row r="2028" spans="1:24" ht="15" customHeight="1" x14ac:dyDescent="0.2">
      <c r="A2028" s="84"/>
      <c r="B2028" s="84"/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  <c r="S2028" s="84"/>
      <c r="T2028" s="84"/>
      <c r="U2028" s="84"/>
      <c r="V2028" s="84"/>
      <c r="W2028" s="84"/>
      <c r="X2028" s="84"/>
    </row>
    <row r="2029" spans="1:24" ht="15" customHeight="1" x14ac:dyDescent="0.2">
      <c r="A2029" s="84"/>
      <c r="B2029" s="84"/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  <c r="S2029" s="84"/>
      <c r="T2029" s="84"/>
      <c r="U2029" s="84"/>
      <c r="V2029" s="84"/>
      <c r="W2029" s="84"/>
      <c r="X2029" s="84"/>
    </row>
    <row r="2030" spans="1:24" ht="15" customHeight="1" x14ac:dyDescent="0.2">
      <c r="A2030" s="84"/>
      <c r="B2030" s="84"/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  <c r="S2030" s="84"/>
      <c r="T2030" s="84"/>
      <c r="U2030" s="84"/>
      <c r="V2030" s="84"/>
      <c r="W2030" s="84"/>
      <c r="X2030" s="84"/>
    </row>
    <row r="2031" spans="1:24" ht="15" customHeight="1" x14ac:dyDescent="0.2">
      <c r="A2031" s="84"/>
      <c r="B2031" s="84"/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  <c r="S2031" s="84"/>
      <c r="T2031" s="84"/>
      <c r="U2031" s="84"/>
      <c r="V2031" s="84"/>
      <c r="W2031" s="84"/>
      <c r="X2031" s="84"/>
    </row>
    <row r="2032" spans="1:24" ht="15" customHeight="1" x14ac:dyDescent="0.2">
      <c r="A2032" s="84"/>
      <c r="B2032" s="84"/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  <c r="S2032" s="84"/>
      <c r="T2032" s="84"/>
      <c r="U2032" s="84"/>
      <c r="V2032" s="84"/>
      <c r="W2032" s="84"/>
      <c r="X2032" s="84"/>
    </row>
    <row r="2033" spans="1:24" ht="15" customHeight="1" x14ac:dyDescent="0.2">
      <c r="A2033" s="84"/>
      <c r="B2033" s="84"/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  <c r="S2033" s="84"/>
      <c r="T2033" s="84"/>
      <c r="U2033" s="84"/>
      <c r="V2033" s="84"/>
      <c r="W2033" s="84"/>
      <c r="X2033" s="84"/>
    </row>
    <row r="2034" spans="1:24" ht="15" customHeight="1" x14ac:dyDescent="0.2">
      <c r="A2034" s="84"/>
      <c r="B2034" s="84"/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  <c r="S2034" s="84"/>
      <c r="T2034" s="84"/>
      <c r="U2034" s="84"/>
      <c r="V2034" s="84"/>
      <c r="W2034" s="84"/>
      <c r="X2034" s="84"/>
    </row>
    <row r="2035" spans="1:24" ht="15" customHeight="1" x14ac:dyDescent="0.2">
      <c r="A2035" s="84"/>
      <c r="B2035" s="84"/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  <c r="S2035" s="84"/>
      <c r="T2035" s="84"/>
      <c r="U2035" s="84"/>
      <c r="V2035" s="84"/>
      <c r="W2035" s="84"/>
      <c r="X2035" s="84"/>
    </row>
    <row r="2036" spans="1:24" ht="15" customHeight="1" x14ac:dyDescent="0.2">
      <c r="A2036" s="84"/>
      <c r="B2036" s="84"/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  <c r="S2036" s="84"/>
      <c r="T2036" s="84"/>
      <c r="U2036" s="84"/>
      <c r="V2036" s="84"/>
      <c r="W2036" s="84"/>
      <c r="X2036" s="84"/>
    </row>
    <row r="2037" spans="1:24" ht="15" customHeight="1" x14ac:dyDescent="0.2">
      <c r="A2037" s="84"/>
      <c r="B2037" s="84"/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  <c r="S2037" s="84"/>
      <c r="T2037" s="84"/>
      <c r="U2037" s="84"/>
      <c r="V2037" s="84"/>
      <c r="W2037" s="84"/>
      <c r="X2037" s="84"/>
    </row>
    <row r="2038" spans="1:24" ht="15" customHeight="1" x14ac:dyDescent="0.2">
      <c r="A2038" s="84"/>
      <c r="B2038" s="84"/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  <c r="S2038" s="84"/>
      <c r="T2038" s="84"/>
      <c r="U2038" s="84"/>
      <c r="V2038" s="84"/>
      <c r="W2038" s="84"/>
      <c r="X2038" s="84"/>
    </row>
    <row r="2039" spans="1:24" ht="15" customHeight="1" x14ac:dyDescent="0.2">
      <c r="A2039" s="84"/>
      <c r="B2039" s="84"/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  <c r="S2039" s="84"/>
      <c r="T2039" s="84"/>
      <c r="U2039" s="84"/>
      <c r="V2039" s="84"/>
      <c r="W2039" s="84"/>
      <c r="X2039" s="84"/>
    </row>
    <row r="2040" spans="1:24" ht="15" customHeight="1" x14ac:dyDescent="0.2">
      <c r="A2040" s="84"/>
      <c r="B2040" s="84"/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  <c r="S2040" s="84"/>
      <c r="T2040" s="84"/>
      <c r="U2040" s="84"/>
      <c r="V2040" s="84"/>
      <c r="W2040" s="84"/>
      <c r="X2040" s="84"/>
    </row>
    <row r="2041" spans="1:24" ht="15" customHeight="1" x14ac:dyDescent="0.2">
      <c r="A2041" s="84"/>
      <c r="B2041" s="84"/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  <c r="S2041" s="84"/>
      <c r="T2041" s="84"/>
      <c r="U2041" s="84"/>
      <c r="V2041" s="84"/>
      <c r="W2041" s="84"/>
      <c r="X2041" s="84"/>
    </row>
    <row r="2042" spans="1:24" ht="15" customHeight="1" x14ac:dyDescent="0.2">
      <c r="A2042" s="84"/>
      <c r="B2042" s="84"/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  <c r="S2042" s="84"/>
      <c r="T2042" s="84"/>
      <c r="U2042" s="84"/>
      <c r="V2042" s="84"/>
      <c r="W2042" s="84"/>
      <c r="X2042" s="84"/>
    </row>
    <row r="2043" spans="1:24" ht="15" customHeight="1" x14ac:dyDescent="0.2">
      <c r="A2043" s="84"/>
      <c r="B2043" s="84"/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  <c r="S2043" s="84"/>
      <c r="T2043" s="84"/>
      <c r="U2043" s="84"/>
      <c r="V2043" s="84"/>
      <c r="W2043" s="84"/>
      <c r="X2043" s="84"/>
    </row>
    <row r="2044" spans="1:24" ht="15" customHeight="1" x14ac:dyDescent="0.2">
      <c r="A2044" s="84"/>
      <c r="B2044" s="84"/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  <c r="S2044" s="84"/>
      <c r="T2044" s="84"/>
      <c r="U2044" s="84"/>
      <c r="V2044" s="84"/>
      <c r="W2044" s="84"/>
      <c r="X2044" s="84"/>
    </row>
    <row r="2045" spans="1:24" ht="15" customHeight="1" x14ac:dyDescent="0.2">
      <c r="A2045" s="84"/>
      <c r="B2045" s="84"/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  <c r="S2045" s="84"/>
      <c r="T2045" s="84"/>
      <c r="U2045" s="84"/>
      <c r="V2045" s="84"/>
      <c r="W2045" s="84"/>
      <c r="X2045" s="84"/>
    </row>
    <row r="2046" spans="1:24" ht="15" customHeight="1" x14ac:dyDescent="0.2">
      <c r="A2046" s="84"/>
      <c r="B2046" s="84"/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  <c r="S2046" s="84"/>
      <c r="T2046" s="84"/>
      <c r="U2046" s="84"/>
      <c r="V2046" s="84"/>
      <c r="W2046" s="84"/>
      <c r="X2046" s="84"/>
    </row>
    <row r="2047" spans="1:24" ht="15" customHeight="1" x14ac:dyDescent="0.2">
      <c r="A2047" s="84"/>
      <c r="B2047" s="84"/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  <c r="S2047" s="84"/>
      <c r="T2047" s="84"/>
      <c r="U2047" s="84"/>
      <c r="V2047" s="84"/>
      <c r="W2047" s="84"/>
      <c r="X2047" s="84"/>
    </row>
    <row r="2048" spans="1:24" ht="15" customHeight="1" x14ac:dyDescent="0.2">
      <c r="A2048" s="84"/>
      <c r="B2048" s="84"/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  <c r="S2048" s="84"/>
      <c r="T2048" s="84"/>
      <c r="U2048" s="84"/>
      <c r="V2048" s="84"/>
      <c r="W2048" s="84"/>
      <c r="X2048" s="84"/>
    </row>
    <row r="2049" spans="1:24" ht="15" customHeight="1" x14ac:dyDescent="0.2">
      <c r="A2049" s="84"/>
      <c r="B2049" s="84"/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  <c r="S2049" s="84"/>
      <c r="T2049" s="84"/>
      <c r="U2049" s="84"/>
      <c r="V2049" s="84"/>
      <c r="W2049" s="84"/>
      <c r="X2049" s="84"/>
    </row>
    <row r="2050" spans="1:24" ht="15" customHeight="1" x14ac:dyDescent="0.2">
      <c r="A2050" s="84"/>
      <c r="B2050" s="84"/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  <c r="R2050" s="84"/>
      <c r="S2050" s="84"/>
      <c r="T2050" s="84"/>
      <c r="U2050" s="84"/>
      <c r="V2050" s="84"/>
      <c r="W2050" s="84"/>
      <c r="X2050" s="84"/>
    </row>
    <row r="2051" spans="1:24" ht="15" customHeight="1" x14ac:dyDescent="0.2">
      <c r="A2051" s="84"/>
      <c r="B2051" s="84"/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  <c r="R2051" s="84"/>
      <c r="S2051" s="84"/>
      <c r="T2051" s="84"/>
      <c r="U2051" s="84"/>
      <c r="V2051" s="84"/>
      <c r="W2051" s="84"/>
      <c r="X2051" s="84"/>
    </row>
    <row r="2052" spans="1:24" ht="15" customHeight="1" x14ac:dyDescent="0.2">
      <c r="A2052" s="84"/>
      <c r="B2052" s="84"/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  <c r="R2052" s="84"/>
      <c r="S2052" s="84"/>
      <c r="T2052" s="84"/>
      <c r="U2052" s="84"/>
      <c r="V2052" s="84"/>
      <c r="W2052" s="84"/>
      <c r="X2052" s="84"/>
    </row>
    <row r="2053" spans="1:24" ht="15" customHeight="1" x14ac:dyDescent="0.2">
      <c r="A2053" s="84"/>
      <c r="B2053" s="84"/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  <c r="R2053" s="84"/>
      <c r="S2053" s="84"/>
      <c r="T2053" s="84"/>
      <c r="U2053" s="84"/>
      <c r="V2053" s="84"/>
      <c r="W2053" s="84"/>
      <c r="X2053" s="84"/>
    </row>
    <row r="2054" spans="1:24" ht="15" customHeight="1" x14ac:dyDescent="0.2">
      <c r="A2054" s="84"/>
      <c r="B2054" s="84"/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  <c r="R2054" s="84"/>
      <c r="S2054" s="84"/>
      <c r="T2054" s="84"/>
      <c r="U2054" s="84"/>
      <c r="V2054" s="84"/>
      <c r="W2054" s="84"/>
      <c r="X2054" s="84"/>
    </row>
    <row r="2055" spans="1:24" ht="15" customHeight="1" x14ac:dyDescent="0.2">
      <c r="A2055" s="84"/>
      <c r="B2055" s="84"/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  <c r="R2055" s="84"/>
      <c r="S2055" s="84"/>
      <c r="T2055" s="84"/>
      <c r="U2055" s="84"/>
      <c r="V2055" s="84"/>
      <c r="W2055" s="84"/>
      <c r="X2055" s="84"/>
    </row>
    <row r="2056" spans="1:24" ht="15" customHeight="1" x14ac:dyDescent="0.2">
      <c r="A2056" s="84"/>
      <c r="B2056" s="84"/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  <c r="R2056" s="84"/>
      <c r="S2056" s="84"/>
      <c r="T2056" s="84"/>
      <c r="U2056" s="84"/>
      <c r="V2056" s="84"/>
      <c r="W2056" s="84"/>
      <c r="X2056" s="84"/>
    </row>
    <row r="2057" spans="1:24" ht="15" customHeight="1" x14ac:dyDescent="0.2">
      <c r="A2057" s="84"/>
      <c r="B2057" s="84"/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  <c r="R2057" s="84"/>
      <c r="S2057" s="84"/>
      <c r="T2057" s="84"/>
      <c r="U2057" s="84"/>
      <c r="V2057" s="84"/>
      <c r="W2057" s="84"/>
      <c r="X2057" s="84"/>
    </row>
    <row r="2058" spans="1:24" ht="15" customHeight="1" x14ac:dyDescent="0.2">
      <c r="A2058" s="84"/>
      <c r="B2058" s="84"/>
      <c r="C2058" s="84"/>
      <c r="D2058" s="84"/>
      <c r="E2058" s="84"/>
      <c r="F2058" s="84"/>
      <c r="G2058" s="84"/>
      <c r="H2058" s="84"/>
      <c r="I2058" s="84"/>
      <c r="J2058" s="84"/>
      <c r="K2058" s="84"/>
      <c r="L2058" s="84"/>
      <c r="M2058" s="84"/>
      <c r="N2058" s="84"/>
      <c r="O2058" s="84"/>
      <c r="P2058" s="84"/>
      <c r="Q2058" s="84"/>
      <c r="R2058" s="84"/>
      <c r="S2058" s="84"/>
      <c r="T2058" s="84"/>
      <c r="U2058" s="84"/>
      <c r="V2058" s="84"/>
      <c r="W2058" s="84"/>
      <c r="X2058" s="84"/>
    </row>
    <row r="2059" spans="1:24" ht="15" customHeight="1" x14ac:dyDescent="0.2">
      <c r="A2059" s="84"/>
      <c r="B2059" s="84"/>
      <c r="C2059" s="84"/>
      <c r="D2059" s="84"/>
      <c r="E2059" s="84"/>
      <c r="F2059" s="84"/>
      <c r="G2059" s="84"/>
      <c r="H2059" s="84"/>
      <c r="I2059" s="84"/>
      <c r="J2059" s="84"/>
      <c r="K2059" s="84"/>
      <c r="L2059" s="84"/>
      <c r="M2059" s="84"/>
      <c r="N2059" s="84"/>
      <c r="O2059" s="84"/>
      <c r="P2059" s="84"/>
      <c r="Q2059" s="84"/>
      <c r="R2059" s="84"/>
      <c r="S2059" s="84"/>
      <c r="T2059" s="84"/>
      <c r="U2059" s="84"/>
      <c r="V2059" s="84"/>
      <c r="W2059" s="84"/>
      <c r="X2059" s="84"/>
    </row>
    <row r="2060" spans="1:24" ht="15" customHeight="1" x14ac:dyDescent="0.2">
      <c r="A2060" s="84"/>
      <c r="B2060" s="84"/>
      <c r="C2060" s="84"/>
      <c r="D2060" s="84"/>
      <c r="E2060" s="84"/>
      <c r="F2060" s="84"/>
      <c r="G2060" s="84"/>
      <c r="H2060" s="84"/>
      <c r="I2060" s="84"/>
      <c r="J2060" s="84"/>
      <c r="K2060" s="84"/>
      <c r="L2060" s="84"/>
      <c r="M2060" s="84"/>
      <c r="N2060" s="84"/>
      <c r="O2060" s="84"/>
      <c r="P2060" s="84"/>
      <c r="Q2060" s="84"/>
      <c r="R2060" s="84"/>
      <c r="S2060" s="84"/>
      <c r="T2060" s="84"/>
      <c r="U2060" s="84"/>
      <c r="V2060" s="84"/>
      <c r="W2060" s="84"/>
      <c r="X2060" s="84"/>
    </row>
    <row r="2061" spans="1:24" ht="15" customHeight="1" x14ac:dyDescent="0.2">
      <c r="A2061" s="84"/>
      <c r="B2061" s="84"/>
      <c r="C2061" s="84"/>
      <c r="D2061" s="84"/>
      <c r="E2061" s="84"/>
      <c r="F2061" s="84"/>
      <c r="G2061" s="84"/>
      <c r="H2061" s="84"/>
      <c r="I2061" s="84"/>
      <c r="J2061" s="84"/>
      <c r="K2061" s="84"/>
      <c r="L2061" s="84"/>
      <c r="M2061" s="84"/>
      <c r="N2061" s="84"/>
      <c r="O2061" s="84"/>
      <c r="P2061" s="84"/>
      <c r="Q2061" s="84"/>
      <c r="R2061" s="84"/>
      <c r="S2061" s="84"/>
      <c r="T2061" s="84"/>
      <c r="U2061" s="84"/>
      <c r="V2061" s="84"/>
      <c r="W2061" s="84"/>
      <c r="X2061" s="84"/>
    </row>
    <row r="2062" spans="1:24" ht="15" customHeight="1" x14ac:dyDescent="0.2">
      <c r="A2062" s="84"/>
      <c r="B2062" s="84"/>
      <c r="C2062" s="84"/>
      <c r="D2062" s="84"/>
      <c r="E2062" s="84"/>
      <c r="F2062" s="84"/>
      <c r="G2062" s="84"/>
      <c r="H2062" s="84"/>
      <c r="I2062" s="84"/>
      <c r="J2062" s="84"/>
      <c r="K2062" s="84"/>
      <c r="L2062" s="84"/>
      <c r="M2062" s="84"/>
      <c r="N2062" s="84"/>
      <c r="O2062" s="84"/>
      <c r="P2062" s="84"/>
      <c r="Q2062" s="84"/>
      <c r="R2062" s="84"/>
      <c r="S2062" s="84"/>
      <c r="T2062" s="84"/>
      <c r="U2062" s="84"/>
      <c r="V2062" s="84"/>
      <c r="W2062" s="84"/>
      <c r="X2062" s="84"/>
    </row>
    <row r="2063" spans="1:24" ht="15" customHeight="1" x14ac:dyDescent="0.2">
      <c r="A2063" s="84"/>
      <c r="B2063" s="84"/>
      <c r="C2063" s="84"/>
      <c r="D2063" s="84"/>
      <c r="E2063" s="84"/>
      <c r="F2063" s="84"/>
      <c r="G2063" s="84"/>
      <c r="H2063" s="84"/>
      <c r="I2063" s="84"/>
      <c r="J2063" s="84"/>
      <c r="K2063" s="84"/>
      <c r="L2063" s="84"/>
      <c r="M2063" s="84"/>
      <c r="N2063" s="84"/>
      <c r="O2063" s="84"/>
      <c r="P2063" s="84"/>
      <c r="Q2063" s="84"/>
      <c r="R2063" s="84"/>
      <c r="S2063" s="84"/>
      <c r="T2063" s="84"/>
      <c r="U2063" s="84"/>
      <c r="V2063" s="84"/>
      <c r="W2063" s="84"/>
      <c r="X2063" s="84"/>
    </row>
    <row r="2064" spans="1:24" ht="15" customHeight="1" x14ac:dyDescent="0.2">
      <c r="A2064" s="84"/>
      <c r="B2064" s="84"/>
      <c r="C2064" s="84"/>
      <c r="D2064" s="84"/>
      <c r="E2064" s="84"/>
      <c r="F2064" s="84"/>
      <c r="G2064" s="84"/>
      <c r="H2064" s="84"/>
      <c r="I2064" s="84"/>
      <c r="J2064" s="84"/>
      <c r="K2064" s="84"/>
      <c r="L2064" s="84"/>
      <c r="M2064" s="84"/>
      <c r="N2064" s="84"/>
      <c r="O2064" s="84"/>
      <c r="P2064" s="84"/>
      <c r="Q2064" s="84"/>
      <c r="R2064" s="84"/>
      <c r="S2064" s="84"/>
      <c r="T2064" s="84"/>
      <c r="U2064" s="84"/>
      <c r="V2064" s="84"/>
      <c r="W2064" s="84"/>
      <c r="X2064" s="84"/>
    </row>
    <row r="2065" spans="1:24" ht="15" customHeight="1" x14ac:dyDescent="0.2">
      <c r="A2065" s="84"/>
      <c r="B2065" s="84"/>
      <c r="C2065" s="84"/>
      <c r="D2065" s="84"/>
      <c r="E2065" s="84"/>
      <c r="F2065" s="84"/>
      <c r="G2065" s="84"/>
      <c r="H2065" s="84"/>
      <c r="I2065" s="84"/>
      <c r="J2065" s="84"/>
      <c r="K2065" s="84"/>
      <c r="L2065" s="84"/>
      <c r="M2065" s="84"/>
      <c r="N2065" s="84"/>
      <c r="O2065" s="84"/>
      <c r="P2065" s="84"/>
      <c r="Q2065" s="84"/>
      <c r="R2065" s="84"/>
      <c r="S2065" s="84"/>
      <c r="T2065" s="84"/>
      <c r="U2065" s="84"/>
      <c r="V2065" s="84"/>
      <c r="W2065" s="84"/>
      <c r="X2065" s="84"/>
    </row>
    <row r="2066" spans="1:24" ht="15" customHeight="1" x14ac:dyDescent="0.2">
      <c r="A2066" s="84"/>
      <c r="B2066" s="84"/>
      <c r="C2066" s="84"/>
      <c r="D2066" s="84"/>
      <c r="E2066" s="84"/>
      <c r="F2066" s="84"/>
      <c r="G2066" s="84"/>
      <c r="H2066" s="84"/>
      <c r="I2066" s="84"/>
      <c r="J2066" s="84"/>
      <c r="K2066" s="84"/>
      <c r="L2066" s="84"/>
      <c r="M2066" s="84"/>
      <c r="N2066" s="84"/>
      <c r="O2066" s="84"/>
      <c r="P2066" s="84"/>
      <c r="Q2066" s="84"/>
      <c r="R2066" s="84"/>
      <c r="S2066" s="84"/>
      <c r="T2066" s="84"/>
      <c r="U2066" s="84"/>
      <c r="V2066" s="84"/>
      <c r="W2066" s="84"/>
      <c r="X2066" s="84"/>
    </row>
    <row r="2067" spans="1:24" ht="15" customHeight="1" x14ac:dyDescent="0.2">
      <c r="A2067" s="84"/>
      <c r="B2067" s="84"/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  <c r="R2067" s="84"/>
      <c r="S2067" s="84"/>
      <c r="T2067" s="84"/>
      <c r="U2067" s="84"/>
      <c r="V2067" s="84"/>
      <c r="W2067" s="84"/>
      <c r="X2067" s="84"/>
    </row>
    <row r="2068" spans="1:24" ht="15" customHeight="1" x14ac:dyDescent="0.2">
      <c r="A2068" s="84"/>
      <c r="B2068" s="84"/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  <c r="R2068" s="84"/>
      <c r="S2068" s="84"/>
      <c r="T2068" s="84"/>
      <c r="U2068" s="84"/>
      <c r="V2068" s="84"/>
      <c r="W2068" s="84"/>
      <c r="X2068" s="84"/>
    </row>
    <row r="2069" spans="1:24" ht="15" customHeight="1" x14ac:dyDescent="0.2">
      <c r="A2069" s="84"/>
      <c r="B2069" s="84"/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  <c r="R2069" s="84"/>
      <c r="S2069" s="84"/>
      <c r="T2069" s="84"/>
      <c r="U2069" s="84"/>
      <c r="V2069" s="84"/>
      <c r="W2069" s="84"/>
      <c r="X2069" s="84"/>
    </row>
    <row r="2070" spans="1:24" ht="15" customHeight="1" x14ac:dyDescent="0.2">
      <c r="A2070" s="84"/>
      <c r="B2070" s="84"/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  <c r="R2070" s="84"/>
      <c r="S2070" s="84"/>
      <c r="T2070" s="84"/>
      <c r="U2070" s="84"/>
      <c r="V2070" s="84"/>
      <c r="W2070" s="84"/>
      <c r="X2070" s="84"/>
    </row>
    <row r="2071" spans="1:24" ht="15" customHeight="1" x14ac:dyDescent="0.2">
      <c r="A2071" s="84"/>
      <c r="B2071" s="84"/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  <c r="R2071" s="84"/>
      <c r="S2071" s="84"/>
      <c r="T2071" s="84"/>
      <c r="U2071" s="84"/>
      <c r="V2071" s="84"/>
      <c r="W2071" s="84"/>
      <c r="X2071" s="84"/>
    </row>
    <row r="2072" spans="1:24" ht="15" customHeight="1" x14ac:dyDescent="0.2">
      <c r="A2072" s="84"/>
      <c r="B2072" s="84"/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  <c r="R2072" s="84"/>
      <c r="S2072" s="84"/>
      <c r="T2072" s="84"/>
      <c r="U2072" s="84"/>
      <c r="V2072" s="84"/>
      <c r="W2072" s="84"/>
      <c r="X2072" s="84"/>
    </row>
    <row r="2073" spans="1:24" ht="15" customHeight="1" x14ac:dyDescent="0.2">
      <c r="A2073" s="84"/>
      <c r="B2073" s="84"/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  <c r="S2073" s="84"/>
      <c r="T2073" s="84"/>
      <c r="U2073" s="84"/>
      <c r="V2073" s="84"/>
      <c r="W2073" s="84"/>
      <c r="X2073" s="84"/>
    </row>
    <row r="2074" spans="1:24" ht="15" customHeight="1" x14ac:dyDescent="0.2">
      <c r="A2074" s="84"/>
      <c r="B2074" s="84"/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  <c r="S2074" s="84"/>
      <c r="T2074" s="84"/>
      <c r="U2074" s="84"/>
      <c r="V2074" s="84"/>
      <c r="W2074" s="84"/>
      <c r="X2074" s="84"/>
    </row>
    <row r="2075" spans="1:24" ht="15" customHeight="1" x14ac:dyDescent="0.2">
      <c r="A2075" s="84"/>
      <c r="B2075" s="84"/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  <c r="S2075" s="84"/>
      <c r="T2075" s="84"/>
      <c r="U2075" s="84"/>
      <c r="V2075" s="84"/>
      <c r="W2075" s="84"/>
      <c r="X2075" s="84"/>
    </row>
    <row r="2076" spans="1:24" ht="15" customHeight="1" x14ac:dyDescent="0.2">
      <c r="A2076" s="84"/>
      <c r="B2076" s="84"/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  <c r="S2076" s="84"/>
      <c r="T2076" s="84"/>
      <c r="U2076" s="84"/>
      <c r="V2076" s="84"/>
      <c r="W2076" s="84"/>
      <c r="X2076" s="84"/>
    </row>
    <row r="2077" spans="1:24" ht="15" customHeight="1" x14ac:dyDescent="0.2">
      <c r="A2077" s="84"/>
      <c r="B2077" s="84"/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  <c r="S2077" s="84"/>
      <c r="T2077" s="84"/>
      <c r="U2077" s="84"/>
      <c r="V2077" s="84"/>
      <c r="W2077" s="84"/>
      <c r="X2077" s="84"/>
    </row>
    <row r="2078" spans="1:24" ht="15" customHeight="1" x14ac:dyDescent="0.2">
      <c r="A2078" s="84"/>
      <c r="B2078" s="84"/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  <c r="S2078" s="84"/>
      <c r="T2078" s="84"/>
      <c r="U2078" s="84"/>
      <c r="V2078" s="84"/>
      <c r="W2078" s="84"/>
      <c r="X2078" s="84"/>
    </row>
    <row r="2079" spans="1:24" ht="15" customHeight="1" x14ac:dyDescent="0.2">
      <c r="A2079" s="84"/>
      <c r="B2079" s="84"/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  <c r="S2079" s="84"/>
      <c r="T2079" s="84"/>
      <c r="U2079" s="84"/>
      <c r="V2079" s="84"/>
      <c r="W2079" s="84"/>
      <c r="X2079" s="84"/>
    </row>
    <row r="2080" spans="1:24" ht="15" customHeight="1" x14ac:dyDescent="0.2">
      <c r="A2080" s="84"/>
      <c r="B2080" s="84"/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  <c r="S2080" s="84"/>
      <c r="T2080" s="84"/>
      <c r="U2080" s="84"/>
      <c r="V2080" s="84"/>
      <c r="W2080" s="84"/>
      <c r="X2080" s="84"/>
    </row>
    <row r="2081" spans="1:24" ht="15" customHeight="1" x14ac:dyDescent="0.2">
      <c r="A2081" s="84"/>
      <c r="B2081" s="84"/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  <c r="S2081" s="84"/>
      <c r="T2081" s="84"/>
      <c r="U2081" s="84"/>
      <c r="V2081" s="84"/>
      <c r="W2081" s="84"/>
      <c r="X2081" s="84"/>
    </row>
    <row r="2082" spans="1:24" ht="15" customHeight="1" x14ac:dyDescent="0.2">
      <c r="A2082" s="84"/>
      <c r="B2082" s="84"/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  <c r="S2082" s="84"/>
      <c r="T2082" s="84"/>
      <c r="U2082" s="84"/>
      <c r="V2082" s="84"/>
      <c r="W2082" s="84"/>
      <c r="X2082" s="84"/>
    </row>
    <row r="2083" spans="1:24" ht="15" customHeight="1" x14ac:dyDescent="0.2">
      <c r="A2083" s="84"/>
      <c r="B2083" s="84"/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  <c r="S2083" s="84"/>
      <c r="T2083" s="84"/>
      <c r="U2083" s="84"/>
      <c r="V2083" s="84"/>
      <c r="W2083" s="84"/>
      <c r="X2083" s="84"/>
    </row>
    <row r="2084" spans="1:24" ht="15" customHeight="1" x14ac:dyDescent="0.2">
      <c r="A2084" s="84"/>
      <c r="B2084" s="84"/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  <c r="S2084" s="84"/>
      <c r="T2084" s="84"/>
      <c r="U2084" s="84"/>
      <c r="V2084" s="84"/>
      <c r="W2084" s="84"/>
      <c r="X2084" s="84"/>
    </row>
    <row r="2085" spans="1:24" ht="15" customHeight="1" x14ac:dyDescent="0.2">
      <c r="A2085" s="84"/>
      <c r="B2085" s="84"/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  <c r="S2085" s="84"/>
      <c r="T2085" s="84"/>
      <c r="U2085" s="84"/>
      <c r="V2085" s="84"/>
      <c r="W2085" s="84"/>
      <c r="X2085" s="84"/>
    </row>
    <row r="2086" spans="1:24" ht="15" customHeight="1" x14ac:dyDescent="0.2">
      <c r="A2086" s="84"/>
      <c r="B2086" s="84"/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  <c r="S2086" s="84"/>
      <c r="T2086" s="84"/>
      <c r="U2086" s="84"/>
      <c r="V2086" s="84"/>
      <c r="W2086" s="84"/>
      <c r="X2086" s="84"/>
    </row>
    <row r="2087" spans="1:24" ht="15" customHeight="1" x14ac:dyDescent="0.2">
      <c r="A2087" s="84"/>
      <c r="B2087" s="84"/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  <c r="S2087" s="84"/>
      <c r="T2087" s="84"/>
      <c r="U2087" s="84"/>
      <c r="V2087" s="84"/>
      <c r="W2087" s="84"/>
      <c r="X2087" s="84"/>
    </row>
    <row r="2088" spans="1:24" ht="15" customHeight="1" x14ac:dyDescent="0.2">
      <c r="A2088" s="84"/>
      <c r="B2088" s="84"/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  <c r="S2088" s="84"/>
      <c r="T2088" s="84"/>
      <c r="U2088" s="84"/>
      <c r="V2088" s="84"/>
      <c r="W2088" s="84"/>
      <c r="X2088" s="84"/>
    </row>
    <row r="2089" spans="1:24" ht="15" customHeight="1" x14ac:dyDescent="0.2">
      <c r="A2089" s="84"/>
      <c r="B2089" s="84"/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  <c r="S2089" s="84"/>
      <c r="T2089" s="84"/>
      <c r="U2089" s="84"/>
      <c r="V2089" s="84"/>
      <c r="W2089" s="84"/>
      <c r="X2089" s="84"/>
    </row>
    <row r="2090" spans="1:24" ht="15" customHeight="1" x14ac:dyDescent="0.2">
      <c r="A2090" s="84"/>
      <c r="B2090" s="84"/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  <c r="S2090" s="84"/>
      <c r="T2090" s="84"/>
      <c r="U2090" s="84"/>
      <c r="V2090" s="84"/>
      <c r="W2090" s="84"/>
      <c r="X2090" s="84"/>
    </row>
    <row r="2091" spans="1:24" ht="15" customHeight="1" x14ac:dyDescent="0.2">
      <c r="A2091" s="84"/>
      <c r="B2091" s="84"/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  <c r="S2091" s="84"/>
      <c r="T2091" s="84"/>
      <c r="U2091" s="84"/>
      <c r="V2091" s="84"/>
      <c r="W2091" s="84"/>
      <c r="X2091" s="84"/>
    </row>
    <row r="2092" spans="1:24" ht="15" customHeight="1" x14ac:dyDescent="0.2">
      <c r="A2092" s="84"/>
      <c r="B2092" s="84"/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  <c r="S2092" s="84"/>
      <c r="T2092" s="84"/>
      <c r="U2092" s="84"/>
      <c r="V2092" s="84"/>
      <c r="W2092" s="84"/>
      <c r="X2092" s="84"/>
    </row>
    <row r="2093" spans="1:24" ht="15" customHeight="1" x14ac:dyDescent="0.2">
      <c r="A2093" s="84"/>
      <c r="B2093" s="84"/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  <c r="S2093" s="84"/>
      <c r="T2093" s="84"/>
      <c r="U2093" s="84"/>
      <c r="V2093" s="84"/>
      <c r="W2093" s="84"/>
      <c r="X2093" s="84"/>
    </row>
    <row r="2094" spans="1:24" ht="15" customHeight="1" x14ac:dyDescent="0.2">
      <c r="A2094" s="84"/>
      <c r="B2094" s="84"/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  <c r="S2094" s="84"/>
      <c r="T2094" s="84"/>
      <c r="U2094" s="84"/>
      <c r="V2094" s="84"/>
      <c r="W2094" s="84"/>
      <c r="X2094" s="84"/>
    </row>
    <row r="2095" spans="1:24" ht="15" customHeight="1" x14ac:dyDescent="0.2">
      <c r="A2095" s="84"/>
      <c r="B2095" s="84"/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  <c r="S2095" s="84"/>
      <c r="T2095" s="84"/>
      <c r="U2095" s="84"/>
      <c r="V2095" s="84"/>
      <c r="W2095" s="84"/>
      <c r="X2095" s="84"/>
    </row>
    <row r="2096" spans="1:24" ht="15" customHeight="1" x14ac:dyDescent="0.2">
      <c r="A2096" s="84"/>
      <c r="B2096" s="84"/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  <c r="R2096" s="84"/>
      <c r="S2096" s="84"/>
      <c r="T2096" s="84"/>
      <c r="U2096" s="84"/>
      <c r="V2096" s="84"/>
      <c r="W2096" s="84"/>
      <c r="X2096" s="84"/>
    </row>
    <row r="2097" spans="1:24" ht="15" customHeight="1" x14ac:dyDescent="0.2">
      <c r="A2097" s="84"/>
      <c r="B2097" s="84"/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  <c r="R2097" s="84"/>
      <c r="S2097" s="84"/>
      <c r="T2097" s="84"/>
      <c r="U2097" s="84"/>
      <c r="V2097" s="84"/>
      <c r="W2097" s="84"/>
      <c r="X2097" s="84"/>
    </row>
    <row r="2098" spans="1:24" ht="15" customHeight="1" x14ac:dyDescent="0.2">
      <c r="A2098" s="84"/>
      <c r="B2098" s="84"/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  <c r="R2098" s="84"/>
      <c r="S2098" s="84"/>
      <c r="T2098" s="84"/>
      <c r="U2098" s="84"/>
      <c r="V2098" s="84"/>
      <c r="W2098" s="84"/>
      <c r="X2098" s="84"/>
    </row>
    <row r="2099" spans="1:24" ht="15" customHeight="1" x14ac:dyDescent="0.2">
      <c r="A2099" s="84"/>
      <c r="B2099" s="84"/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  <c r="R2099" s="84"/>
      <c r="S2099" s="84"/>
      <c r="T2099" s="84"/>
      <c r="U2099" s="84"/>
      <c r="V2099" s="84"/>
      <c r="W2099" s="84"/>
      <c r="X2099" s="84"/>
    </row>
    <row r="2100" spans="1:24" ht="15" customHeight="1" x14ac:dyDescent="0.2">
      <c r="A2100" s="84"/>
      <c r="B2100" s="84"/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  <c r="R2100" s="84"/>
      <c r="S2100" s="84"/>
      <c r="T2100" s="84"/>
      <c r="U2100" s="84"/>
      <c r="V2100" s="84"/>
      <c r="W2100" s="84"/>
      <c r="X2100" s="84"/>
    </row>
    <row r="2101" spans="1:24" ht="15" customHeight="1" x14ac:dyDescent="0.2">
      <c r="A2101" s="84"/>
      <c r="B2101" s="84"/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  <c r="R2101" s="84"/>
      <c r="S2101" s="84"/>
      <c r="T2101" s="84"/>
      <c r="U2101" s="84"/>
      <c r="V2101" s="84"/>
      <c r="W2101" s="84"/>
      <c r="X2101" s="84"/>
    </row>
    <row r="2102" spans="1:24" ht="15" customHeight="1" x14ac:dyDescent="0.2">
      <c r="A2102" s="84"/>
      <c r="B2102" s="84"/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  <c r="R2102" s="84"/>
      <c r="S2102" s="84"/>
      <c r="T2102" s="84"/>
      <c r="U2102" s="84"/>
      <c r="V2102" s="84"/>
      <c r="W2102" s="84"/>
      <c r="X2102" s="84"/>
    </row>
    <row r="2103" spans="1:24" ht="15" customHeight="1" x14ac:dyDescent="0.2">
      <c r="A2103" s="84"/>
      <c r="B2103" s="84"/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  <c r="R2103" s="84"/>
      <c r="S2103" s="84"/>
      <c r="T2103" s="84"/>
      <c r="U2103" s="84"/>
      <c r="V2103" s="84"/>
      <c r="W2103" s="84"/>
      <c r="X2103" s="84"/>
    </row>
    <row r="2104" spans="1:24" ht="15" customHeight="1" x14ac:dyDescent="0.2">
      <c r="A2104" s="84"/>
      <c r="B2104" s="84"/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  <c r="R2104" s="84"/>
      <c r="S2104" s="84"/>
      <c r="T2104" s="84"/>
      <c r="U2104" s="84"/>
      <c r="V2104" s="84"/>
      <c r="W2104" s="84"/>
      <c r="X2104" s="84"/>
    </row>
    <row r="2105" spans="1:24" ht="15" customHeight="1" x14ac:dyDescent="0.2">
      <c r="A2105" s="84"/>
      <c r="B2105" s="84"/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  <c r="R2105" s="84"/>
      <c r="S2105" s="84"/>
      <c r="T2105" s="84"/>
      <c r="U2105" s="84"/>
      <c r="V2105" s="84"/>
      <c r="W2105" s="84"/>
      <c r="X2105" s="84"/>
    </row>
    <row r="2106" spans="1:24" ht="15" customHeight="1" x14ac:dyDescent="0.2">
      <c r="A2106" s="84"/>
      <c r="B2106" s="84"/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  <c r="R2106" s="84"/>
      <c r="S2106" s="84"/>
      <c r="T2106" s="84"/>
      <c r="U2106" s="84"/>
      <c r="V2106" s="84"/>
      <c r="W2106" s="84"/>
      <c r="X2106" s="84"/>
    </row>
    <row r="2107" spans="1:24" ht="15" customHeight="1" x14ac:dyDescent="0.2">
      <c r="A2107" s="84"/>
      <c r="B2107" s="84"/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  <c r="R2107" s="84"/>
      <c r="S2107" s="84"/>
      <c r="T2107" s="84"/>
      <c r="U2107" s="84"/>
      <c r="V2107" s="84"/>
      <c r="W2107" s="84"/>
      <c r="X2107" s="84"/>
    </row>
    <row r="2108" spans="1:24" ht="15" customHeight="1" x14ac:dyDescent="0.2">
      <c r="A2108" s="84"/>
      <c r="B2108" s="84"/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  <c r="R2108" s="84"/>
      <c r="S2108" s="84"/>
      <c r="T2108" s="84"/>
      <c r="U2108" s="84"/>
      <c r="V2108" s="84"/>
      <c r="W2108" s="84"/>
      <c r="X2108" s="84"/>
    </row>
    <row r="2109" spans="1:24" ht="15" customHeight="1" x14ac:dyDescent="0.2">
      <c r="A2109" s="84"/>
      <c r="B2109" s="84"/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  <c r="R2109" s="84"/>
      <c r="S2109" s="84"/>
      <c r="T2109" s="84"/>
      <c r="U2109" s="84"/>
      <c r="V2109" s="84"/>
      <c r="W2109" s="84"/>
      <c r="X2109" s="84"/>
    </row>
    <row r="2110" spans="1:24" ht="15" customHeight="1" x14ac:dyDescent="0.2">
      <c r="A2110" s="84"/>
      <c r="B2110" s="84"/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  <c r="R2110" s="84"/>
      <c r="S2110" s="84"/>
      <c r="T2110" s="84"/>
      <c r="U2110" s="84"/>
      <c r="V2110" s="84"/>
      <c r="W2110" s="84"/>
      <c r="X2110" s="84"/>
    </row>
    <row r="2111" spans="1:24" ht="15" customHeight="1" x14ac:dyDescent="0.2">
      <c r="A2111" s="84"/>
      <c r="B2111" s="84"/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  <c r="R2111" s="84"/>
      <c r="S2111" s="84"/>
      <c r="T2111" s="84"/>
      <c r="U2111" s="84"/>
      <c r="V2111" s="84"/>
      <c r="W2111" s="84"/>
      <c r="X2111" s="84"/>
    </row>
    <row r="2112" spans="1:24" ht="15" customHeight="1" x14ac:dyDescent="0.2">
      <c r="A2112" s="84"/>
      <c r="B2112" s="84"/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  <c r="R2112" s="84"/>
      <c r="S2112" s="84"/>
      <c r="T2112" s="84"/>
      <c r="U2112" s="84"/>
      <c r="V2112" s="84"/>
      <c r="W2112" s="84"/>
      <c r="X2112" s="84"/>
    </row>
    <row r="2113" spans="1:24" ht="15" customHeight="1" x14ac:dyDescent="0.2">
      <c r="A2113" s="84"/>
      <c r="B2113" s="84"/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  <c r="R2113" s="84"/>
      <c r="S2113" s="84"/>
      <c r="T2113" s="84"/>
      <c r="U2113" s="84"/>
      <c r="V2113" s="84"/>
      <c r="W2113" s="84"/>
      <c r="X2113" s="84"/>
    </row>
    <row r="2114" spans="1:24" ht="15" customHeight="1" x14ac:dyDescent="0.2">
      <c r="A2114" s="84"/>
      <c r="B2114" s="84"/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  <c r="R2114" s="84"/>
      <c r="S2114" s="84"/>
      <c r="T2114" s="84"/>
      <c r="U2114" s="84"/>
      <c r="V2114" s="84"/>
      <c r="W2114" s="84"/>
      <c r="X2114" s="84"/>
    </row>
    <row r="2115" spans="1:24" ht="15" customHeight="1" x14ac:dyDescent="0.2">
      <c r="A2115" s="84"/>
      <c r="B2115" s="84"/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  <c r="R2115" s="84"/>
      <c r="S2115" s="84"/>
      <c r="T2115" s="84"/>
      <c r="U2115" s="84"/>
      <c r="V2115" s="84"/>
      <c r="W2115" s="84"/>
      <c r="X2115" s="84"/>
    </row>
    <row r="2116" spans="1:24" ht="15" customHeight="1" x14ac:dyDescent="0.2">
      <c r="A2116" s="84"/>
      <c r="B2116" s="84"/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  <c r="R2116" s="84"/>
      <c r="S2116" s="84"/>
      <c r="T2116" s="84"/>
      <c r="U2116" s="84"/>
      <c r="V2116" s="84"/>
      <c r="W2116" s="84"/>
      <c r="X2116" s="84"/>
    </row>
    <row r="2117" spans="1:24" ht="15" customHeight="1" x14ac:dyDescent="0.2">
      <c r="A2117" s="84"/>
      <c r="B2117" s="84"/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  <c r="R2117" s="84"/>
      <c r="S2117" s="84"/>
      <c r="T2117" s="84"/>
      <c r="U2117" s="84"/>
      <c r="V2117" s="84"/>
      <c r="W2117" s="84"/>
      <c r="X2117" s="84"/>
    </row>
    <row r="2118" spans="1:24" ht="15" customHeight="1" x14ac:dyDescent="0.2">
      <c r="A2118" s="84"/>
      <c r="B2118" s="84"/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  <c r="R2118" s="84"/>
      <c r="S2118" s="84"/>
      <c r="T2118" s="84"/>
      <c r="U2118" s="84"/>
      <c r="V2118" s="84"/>
      <c r="W2118" s="84"/>
      <c r="X2118" s="84"/>
    </row>
    <row r="2119" spans="1:24" ht="15" customHeight="1" x14ac:dyDescent="0.2">
      <c r="A2119" s="84"/>
      <c r="B2119" s="84"/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  <c r="S2119" s="84"/>
      <c r="T2119" s="84"/>
      <c r="U2119" s="84"/>
      <c r="V2119" s="84"/>
      <c r="W2119" s="84"/>
      <c r="X2119" s="84"/>
    </row>
    <row r="2120" spans="1:24" ht="15" customHeight="1" x14ac:dyDescent="0.2">
      <c r="A2120" s="84"/>
      <c r="B2120" s="84"/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  <c r="S2120" s="84"/>
      <c r="T2120" s="84"/>
      <c r="U2120" s="84"/>
      <c r="V2120" s="84"/>
      <c r="W2120" s="84"/>
      <c r="X2120" s="84"/>
    </row>
    <row r="2121" spans="1:24" ht="15" customHeight="1" x14ac:dyDescent="0.2">
      <c r="A2121" s="84"/>
      <c r="B2121" s="84"/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  <c r="S2121" s="84"/>
      <c r="T2121" s="84"/>
      <c r="U2121" s="84"/>
      <c r="V2121" s="84"/>
      <c r="W2121" s="84"/>
      <c r="X2121" s="84"/>
    </row>
    <row r="2122" spans="1:24" ht="15" customHeight="1" x14ac:dyDescent="0.2">
      <c r="A2122" s="84"/>
      <c r="B2122" s="84"/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  <c r="S2122" s="84"/>
      <c r="T2122" s="84"/>
      <c r="U2122" s="84"/>
      <c r="V2122" s="84"/>
      <c r="W2122" s="84"/>
      <c r="X2122" s="84"/>
    </row>
    <row r="2123" spans="1:24" ht="15" customHeight="1" x14ac:dyDescent="0.2">
      <c r="A2123" s="84"/>
      <c r="B2123" s="84"/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  <c r="S2123" s="84"/>
      <c r="T2123" s="84"/>
      <c r="U2123" s="84"/>
      <c r="V2123" s="84"/>
      <c r="W2123" s="84"/>
      <c r="X2123" s="84"/>
    </row>
    <row r="2124" spans="1:24" ht="15" customHeight="1" x14ac:dyDescent="0.2">
      <c r="A2124" s="84"/>
      <c r="B2124" s="84"/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  <c r="S2124" s="84"/>
      <c r="T2124" s="84"/>
      <c r="U2124" s="84"/>
      <c r="V2124" s="84"/>
      <c r="W2124" s="84"/>
      <c r="X2124" s="84"/>
    </row>
    <row r="2125" spans="1:24" ht="15" customHeight="1" x14ac:dyDescent="0.2">
      <c r="A2125" s="84"/>
      <c r="B2125" s="84"/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  <c r="S2125" s="84"/>
      <c r="T2125" s="84"/>
      <c r="U2125" s="84"/>
      <c r="V2125" s="84"/>
      <c r="W2125" s="84"/>
      <c r="X2125" s="84"/>
    </row>
    <row r="2126" spans="1:24" ht="15" customHeight="1" x14ac:dyDescent="0.2">
      <c r="A2126" s="84"/>
      <c r="B2126" s="84"/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  <c r="S2126" s="84"/>
      <c r="T2126" s="84"/>
      <c r="U2126" s="84"/>
      <c r="V2126" s="84"/>
      <c r="W2126" s="84"/>
      <c r="X2126" s="84"/>
    </row>
    <row r="2127" spans="1:24" ht="15" customHeight="1" x14ac:dyDescent="0.2">
      <c r="A2127" s="84"/>
      <c r="B2127" s="84"/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  <c r="S2127" s="84"/>
      <c r="T2127" s="84"/>
      <c r="U2127" s="84"/>
      <c r="V2127" s="84"/>
      <c r="W2127" s="84"/>
      <c r="X2127" s="84"/>
    </row>
    <row r="2128" spans="1:24" ht="15" customHeight="1" x14ac:dyDescent="0.2">
      <c r="A2128" s="84"/>
      <c r="B2128" s="84"/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  <c r="S2128" s="84"/>
      <c r="T2128" s="84"/>
      <c r="U2128" s="84"/>
      <c r="V2128" s="84"/>
      <c r="W2128" s="84"/>
      <c r="X2128" s="84"/>
    </row>
    <row r="2129" spans="1:24" ht="15" customHeight="1" x14ac:dyDescent="0.2">
      <c r="A2129" s="84"/>
      <c r="B2129" s="84"/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  <c r="S2129" s="84"/>
      <c r="T2129" s="84"/>
      <c r="U2129" s="84"/>
      <c r="V2129" s="84"/>
      <c r="W2129" s="84"/>
      <c r="X2129" s="84"/>
    </row>
    <row r="2130" spans="1:24" ht="15" customHeight="1" x14ac:dyDescent="0.2">
      <c r="A2130" s="84"/>
      <c r="B2130" s="84"/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  <c r="S2130" s="84"/>
      <c r="T2130" s="84"/>
      <c r="U2130" s="84"/>
      <c r="V2130" s="84"/>
      <c r="W2130" s="84"/>
      <c r="X2130" s="84"/>
    </row>
    <row r="2131" spans="1:24" ht="15" customHeight="1" x14ac:dyDescent="0.2">
      <c r="A2131" s="84"/>
      <c r="B2131" s="84"/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  <c r="S2131" s="84"/>
      <c r="T2131" s="84"/>
      <c r="U2131" s="84"/>
      <c r="V2131" s="84"/>
      <c r="W2131" s="84"/>
      <c r="X2131" s="84"/>
    </row>
    <row r="2132" spans="1:24" ht="15" customHeight="1" x14ac:dyDescent="0.2">
      <c r="A2132" s="84"/>
      <c r="B2132" s="84"/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  <c r="S2132" s="84"/>
      <c r="T2132" s="84"/>
      <c r="U2132" s="84"/>
      <c r="V2132" s="84"/>
      <c r="W2132" s="84"/>
      <c r="X2132" s="84"/>
    </row>
    <row r="2133" spans="1:24" ht="15" customHeight="1" x14ac:dyDescent="0.2">
      <c r="A2133" s="84"/>
      <c r="B2133" s="84"/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  <c r="S2133" s="84"/>
      <c r="T2133" s="84"/>
      <c r="U2133" s="84"/>
      <c r="V2133" s="84"/>
      <c r="W2133" s="84"/>
      <c r="X2133" s="84"/>
    </row>
    <row r="2134" spans="1:24" ht="15" customHeight="1" x14ac:dyDescent="0.2">
      <c r="A2134" s="84"/>
      <c r="B2134" s="84"/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  <c r="S2134" s="84"/>
      <c r="T2134" s="84"/>
      <c r="U2134" s="84"/>
      <c r="V2134" s="84"/>
      <c r="W2134" s="84"/>
      <c r="X2134" s="84"/>
    </row>
    <row r="2135" spans="1:24" ht="15" customHeight="1" x14ac:dyDescent="0.2">
      <c r="A2135" s="84"/>
      <c r="B2135" s="84"/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  <c r="S2135" s="84"/>
      <c r="T2135" s="84"/>
      <c r="U2135" s="84"/>
      <c r="V2135" s="84"/>
      <c r="W2135" s="84"/>
      <c r="X2135" s="84"/>
    </row>
    <row r="2136" spans="1:24" ht="15" customHeight="1" x14ac:dyDescent="0.2">
      <c r="A2136" s="84"/>
      <c r="B2136" s="84"/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  <c r="S2136" s="84"/>
      <c r="T2136" s="84"/>
      <c r="U2136" s="84"/>
      <c r="V2136" s="84"/>
      <c r="W2136" s="84"/>
      <c r="X2136" s="84"/>
    </row>
    <row r="2137" spans="1:24" ht="15" customHeight="1" x14ac:dyDescent="0.2">
      <c r="A2137" s="84"/>
      <c r="B2137" s="84"/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  <c r="S2137" s="84"/>
      <c r="T2137" s="84"/>
      <c r="U2137" s="84"/>
      <c r="V2137" s="84"/>
      <c r="W2137" s="84"/>
      <c r="X2137" s="84"/>
    </row>
    <row r="2138" spans="1:24" ht="15" customHeight="1" x14ac:dyDescent="0.2">
      <c r="A2138" s="84"/>
      <c r="B2138" s="84"/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  <c r="S2138" s="84"/>
      <c r="T2138" s="84"/>
      <c r="U2138" s="84"/>
      <c r="V2138" s="84"/>
      <c r="W2138" s="84"/>
      <c r="X2138" s="84"/>
    </row>
    <row r="2139" spans="1:24" ht="15" customHeight="1" x14ac:dyDescent="0.2">
      <c r="A2139" s="84"/>
      <c r="B2139" s="84"/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  <c r="S2139" s="84"/>
      <c r="T2139" s="84"/>
      <c r="U2139" s="84"/>
      <c r="V2139" s="84"/>
      <c r="W2139" s="84"/>
      <c r="X2139" s="84"/>
    </row>
    <row r="2140" spans="1:24" ht="15" customHeight="1" x14ac:dyDescent="0.2">
      <c r="A2140" s="84"/>
      <c r="B2140" s="84"/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  <c r="S2140" s="84"/>
      <c r="T2140" s="84"/>
      <c r="U2140" s="84"/>
      <c r="V2140" s="84"/>
      <c r="W2140" s="84"/>
      <c r="X2140" s="84"/>
    </row>
    <row r="2141" spans="1:24" ht="15" customHeight="1" x14ac:dyDescent="0.2">
      <c r="A2141" s="84"/>
      <c r="B2141" s="84"/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  <c r="S2141" s="84"/>
      <c r="T2141" s="84"/>
      <c r="U2141" s="84"/>
      <c r="V2141" s="84"/>
      <c r="W2141" s="84"/>
      <c r="X2141" s="84"/>
    </row>
    <row r="2142" spans="1:24" ht="15" customHeight="1" x14ac:dyDescent="0.2">
      <c r="A2142" s="84"/>
      <c r="B2142" s="84"/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  <c r="R2142" s="84"/>
      <c r="S2142" s="84"/>
      <c r="T2142" s="84"/>
      <c r="U2142" s="84"/>
      <c r="V2142" s="84"/>
      <c r="W2142" s="84"/>
      <c r="X2142" s="84"/>
    </row>
    <row r="2143" spans="1:24" ht="15" customHeight="1" x14ac:dyDescent="0.2">
      <c r="A2143" s="84"/>
      <c r="B2143" s="84"/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  <c r="R2143" s="84"/>
      <c r="S2143" s="84"/>
      <c r="T2143" s="84"/>
      <c r="U2143" s="84"/>
      <c r="V2143" s="84"/>
      <c r="W2143" s="84"/>
      <c r="X2143" s="84"/>
    </row>
    <row r="2144" spans="1:24" ht="15" customHeight="1" x14ac:dyDescent="0.2">
      <c r="A2144" s="84"/>
      <c r="B2144" s="84"/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  <c r="R2144" s="84"/>
      <c r="S2144" s="84"/>
      <c r="T2144" s="84"/>
      <c r="U2144" s="84"/>
      <c r="V2144" s="84"/>
      <c r="W2144" s="84"/>
      <c r="X2144" s="84"/>
    </row>
    <row r="2145" spans="1:24" ht="15" customHeight="1" x14ac:dyDescent="0.2">
      <c r="A2145" s="84"/>
      <c r="B2145" s="84"/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  <c r="R2145" s="84"/>
      <c r="S2145" s="84"/>
      <c r="T2145" s="84"/>
      <c r="U2145" s="84"/>
      <c r="V2145" s="84"/>
      <c r="W2145" s="84"/>
      <c r="X2145" s="84"/>
    </row>
    <row r="2146" spans="1:24" ht="15" customHeight="1" x14ac:dyDescent="0.2">
      <c r="A2146" s="84"/>
      <c r="B2146" s="84"/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  <c r="R2146" s="84"/>
      <c r="S2146" s="84"/>
      <c r="T2146" s="84"/>
      <c r="U2146" s="84"/>
      <c r="V2146" s="84"/>
      <c r="W2146" s="84"/>
      <c r="X2146" s="84"/>
    </row>
    <row r="2147" spans="1:24" ht="15" customHeight="1" x14ac:dyDescent="0.2">
      <c r="A2147" s="84"/>
      <c r="B2147" s="84"/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  <c r="R2147" s="84"/>
      <c r="S2147" s="84"/>
      <c r="T2147" s="84"/>
      <c r="U2147" s="84"/>
      <c r="V2147" s="84"/>
      <c r="W2147" s="84"/>
      <c r="X2147" s="84"/>
    </row>
    <row r="2148" spans="1:24" ht="15" customHeight="1" x14ac:dyDescent="0.2">
      <c r="A2148" s="84"/>
      <c r="B2148" s="84"/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  <c r="R2148" s="84"/>
      <c r="S2148" s="84"/>
      <c r="T2148" s="84"/>
      <c r="U2148" s="84"/>
      <c r="V2148" s="84"/>
      <c r="W2148" s="84"/>
      <c r="X2148" s="84"/>
    </row>
    <row r="2149" spans="1:24" ht="15" customHeight="1" x14ac:dyDescent="0.2">
      <c r="A2149" s="84"/>
      <c r="B2149" s="84"/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  <c r="R2149" s="84"/>
      <c r="S2149" s="84"/>
      <c r="T2149" s="84"/>
      <c r="U2149" s="84"/>
      <c r="V2149" s="84"/>
      <c r="W2149" s="84"/>
      <c r="X2149" s="84"/>
    </row>
    <row r="2150" spans="1:24" ht="15" customHeight="1" x14ac:dyDescent="0.2">
      <c r="A2150" s="84"/>
      <c r="B2150" s="84"/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  <c r="R2150" s="84"/>
      <c r="S2150" s="84"/>
      <c r="T2150" s="84"/>
      <c r="U2150" s="84"/>
      <c r="V2150" s="84"/>
      <c r="W2150" s="84"/>
      <c r="X2150" s="84"/>
    </row>
    <row r="2151" spans="1:24" ht="15" customHeight="1" x14ac:dyDescent="0.2">
      <c r="A2151" s="84"/>
      <c r="B2151" s="84"/>
      <c r="C2151" s="84"/>
      <c r="D2151" s="84"/>
      <c r="E2151" s="84"/>
      <c r="F2151" s="84"/>
      <c r="G2151" s="84"/>
      <c r="H2151" s="84"/>
      <c r="I2151" s="84"/>
      <c r="J2151" s="84"/>
      <c r="K2151" s="84"/>
      <c r="L2151" s="84"/>
      <c r="M2151" s="84"/>
      <c r="N2151" s="84"/>
      <c r="O2151" s="84"/>
      <c r="P2151" s="84"/>
      <c r="Q2151" s="84"/>
      <c r="R2151" s="84"/>
      <c r="S2151" s="84"/>
      <c r="T2151" s="84"/>
      <c r="U2151" s="84"/>
      <c r="V2151" s="84"/>
      <c r="W2151" s="84"/>
      <c r="X2151" s="84"/>
    </row>
    <row r="2152" spans="1:24" ht="15" customHeight="1" x14ac:dyDescent="0.2">
      <c r="A2152" s="84"/>
      <c r="B2152" s="84"/>
      <c r="C2152" s="84"/>
      <c r="D2152" s="84"/>
      <c r="E2152" s="84"/>
      <c r="F2152" s="84"/>
      <c r="G2152" s="84"/>
      <c r="H2152" s="84"/>
      <c r="I2152" s="84"/>
      <c r="J2152" s="84"/>
      <c r="K2152" s="84"/>
      <c r="L2152" s="84"/>
      <c r="M2152" s="84"/>
      <c r="N2152" s="84"/>
      <c r="O2152" s="84"/>
      <c r="P2152" s="84"/>
      <c r="Q2152" s="84"/>
      <c r="R2152" s="84"/>
      <c r="S2152" s="84"/>
      <c r="T2152" s="84"/>
      <c r="U2152" s="84"/>
      <c r="V2152" s="84"/>
      <c r="W2152" s="84"/>
      <c r="X2152" s="84"/>
    </row>
    <row r="2153" spans="1:24" ht="15" customHeight="1" x14ac:dyDescent="0.2">
      <c r="A2153" s="84"/>
      <c r="B2153" s="84"/>
      <c r="C2153" s="84"/>
      <c r="D2153" s="84"/>
      <c r="E2153" s="84"/>
      <c r="F2153" s="84"/>
      <c r="G2153" s="84"/>
      <c r="H2153" s="84"/>
      <c r="I2153" s="84"/>
      <c r="J2153" s="84"/>
      <c r="K2153" s="84"/>
      <c r="L2153" s="84"/>
      <c r="M2153" s="84"/>
      <c r="N2153" s="84"/>
      <c r="O2153" s="84"/>
      <c r="P2153" s="84"/>
      <c r="Q2153" s="84"/>
      <c r="R2153" s="84"/>
      <c r="S2153" s="84"/>
      <c r="T2153" s="84"/>
      <c r="U2153" s="84"/>
      <c r="V2153" s="84"/>
      <c r="W2153" s="84"/>
      <c r="X2153" s="84"/>
    </row>
    <row r="2154" spans="1:24" ht="15" customHeight="1" x14ac:dyDescent="0.2">
      <c r="A2154" s="84"/>
      <c r="B2154" s="84"/>
      <c r="C2154" s="84"/>
      <c r="D2154" s="84"/>
      <c r="E2154" s="84"/>
      <c r="F2154" s="84"/>
      <c r="G2154" s="84"/>
      <c r="H2154" s="84"/>
      <c r="I2154" s="84"/>
      <c r="J2154" s="84"/>
      <c r="K2154" s="84"/>
      <c r="L2154" s="84"/>
      <c r="M2154" s="84"/>
      <c r="N2154" s="84"/>
      <c r="O2154" s="84"/>
      <c r="P2154" s="84"/>
      <c r="Q2154" s="84"/>
      <c r="R2154" s="84"/>
      <c r="S2154" s="84"/>
      <c r="T2154" s="84"/>
      <c r="U2154" s="84"/>
      <c r="V2154" s="84"/>
      <c r="W2154" s="84"/>
      <c r="X2154" s="84"/>
    </row>
    <row r="2155" spans="1:24" ht="15" customHeight="1" x14ac:dyDescent="0.2">
      <c r="A2155" s="84"/>
      <c r="B2155" s="84"/>
      <c r="C2155" s="84"/>
      <c r="D2155" s="84"/>
      <c r="E2155" s="84"/>
      <c r="F2155" s="84"/>
      <c r="G2155" s="84"/>
      <c r="H2155" s="84"/>
      <c r="I2155" s="84"/>
      <c r="J2155" s="84"/>
      <c r="K2155" s="84"/>
      <c r="L2155" s="84"/>
      <c r="M2155" s="84"/>
      <c r="N2155" s="84"/>
      <c r="O2155" s="84"/>
      <c r="P2155" s="84"/>
      <c r="Q2155" s="84"/>
      <c r="R2155" s="84"/>
      <c r="S2155" s="84"/>
      <c r="T2155" s="84"/>
      <c r="U2155" s="84"/>
      <c r="V2155" s="84"/>
      <c r="W2155" s="84"/>
      <c r="X2155" s="84"/>
    </row>
    <row r="2156" spans="1:24" ht="15" customHeight="1" x14ac:dyDescent="0.2">
      <c r="A2156" s="84"/>
      <c r="B2156" s="84"/>
      <c r="C2156" s="84"/>
      <c r="D2156" s="84"/>
      <c r="E2156" s="84"/>
      <c r="F2156" s="84"/>
      <c r="G2156" s="84"/>
      <c r="H2156" s="84"/>
      <c r="I2156" s="84"/>
      <c r="J2156" s="84"/>
      <c r="K2156" s="84"/>
      <c r="L2156" s="84"/>
      <c r="M2156" s="84"/>
      <c r="N2156" s="84"/>
      <c r="O2156" s="84"/>
      <c r="P2156" s="84"/>
      <c r="Q2156" s="84"/>
      <c r="R2156" s="84"/>
      <c r="S2156" s="84"/>
      <c r="T2156" s="84"/>
      <c r="U2156" s="84"/>
      <c r="V2156" s="84"/>
      <c r="W2156" s="84"/>
      <c r="X2156" s="84"/>
    </row>
    <row r="2157" spans="1:24" ht="15" customHeight="1" x14ac:dyDescent="0.2">
      <c r="A2157" s="84"/>
      <c r="B2157" s="84"/>
      <c r="C2157" s="84"/>
      <c r="D2157" s="84"/>
      <c r="E2157" s="84"/>
      <c r="F2157" s="84"/>
      <c r="G2157" s="84"/>
      <c r="H2157" s="84"/>
      <c r="I2157" s="84"/>
      <c r="J2157" s="84"/>
      <c r="K2157" s="84"/>
      <c r="L2157" s="84"/>
      <c r="M2157" s="84"/>
      <c r="N2157" s="84"/>
      <c r="O2157" s="84"/>
      <c r="P2157" s="84"/>
      <c r="Q2157" s="84"/>
      <c r="R2157" s="84"/>
      <c r="S2157" s="84"/>
      <c r="T2157" s="84"/>
      <c r="U2157" s="84"/>
      <c r="V2157" s="84"/>
      <c r="W2157" s="84"/>
      <c r="X2157" s="84"/>
    </row>
    <row r="2158" spans="1:24" ht="15" customHeight="1" x14ac:dyDescent="0.2">
      <c r="A2158" s="84"/>
      <c r="B2158" s="84"/>
      <c r="C2158" s="84"/>
      <c r="D2158" s="84"/>
      <c r="E2158" s="84"/>
      <c r="F2158" s="84"/>
      <c r="G2158" s="84"/>
      <c r="H2158" s="84"/>
      <c r="I2158" s="84"/>
      <c r="J2158" s="84"/>
      <c r="K2158" s="84"/>
      <c r="L2158" s="84"/>
      <c r="M2158" s="84"/>
      <c r="N2158" s="84"/>
      <c r="O2158" s="84"/>
      <c r="P2158" s="84"/>
      <c r="Q2158" s="84"/>
      <c r="R2158" s="84"/>
      <c r="S2158" s="84"/>
      <c r="T2158" s="84"/>
      <c r="U2158" s="84"/>
      <c r="V2158" s="84"/>
      <c r="W2158" s="84"/>
      <c r="X2158" s="84"/>
    </row>
    <row r="2159" spans="1:24" ht="15" customHeight="1" x14ac:dyDescent="0.2">
      <c r="A2159" s="84"/>
      <c r="B2159" s="84"/>
      <c r="C2159" s="84"/>
      <c r="D2159" s="84"/>
      <c r="E2159" s="84"/>
      <c r="F2159" s="84"/>
      <c r="G2159" s="84"/>
      <c r="H2159" s="84"/>
      <c r="I2159" s="84"/>
      <c r="J2159" s="84"/>
      <c r="K2159" s="84"/>
      <c r="L2159" s="84"/>
      <c r="M2159" s="84"/>
      <c r="N2159" s="84"/>
      <c r="O2159" s="84"/>
      <c r="P2159" s="84"/>
      <c r="Q2159" s="84"/>
      <c r="R2159" s="84"/>
      <c r="S2159" s="84"/>
      <c r="T2159" s="84"/>
      <c r="U2159" s="84"/>
      <c r="V2159" s="84"/>
      <c r="W2159" s="84"/>
      <c r="X2159" s="84"/>
    </row>
    <row r="2160" spans="1:24" ht="15" customHeight="1" x14ac:dyDescent="0.2">
      <c r="A2160" s="84"/>
      <c r="B2160" s="84"/>
      <c r="C2160" s="84"/>
      <c r="D2160" s="84"/>
      <c r="E2160" s="84"/>
      <c r="F2160" s="84"/>
      <c r="G2160" s="84"/>
      <c r="H2160" s="84"/>
      <c r="I2160" s="84"/>
      <c r="J2160" s="84"/>
      <c r="K2160" s="84"/>
      <c r="L2160" s="84"/>
      <c r="M2160" s="84"/>
      <c r="N2160" s="84"/>
      <c r="O2160" s="84"/>
      <c r="P2160" s="84"/>
      <c r="Q2160" s="84"/>
      <c r="R2160" s="84"/>
      <c r="S2160" s="84"/>
      <c r="T2160" s="84"/>
      <c r="U2160" s="84"/>
      <c r="V2160" s="84"/>
      <c r="W2160" s="84"/>
      <c r="X2160" s="84"/>
    </row>
    <row r="2161" spans="1:24" ht="15" customHeight="1" x14ac:dyDescent="0.2">
      <c r="A2161" s="84"/>
      <c r="B2161" s="84"/>
      <c r="C2161" s="84"/>
      <c r="D2161" s="84"/>
      <c r="E2161" s="84"/>
      <c r="F2161" s="84"/>
      <c r="G2161" s="84"/>
      <c r="H2161" s="84"/>
      <c r="I2161" s="84"/>
      <c r="J2161" s="84"/>
      <c r="K2161" s="84"/>
      <c r="L2161" s="84"/>
      <c r="M2161" s="84"/>
      <c r="N2161" s="84"/>
      <c r="O2161" s="84"/>
      <c r="P2161" s="84"/>
      <c r="Q2161" s="84"/>
      <c r="R2161" s="84"/>
      <c r="S2161" s="84"/>
      <c r="T2161" s="84"/>
      <c r="U2161" s="84"/>
      <c r="V2161" s="84"/>
      <c r="W2161" s="84"/>
      <c r="X2161" s="84"/>
    </row>
    <row r="2162" spans="1:24" ht="15" customHeight="1" x14ac:dyDescent="0.2">
      <c r="A2162" s="84"/>
      <c r="B2162" s="84"/>
      <c r="C2162" s="84"/>
      <c r="D2162" s="84"/>
      <c r="E2162" s="84"/>
      <c r="F2162" s="84"/>
      <c r="G2162" s="84"/>
      <c r="H2162" s="84"/>
      <c r="I2162" s="84"/>
      <c r="J2162" s="84"/>
      <c r="K2162" s="84"/>
      <c r="L2162" s="84"/>
      <c r="M2162" s="84"/>
      <c r="N2162" s="84"/>
      <c r="O2162" s="84"/>
      <c r="P2162" s="84"/>
      <c r="Q2162" s="84"/>
      <c r="R2162" s="84"/>
      <c r="S2162" s="84"/>
      <c r="T2162" s="84"/>
      <c r="U2162" s="84"/>
      <c r="V2162" s="84"/>
      <c r="W2162" s="84"/>
      <c r="X2162" s="84"/>
    </row>
    <row r="2163" spans="1:24" ht="15" customHeight="1" x14ac:dyDescent="0.2">
      <c r="A2163" s="84"/>
      <c r="B2163" s="84"/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  <c r="R2163" s="84"/>
      <c r="S2163" s="84"/>
      <c r="T2163" s="84"/>
      <c r="U2163" s="84"/>
      <c r="V2163" s="84"/>
      <c r="W2163" s="84"/>
      <c r="X2163" s="84"/>
    </row>
    <row r="2164" spans="1:24" ht="15" customHeight="1" x14ac:dyDescent="0.2">
      <c r="A2164" s="84"/>
      <c r="B2164" s="84"/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  <c r="R2164" s="84"/>
      <c r="S2164" s="84"/>
      <c r="T2164" s="84"/>
      <c r="U2164" s="84"/>
      <c r="V2164" s="84"/>
      <c r="W2164" s="84"/>
      <c r="X2164" s="84"/>
    </row>
    <row r="2165" spans="1:24" ht="15" customHeight="1" x14ac:dyDescent="0.2">
      <c r="A2165" s="84"/>
      <c r="B2165" s="84"/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  <c r="S2165" s="84"/>
      <c r="T2165" s="84"/>
      <c r="U2165" s="84"/>
      <c r="V2165" s="84"/>
      <c r="W2165" s="84"/>
      <c r="X2165" s="84"/>
    </row>
    <row r="2166" spans="1:24" ht="15" customHeight="1" x14ac:dyDescent="0.2">
      <c r="A2166" s="84"/>
      <c r="B2166" s="84"/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  <c r="S2166" s="84"/>
      <c r="T2166" s="84"/>
      <c r="U2166" s="84"/>
      <c r="V2166" s="84"/>
      <c r="W2166" s="84"/>
      <c r="X2166" s="84"/>
    </row>
    <row r="2167" spans="1:24" ht="15" customHeight="1" x14ac:dyDescent="0.2">
      <c r="A2167" s="84"/>
      <c r="B2167" s="84"/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  <c r="S2167" s="84"/>
      <c r="T2167" s="84"/>
      <c r="U2167" s="84"/>
      <c r="V2167" s="84"/>
      <c r="W2167" s="84"/>
      <c r="X2167" s="84"/>
    </row>
    <row r="2168" spans="1:24" ht="15" customHeight="1" x14ac:dyDescent="0.2">
      <c r="A2168" s="84"/>
      <c r="B2168" s="84"/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  <c r="S2168" s="84"/>
      <c r="T2168" s="84"/>
      <c r="U2168" s="84"/>
      <c r="V2168" s="84"/>
      <c r="W2168" s="84"/>
      <c r="X2168" s="84"/>
    </row>
    <row r="2169" spans="1:24" ht="15" customHeight="1" x14ac:dyDescent="0.2">
      <c r="A2169" s="84"/>
      <c r="B2169" s="84"/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  <c r="S2169" s="84"/>
      <c r="T2169" s="84"/>
      <c r="U2169" s="84"/>
      <c r="V2169" s="84"/>
      <c r="W2169" s="84"/>
      <c r="X2169" s="84"/>
    </row>
    <row r="2170" spans="1:24" ht="15" customHeight="1" x14ac:dyDescent="0.2">
      <c r="A2170" s="84"/>
      <c r="B2170" s="84"/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  <c r="S2170" s="84"/>
      <c r="T2170" s="84"/>
      <c r="U2170" s="84"/>
      <c r="V2170" s="84"/>
      <c r="W2170" s="84"/>
      <c r="X2170" s="84"/>
    </row>
    <row r="2171" spans="1:24" ht="15" customHeight="1" x14ac:dyDescent="0.2">
      <c r="A2171" s="84"/>
      <c r="B2171" s="84"/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  <c r="S2171" s="84"/>
      <c r="T2171" s="84"/>
      <c r="U2171" s="84"/>
      <c r="V2171" s="84"/>
      <c r="W2171" s="84"/>
      <c r="X2171" s="84"/>
    </row>
    <row r="2172" spans="1:24" ht="15" customHeight="1" x14ac:dyDescent="0.2">
      <c r="A2172" s="84"/>
      <c r="B2172" s="84"/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  <c r="S2172" s="84"/>
      <c r="T2172" s="84"/>
      <c r="U2172" s="84"/>
      <c r="V2172" s="84"/>
      <c r="W2172" s="84"/>
      <c r="X2172" s="84"/>
    </row>
    <row r="2173" spans="1:24" ht="15" customHeight="1" x14ac:dyDescent="0.2">
      <c r="A2173" s="84"/>
      <c r="B2173" s="84"/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  <c r="S2173" s="84"/>
      <c r="T2173" s="84"/>
      <c r="U2173" s="84"/>
      <c r="V2173" s="84"/>
      <c r="W2173" s="84"/>
      <c r="X2173" s="84"/>
    </row>
    <row r="2174" spans="1:24" ht="15" customHeight="1" x14ac:dyDescent="0.2">
      <c r="A2174" s="84"/>
      <c r="B2174" s="84"/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  <c r="S2174" s="84"/>
      <c r="T2174" s="84"/>
      <c r="U2174" s="84"/>
      <c r="V2174" s="84"/>
      <c r="W2174" s="84"/>
      <c r="X2174" s="84"/>
    </row>
    <row r="2175" spans="1:24" ht="15" customHeight="1" x14ac:dyDescent="0.2">
      <c r="A2175" s="84"/>
      <c r="B2175" s="84"/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  <c r="S2175" s="84"/>
      <c r="T2175" s="84"/>
      <c r="U2175" s="84"/>
      <c r="V2175" s="84"/>
      <c r="W2175" s="84"/>
      <c r="X2175" s="84"/>
    </row>
    <row r="2176" spans="1:24" ht="15" customHeight="1" x14ac:dyDescent="0.2">
      <c r="A2176" s="84"/>
      <c r="B2176" s="84"/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  <c r="S2176" s="84"/>
      <c r="T2176" s="84"/>
      <c r="U2176" s="84"/>
      <c r="V2176" s="84"/>
      <c r="W2176" s="84"/>
      <c r="X2176" s="84"/>
    </row>
    <row r="2177" spans="1:24" ht="15" customHeight="1" x14ac:dyDescent="0.2">
      <c r="A2177" s="84"/>
      <c r="B2177" s="84"/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  <c r="S2177" s="84"/>
      <c r="T2177" s="84"/>
      <c r="U2177" s="84"/>
      <c r="V2177" s="84"/>
      <c r="W2177" s="84"/>
      <c r="X2177" s="84"/>
    </row>
    <row r="2178" spans="1:24" ht="15" customHeight="1" x14ac:dyDescent="0.2">
      <c r="A2178" s="84"/>
      <c r="B2178" s="84"/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  <c r="S2178" s="84"/>
      <c r="T2178" s="84"/>
      <c r="U2178" s="84"/>
      <c r="V2178" s="84"/>
      <c r="W2178" s="84"/>
      <c r="X2178" s="84"/>
    </row>
    <row r="2179" spans="1:24" ht="15" customHeight="1" x14ac:dyDescent="0.2">
      <c r="A2179" s="84"/>
      <c r="B2179" s="84"/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  <c r="S2179" s="84"/>
      <c r="T2179" s="84"/>
      <c r="U2179" s="84"/>
      <c r="V2179" s="84"/>
      <c r="W2179" s="84"/>
      <c r="X2179" s="84"/>
    </row>
    <row r="2180" spans="1:24" ht="15" customHeight="1" x14ac:dyDescent="0.2">
      <c r="A2180" s="84"/>
      <c r="B2180" s="84"/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  <c r="S2180" s="84"/>
      <c r="T2180" s="84"/>
      <c r="U2180" s="84"/>
      <c r="V2180" s="84"/>
      <c r="W2180" s="84"/>
      <c r="X2180" s="84"/>
    </row>
    <row r="2181" spans="1:24" ht="15" customHeight="1" x14ac:dyDescent="0.2">
      <c r="A2181" s="84"/>
      <c r="B2181" s="84"/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  <c r="S2181" s="84"/>
      <c r="T2181" s="84"/>
      <c r="U2181" s="84"/>
      <c r="V2181" s="84"/>
      <c r="W2181" s="84"/>
      <c r="X2181" s="84"/>
    </row>
    <row r="2182" spans="1:24" ht="15" customHeight="1" x14ac:dyDescent="0.2">
      <c r="A2182" s="84"/>
      <c r="B2182" s="84"/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  <c r="S2182" s="84"/>
      <c r="T2182" s="84"/>
      <c r="U2182" s="84"/>
      <c r="V2182" s="84"/>
      <c r="W2182" s="84"/>
      <c r="X2182" s="84"/>
    </row>
    <row r="2183" spans="1:24" ht="15" customHeight="1" x14ac:dyDescent="0.2">
      <c r="A2183" s="84"/>
      <c r="B2183" s="84"/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  <c r="S2183" s="84"/>
      <c r="T2183" s="84"/>
      <c r="U2183" s="84"/>
      <c r="V2183" s="84"/>
      <c r="W2183" s="84"/>
      <c r="X2183" s="84"/>
    </row>
    <row r="2184" spans="1:24" ht="15" customHeight="1" x14ac:dyDescent="0.2">
      <c r="A2184" s="84"/>
      <c r="B2184" s="84"/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  <c r="S2184" s="84"/>
      <c r="T2184" s="84"/>
      <c r="U2184" s="84"/>
      <c r="V2184" s="84"/>
      <c r="W2184" s="84"/>
      <c r="X2184" s="84"/>
    </row>
    <row r="2185" spans="1:24" ht="15" customHeight="1" x14ac:dyDescent="0.2">
      <c r="A2185" s="84"/>
      <c r="B2185" s="84"/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  <c r="S2185" s="84"/>
      <c r="T2185" s="84"/>
      <c r="U2185" s="84"/>
      <c r="V2185" s="84"/>
      <c r="W2185" s="84"/>
      <c r="X2185" s="84"/>
    </row>
    <row r="2186" spans="1:24" ht="15" customHeight="1" x14ac:dyDescent="0.2">
      <c r="A2186" s="84"/>
      <c r="B2186" s="84"/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  <c r="S2186" s="84"/>
      <c r="T2186" s="84"/>
      <c r="U2186" s="84"/>
      <c r="V2186" s="84"/>
      <c r="W2186" s="84"/>
      <c r="X2186" s="84"/>
    </row>
    <row r="2187" spans="1:24" ht="15" customHeight="1" x14ac:dyDescent="0.2">
      <c r="A2187" s="84"/>
      <c r="B2187" s="84"/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  <c r="S2187" s="84"/>
      <c r="T2187" s="84"/>
      <c r="U2187" s="84"/>
      <c r="V2187" s="84"/>
      <c r="W2187" s="84"/>
      <c r="X2187" s="84"/>
    </row>
    <row r="2188" spans="1:24" ht="15" customHeight="1" x14ac:dyDescent="0.2">
      <c r="A2188" s="84"/>
      <c r="B2188" s="84"/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  <c r="R2188" s="84"/>
      <c r="S2188" s="84"/>
      <c r="T2188" s="84"/>
      <c r="U2188" s="84"/>
      <c r="V2188" s="84"/>
      <c r="W2188" s="84"/>
      <c r="X2188" s="84"/>
    </row>
    <row r="2189" spans="1:24" ht="15" customHeight="1" x14ac:dyDescent="0.2">
      <c r="A2189" s="84"/>
      <c r="B2189" s="84"/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  <c r="R2189" s="84"/>
      <c r="S2189" s="84"/>
      <c r="T2189" s="84"/>
      <c r="U2189" s="84"/>
      <c r="V2189" s="84"/>
      <c r="W2189" s="84"/>
      <c r="X2189" s="84"/>
    </row>
    <row r="2190" spans="1:24" ht="15" customHeight="1" x14ac:dyDescent="0.2">
      <c r="A2190" s="84"/>
      <c r="B2190" s="84"/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  <c r="R2190" s="84"/>
      <c r="S2190" s="84"/>
      <c r="T2190" s="84"/>
      <c r="U2190" s="84"/>
      <c r="V2190" s="84"/>
      <c r="W2190" s="84"/>
      <c r="X2190" s="84"/>
    </row>
    <row r="2191" spans="1:24" ht="15" customHeight="1" x14ac:dyDescent="0.2">
      <c r="A2191" s="84"/>
      <c r="B2191" s="84"/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  <c r="R2191" s="84"/>
      <c r="S2191" s="84"/>
      <c r="T2191" s="84"/>
      <c r="U2191" s="84"/>
      <c r="V2191" s="84"/>
      <c r="W2191" s="84"/>
      <c r="X2191" s="84"/>
    </row>
    <row r="2192" spans="1:24" ht="15" customHeight="1" x14ac:dyDescent="0.2">
      <c r="A2192" s="84"/>
      <c r="B2192" s="84"/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  <c r="R2192" s="84"/>
      <c r="S2192" s="84"/>
      <c r="T2192" s="84"/>
      <c r="U2192" s="84"/>
      <c r="V2192" s="84"/>
      <c r="W2192" s="84"/>
      <c r="X2192" s="84"/>
    </row>
    <row r="2193" spans="1:24" ht="15" customHeight="1" x14ac:dyDescent="0.2">
      <c r="A2193" s="84"/>
      <c r="B2193" s="84"/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  <c r="R2193" s="84"/>
      <c r="S2193" s="84"/>
      <c r="T2193" s="84"/>
      <c r="U2193" s="84"/>
      <c r="V2193" s="84"/>
      <c r="W2193" s="84"/>
      <c r="X2193" s="84"/>
    </row>
    <row r="2194" spans="1:24" ht="15" customHeight="1" x14ac:dyDescent="0.2">
      <c r="A2194" s="84"/>
      <c r="B2194" s="84"/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  <c r="R2194" s="84"/>
      <c r="S2194" s="84"/>
      <c r="T2194" s="84"/>
      <c r="U2194" s="84"/>
      <c r="V2194" s="84"/>
      <c r="W2194" s="84"/>
      <c r="X2194" s="84"/>
    </row>
    <row r="2195" spans="1:24" ht="15" customHeight="1" x14ac:dyDescent="0.2">
      <c r="A2195" s="84"/>
      <c r="B2195" s="84"/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  <c r="R2195" s="84"/>
      <c r="S2195" s="84"/>
      <c r="T2195" s="84"/>
      <c r="U2195" s="84"/>
      <c r="V2195" s="84"/>
      <c r="W2195" s="84"/>
      <c r="X2195" s="84"/>
    </row>
    <row r="2196" spans="1:24" ht="15" customHeight="1" x14ac:dyDescent="0.2">
      <c r="A2196" s="84"/>
      <c r="B2196" s="84"/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  <c r="R2196" s="84"/>
      <c r="S2196" s="84"/>
      <c r="T2196" s="84"/>
      <c r="U2196" s="84"/>
      <c r="V2196" s="84"/>
      <c r="W2196" s="84"/>
      <c r="X2196" s="84"/>
    </row>
    <row r="2197" spans="1:24" ht="15" customHeight="1" x14ac:dyDescent="0.2">
      <c r="A2197" s="84"/>
      <c r="B2197" s="84"/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  <c r="R2197" s="84"/>
      <c r="S2197" s="84"/>
      <c r="T2197" s="84"/>
      <c r="U2197" s="84"/>
      <c r="V2197" s="84"/>
      <c r="W2197" s="84"/>
      <c r="X2197" s="84"/>
    </row>
    <row r="2198" spans="1:24" ht="15" customHeight="1" x14ac:dyDescent="0.2">
      <c r="A2198" s="84"/>
      <c r="B2198" s="84"/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  <c r="R2198" s="84"/>
      <c r="S2198" s="84"/>
      <c r="T2198" s="84"/>
      <c r="U2198" s="84"/>
      <c r="V2198" s="84"/>
      <c r="W2198" s="84"/>
      <c r="X2198" s="84"/>
    </row>
    <row r="2199" spans="1:24" ht="15" customHeight="1" x14ac:dyDescent="0.2">
      <c r="A2199" s="84"/>
      <c r="B2199" s="84"/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  <c r="R2199" s="84"/>
      <c r="S2199" s="84"/>
      <c r="T2199" s="84"/>
      <c r="U2199" s="84"/>
      <c r="V2199" s="84"/>
      <c r="W2199" s="84"/>
      <c r="X2199" s="84"/>
    </row>
    <row r="2200" spans="1:24" ht="15" customHeight="1" x14ac:dyDescent="0.2">
      <c r="A2200" s="84"/>
      <c r="B2200" s="84"/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  <c r="R2200" s="84"/>
      <c r="S2200" s="84"/>
      <c r="T2200" s="84"/>
      <c r="U2200" s="84"/>
      <c r="V2200" s="84"/>
      <c r="W2200" s="84"/>
      <c r="X2200" s="84"/>
    </row>
    <row r="2201" spans="1:24" ht="15" customHeight="1" x14ac:dyDescent="0.2">
      <c r="A2201" s="84"/>
      <c r="B2201" s="84"/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  <c r="R2201" s="84"/>
      <c r="S2201" s="84"/>
      <c r="T2201" s="84"/>
      <c r="U2201" s="84"/>
      <c r="V2201" s="84"/>
      <c r="W2201" s="84"/>
      <c r="X2201" s="84"/>
    </row>
    <row r="2202" spans="1:24" ht="15" customHeight="1" x14ac:dyDescent="0.2">
      <c r="A2202" s="84"/>
      <c r="B2202" s="84"/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  <c r="R2202" s="84"/>
      <c r="S2202" s="84"/>
      <c r="T2202" s="84"/>
      <c r="U2202" s="84"/>
      <c r="V2202" s="84"/>
      <c r="W2202" s="84"/>
      <c r="X2202" s="84"/>
    </row>
    <row r="2203" spans="1:24" ht="15" customHeight="1" x14ac:dyDescent="0.2">
      <c r="A2203" s="84"/>
      <c r="B2203" s="84"/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  <c r="R2203" s="84"/>
      <c r="S2203" s="84"/>
      <c r="T2203" s="84"/>
      <c r="U2203" s="84"/>
      <c r="V2203" s="84"/>
      <c r="W2203" s="84"/>
      <c r="X2203" s="84"/>
    </row>
    <row r="2204" spans="1:24" ht="15" customHeight="1" x14ac:dyDescent="0.2">
      <c r="A2204" s="84"/>
      <c r="B2204" s="84"/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  <c r="R2204" s="84"/>
      <c r="S2204" s="84"/>
      <c r="T2204" s="84"/>
      <c r="U2204" s="84"/>
      <c r="V2204" s="84"/>
      <c r="W2204" s="84"/>
      <c r="X2204" s="84"/>
    </row>
    <row r="2205" spans="1:24" ht="15" customHeight="1" x14ac:dyDescent="0.2">
      <c r="A2205" s="84"/>
      <c r="B2205" s="84"/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  <c r="R2205" s="84"/>
      <c r="S2205" s="84"/>
      <c r="T2205" s="84"/>
      <c r="U2205" s="84"/>
      <c r="V2205" s="84"/>
      <c r="W2205" s="84"/>
      <c r="X2205" s="84"/>
    </row>
    <row r="2206" spans="1:24" ht="15" customHeight="1" x14ac:dyDescent="0.2">
      <c r="A2206" s="84"/>
      <c r="B2206" s="84"/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  <c r="R2206" s="84"/>
      <c r="S2206" s="84"/>
      <c r="T2206" s="84"/>
      <c r="U2206" s="84"/>
      <c r="V2206" s="84"/>
      <c r="W2206" s="84"/>
      <c r="X2206" s="84"/>
    </row>
    <row r="2207" spans="1:24" ht="15" customHeight="1" x14ac:dyDescent="0.2">
      <c r="A2207" s="84"/>
      <c r="B2207" s="84"/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  <c r="R2207" s="84"/>
      <c r="S2207" s="84"/>
      <c r="T2207" s="84"/>
      <c r="U2207" s="84"/>
      <c r="V2207" s="84"/>
      <c r="W2207" s="84"/>
      <c r="X2207" s="84"/>
    </row>
    <row r="2208" spans="1:24" ht="15" customHeight="1" x14ac:dyDescent="0.2">
      <c r="A2208" s="84"/>
      <c r="B2208" s="84"/>
      <c r="C2208" s="84"/>
      <c r="D2208" s="84"/>
      <c r="E2208" s="84"/>
      <c r="F2208" s="84"/>
      <c r="G2208" s="84"/>
      <c r="H2208" s="84"/>
      <c r="I2208" s="84"/>
      <c r="J2208" s="84"/>
      <c r="K2208" s="84"/>
      <c r="L2208" s="84"/>
      <c r="M2208" s="84"/>
      <c r="N2208" s="84"/>
      <c r="O2208" s="84"/>
      <c r="P2208" s="84"/>
      <c r="Q2208" s="84"/>
      <c r="R2208" s="84"/>
      <c r="S2208" s="84"/>
      <c r="T2208" s="84"/>
      <c r="U2208" s="84"/>
      <c r="V2208" s="84"/>
      <c r="W2208" s="84"/>
      <c r="X2208" s="84"/>
    </row>
    <row r="2209" spans="1:24" ht="15" customHeight="1" x14ac:dyDescent="0.2">
      <c r="A2209" s="84"/>
      <c r="B2209" s="84"/>
      <c r="C2209" s="84"/>
      <c r="D2209" s="84"/>
      <c r="E2209" s="84"/>
      <c r="F2209" s="84"/>
      <c r="G2209" s="84"/>
      <c r="H2209" s="84"/>
      <c r="I2209" s="84"/>
      <c r="J2209" s="84"/>
      <c r="K2209" s="84"/>
      <c r="L2209" s="84"/>
      <c r="M2209" s="84"/>
      <c r="N2209" s="84"/>
      <c r="O2209" s="84"/>
      <c r="P2209" s="84"/>
      <c r="Q2209" s="84"/>
      <c r="R2209" s="84"/>
      <c r="S2209" s="84"/>
      <c r="T2209" s="84"/>
      <c r="U2209" s="84"/>
      <c r="V2209" s="84"/>
      <c r="W2209" s="84"/>
      <c r="X2209" s="84"/>
    </row>
    <row r="2210" spans="1:24" ht="15" customHeight="1" x14ac:dyDescent="0.2">
      <c r="A2210" s="84"/>
      <c r="B2210" s="84"/>
      <c r="C2210" s="84"/>
      <c r="D2210" s="84"/>
      <c r="E2210" s="84"/>
      <c r="F2210" s="84"/>
      <c r="G2210" s="84"/>
      <c r="H2210" s="84"/>
      <c r="I2210" s="84"/>
      <c r="J2210" s="84"/>
      <c r="K2210" s="84"/>
      <c r="L2210" s="84"/>
      <c r="M2210" s="84"/>
      <c r="N2210" s="84"/>
      <c r="O2210" s="84"/>
      <c r="P2210" s="84"/>
      <c r="Q2210" s="84"/>
      <c r="R2210" s="84"/>
      <c r="S2210" s="84"/>
      <c r="T2210" s="84"/>
      <c r="U2210" s="84"/>
      <c r="V2210" s="84"/>
      <c r="W2210" s="84"/>
      <c r="X2210" s="84"/>
    </row>
    <row r="2211" spans="1:24" ht="15" customHeight="1" x14ac:dyDescent="0.2">
      <c r="A2211" s="84"/>
      <c r="B2211" s="84"/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  <c r="S2211" s="84"/>
      <c r="T2211" s="84"/>
      <c r="U2211" s="84"/>
      <c r="V2211" s="84"/>
      <c r="W2211" s="84"/>
      <c r="X2211" s="84"/>
    </row>
    <row r="2212" spans="1:24" ht="15" customHeight="1" x14ac:dyDescent="0.2">
      <c r="A2212" s="84"/>
      <c r="B2212" s="84"/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  <c r="S2212" s="84"/>
      <c r="T2212" s="84"/>
      <c r="U2212" s="84"/>
      <c r="V2212" s="84"/>
      <c r="W2212" s="84"/>
      <c r="X2212" s="84"/>
    </row>
    <row r="2213" spans="1:24" ht="15" customHeight="1" x14ac:dyDescent="0.2">
      <c r="A2213" s="84"/>
      <c r="B2213" s="84"/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  <c r="S2213" s="84"/>
      <c r="T2213" s="84"/>
      <c r="U2213" s="84"/>
      <c r="V2213" s="84"/>
      <c r="W2213" s="84"/>
      <c r="X2213" s="84"/>
    </row>
    <row r="2214" spans="1:24" ht="15" customHeight="1" x14ac:dyDescent="0.2">
      <c r="A2214" s="84"/>
      <c r="B2214" s="84"/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  <c r="S2214" s="84"/>
      <c r="T2214" s="84"/>
      <c r="U2214" s="84"/>
      <c r="V2214" s="84"/>
      <c r="W2214" s="84"/>
      <c r="X2214" s="84"/>
    </row>
    <row r="2215" spans="1:24" ht="15" customHeight="1" x14ac:dyDescent="0.2">
      <c r="A2215" s="84"/>
      <c r="B2215" s="84"/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  <c r="S2215" s="84"/>
      <c r="T2215" s="84"/>
      <c r="U2215" s="84"/>
      <c r="V2215" s="84"/>
      <c r="W2215" s="84"/>
      <c r="X2215" s="84"/>
    </row>
    <row r="2216" spans="1:24" ht="15" customHeight="1" x14ac:dyDescent="0.2">
      <c r="A2216" s="84"/>
      <c r="B2216" s="84"/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  <c r="S2216" s="84"/>
      <c r="T2216" s="84"/>
      <c r="U2216" s="84"/>
      <c r="V2216" s="84"/>
      <c r="W2216" s="84"/>
      <c r="X2216" s="84"/>
    </row>
    <row r="2217" spans="1:24" ht="15" customHeight="1" x14ac:dyDescent="0.2">
      <c r="A2217" s="84"/>
      <c r="B2217" s="84"/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  <c r="S2217" s="84"/>
      <c r="T2217" s="84"/>
      <c r="U2217" s="84"/>
      <c r="V2217" s="84"/>
      <c r="W2217" s="84"/>
      <c r="X2217" s="84"/>
    </row>
    <row r="2218" spans="1:24" ht="15" customHeight="1" x14ac:dyDescent="0.2">
      <c r="A2218" s="84"/>
      <c r="B2218" s="84"/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  <c r="S2218" s="84"/>
      <c r="T2218" s="84"/>
      <c r="U2218" s="84"/>
      <c r="V2218" s="84"/>
      <c r="W2218" s="84"/>
      <c r="X2218" s="84"/>
    </row>
    <row r="2219" spans="1:24" ht="15" customHeight="1" x14ac:dyDescent="0.2">
      <c r="A2219" s="84"/>
      <c r="B2219" s="84"/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  <c r="S2219" s="84"/>
      <c r="T2219" s="84"/>
      <c r="U2219" s="84"/>
      <c r="V2219" s="84"/>
      <c r="W2219" s="84"/>
      <c r="X2219" s="84"/>
    </row>
    <row r="2220" spans="1:24" ht="15" customHeight="1" x14ac:dyDescent="0.2">
      <c r="A2220" s="84"/>
      <c r="B2220" s="84"/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  <c r="S2220" s="84"/>
      <c r="T2220" s="84"/>
      <c r="U2220" s="84"/>
      <c r="V2220" s="84"/>
      <c r="W2220" s="84"/>
      <c r="X2220" s="84"/>
    </row>
    <row r="2221" spans="1:24" ht="15" customHeight="1" x14ac:dyDescent="0.2">
      <c r="A2221" s="84"/>
      <c r="B2221" s="84"/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  <c r="S2221" s="84"/>
      <c r="T2221" s="84"/>
      <c r="U2221" s="84"/>
      <c r="V2221" s="84"/>
      <c r="W2221" s="84"/>
      <c r="X2221" s="84"/>
    </row>
    <row r="2222" spans="1:24" ht="15" customHeight="1" x14ac:dyDescent="0.2">
      <c r="A2222" s="84"/>
      <c r="B2222" s="84"/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  <c r="S2222" s="84"/>
      <c r="T2222" s="84"/>
      <c r="U2222" s="84"/>
      <c r="V2222" s="84"/>
      <c r="W2222" s="84"/>
      <c r="X2222" s="84"/>
    </row>
    <row r="2223" spans="1:24" ht="15" customHeight="1" x14ac:dyDescent="0.2">
      <c r="A2223" s="84"/>
      <c r="B2223" s="84"/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  <c r="S2223" s="84"/>
      <c r="T2223" s="84"/>
      <c r="U2223" s="84"/>
      <c r="V2223" s="84"/>
      <c r="W2223" s="84"/>
      <c r="X2223" s="84"/>
    </row>
    <row r="2224" spans="1:24" ht="15" customHeight="1" x14ac:dyDescent="0.2">
      <c r="A2224" s="84"/>
      <c r="B2224" s="84"/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  <c r="S2224" s="84"/>
      <c r="T2224" s="84"/>
      <c r="U2224" s="84"/>
      <c r="V2224" s="84"/>
      <c r="W2224" s="84"/>
      <c r="X2224" s="84"/>
    </row>
    <row r="2225" spans="1:24" ht="15" customHeight="1" x14ac:dyDescent="0.2">
      <c r="A2225" s="84"/>
      <c r="B2225" s="84"/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  <c r="S2225" s="84"/>
      <c r="T2225" s="84"/>
      <c r="U2225" s="84"/>
      <c r="V2225" s="84"/>
      <c r="W2225" s="84"/>
      <c r="X2225" s="84"/>
    </row>
    <row r="2226" spans="1:24" ht="15" customHeight="1" x14ac:dyDescent="0.2">
      <c r="A2226" s="84"/>
      <c r="B2226" s="84"/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  <c r="S2226" s="84"/>
      <c r="T2226" s="84"/>
      <c r="U2226" s="84"/>
      <c r="V2226" s="84"/>
      <c r="W2226" s="84"/>
      <c r="X2226" s="84"/>
    </row>
    <row r="2227" spans="1:24" ht="15" customHeight="1" x14ac:dyDescent="0.2">
      <c r="A2227" s="84"/>
      <c r="B2227" s="84"/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  <c r="S2227" s="84"/>
      <c r="T2227" s="84"/>
      <c r="U2227" s="84"/>
      <c r="V2227" s="84"/>
      <c r="W2227" s="84"/>
      <c r="X2227" s="84"/>
    </row>
    <row r="2228" spans="1:24" ht="15" customHeight="1" x14ac:dyDescent="0.2">
      <c r="A2228" s="84"/>
      <c r="B2228" s="84"/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  <c r="S2228" s="84"/>
      <c r="T2228" s="84"/>
      <c r="U2228" s="84"/>
      <c r="V2228" s="84"/>
      <c r="W2228" s="84"/>
      <c r="X2228" s="84"/>
    </row>
    <row r="2229" spans="1:24" ht="15" customHeight="1" x14ac:dyDescent="0.2">
      <c r="A2229" s="84"/>
      <c r="B2229" s="84"/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  <c r="S2229" s="84"/>
      <c r="T2229" s="84"/>
      <c r="U2229" s="84"/>
      <c r="V2229" s="84"/>
      <c r="W2229" s="84"/>
      <c r="X2229" s="84"/>
    </row>
    <row r="2230" spans="1:24" ht="15" customHeight="1" x14ac:dyDescent="0.2">
      <c r="A2230" s="84"/>
      <c r="B2230" s="84"/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  <c r="S2230" s="84"/>
      <c r="T2230" s="84"/>
      <c r="U2230" s="84"/>
      <c r="V2230" s="84"/>
      <c r="W2230" s="84"/>
      <c r="X2230" s="84"/>
    </row>
    <row r="2231" spans="1:24" ht="15" customHeight="1" x14ac:dyDescent="0.2">
      <c r="A2231" s="84"/>
      <c r="B2231" s="84"/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  <c r="S2231" s="84"/>
      <c r="T2231" s="84"/>
      <c r="U2231" s="84"/>
      <c r="V2231" s="84"/>
      <c r="W2231" s="84"/>
      <c r="X2231" s="84"/>
    </row>
    <row r="2232" spans="1:24" ht="15" customHeight="1" x14ac:dyDescent="0.2">
      <c r="A2232" s="84"/>
      <c r="B2232" s="84"/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  <c r="S2232" s="84"/>
      <c r="T2232" s="84"/>
      <c r="U2232" s="84"/>
      <c r="V2232" s="84"/>
      <c r="W2232" s="84"/>
      <c r="X2232" s="84"/>
    </row>
    <row r="2233" spans="1:24" ht="15" customHeight="1" x14ac:dyDescent="0.2">
      <c r="A2233" s="84"/>
      <c r="B2233" s="84"/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  <c r="S2233" s="84"/>
      <c r="T2233" s="84"/>
      <c r="U2233" s="84"/>
      <c r="V2233" s="84"/>
      <c r="W2233" s="84"/>
      <c r="X2233" s="84"/>
    </row>
    <row r="2234" spans="1:24" ht="15" customHeight="1" x14ac:dyDescent="0.2">
      <c r="A2234" s="84"/>
      <c r="B2234" s="84"/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  <c r="R2234" s="84"/>
      <c r="S2234" s="84"/>
      <c r="T2234" s="84"/>
      <c r="U2234" s="84"/>
      <c r="V2234" s="84"/>
      <c r="W2234" s="84"/>
      <c r="X2234" s="84"/>
    </row>
    <row r="2235" spans="1:24" ht="15" customHeight="1" x14ac:dyDescent="0.2">
      <c r="A2235" s="84"/>
      <c r="B2235" s="84"/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  <c r="R2235" s="84"/>
      <c r="S2235" s="84"/>
      <c r="T2235" s="84"/>
      <c r="U2235" s="84"/>
      <c r="V2235" s="84"/>
      <c r="W2235" s="84"/>
      <c r="X2235" s="84"/>
    </row>
    <row r="2236" spans="1:24" ht="15" customHeight="1" x14ac:dyDescent="0.2">
      <c r="A2236" s="84"/>
      <c r="B2236" s="84"/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  <c r="R2236" s="84"/>
      <c r="S2236" s="84"/>
      <c r="T2236" s="84"/>
      <c r="U2236" s="84"/>
      <c r="V2236" s="84"/>
      <c r="W2236" s="84"/>
      <c r="X2236" s="84"/>
    </row>
    <row r="2237" spans="1:24" ht="15" customHeight="1" x14ac:dyDescent="0.2">
      <c r="A2237" s="84"/>
      <c r="B2237" s="84"/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  <c r="R2237" s="84"/>
      <c r="S2237" s="84"/>
      <c r="T2237" s="84"/>
      <c r="U2237" s="84"/>
      <c r="V2237" s="84"/>
      <c r="W2237" s="84"/>
      <c r="X2237" s="84"/>
    </row>
    <row r="2238" spans="1:24" ht="15" customHeight="1" x14ac:dyDescent="0.2">
      <c r="A2238" s="84"/>
      <c r="B2238" s="84"/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  <c r="R2238" s="84"/>
      <c r="S2238" s="84"/>
      <c r="T2238" s="84"/>
      <c r="U2238" s="84"/>
      <c r="V2238" s="84"/>
      <c r="W2238" s="84"/>
      <c r="X2238" s="84"/>
    </row>
    <row r="2239" spans="1:24" ht="15" customHeight="1" x14ac:dyDescent="0.2">
      <c r="A2239" s="84"/>
      <c r="B2239" s="84"/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  <c r="R2239" s="84"/>
      <c r="S2239" s="84"/>
      <c r="T2239" s="84"/>
      <c r="U2239" s="84"/>
      <c r="V2239" s="84"/>
      <c r="W2239" s="84"/>
      <c r="X2239" s="84"/>
    </row>
    <row r="2240" spans="1:24" ht="15" customHeight="1" x14ac:dyDescent="0.2">
      <c r="A2240" s="84"/>
      <c r="B2240" s="84"/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  <c r="R2240" s="84"/>
      <c r="S2240" s="84"/>
      <c r="T2240" s="84"/>
      <c r="U2240" s="84"/>
      <c r="V2240" s="84"/>
      <c r="W2240" s="84"/>
      <c r="X2240" s="84"/>
    </row>
    <row r="2241" spans="1:24" ht="15" customHeight="1" x14ac:dyDescent="0.2">
      <c r="A2241" s="84"/>
      <c r="B2241" s="84"/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  <c r="R2241" s="84"/>
      <c r="S2241" s="84"/>
      <c r="T2241" s="84"/>
      <c r="U2241" s="84"/>
      <c r="V2241" s="84"/>
      <c r="W2241" s="84"/>
      <c r="X2241" s="84"/>
    </row>
    <row r="2242" spans="1:24" ht="15" customHeight="1" x14ac:dyDescent="0.2">
      <c r="A2242" s="84"/>
      <c r="B2242" s="84"/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  <c r="R2242" s="84"/>
      <c r="S2242" s="84"/>
      <c r="T2242" s="84"/>
      <c r="U2242" s="84"/>
      <c r="V2242" s="84"/>
      <c r="W2242" s="84"/>
      <c r="X2242" s="84"/>
    </row>
    <row r="2243" spans="1:24" ht="15" customHeight="1" x14ac:dyDescent="0.2">
      <c r="A2243" s="84"/>
      <c r="B2243" s="84"/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  <c r="R2243" s="84"/>
      <c r="S2243" s="84"/>
      <c r="T2243" s="84"/>
      <c r="U2243" s="84"/>
      <c r="V2243" s="84"/>
      <c r="W2243" s="84"/>
      <c r="X2243" s="84"/>
    </row>
    <row r="2244" spans="1:24" ht="15" customHeight="1" x14ac:dyDescent="0.2">
      <c r="A2244" s="84"/>
      <c r="B2244" s="84"/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  <c r="R2244" s="84"/>
      <c r="S2244" s="84"/>
      <c r="T2244" s="84"/>
      <c r="U2244" s="84"/>
      <c r="V2244" s="84"/>
      <c r="W2244" s="84"/>
      <c r="X2244" s="84"/>
    </row>
    <row r="2245" spans="1:24" ht="15" customHeight="1" x14ac:dyDescent="0.2">
      <c r="A2245" s="84"/>
      <c r="B2245" s="84"/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  <c r="R2245" s="84"/>
      <c r="S2245" s="84"/>
      <c r="T2245" s="84"/>
      <c r="U2245" s="84"/>
      <c r="V2245" s="84"/>
      <c r="W2245" s="84"/>
      <c r="X2245" s="84"/>
    </row>
    <row r="2246" spans="1:24" ht="15" customHeight="1" x14ac:dyDescent="0.2">
      <c r="A2246" s="84"/>
      <c r="B2246" s="84"/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  <c r="R2246" s="84"/>
      <c r="S2246" s="84"/>
      <c r="T2246" s="84"/>
      <c r="U2246" s="84"/>
      <c r="V2246" s="84"/>
      <c r="W2246" s="84"/>
      <c r="X2246" s="84"/>
    </row>
    <row r="2247" spans="1:24" ht="15" customHeight="1" x14ac:dyDescent="0.2">
      <c r="A2247" s="84"/>
      <c r="B2247" s="84"/>
      <c r="C2247" s="84"/>
      <c r="D2247" s="84"/>
      <c r="E2247" s="84"/>
      <c r="F2247" s="84"/>
      <c r="G2247" s="84"/>
      <c r="H2247" s="84"/>
      <c r="I2247" s="84"/>
      <c r="J2247" s="84"/>
      <c r="K2247" s="84"/>
      <c r="L2247" s="84"/>
      <c r="M2247" s="84"/>
      <c r="N2247" s="84"/>
      <c r="O2247" s="84"/>
      <c r="P2247" s="84"/>
      <c r="Q2247" s="84"/>
      <c r="R2247" s="84"/>
      <c r="S2247" s="84"/>
      <c r="T2247" s="84"/>
      <c r="U2247" s="84"/>
      <c r="V2247" s="84"/>
      <c r="W2247" s="84"/>
      <c r="X2247" s="84"/>
    </row>
    <row r="2248" spans="1:24" ht="15" customHeight="1" x14ac:dyDescent="0.2">
      <c r="A2248" s="84"/>
      <c r="B2248" s="84"/>
      <c r="C2248" s="84"/>
      <c r="D2248" s="84"/>
      <c r="E2248" s="84"/>
      <c r="F2248" s="84"/>
      <c r="G2248" s="84"/>
      <c r="H2248" s="84"/>
      <c r="I2248" s="84"/>
      <c r="J2248" s="84"/>
      <c r="K2248" s="84"/>
      <c r="L2248" s="84"/>
      <c r="M2248" s="84"/>
      <c r="N2248" s="84"/>
      <c r="O2248" s="84"/>
      <c r="P2248" s="84"/>
      <c r="Q2248" s="84"/>
      <c r="R2248" s="84"/>
      <c r="S2248" s="84"/>
      <c r="T2248" s="84"/>
      <c r="U2248" s="84"/>
      <c r="V2248" s="84"/>
      <c r="W2248" s="84"/>
      <c r="X2248" s="84"/>
    </row>
    <row r="2249" spans="1:24" ht="15" customHeight="1" x14ac:dyDescent="0.2">
      <c r="A2249" s="84"/>
      <c r="B2249" s="84"/>
      <c r="C2249" s="84"/>
      <c r="D2249" s="84"/>
      <c r="E2249" s="84"/>
      <c r="F2249" s="84"/>
      <c r="G2249" s="84"/>
      <c r="H2249" s="84"/>
      <c r="I2249" s="84"/>
      <c r="J2249" s="84"/>
      <c r="K2249" s="84"/>
      <c r="L2249" s="84"/>
      <c r="M2249" s="84"/>
      <c r="N2249" s="84"/>
      <c r="O2249" s="84"/>
      <c r="P2249" s="84"/>
      <c r="Q2249" s="84"/>
      <c r="R2249" s="84"/>
      <c r="S2249" s="84"/>
      <c r="T2249" s="84"/>
      <c r="U2249" s="84"/>
      <c r="V2249" s="84"/>
      <c r="W2249" s="84"/>
      <c r="X2249" s="84"/>
    </row>
    <row r="2250" spans="1:24" ht="15" customHeight="1" x14ac:dyDescent="0.2">
      <c r="A2250" s="84"/>
      <c r="B2250" s="84"/>
      <c r="C2250" s="84"/>
      <c r="D2250" s="84"/>
      <c r="E2250" s="84"/>
      <c r="F2250" s="84"/>
      <c r="G2250" s="84"/>
      <c r="H2250" s="84"/>
      <c r="I2250" s="84"/>
      <c r="J2250" s="84"/>
      <c r="K2250" s="84"/>
      <c r="L2250" s="84"/>
      <c r="M2250" s="84"/>
      <c r="N2250" s="84"/>
      <c r="O2250" s="84"/>
      <c r="P2250" s="84"/>
      <c r="Q2250" s="84"/>
      <c r="R2250" s="84"/>
      <c r="S2250" s="84"/>
      <c r="T2250" s="84"/>
      <c r="U2250" s="84"/>
      <c r="V2250" s="84"/>
      <c r="W2250" s="84"/>
      <c r="X2250" s="84"/>
    </row>
    <row r="2251" spans="1:24" ht="15" customHeight="1" x14ac:dyDescent="0.2">
      <c r="A2251" s="84"/>
      <c r="B2251" s="84"/>
      <c r="C2251" s="84"/>
      <c r="D2251" s="84"/>
      <c r="E2251" s="84"/>
      <c r="F2251" s="84"/>
      <c r="G2251" s="84"/>
      <c r="H2251" s="84"/>
      <c r="I2251" s="84"/>
      <c r="J2251" s="84"/>
      <c r="K2251" s="84"/>
      <c r="L2251" s="84"/>
      <c r="M2251" s="84"/>
      <c r="N2251" s="84"/>
      <c r="O2251" s="84"/>
      <c r="P2251" s="84"/>
      <c r="Q2251" s="84"/>
      <c r="R2251" s="84"/>
      <c r="S2251" s="84"/>
      <c r="T2251" s="84"/>
      <c r="U2251" s="84"/>
      <c r="V2251" s="84"/>
      <c r="W2251" s="84"/>
      <c r="X2251" s="84"/>
    </row>
    <row r="2252" spans="1:24" ht="15" customHeight="1" x14ac:dyDescent="0.2">
      <c r="A2252" s="84"/>
      <c r="B2252" s="84"/>
      <c r="C2252" s="84"/>
      <c r="D2252" s="84"/>
      <c r="E2252" s="84"/>
      <c r="F2252" s="84"/>
      <c r="G2252" s="84"/>
      <c r="H2252" s="84"/>
      <c r="I2252" s="84"/>
      <c r="J2252" s="84"/>
      <c r="K2252" s="84"/>
      <c r="L2252" s="84"/>
      <c r="M2252" s="84"/>
      <c r="N2252" s="84"/>
      <c r="O2252" s="84"/>
      <c r="P2252" s="84"/>
      <c r="Q2252" s="84"/>
      <c r="R2252" s="84"/>
      <c r="S2252" s="84"/>
      <c r="T2252" s="84"/>
      <c r="U2252" s="84"/>
      <c r="V2252" s="84"/>
      <c r="W2252" s="84"/>
      <c r="X2252" s="84"/>
    </row>
    <row r="2253" spans="1:24" ht="15" customHeight="1" x14ac:dyDescent="0.2">
      <c r="A2253" s="84"/>
      <c r="B2253" s="84"/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  <c r="R2253" s="84"/>
      <c r="S2253" s="84"/>
      <c r="T2253" s="84"/>
      <c r="U2253" s="84"/>
      <c r="V2253" s="84"/>
      <c r="W2253" s="84"/>
      <c r="X2253" s="84"/>
    </row>
    <row r="2254" spans="1:24" ht="15" customHeight="1" x14ac:dyDescent="0.2">
      <c r="A2254" s="84"/>
      <c r="B2254" s="84"/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  <c r="R2254" s="84"/>
      <c r="S2254" s="84"/>
      <c r="T2254" s="84"/>
      <c r="U2254" s="84"/>
      <c r="V2254" s="84"/>
      <c r="W2254" s="84"/>
      <c r="X2254" s="84"/>
    </row>
    <row r="2255" spans="1:24" ht="15" customHeight="1" x14ac:dyDescent="0.2">
      <c r="A2255" s="84"/>
      <c r="B2255" s="84"/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  <c r="R2255" s="84"/>
      <c r="S2255" s="84"/>
      <c r="T2255" s="84"/>
      <c r="U2255" s="84"/>
      <c r="V2255" s="84"/>
      <c r="W2255" s="84"/>
      <c r="X2255" s="84"/>
    </row>
    <row r="2256" spans="1:24" ht="15" customHeight="1" x14ac:dyDescent="0.2">
      <c r="A2256" s="84"/>
      <c r="B2256" s="84"/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  <c r="R2256" s="84"/>
      <c r="S2256" s="84"/>
      <c r="T2256" s="84"/>
      <c r="U2256" s="84"/>
      <c r="V2256" s="84"/>
      <c r="W2256" s="84"/>
      <c r="X2256" s="84"/>
    </row>
    <row r="2257" spans="1:24" ht="15" customHeight="1" x14ac:dyDescent="0.2">
      <c r="A2257" s="84"/>
      <c r="B2257" s="84"/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  <c r="S2257" s="84"/>
      <c r="T2257" s="84"/>
      <c r="U2257" s="84"/>
      <c r="V2257" s="84"/>
      <c r="W2257" s="84"/>
      <c r="X2257" s="84"/>
    </row>
    <row r="2258" spans="1:24" ht="15" customHeight="1" x14ac:dyDescent="0.2">
      <c r="A2258" s="84"/>
      <c r="B2258" s="84"/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  <c r="S2258" s="84"/>
      <c r="T2258" s="84"/>
      <c r="U2258" s="84"/>
      <c r="V2258" s="84"/>
      <c r="W2258" s="84"/>
      <c r="X2258" s="84"/>
    </row>
    <row r="2259" spans="1:24" ht="15" customHeight="1" x14ac:dyDescent="0.2">
      <c r="A2259" s="84"/>
      <c r="B2259" s="84"/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  <c r="S2259" s="84"/>
      <c r="T2259" s="84"/>
      <c r="U2259" s="84"/>
      <c r="V2259" s="84"/>
      <c r="W2259" s="84"/>
      <c r="X2259" s="84"/>
    </row>
    <row r="2260" spans="1:24" ht="15" customHeight="1" x14ac:dyDescent="0.2">
      <c r="A2260" s="84"/>
      <c r="B2260" s="84"/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</row>
    <row r="2261" spans="1:24" ht="15" customHeight="1" x14ac:dyDescent="0.2">
      <c r="A2261" s="84"/>
      <c r="B2261" s="84"/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  <c r="S2261" s="84"/>
      <c r="T2261" s="84"/>
      <c r="U2261" s="84"/>
      <c r="V2261" s="84"/>
      <c r="W2261" s="84"/>
      <c r="X2261" s="84"/>
    </row>
    <row r="2262" spans="1:24" ht="15" customHeight="1" x14ac:dyDescent="0.2">
      <c r="A2262" s="84"/>
      <c r="B2262" s="84"/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  <c r="S2262" s="84"/>
      <c r="T2262" s="84"/>
      <c r="U2262" s="84"/>
      <c r="V2262" s="84"/>
      <c r="W2262" s="84"/>
      <c r="X2262" s="84"/>
    </row>
    <row r="2263" spans="1:24" ht="15" customHeight="1" x14ac:dyDescent="0.2">
      <c r="A2263" s="84"/>
      <c r="B2263" s="84"/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  <c r="S2263" s="84"/>
      <c r="T2263" s="84"/>
      <c r="U2263" s="84"/>
      <c r="V2263" s="84"/>
      <c r="W2263" s="84"/>
      <c r="X2263" s="84"/>
    </row>
    <row r="2264" spans="1:24" ht="15" customHeight="1" x14ac:dyDescent="0.2">
      <c r="A2264" s="84"/>
      <c r="B2264" s="84"/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  <c r="S2264" s="84"/>
      <c r="T2264" s="84"/>
      <c r="U2264" s="84"/>
      <c r="V2264" s="84"/>
      <c r="W2264" s="84"/>
      <c r="X2264" s="84"/>
    </row>
    <row r="2265" spans="1:24" ht="15" customHeight="1" x14ac:dyDescent="0.2">
      <c r="A2265" s="84"/>
      <c r="B2265" s="84"/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  <c r="S2265" s="84"/>
      <c r="T2265" s="84"/>
      <c r="U2265" s="84"/>
      <c r="V2265" s="84"/>
      <c r="W2265" s="84"/>
      <c r="X2265" s="84"/>
    </row>
    <row r="2266" spans="1:24" ht="15" customHeight="1" x14ac:dyDescent="0.2">
      <c r="A2266" s="84"/>
      <c r="B2266" s="84"/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  <c r="S2266" s="84"/>
      <c r="T2266" s="84"/>
      <c r="U2266" s="84"/>
      <c r="V2266" s="84"/>
      <c r="W2266" s="84"/>
      <c r="X2266" s="84"/>
    </row>
    <row r="2267" spans="1:24" ht="15" customHeight="1" x14ac:dyDescent="0.2">
      <c r="A2267" s="84"/>
      <c r="B2267" s="84"/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  <c r="S2267" s="84"/>
      <c r="T2267" s="84"/>
      <c r="U2267" s="84"/>
      <c r="V2267" s="84"/>
      <c r="W2267" s="84"/>
      <c r="X2267" s="84"/>
    </row>
    <row r="2268" spans="1:24" ht="15" customHeight="1" x14ac:dyDescent="0.2">
      <c r="A2268" s="84"/>
      <c r="B2268" s="84"/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  <c r="S2268" s="84"/>
      <c r="T2268" s="84"/>
      <c r="U2268" s="84"/>
      <c r="V2268" s="84"/>
      <c r="W2268" s="84"/>
      <c r="X2268" s="84"/>
    </row>
    <row r="2269" spans="1:24" ht="15" customHeight="1" x14ac:dyDescent="0.2">
      <c r="A2269" s="84"/>
      <c r="B2269" s="84"/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  <c r="S2269" s="84"/>
      <c r="T2269" s="84"/>
      <c r="U2269" s="84"/>
      <c r="V2269" s="84"/>
      <c r="W2269" s="84"/>
      <c r="X2269" s="84"/>
    </row>
    <row r="2270" spans="1:24" ht="15" customHeight="1" x14ac:dyDescent="0.2">
      <c r="A2270" s="84"/>
      <c r="B2270" s="84"/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  <c r="S2270" s="84"/>
      <c r="T2270" s="84"/>
      <c r="U2270" s="84"/>
      <c r="V2270" s="84"/>
      <c r="W2270" s="84"/>
      <c r="X2270" s="84"/>
    </row>
    <row r="2271" spans="1:24" ht="15" customHeight="1" x14ac:dyDescent="0.2">
      <c r="A2271" s="84"/>
      <c r="B2271" s="84"/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  <c r="S2271" s="84"/>
      <c r="T2271" s="84"/>
      <c r="U2271" s="84"/>
      <c r="V2271" s="84"/>
      <c r="W2271" s="84"/>
      <c r="X2271" s="84"/>
    </row>
    <row r="2272" spans="1:24" ht="15" customHeight="1" x14ac:dyDescent="0.2">
      <c r="A2272" s="84"/>
      <c r="B2272" s="84"/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  <c r="S2272" s="84"/>
      <c r="T2272" s="84"/>
      <c r="U2272" s="84"/>
      <c r="V2272" s="84"/>
      <c r="W2272" s="84"/>
      <c r="X2272" s="84"/>
    </row>
    <row r="2273" spans="1:24" ht="15" customHeight="1" x14ac:dyDescent="0.2">
      <c r="A2273" s="84"/>
      <c r="B2273" s="84"/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  <c r="S2273" s="84"/>
      <c r="T2273" s="84"/>
      <c r="U2273" s="84"/>
      <c r="V2273" s="84"/>
      <c r="W2273" s="84"/>
      <c r="X2273" s="84"/>
    </row>
    <row r="2274" spans="1:24" ht="15" customHeight="1" x14ac:dyDescent="0.2">
      <c r="A2274" s="84"/>
      <c r="B2274" s="84"/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  <c r="S2274" s="84"/>
      <c r="T2274" s="84"/>
      <c r="U2274" s="84"/>
      <c r="V2274" s="84"/>
      <c r="W2274" s="84"/>
      <c r="X2274" s="84"/>
    </row>
    <row r="2275" spans="1:24" ht="15" customHeight="1" x14ac:dyDescent="0.2">
      <c r="A2275" s="84"/>
      <c r="B2275" s="84"/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  <c r="S2275" s="84"/>
      <c r="T2275" s="84"/>
      <c r="U2275" s="84"/>
      <c r="V2275" s="84"/>
      <c r="W2275" s="84"/>
      <c r="X2275" s="84"/>
    </row>
    <row r="2276" spans="1:24" ht="15" customHeight="1" x14ac:dyDescent="0.2">
      <c r="A2276" s="84"/>
      <c r="B2276" s="84"/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  <c r="S2276" s="84"/>
      <c r="T2276" s="84"/>
      <c r="U2276" s="84"/>
      <c r="V2276" s="84"/>
      <c r="W2276" s="84"/>
      <c r="X2276" s="84"/>
    </row>
    <row r="2277" spans="1:24" ht="15" customHeight="1" x14ac:dyDescent="0.2">
      <c r="A2277" s="84"/>
      <c r="B2277" s="84"/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  <c r="S2277" s="84"/>
      <c r="T2277" s="84"/>
      <c r="U2277" s="84"/>
      <c r="V2277" s="84"/>
      <c r="W2277" s="84"/>
      <c r="X2277" s="84"/>
    </row>
    <row r="2278" spans="1:24" ht="15" customHeight="1" x14ac:dyDescent="0.2">
      <c r="A2278" s="84"/>
      <c r="B2278" s="84"/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  <c r="S2278" s="84"/>
      <c r="T2278" s="84"/>
      <c r="U2278" s="84"/>
      <c r="V2278" s="84"/>
      <c r="W2278" s="84"/>
      <c r="X2278" s="84"/>
    </row>
    <row r="2279" spans="1:24" ht="15" customHeight="1" x14ac:dyDescent="0.2">
      <c r="A2279" s="84"/>
      <c r="B2279" s="84"/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  <c r="S2279" s="84"/>
      <c r="T2279" s="84"/>
      <c r="U2279" s="84"/>
      <c r="V2279" s="84"/>
      <c r="W2279" s="84"/>
      <c r="X2279" s="84"/>
    </row>
    <row r="2280" spans="1:24" ht="15" customHeight="1" x14ac:dyDescent="0.2">
      <c r="A2280" s="84"/>
      <c r="B2280" s="84"/>
      <c r="C2280" s="84"/>
      <c r="D2280" s="84"/>
      <c r="E2280" s="84"/>
      <c r="F2280" s="84"/>
      <c r="G2280" s="84"/>
      <c r="H2280" s="84"/>
      <c r="I2280" s="84"/>
      <c r="J2280" s="84"/>
      <c r="K2280" s="84"/>
      <c r="L2280" s="84"/>
      <c r="M2280" s="84"/>
      <c r="N2280" s="84"/>
      <c r="O2280" s="84"/>
      <c r="P2280" s="84"/>
      <c r="Q2280" s="84"/>
      <c r="R2280" s="84"/>
      <c r="S2280" s="84"/>
      <c r="T2280" s="84"/>
      <c r="U2280" s="84"/>
      <c r="V2280" s="84"/>
      <c r="W2280" s="84"/>
      <c r="X2280" s="84"/>
    </row>
    <row r="2281" spans="1:24" ht="15" customHeight="1" x14ac:dyDescent="0.2">
      <c r="A2281" s="84"/>
      <c r="B2281" s="84"/>
      <c r="C2281" s="84"/>
      <c r="D2281" s="84"/>
      <c r="E2281" s="84"/>
      <c r="F2281" s="84"/>
      <c r="G2281" s="84"/>
      <c r="H2281" s="84"/>
      <c r="I2281" s="84"/>
      <c r="J2281" s="84"/>
      <c r="K2281" s="84"/>
      <c r="L2281" s="84"/>
      <c r="M2281" s="84"/>
      <c r="N2281" s="84"/>
      <c r="O2281" s="84"/>
      <c r="P2281" s="84"/>
      <c r="Q2281" s="84"/>
      <c r="R2281" s="84"/>
      <c r="S2281" s="84"/>
      <c r="T2281" s="84"/>
      <c r="U2281" s="84"/>
      <c r="V2281" s="84"/>
      <c r="W2281" s="84"/>
      <c r="X2281" s="84"/>
    </row>
    <row r="2282" spans="1:24" ht="15" customHeight="1" x14ac:dyDescent="0.2">
      <c r="A2282" s="84"/>
      <c r="B2282" s="84"/>
      <c r="C2282" s="84"/>
      <c r="D2282" s="84"/>
      <c r="E2282" s="84"/>
      <c r="F2282" s="84"/>
      <c r="G2282" s="84"/>
      <c r="H2282" s="84"/>
      <c r="I2282" s="84"/>
      <c r="J2282" s="84"/>
      <c r="K2282" s="84"/>
      <c r="L2282" s="84"/>
      <c r="M2282" s="84"/>
      <c r="N2282" s="84"/>
      <c r="O2282" s="84"/>
      <c r="P2282" s="84"/>
      <c r="Q2282" s="84"/>
      <c r="R2282" s="84"/>
      <c r="S2282" s="84"/>
      <c r="T2282" s="84"/>
      <c r="U2282" s="84"/>
      <c r="V2282" s="84"/>
      <c r="W2282" s="84"/>
      <c r="X2282" s="84"/>
    </row>
    <row r="2283" spans="1:24" ht="15" customHeight="1" x14ac:dyDescent="0.2">
      <c r="A2283" s="84"/>
      <c r="B2283" s="84"/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  <c r="R2283" s="84"/>
      <c r="S2283" s="84"/>
      <c r="T2283" s="84"/>
      <c r="U2283" s="84"/>
      <c r="V2283" s="84"/>
      <c r="W2283" s="84"/>
      <c r="X2283" s="84"/>
    </row>
    <row r="2284" spans="1:24" ht="15" customHeight="1" x14ac:dyDescent="0.2">
      <c r="A2284" s="84"/>
      <c r="B2284" s="84"/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  <c r="R2284" s="84"/>
      <c r="S2284" s="84"/>
      <c r="T2284" s="84"/>
      <c r="U2284" s="84"/>
      <c r="V2284" s="84"/>
      <c r="W2284" s="84"/>
      <c r="X2284" s="84"/>
    </row>
    <row r="2285" spans="1:24" ht="15" customHeight="1" x14ac:dyDescent="0.2">
      <c r="A2285" s="84"/>
      <c r="B2285" s="84"/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  <c r="R2285" s="84"/>
      <c r="S2285" s="84"/>
      <c r="T2285" s="84"/>
      <c r="U2285" s="84"/>
      <c r="V2285" s="84"/>
      <c r="W2285" s="84"/>
      <c r="X2285" s="84"/>
    </row>
    <row r="2286" spans="1:24" ht="15" customHeight="1" x14ac:dyDescent="0.2">
      <c r="A2286" s="84"/>
      <c r="B2286" s="84"/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  <c r="R2286" s="84"/>
      <c r="S2286" s="84"/>
      <c r="T2286" s="84"/>
      <c r="U2286" s="84"/>
      <c r="V2286" s="84"/>
      <c r="W2286" s="84"/>
      <c r="X2286" s="84"/>
    </row>
    <row r="2287" spans="1:24" ht="15" customHeight="1" x14ac:dyDescent="0.2">
      <c r="A2287" s="84"/>
      <c r="B2287" s="84"/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  <c r="R2287" s="84"/>
      <c r="S2287" s="84"/>
      <c r="T2287" s="84"/>
      <c r="U2287" s="84"/>
      <c r="V2287" s="84"/>
      <c r="W2287" s="84"/>
      <c r="X2287" s="84"/>
    </row>
    <row r="2288" spans="1:24" ht="15" customHeight="1" x14ac:dyDescent="0.2">
      <c r="A2288" s="84"/>
      <c r="B2288" s="84"/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  <c r="R2288" s="84"/>
      <c r="S2288" s="84"/>
      <c r="T2288" s="84"/>
      <c r="U2288" s="84"/>
      <c r="V2288" s="84"/>
      <c r="W2288" s="84"/>
      <c r="X2288" s="84"/>
    </row>
    <row r="2289" spans="1:24" ht="15" customHeight="1" x14ac:dyDescent="0.2">
      <c r="A2289" s="84"/>
      <c r="B2289" s="84"/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  <c r="R2289" s="84"/>
      <c r="S2289" s="84"/>
      <c r="T2289" s="84"/>
      <c r="U2289" s="84"/>
      <c r="V2289" s="84"/>
      <c r="W2289" s="84"/>
      <c r="X2289" s="84"/>
    </row>
    <row r="2290" spans="1:24" ht="15" customHeight="1" x14ac:dyDescent="0.2">
      <c r="A2290" s="84"/>
      <c r="B2290" s="84"/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  <c r="R2290" s="84"/>
      <c r="S2290" s="84"/>
      <c r="T2290" s="84"/>
      <c r="U2290" s="84"/>
      <c r="V2290" s="84"/>
      <c r="W2290" s="84"/>
      <c r="X2290" s="84"/>
    </row>
    <row r="2291" spans="1:24" ht="15" customHeight="1" x14ac:dyDescent="0.2">
      <c r="A2291" s="84"/>
      <c r="B2291" s="84"/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  <c r="R2291" s="84"/>
      <c r="S2291" s="84"/>
      <c r="T2291" s="84"/>
      <c r="U2291" s="84"/>
      <c r="V2291" s="84"/>
      <c r="W2291" s="84"/>
      <c r="X2291" s="84"/>
    </row>
    <row r="2292" spans="1:24" ht="15" customHeight="1" x14ac:dyDescent="0.2">
      <c r="A2292" s="84"/>
      <c r="B2292" s="84"/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  <c r="R2292" s="84"/>
      <c r="S2292" s="84"/>
      <c r="T2292" s="84"/>
      <c r="U2292" s="84"/>
      <c r="V2292" s="84"/>
      <c r="W2292" s="84"/>
      <c r="X2292" s="84"/>
    </row>
    <row r="2293" spans="1:24" ht="15" customHeight="1" x14ac:dyDescent="0.2">
      <c r="A2293" s="84"/>
      <c r="B2293" s="84"/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  <c r="R2293" s="84"/>
      <c r="S2293" s="84"/>
      <c r="T2293" s="84"/>
      <c r="U2293" s="84"/>
      <c r="V2293" s="84"/>
      <c r="W2293" s="84"/>
      <c r="X2293" s="84"/>
    </row>
    <row r="2294" spans="1:24" ht="15" customHeight="1" x14ac:dyDescent="0.2">
      <c r="A2294" s="84"/>
      <c r="B2294" s="84"/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  <c r="R2294" s="84"/>
      <c r="S2294" s="84"/>
      <c r="T2294" s="84"/>
      <c r="U2294" s="84"/>
      <c r="V2294" s="84"/>
      <c r="W2294" s="84"/>
      <c r="X2294" s="84"/>
    </row>
    <row r="2295" spans="1:24" ht="15" customHeight="1" x14ac:dyDescent="0.2">
      <c r="A2295" s="84"/>
      <c r="B2295" s="84"/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  <c r="R2295" s="84"/>
      <c r="S2295" s="84"/>
      <c r="T2295" s="84"/>
      <c r="U2295" s="84"/>
      <c r="V2295" s="84"/>
      <c r="W2295" s="84"/>
      <c r="X2295" s="84"/>
    </row>
    <row r="2296" spans="1:24" ht="15" customHeight="1" x14ac:dyDescent="0.2">
      <c r="A2296" s="84"/>
      <c r="B2296" s="84"/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  <c r="R2296" s="84"/>
      <c r="S2296" s="84"/>
      <c r="T2296" s="84"/>
      <c r="U2296" s="84"/>
      <c r="V2296" s="84"/>
      <c r="W2296" s="84"/>
      <c r="X2296" s="84"/>
    </row>
    <row r="2297" spans="1:24" ht="15" customHeight="1" x14ac:dyDescent="0.2">
      <c r="A2297" s="84"/>
      <c r="B2297" s="84"/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  <c r="R2297" s="84"/>
      <c r="S2297" s="84"/>
      <c r="T2297" s="84"/>
      <c r="U2297" s="84"/>
      <c r="V2297" s="84"/>
      <c r="W2297" s="84"/>
      <c r="X2297" s="84"/>
    </row>
    <row r="2298" spans="1:24" ht="15" customHeight="1" x14ac:dyDescent="0.2">
      <c r="A2298" s="84"/>
      <c r="B2298" s="84"/>
      <c r="C2298" s="84"/>
      <c r="D2298" s="84"/>
      <c r="E2298" s="84"/>
      <c r="F2298" s="84"/>
      <c r="G2298" s="84"/>
      <c r="H2298" s="84"/>
      <c r="I2298" s="84"/>
      <c r="J2298" s="84"/>
      <c r="K2298" s="84"/>
      <c r="L2298" s="84"/>
      <c r="M2298" s="84"/>
      <c r="N2298" s="84"/>
      <c r="O2298" s="84"/>
      <c r="P2298" s="84"/>
      <c r="Q2298" s="84"/>
      <c r="R2298" s="84"/>
      <c r="S2298" s="84"/>
      <c r="T2298" s="84"/>
      <c r="U2298" s="84"/>
      <c r="V2298" s="84"/>
      <c r="W2298" s="84"/>
      <c r="X2298" s="84"/>
    </row>
    <row r="2299" spans="1:24" ht="15" customHeight="1" x14ac:dyDescent="0.2">
      <c r="A2299" s="84"/>
      <c r="B2299" s="84"/>
      <c r="C2299" s="84"/>
      <c r="D2299" s="84"/>
      <c r="E2299" s="84"/>
      <c r="F2299" s="84"/>
      <c r="G2299" s="84"/>
      <c r="H2299" s="84"/>
      <c r="I2299" s="84"/>
      <c r="J2299" s="84"/>
      <c r="K2299" s="84"/>
      <c r="L2299" s="84"/>
      <c r="M2299" s="84"/>
      <c r="N2299" s="84"/>
      <c r="O2299" s="84"/>
      <c r="P2299" s="84"/>
      <c r="Q2299" s="84"/>
      <c r="R2299" s="84"/>
      <c r="S2299" s="84"/>
      <c r="T2299" s="84"/>
      <c r="U2299" s="84"/>
      <c r="V2299" s="84"/>
      <c r="W2299" s="84"/>
      <c r="X2299" s="84"/>
    </row>
    <row r="2300" spans="1:24" ht="15" customHeight="1" x14ac:dyDescent="0.2">
      <c r="A2300" s="84"/>
      <c r="B2300" s="84"/>
      <c r="C2300" s="84"/>
      <c r="D2300" s="84"/>
      <c r="E2300" s="84"/>
      <c r="F2300" s="84"/>
      <c r="G2300" s="84"/>
      <c r="H2300" s="84"/>
      <c r="I2300" s="84"/>
      <c r="J2300" s="84"/>
      <c r="K2300" s="84"/>
      <c r="L2300" s="84"/>
      <c r="M2300" s="84"/>
      <c r="N2300" s="84"/>
      <c r="O2300" s="84"/>
      <c r="P2300" s="84"/>
      <c r="Q2300" s="84"/>
      <c r="R2300" s="84"/>
      <c r="S2300" s="84"/>
      <c r="T2300" s="84"/>
      <c r="U2300" s="84"/>
      <c r="V2300" s="84"/>
      <c r="W2300" s="84"/>
      <c r="X2300" s="84"/>
    </row>
    <row r="2301" spans="1:24" ht="15" customHeight="1" x14ac:dyDescent="0.2">
      <c r="A2301" s="84"/>
      <c r="B2301" s="84"/>
      <c r="C2301" s="84"/>
      <c r="D2301" s="84"/>
      <c r="E2301" s="84"/>
      <c r="F2301" s="84"/>
      <c r="G2301" s="84"/>
      <c r="H2301" s="84"/>
      <c r="I2301" s="84"/>
      <c r="J2301" s="84"/>
      <c r="K2301" s="84"/>
      <c r="L2301" s="84"/>
      <c r="M2301" s="84"/>
      <c r="N2301" s="84"/>
      <c r="O2301" s="84"/>
      <c r="P2301" s="84"/>
      <c r="Q2301" s="84"/>
      <c r="R2301" s="84"/>
      <c r="S2301" s="84"/>
      <c r="T2301" s="84"/>
      <c r="U2301" s="84"/>
      <c r="V2301" s="84"/>
      <c r="W2301" s="84"/>
      <c r="X2301" s="84"/>
    </row>
    <row r="2302" spans="1:24" ht="15" customHeight="1" x14ac:dyDescent="0.2">
      <c r="A2302" s="84"/>
      <c r="B2302" s="84"/>
      <c r="C2302" s="84"/>
      <c r="D2302" s="84"/>
      <c r="E2302" s="84"/>
      <c r="F2302" s="84"/>
      <c r="G2302" s="84"/>
      <c r="H2302" s="84"/>
      <c r="I2302" s="84"/>
      <c r="J2302" s="84"/>
      <c r="K2302" s="84"/>
      <c r="L2302" s="84"/>
      <c r="M2302" s="84"/>
      <c r="N2302" s="84"/>
      <c r="O2302" s="84"/>
      <c r="P2302" s="84"/>
      <c r="Q2302" s="84"/>
      <c r="R2302" s="84"/>
      <c r="S2302" s="84"/>
      <c r="T2302" s="84"/>
      <c r="U2302" s="84"/>
      <c r="V2302" s="84"/>
      <c r="W2302" s="84"/>
      <c r="X2302" s="84"/>
    </row>
    <row r="2303" spans="1:24" ht="15" customHeight="1" x14ac:dyDescent="0.2">
      <c r="A2303" s="84"/>
      <c r="B2303" s="84"/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  <c r="S2303" s="84"/>
      <c r="T2303" s="84"/>
      <c r="U2303" s="84"/>
      <c r="V2303" s="84"/>
      <c r="W2303" s="84"/>
      <c r="X2303" s="84"/>
    </row>
  </sheetData>
  <phoneticPr fontId="20" type="noConversion"/>
  <pageMargins left="0.511811024" right="0.511811024" top="0.78740157499999996" bottom="0.78740157499999996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1:CT1000"/>
  <sheetViews>
    <sheetView workbookViewId="0">
      <selection activeCell="E5" sqref="E5"/>
    </sheetView>
  </sheetViews>
  <sheetFormatPr defaultColWidth="12.625" defaultRowHeight="15" customHeight="1" x14ac:dyDescent="0.2"/>
  <cols>
    <col min="1" max="1" width="16.25" customWidth="1"/>
    <col min="2" max="2" width="20.25" customWidth="1"/>
    <col min="3" max="3" width="24" customWidth="1"/>
    <col min="4" max="4" width="25.25" customWidth="1"/>
    <col min="5" max="5" width="27.625" customWidth="1"/>
    <col min="6" max="6" width="23.875" customWidth="1"/>
    <col min="7" max="7" width="22" customWidth="1"/>
    <col min="8" max="8" width="22.625" customWidth="1"/>
    <col min="9" max="9" width="18.75" customWidth="1"/>
    <col min="10" max="10" width="23.875" customWidth="1"/>
    <col min="11" max="11" width="25.125" customWidth="1"/>
    <col min="12" max="12" width="22.5" customWidth="1"/>
    <col min="13" max="13" width="23.75" customWidth="1"/>
    <col min="14" max="14" width="21.875" customWidth="1"/>
    <col min="15" max="15" width="22.5" customWidth="1"/>
    <col min="16" max="16" width="20.25" customWidth="1"/>
    <col min="17" max="17" width="17.5" customWidth="1"/>
    <col min="18" max="18" width="17" customWidth="1"/>
    <col min="19" max="19" width="17.5" customWidth="1"/>
    <col min="20" max="20" width="24" customWidth="1"/>
    <col min="21" max="21" width="25.25" customWidth="1"/>
    <col min="22" max="22" width="22.625" customWidth="1"/>
    <col min="23" max="23" width="21.75" customWidth="1"/>
    <col min="24" max="24" width="23.875" customWidth="1"/>
    <col min="25" max="25" width="22" customWidth="1"/>
    <col min="26" max="26" width="22.625" customWidth="1"/>
    <col min="27" max="27" width="18.875" customWidth="1"/>
    <col min="28" max="28" width="17.375" customWidth="1"/>
    <col min="29" max="29" width="16.875" customWidth="1"/>
    <col min="30" max="30" width="17.375" customWidth="1"/>
    <col min="31" max="31" width="23.875" customWidth="1"/>
    <col min="32" max="32" width="25.125" customWidth="1"/>
    <col min="33" max="33" width="22.5" customWidth="1"/>
    <col min="34" max="34" width="23.75" customWidth="1"/>
    <col min="35" max="35" width="21.875" customWidth="1"/>
    <col min="36" max="36" width="22.5" customWidth="1"/>
    <col min="37" max="37" width="19" customWidth="1"/>
    <col min="38" max="38" width="20.25" customWidth="1"/>
    <col min="39" max="39" width="17.5" customWidth="1"/>
    <col min="40" max="40" width="16.75" customWidth="1"/>
    <col min="41" max="41" width="18.875" customWidth="1"/>
    <col min="42" max="42" width="17" customWidth="1"/>
    <col min="43" max="43" width="17.5" customWidth="1"/>
    <col min="44" max="44" width="24" customWidth="1"/>
    <col min="45" max="45" width="25.25" customWidth="1"/>
    <col min="46" max="46" width="22.625" customWidth="1"/>
    <col min="47" max="47" width="21.75" customWidth="1"/>
    <col min="48" max="48" width="23.875" customWidth="1"/>
    <col min="49" max="49" width="22" customWidth="1"/>
    <col min="50" max="50" width="20.125" customWidth="1"/>
    <col min="51" max="51" width="17.375" customWidth="1"/>
    <col min="52" max="52" width="18.75" customWidth="1"/>
    <col min="53" max="53" width="16.875" customWidth="1"/>
    <col min="54" max="54" width="17.375" customWidth="1"/>
    <col min="55" max="55" width="25.125" customWidth="1"/>
    <col min="56" max="56" width="23.75" customWidth="1"/>
    <col min="57" max="57" width="19" customWidth="1"/>
    <col min="58" max="58" width="20.25" customWidth="1"/>
    <col min="59" max="59" width="17.5" customWidth="1"/>
    <col min="60" max="60" width="16.75" customWidth="1"/>
    <col min="61" max="61" width="18.875" customWidth="1"/>
    <col min="62" max="62" width="17" customWidth="1"/>
    <col min="63" max="63" width="17.5" customWidth="1"/>
    <col min="64" max="64" width="21.75" customWidth="1"/>
    <col min="65" max="65" width="23.875" customWidth="1"/>
    <col min="66" max="66" width="18.875" customWidth="1"/>
    <col min="67" max="67" width="20.125" customWidth="1"/>
    <col min="68" max="68" width="17.375" customWidth="1"/>
    <col min="69" max="69" width="18.75" customWidth="1"/>
    <col min="70" max="70" width="6.125" customWidth="1"/>
    <col min="71" max="71" width="22.5" customWidth="1"/>
    <col min="72" max="72" width="16.75" customWidth="1"/>
    <col min="73" max="73" width="4.375" customWidth="1"/>
    <col min="74" max="74" width="12.125" customWidth="1"/>
    <col min="75" max="75" width="25.125" customWidth="1"/>
    <col min="76" max="76" width="11" customWidth="1"/>
    <col min="77" max="77" width="17.375" customWidth="1"/>
    <col min="78" max="78" width="23.75" customWidth="1"/>
    <col min="79" max="80" width="17.375" customWidth="1"/>
    <col min="81" max="81" width="23.875" customWidth="1"/>
    <col min="82" max="82" width="12.25" customWidth="1"/>
    <col min="83" max="83" width="20.25" customWidth="1"/>
    <col min="84" max="84" width="25.25" customWidth="1"/>
    <col min="85" max="85" width="17" customWidth="1"/>
    <col min="86" max="86" width="17.5" customWidth="1"/>
    <col min="87" max="87" width="19" customWidth="1"/>
    <col min="88" max="88" width="17.5" customWidth="1"/>
    <col min="89" max="89" width="16.75" customWidth="1"/>
    <col min="90" max="90" width="18.875" customWidth="1"/>
    <col min="91" max="92" width="24" customWidth="1"/>
    <col min="93" max="93" width="22.625" customWidth="1"/>
    <col min="94" max="94" width="17" customWidth="1"/>
    <col min="95" max="95" width="25.25" customWidth="1"/>
    <col min="96" max="97" width="22.625" customWidth="1"/>
    <col min="98" max="98" width="9.375" customWidth="1"/>
  </cols>
  <sheetData>
    <row r="1" spans="1:9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</row>
    <row r="2" spans="1:9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</row>
    <row r="3" spans="1:98" x14ac:dyDescent="0.25">
      <c r="B3" s="79" t="s">
        <v>1038</v>
      </c>
      <c r="CS3" s="43"/>
      <c r="CT3" s="43"/>
    </row>
    <row r="4" spans="1:98" ht="14.25" x14ac:dyDescent="0.2">
      <c r="B4" t="s">
        <v>1033</v>
      </c>
      <c r="C4" t="s">
        <v>1034</v>
      </c>
    </row>
    <row r="5" spans="1:98" ht="14.25" x14ac:dyDescent="0.2">
      <c r="A5" t="s">
        <v>213</v>
      </c>
      <c r="B5" s="80"/>
      <c r="C5" s="80"/>
    </row>
    <row r="6" spans="1:98" x14ac:dyDescent="0.25"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</row>
    <row r="7" spans="1:98" x14ac:dyDescent="0.25"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</row>
    <row r="8" spans="1:98" x14ac:dyDescent="0.25"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</row>
    <row r="9" spans="1:98" x14ac:dyDescent="0.25"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</row>
    <row r="10" spans="1:98" x14ac:dyDescent="0.25"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</row>
    <row r="11" spans="1:98" x14ac:dyDescent="0.25"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</row>
    <row r="12" spans="1:98" x14ac:dyDescent="0.25"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</row>
    <row r="13" spans="1:98" x14ac:dyDescent="0.25"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</row>
    <row r="14" spans="1:98" x14ac:dyDescent="0.25"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</row>
    <row r="15" spans="1:98" x14ac:dyDescent="0.25"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</row>
    <row r="16" spans="1:98" x14ac:dyDescent="0.25"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</row>
    <row r="17" spans="1:98" x14ac:dyDescent="0.25"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</row>
    <row r="18" spans="1:98" x14ac:dyDescent="0.25"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</row>
    <row r="19" spans="1:98" x14ac:dyDescent="0.25"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</row>
    <row r="20" spans="1:98" x14ac:dyDescent="0.25"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</row>
    <row r="21" spans="1:98" ht="15.75" customHeight="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</row>
    <row r="22" spans="1:98" ht="15.7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</row>
    <row r="23" spans="1:98" ht="15.7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</row>
    <row r="24" spans="1:98" ht="15.7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</row>
    <row r="25" spans="1:98" ht="15.7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</row>
    <row r="26" spans="1:98" ht="15.7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</row>
    <row r="27" spans="1:98" ht="15.7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</row>
    <row r="28" spans="1:98" ht="15.7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</row>
    <row r="29" spans="1:98" ht="15.7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</row>
    <row r="30" spans="1:98" ht="15.7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</row>
    <row r="31" spans="1:98" ht="15.7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</row>
    <row r="32" spans="1:98" ht="15.7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</row>
    <row r="33" spans="1:98" ht="15.7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</row>
    <row r="34" spans="1:98" ht="15.7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</row>
    <row r="35" spans="1:98" ht="15.7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</row>
    <row r="36" spans="1:98" ht="15.7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</row>
    <row r="37" spans="1:98" ht="15.7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</row>
    <row r="38" spans="1:98" ht="15.7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</row>
    <row r="39" spans="1:98" ht="15.7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</row>
    <row r="40" spans="1:98" ht="15.7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</row>
    <row r="41" spans="1:98" ht="15.7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</row>
    <row r="42" spans="1:98" ht="15.7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</row>
    <row r="43" spans="1:98" ht="15.7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</row>
    <row r="44" spans="1:98" ht="15.7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</row>
    <row r="45" spans="1:98" ht="15.7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</row>
    <row r="46" spans="1:98" ht="15.7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</row>
    <row r="47" spans="1:98" ht="15.7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</row>
    <row r="48" spans="1:98" ht="15.7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</row>
    <row r="49" spans="1:98" ht="15.7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</row>
    <row r="50" spans="1:98" ht="15.7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</row>
    <row r="51" spans="1:98" ht="15.7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</row>
    <row r="52" spans="1:98" ht="15.7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</row>
    <row r="53" spans="1:98" ht="15.7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</row>
    <row r="54" spans="1:98" ht="15.7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</row>
    <row r="55" spans="1:98" ht="15.7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</row>
    <row r="56" spans="1:98" ht="15.7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</row>
    <row r="57" spans="1:98" ht="15.7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</row>
    <row r="58" spans="1:98" ht="15.7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</row>
    <row r="59" spans="1:98" ht="15.7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</row>
    <row r="60" spans="1:98" ht="15.7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</row>
    <row r="61" spans="1:98" ht="15.7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</row>
    <row r="62" spans="1:98" ht="15.7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</row>
    <row r="63" spans="1:98" ht="15.7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</row>
    <row r="64" spans="1:98" ht="15.7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</row>
    <row r="65" spans="1:98" ht="15.7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</row>
    <row r="66" spans="1:98" ht="15.75" customHeight="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</row>
    <row r="67" spans="1:98" ht="15.7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</row>
    <row r="68" spans="1:98" ht="15.7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</row>
    <row r="69" spans="1:98" ht="15.7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</row>
    <row r="70" spans="1:98" ht="15.7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</row>
    <row r="71" spans="1:98" ht="15.7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</row>
    <row r="72" spans="1:98" ht="15.7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</row>
    <row r="73" spans="1:98" ht="15.7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</row>
    <row r="74" spans="1:98" ht="15.7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</row>
    <row r="75" spans="1:98" ht="15.7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</row>
    <row r="76" spans="1:98" ht="15.7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</row>
    <row r="77" spans="1:98" ht="15.7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</row>
    <row r="78" spans="1:98" ht="15.7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</row>
    <row r="79" spans="1:98" ht="15.7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</row>
    <row r="80" spans="1:98" ht="15.7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</row>
    <row r="81" spans="1:98" ht="15.7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</row>
    <row r="82" spans="1:98" ht="15.7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</row>
    <row r="83" spans="1:98" ht="15.7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</row>
    <row r="84" spans="1:98" ht="15.7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</row>
    <row r="85" spans="1:98" ht="15.7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</row>
    <row r="86" spans="1:98" ht="15.7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</row>
    <row r="87" spans="1:98" ht="15.7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</row>
    <row r="88" spans="1:98" ht="15.7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</row>
    <row r="89" spans="1:98" ht="15.7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</row>
    <row r="90" spans="1:98" ht="15.7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</row>
    <row r="91" spans="1:98" ht="15.7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</row>
    <row r="92" spans="1:98" ht="15.7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</row>
    <row r="93" spans="1:98" ht="15.7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</row>
    <row r="94" spans="1:98" ht="15.7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</row>
    <row r="95" spans="1:98" ht="15.7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</row>
    <row r="96" spans="1:98" ht="15.7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</row>
    <row r="97" spans="1:98" ht="15.7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</row>
    <row r="98" spans="1:98" ht="15.7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</row>
    <row r="99" spans="1:98" ht="15.7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</row>
    <row r="100" spans="1:98" ht="15.7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</row>
    <row r="101" spans="1:98" ht="15.7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</row>
    <row r="102" spans="1:98" ht="15.7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</row>
    <row r="103" spans="1:98" ht="15.7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</row>
    <row r="104" spans="1:98" ht="15.7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</row>
    <row r="105" spans="1:98" ht="15.7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</row>
    <row r="106" spans="1:98" ht="15.7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</row>
    <row r="107" spans="1:98" ht="15.7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</row>
    <row r="108" spans="1:98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</row>
    <row r="109" spans="1:98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</row>
    <row r="110" spans="1:98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</row>
    <row r="111" spans="1:98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</row>
    <row r="112" spans="1:98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</row>
    <row r="113" spans="1:98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</row>
    <row r="114" spans="1:98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</row>
    <row r="115" spans="1:98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</row>
    <row r="116" spans="1:98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</row>
    <row r="117" spans="1:98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</row>
    <row r="118" spans="1:98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</row>
    <row r="119" spans="1:98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</row>
    <row r="120" spans="1:98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</row>
    <row r="121" spans="1:98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</row>
    <row r="122" spans="1:98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</row>
    <row r="123" spans="1:98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</row>
    <row r="124" spans="1:98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</row>
    <row r="125" spans="1:98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</row>
    <row r="126" spans="1:98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</row>
    <row r="127" spans="1:98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</row>
    <row r="128" spans="1:98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</row>
    <row r="129" spans="1:98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</row>
    <row r="130" spans="1:98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</row>
    <row r="131" spans="1:98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</row>
    <row r="132" spans="1:98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</row>
    <row r="133" spans="1:98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</row>
    <row r="134" spans="1:98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</row>
    <row r="135" spans="1:98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</row>
    <row r="136" spans="1:98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</row>
    <row r="137" spans="1:98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</row>
    <row r="138" spans="1:98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</row>
    <row r="139" spans="1:98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</row>
    <row r="140" spans="1:98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</row>
    <row r="141" spans="1:98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</row>
    <row r="142" spans="1:98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</row>
    <row r="143" spans="1:98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</row>
    <row r="144" spans="1:98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</row>
    <row r="145" spans="1:98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</row>
    <row r="146" spans="1:98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</row>
    <row r="147" spans="1:98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</row>
    <row r="148" spans="1:98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</row>
    <row r="149" spans="1:98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</row>
    <row r="150" spans="1:98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</row>
    <row r="151" spans="1:98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</row>
    <row r="152" spans="1:98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  <c r="BS152" s="43"/>
      <c r="BT152" s="43"/>
      <c r="BU152" s="43"/>
      <c r="BV152" s="43"/>
      <c r="BW152" s="43"/>
      <c r="BX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</row>
    <row r="153" spans="1:98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</row>
    <row r="154" spans="1:98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</row>
    <row r="155" spans="1:98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</row>
    <row r="156" spans="1:98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</row>
    <row r="157" spans="1:98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</row>
    <row r="158" spans="1:98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</row>
    <row r="159" spans="1:98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</row>
    <row r="160" spans="1:98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</row>
    <row r="161" spans="1:98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</row>
    <row r="162" spans="1:98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</row>
    <row r="163" spans="1:98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</row>
    <row r="164" spans="1:98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</row>
    <row r="165" spans="1:98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</row>
    <row r="166" spans="1:98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</row>
    <row r="167" spans="1:98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</row>
    <row r="168" spans="1:98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</row>
    <row r="169" spans="1:98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</row>
    <row r="170" spans="1:98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</row>
    <row r="171" spans="1:98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</row>
    <row r="172" spans="1:98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</row>
    <row r="173" spans="1:98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</row>
    <row r="174" spans="1:98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</row>
    <row r="175" spans="1:98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</row>
    <row r="176" spans="1:98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</row>
    <row r="177" spans="1:98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</row>
    <row r="178" spans="1:98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</row>
    <row r="179" spans="1:98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</row>
    <row r="180" spans="1:98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43"/>
      <c r="CB180" s="43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</row>
    <row r="181" spans="1:98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43"/>
      <c r="CB181" s="43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</row>
    <row r="182" spans="1:98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</row>
    <row r="183" spans="1:98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</row>
    <row r="184" spans="1:98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</row>
    <row r="185" spans="1:98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</row>
    <row r="186" spans="1:98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</row>
    <row r="187" spans="1:98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</row>
    <row r="188" spans="1:98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</row>
    <row r="189" spans="1:98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</row>
    <row r="190" spans="1:98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</row>
    <row r="191" spans="1:98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</row>
    <row r="192" spans="1:98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</row>
    <row r="193" spans="1:98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</row>
    <row r="194" spans="1:98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</row>
    <row r="195" spans="1:98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</row>
    <row r="196" spans="1:98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</row>
    <row r="197" spans="1:98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</row>
    <row r="198" spans="1:98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</row>
    <row r="199" spans="1:98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</row>
    <row r="200" spans="1:98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</row>
    <row r="201" spans="1:98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</row>
    <row r="202" spans="1:98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</row>
    <row r="203" spans="1:98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</row>
    <row r="204" spans="1:98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</row>
    <row r="205" spans="1:98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</row>
    <row r="206" spans="1:98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</row>
    <row r="207" spans="1:98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</row>
    <row r="208" spans="1:98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</row>
    <row r="209" spans="1:98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</row>
    <row r="210" spans="1:98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</row>
    <row r="211" spans="1:98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</row>
    <row r="212" spans="1:98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</row>
    <row r="213" spans="1:98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</row>
    <row r="214" spans="1:98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</row>
    <row r="215" spans="1:98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</row>
    <row r="216" spans="1:98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</row>
    <row r="217" spans="1:98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</row>
    <row r="218" spans="1:98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</row>
    <row r="219" spans="1:98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</row>
    <row r="220" spans="1:98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</row>
    <row r="221" spans="1:98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</row>
    <row r="222" spans="1:98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</row>
    <row r="223" spans="1:98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</row>
    <row r="224" spans="1:98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</row>
    <row r="225" spans="1:98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</row>
    <row r="226" spans="1:98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</row>
    <row r="227" spans="1:98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</row>
    <row r="228" spans="1:98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</row>
    <row r="229" spans="1:98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</row>
    <row r="230" spans="1:98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</row>
    <row r="231" spans="1:98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</row>
    <row r="232" spans="1:98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</row>
    <row r="233" spans="1:98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</row>
    <row r="234" spans="1:98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</row>
    <row r="235" spans="1:98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</row>
    <row r="236" spans="1:98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</row>
    <row r="237" spans="1:98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</row>
    <row r="238" spans="1:98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</row>
    <row r="239" spans="1:98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</row>
    <row r="240" spans="1:98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</row>
    <row r="241" spans="1:98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</row>
    <row r="242" spans="1:98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</row>
    <row r="243" spans="1:98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</row>
    <row r="244" spans="1:98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</row>
    <row r="245" spans="1:98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</row>
    <row r="246" spans="1:98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</row>
    <row r="247" spans="1:98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</row>
    <row r="248" spans="1:98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</row>
    <row r="249" spans="1:98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</row>
    <row r="250" spans="1:98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</row>
    <row r="251" spans="1:98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</row>
    <row r="252" spans="1:98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</row>
    <row r="253" spans="1:98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</row>
    <row r="254" spans="1:98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</row>
    <row r="255" spans="1:98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</row>
    <row r="256" spans="1:98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</row>
    <row r="257" spans="1:98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</row>
    <row r="258" spans="1:98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</row>
    <row r="259" spans="1:98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</row>
    <row r="260" spans="1:98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</row>
    <row r="261" spans="1:98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</row>
    <row r="262" spans="1:98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</row>
    <row r="263" spans="1:98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</row>
    <row r="264" spans="1:98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</row>
    <row r="265" spans="1:98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</row>
    <row r="266" spans="1:98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</row>
    <row r="267" spans="1:98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</row>
    <row r="268" spans="1:98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</row>
    <row r="269" spans="1:98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</row>
    <row r="270" spans="1:98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</row>
    <row r="271" spans="1:98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</row>
    <row r="272" spans="1:98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</row>
    <row r="273" spans="1:98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</row>
    <row r="274" spans="1:98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</row>
    <row r="275" spans="1:98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</row>
    <row r="276" spans="1:98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</row>
    <row r="277" spans="1:98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</row>
    <row r="278" spans="1:98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</row>
    <row r="279" spans="1:98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</row>
    <row r="280" spans="1:98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</row>
    <row r="281" spans="1:98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</row>
    <row r="282" spans="1:98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</row>
    <row r="283" spans="1:98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</row>
    <row r="284" spans="1:98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</row>
    <row r="285" spans="1:98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</row>
    <row r="286" spans="1:98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</row>
    <row r="287" spans="1:98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</row>
    <row r="288" spans="1:98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</row>
    <row r="289" spans="1:98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</row>
    <row r="290" spans="1:98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</row>
    <row r="291" spans="1:98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</row>
    <row r="292" spans="1:98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</row>
    <row r="293" spans="1:98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</row>
    <row r="294" spans="1:98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</row>
    <row r="295" spans="1:98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</row>
    <row r="296" spans="1:98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</row>
    <row r="297" spans="1:98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</row>
    <row r="298" spans="1:98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</row>
    <row r="299" spans="1:98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</row>
    <row r="300" spans="1:98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</row>
    <row r="301" spans="1:98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</row>
    <row r="302" spans="1:98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</row>
    <row r="303" spans="1:98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</row>
    <row r="304" spans="1:98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</row>
    <row r="305" spans="1:98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</row>
    <row r="306" spans="1:98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</row>
    <row r="307" spans="1:98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</row>
    <row r="308" spans="1:98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</row>
    <row r="309" spans="1:98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</row>
    <row r="310" spans="1:98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</row>
    <row r="311" spans="1:98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</row>
    <row r="312" spans="1:98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</row>
    <row r="313" spans="1:98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</row>
    <row r="314" spans="1:98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</row>
    <row r="315" spans="1:98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</row>
    <row r="316" spans="1:98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</row>
    <row r="317" spans="1:98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</row>
    <row r="318" spans="1:98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</row>
    <row r="319" spans="1:98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</row>
    <row r="320" spans="1:98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</row>
    <row r="321" spans="1:98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</row>
    <row r="322" spans="1:98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</row>
    <row r="323" spans="1:98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</row>
    <row r="324" spans="1:98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</row>
    <row r="325" spans="1:98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</row>
    <row r="326" spans="1:98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</row>
    <row r="327" spans="1:98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</row>
    <row r="328" spans="1:98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</row>
    <row r="329" spans="1:98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</row>
    <row r="330" spans="1:98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</row>
    <row r="331" spans="1:98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</row>
    <row r="332" spans="1:98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</row>
    <row r="333" spans="1:98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</row>
    <row r="334" spans="1:98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</row>
    <row r="335" spans="1:98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</row>
    <row r="336" spans="1:98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</row>
    <row r="337" spans="1:98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</row>
    <row r="338" spans="1:98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</row>
    <row r="339" spans="1:98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</row>
    <row r="340" spans="1:98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</row>
    <row r="341" spans="1:98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</row>
    <row r="342" spans="1:98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</row>
    <row r="343" spans="1:98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</row>
    <row r="344" spans="1:98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</row>
    <row r="345" spans="1:98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</row>
    <row r="346" spans="1:98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</row>
    <row r="347" spans="1:98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</row>
    <row r="348" spans="1:98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</row>
    <row r="349" spans="1:98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</row>
    <row r="350" spans="1:98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</row>
    <row r="351" spans="1:98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</row>
    <row r="352" spans="1:98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</row>
    <row r="353" spans="1:98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</row>
    <row r="354" spans="1:98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</row>
    <row r="355" spans="1:98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</row>
    <row r="356" spans="1:98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</row>
    <row r="357" spans="1:98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</row>
    <row r="358" spans="1:98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</row>
    <row r="359" spans="1:98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</row>
    <row r="360" spans="1:98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</row>
    <row r="361" spans="1:98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</row>
    <row r="362" spans="1:98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</row>
    <row r="363" spans="1:98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</row>
    <row r="364" spans="1:98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</row>
    <row r="365" spans="1:98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</row>
    <row r="366" spans="1:98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</row>
    <row r="367" spans="1:98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</row>
    <row r="368" spans="1:98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</row>
    <row r="369" spans="1:98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</row>
    <row r="370" spans="1:98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</row>
    <row r="371" spans="1:98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</row>
    <row r="372" spans="1:98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</row>
    <row r="373" spans="1:98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</row>
    <row r="374" spans="1:98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</row>
    <row r="375" spans="1:98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</row>
    <row r="376" spans="1:98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</row>
    <row r="377" spans="1:98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</row>
    <row r="378" spans="1:98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</row>
    <row r="379" spans="1:98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</row>
    <row r="380" spans="1:98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</row>
    <row r="381" spans="1:98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</row>
    <row r="382" spans="1:98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</row>
    <row r="383" spans="1:98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</row>
    <row r="384" spans="1:98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</row>
    <row r="385" spans="1:98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</row>
    <row r="386" spans="1:98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</row>
    <row r="387" spans="1:98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</row>
    <row r="388" spans="1:98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</row>
    <row r="389" spans="1:98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</row>
    <row r="390" spans="1:98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</row>
    <row r="391" spans="1:98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</row>
    <row r="392" spans="1:98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</row>
    <row r="393" spans="1:98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</row>
    <row r="394" spans="1:98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</row>
    <row r="395" spans="1:98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</row>
    <row r="396" spans="1:98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</row>
    <row r="397" spans="1:98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</row>
    <row r="398" spans="1:98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</row>
    <row r="399" spans="1:98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</row>
    <row r="400" spans="1:98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</row>
    <row r="401" spans="1:98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</row>
    <row r="402" spans="1:98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</row>
    <row r="403" spans="1:98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</row>
    <row r="404" spans="1:98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</row>
    <row r="405" spans="1:98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</row>
    <row r="406" spans="1:98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</row>
    <row r="407" spans="1:98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</row>
    <row r="408" spans="1:98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</row>
    <row r="409" spans="1:98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</row>
    <row r="410" spans="1:98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/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</row>
    <row r="411" spans="1:98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</row>
    <row r="412" spans="1:98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</row>
    <row r="413" spans="1:98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</row>
    <row r="414" spans="1:98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</row>
    <row r="415" spans="1:98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</row>
    <row r="416" spans="1:98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</row>
    <row r="417" spans="1:98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</row>
    <row r="418" spans="1:98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</row>
    <row r="419" spans="1:98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</row>
    <row r="420" spans="1:98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/>
      <c r="CL420" s="43"/>
      <c r="CM420" s="43"/>
      <c r="CN420" s="43"/>
      <c r="CO420" s="43"/>
      <c r="CP420" s="43"/>
      <c r="CQ420" s="43"/>
      <c r="CR420" s="43"/>
      <c r="CS420" s="43"/>
      <c r="CT420" s="43"/>
    </row>
    <row r="421" spans="1:98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</row>
    <row r="422" spans="1:98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</row>
    <row r="423" spans="1:98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</row>
    <row r="424" spans="1:98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</row>
    <row r="425" spans="1:98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</row>
    <row r="426" spans="1:98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</row>
    <row r="427" spans="1:98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</row>
    <row r="428" spans="1:98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</row>
    <row r="429" spans="1:98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</row>
    <row r="430" spans="1:98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</row>
    <row r="431" spans="1:98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</row>
    <row r="432" spans="1:98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</row>
    <row r="433" spans="1:98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</row>
    <row r="434" spans="1:98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</row>
    <row r="435" spans="1:98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</row>
    <row r="436" spans="1:98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</row>
    <row r="437" spans="1:98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</row>
    <row r="438" spans="1:98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</row>
    <row r="439" spans="1:98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43"/>
      <c r="BO439" s="43"/>
      <c r="BP439" s="43"/>
      <c r="BQ439" s="43"/>
      <c r="BR439" s="43"/>
      <c r="BS439" s="43"/>
      <c r="BT439" s="43"/>
      <c r="BU439" s="43"/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</row>
    <row r="440" spans="1:98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</row>
    <row r="441" spans="1:98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/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</row>
    <row r="442" spans="1:98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</row>
    <row r="443" spans="1:98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</row>
    <row r="444" spans="1:98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</row>
    <row r="445" spans="1:98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</row>
    <row r="446" spans="1:98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</row>
    <row r="447" spans="1:98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</row>
    <row r="448" spans="1:98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</row>
    <row r="449" spans="1:98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</row>
    <row r="450" spans="1:98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</row>
    <row r="451" spans="1:98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</row>
    <row r="452" spans="1:98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</row>
    <row r="453" spans="1:98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</row>
    <row r="454" spans="1:98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</row>
    <row r="455" spans="1:98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</row>
    <row r="456" spans="1:98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</row>
    <row r="457" spans="1:98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</row>
    <row r="458" spans="1:98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</row>
    <row r="459" spans="1:98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</row>
    <row r="460" spans="1:98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</row>
    <row r="461" spans="1:98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</row>
    <row r="462" spans="1:98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</row>
    <row r="463" spans="1:98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</row>
    <row r="464" spans="1:98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</row>
    <row r="465" spans="1:98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</row>
    <row r="466" spans="1:98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</row>
    <row r="467" spans="1:98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</row>
    <row r="468" spans="1:98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</row>
    <row r="469" spans="1:98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</row>
    <row r="470" spans="1:98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</row>
    <row r="471" spans="1:98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</row>
    <row r="472" spans="1:98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</row>
    <row r="473" spans="1:98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</row>
    <row r="474" spans="1:98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</row>
    <row r="475" spans="1:98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</row>
    <row r="476" spans="1:98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</row>
    <row r="477" spans="1:98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</row>
    <row r="478" spans="1:98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</row>
    <row r="479" spans="1:98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</row>
    <row r="480" spans="1:98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</row>
    <row r="481" spans="1:98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</row>
    <row r="482" spans="1:98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</row>
    <row r="483" spans="1:98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</row>
    <row r="484" spans="1:98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</row>
    <row r="485" spans="1:98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</row>
    <row r="486" spans="1:98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</row>
    <row r="487" spans="1:98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</row>
    <row r="488" spans="1:98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</row>
    <row r="489" spans="1:98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</row>
    <row r="490" spans="1:98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</row>
    <row r="491" spans="1:98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</row>
    <row r="492" spans="1:98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</row>
    <row r="493" spans="1:98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</row>
    <row r="494" spans="1:98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</row>
    <row r="495" spans="1:98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/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</row>
    <row r="496" spans="1:98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</row>
    <row r="497" spans="1:98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</row>
    <row r="498" spans="1:98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</row>
    <row r="499" spans="1:98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</row>
    <row r="500" spans="1:98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</row>
    <row r="501" spans="1:98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</row>
    <row r="502" spans="1:98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</row>
    <row r="503" spans="1:98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</row>
    <row r="504" spans="1:98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</row>
    <row r="505" spans="1:98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</row>
    <row r="506" spans="1:98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</row>
    <row r="507" spans="1:98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</row>
    <row r="508" spans="1:98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</row>
    <row r="509" spans="1:98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</row>
    <row r="510" spans="1:98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</row>
    <row r="511" spans="1:98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</row>
    <row r="512" spans="1:98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</row>
    <row r="513" spans="1:98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</row>
    <row r="514" spans="1:98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</row>
    <row r="515" spans="1:98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</row>
    <row r="516" spans="1:98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</row>
    <row r="517" spans="1:98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</row>
    <row r="518" spans="1:98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</row>
    <row r="519" spans="1:98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</row>
    <row r="520" spans="1:98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</row>
    <row r="521" spans="1:98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</row>
    <row r="522" spans="1:98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</row>
    <row r="523" spans="1:98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</row>
    <row r="524" spans="1:98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43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</row>
    <row r="525" spans="1:98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43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</row>
    <row r="526" spans="1:98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43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</row>
    <row r="527" spans="1:98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43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</row>
    <row r="528" spans="1:98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43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</row>
    <row r="529" spans="1:98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43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</row>
    <row r="530" spans="1:98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43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</row>
    <row r="531" spans="1:98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43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</row>
    <row r="532" spans="1:98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43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</row>
    <row r="533" spans="1:98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43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</row>
    <row r="534" spans="1:98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43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</row>
    <row r="535" spans="1:98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43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</row>
    <row r="536" spans="1:98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43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</row>
    <row r="537" spans="1:98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43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</row>
    <row r="538" spans="1:98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43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</row>
    <row r="539" spans="1:98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43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</row>
    <row r="540" spans="1:98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43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</row>
    <row r="541" spans="1:98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43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</row>
    <row r="542" spans="1:98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43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</row>
    <row r="543" spans="1:98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43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</row>
    <row r="544" spans="1:98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43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</row>
    <row r="545" spans="1:98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43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</row>
    <row r="546" spans="1:98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43"/>
      <c r="BA546" s="43"/>
      <c r="BB546" s="43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43"/>
      <c r="BO546" s="43"/>
      <c r="BP546" s="43"/>
      <c r="BQ546" s="43"/>
      <c r="BR546" s="43"/>
      <c r="BS546" s="43"/>
      <c r="BT546" s="43"/>
      <c r="BU546" s="43"/>
      <c r="BV546" s="43"/>
      <c r="BW546" s="43"/>
      <c r="BX546" s="43"/>
      <c r="BY546" s="43"/>
      <c r="BZ546" s="43"/>
      <c r="CA546" s="43"/>
      <c r="CB546" s="43"/>
      <c r="CC546" s="43"/>
      <c r="CD546" s="43"/>
      <c r="CE546" s="43"/>
      <c r="CF546" s="43"/>
      <c r="CG546" s="43"/>
      <c r="CH546" s="43"/>
      <c r="CI546" s="43"/>
      <c r="CJ546" s="43"/>
      <c r="CK546" s="43"/>
      <c r="CL546" s="43"/>
      <c r="CM546" s="43"/>
      <c r="CN546" s="43"/>
      <c r="CO546" s="43"/>
      <c r="CP546" s="43"/>
      <c r="CQ546" s="43"/>
      <c r="CR546" s="43"/>
      <c r="CS546" s="43"/>
      <c r="CT546" s="43"/>
    </row>
    <row r="547" spans="1:98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43"/>
      <c r="BA547" s="43"/>
      <c r="BB547" s="43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43"/>
      <c r="BO547" s="43"/>
      <c r="BP547" s="43"/>
      <c r="BQ547" s="43"/>
      <c r="BR547" s="43"/>
      <c r="BS547" s="43"/>
      <c r="BT547" s="43"/>
      <c r="BU547" s="43"/>
      <c r="BV547" s="43"/>
      <c r="BW547" s="43"/>
      <c r="BX547" s="43"/>
      <c r="BY547" s="43"/>
      <c r="BZ547" s="43"/>
      <c r="CA547" s="43"/>
      <c r="CB547" s="43"/>
      <c r="CC547" s="43"/>
      <c r="CD547" s="43"/>
      <c r="CE547" s="43"/>
      <c r="CF547" s="43"/>
      <c r="CG547" s="43"/>
      <c r="CH547" s="43"/>
      <c r="CI547" s="43"/>
      <c r="CJ547" s="43"/>
      <c r="CK547" s="43"/>
      <c r="CL547" s="43"/>
      <c r="CM547" s="43"/>
      <c r="CN547" s="43"/>
      <c r="CO547" s="43"/>
      <c r="CP547" s="43"/>
      <c r="CQ547" s="43"/>
      <c r="CR547" s="43"/>
      <c r="CS547" s="43"/>
      <c r="CT547" s="43"/>
    </row>
    <row r="548" spans="1:98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  <c r="AY548" s="43"/>
      <c r="AZ548" s="43"/>
      <c r="BA548" s="43"/>
      <c r="BB548" s="43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43"/>
      <c r="BO548" s="43"/>
      <c r="BP548" s="43"/>
      <c r="BQ548" s="43"/>
      <c r="BR548" s="43"/>
      <c r="BS548" s="43"/>
      <c r="BT548" s="43"/>
      <c r="BU548" s="43"/>
      <c r="BV548" s="43"/>
      <c r="BW548" s="43"/>
      <c r="BX548" s="43"/>
      <c r="BY548" s="43"/>
      <c r="BZ548" s="43"/>
      <c r="CA548" s="43"/>
      <c r="CB548" s="43"/>
      <c r="CC548" s="43"/>
      <c r="CD548" s="43"/>
      <c r="CE548" s="43"/>
      <c r="CF548" s="43"/>
      <c r="CG548" s="43"/>
      <c r="CH548" s="43"/>
      <c r="CI548" s="43"/>
      <c r="CJ548" s="43"/>
      <c r="CK548" s="43"/>
      <c r="CL548" s="43"/>
      <c r="CM548" s="43"/>
      <c r="CN548" s="43"/>
      <c r="CO548" s="43"/>
      <c r="CP548" s="43"/>
      <c r="CQ548" s="43"/>
      <c r="CR548" s="43"/>
      <c r="CS548" s="43"/>
      <c r="CT548" s="43"/>
    </row>
    <row r="549" spans="1:98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43"/>
      <c r="BA549" s="43"/>
      <c r="BB549" s="43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43"/>
      <c r="BO549" s="43"/>
      <c r="BP549" s="43"/>
      <c r="BQ549" s="43"/>
      <c r="BR549" s="43"/>
      <c r="BS549" s="43"/>
      <c r="BT549" s="43"/>
      <c r="BU549" s="43"/>
      <c r="BV549" s="43"/>
      <c r="BW549" s="43"/>
      <c r="BX549" s="43"/>
      <c r="BY549" s="43"/>
      <c r="BZ549" s="43"/>
      <c r="CA549" s="43"/>
      <c r="CB549" s="43"/>
      <c r="CC549" s="43"/>
      <c r="CD549" s="43"/>
      <c r="CE549" s="43"/>
      <c r="CF549" s="43"/>
      <c r="CG549" s="43"/>
      <c r="CH549" s="43"/>
      <c r="CI549" s="43"/>
      <c r="CJ549" s="43"/>
      <c r="CK549" s="43"/>
      <c r="CL549" s="43"/>
      <c r="CM549" s="43"/>
      <c r="CN549" s="43"/>
      <c r="CO549" s="43"/>
      <c r="CP549" s="43"/>
      <c r="CQ549" s="43"/>
      <c r="CR549" s="43"/>
      <c r="CS549" s="43"/>
      <c r="CT549" s="43"/>
    </row>
    <row r="550" spans="1:98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43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</row>
    <row r="551" spans="1:98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43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</row>
    <row r="552" spans="1:98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43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</row>
    <row r="553" spans="1:98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43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</row>
    <row r="554" spans="1:98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43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</row>
    <row r="555" spans="1:98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43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</row>
    <row r="556" spans="1:98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43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</row>
    <row r="557" spans="1:98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43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</row>
    <row r="558" spans="1:98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43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</row>
    <row r="559" spans="1:98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43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</row>
    <row r="560" spans="1:98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43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</row>
    <row r="561" spans="1:98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43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</row>
    <row r="562" spans="1:98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43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</row>
    <row r="563" spans="1:98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43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</row>
    <row r="564" spans="1:98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43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</row>
    <row r="565" spans="1:98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43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</row>
    <row r="566" spans="1:98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43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</row>
    <row r="567" spans="1:98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43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</row>
    <row r="568" spans="1:98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43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</row>
    <row r="569" spans="1:98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43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</row>
    <row r="570" spans="1:98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43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</row>
    <row r="571" spans="1:98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43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</row>
    <row r="572" spans="1:98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43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</row>
    <row r="573" spans="1:98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43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</row>
    <row r="574" spans="1:98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43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</row>
    <row r="575" spans="1:98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43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</row>
    <row r="576" spans="1:98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43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</row>
    <row r="577" spans="1:98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43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</row>
    <row r="578" spans="1:98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43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</row>
    <row r="579" spans="1:98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43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</row>
    <row r="580" spans="1:98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43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</row>
    <row r="581" spans="1:98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43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</row>
    <row r="582" spans="1:98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</row>
    <row r="583" spans="1:98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</row>
    <row r="584" spans="1:98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43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</row>
    <row r="585" spans="1:98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43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</row>
    <row r="586" spans="1:98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43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</row>
    <row r="587" spans="1:98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43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</row>
    <row r="588" spans="1:98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43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</row>
    <row r="589" spans="1:98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43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</row>
    <row r="590" spans="1:98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43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</row>
    <row r="591" spans="1:98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43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</row>
    <row r="592" spans="1:98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43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</row>
    <row r="593" spans="1:98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43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</row>
    <row r="594" spans="1:98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43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</row>
    <row r="595" spans="1:98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43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</row>
    <row r="596" spans="1:98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43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</row>
    <row r="597" spans="1:98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43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</row>
    <row r="598" spans="1:98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43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</row>
    <row r="599" spans="1:98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43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</row>
    <row r="600" spans="1:98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43"/>
      <c r="BA600" s="43"/>
      <c r="BB600" s="43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43"/>
      <c r="BO600" s="43"/>
      <c r="BP600" s="43"/>
      <c r="BQ600" s="43"/>
      <c r="BR600" s="43"/>
      <c r="BS600" s="43"/>
      <c r="BT600" s="43"/>
      <c r="BU600" s="43"/>
      <c r="BV600" s="43"/>
      <c r="BW600" s="43"/>
      <c r="BX600" s="43"/>
      <c r="BY600" s="43"/>
      <c r="BZ600" s="43"/>
      <c r="CA600" s="43"/>
      <c r="CB600" s="43"/>
      <c r="CC600" s="43"/>
      <c r="CD600" s="43"/>
      <c r="CE600" s="43"/>
      <c r="CF600" s="43"/>
      <c r="CG600" s="43"/>
      <c r="CH600" s="43"/>
      <c r="CI600" s="43"/>
      <c r="CJ600" s="43"/>
      <c r="CK600" s="43"/>
      <c r="CL600" s="43"/>
      <c r="CM600" s="43"/>
      <c r="CN600" s="43"/>
      <c r="CO600" s="43"/>
      <c r="CP600" s="43"/>
      <c r="CQ600" s="43"/>
      <c r="CR600" s="43"/>
      <c r="CS600" s="43"/>
      <c r="CT600" s="43"/>
    </row>
    <row r="601" spans="1:98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43"/>
      <c r="BA601" s="43"/>
      <c r="BB601" s="43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43"/>
      <c r="BO601" s="43"/>
      <c r="BP601" s="43"/>
      <c r="BQ601" s="43"/>
      <c r="BR601" s="43"/>
      <c r="BS601" s="43"/>
      <c r="BT601" s="43"/>
      <c r="BU601" s="43"/>
      <c r="BV601" s="43"/>
      <c r="BW601" s="43"/>
      <c r="BX601" s="43"/>
      <c r="BY601" s="43"/>
      <c r="BZ601" s="43"/>
      <c r="CA601" s="43"/>
      <c r="CB601" s="43"/>
      <c r="CC601" s="43"/>
      <c r="CD601" s="43"/>
      <c r="CE601" s="43"/>
      <c r="CF601" s="43"/>
      <c r="CG601" s="43"/>
      <c r="CH601" s="43"/>
      <c r="CI601" s="43"/>
      <c r="CJ601" s="43"/>
      <c r="CK601" s="43"/>
      <c r="CL601" s="43"/>
      <c r="CM601" s="43"/>
      <c r="CN601" s="43"/>
      <c r="CO601" s="43"/>
      <c r="CP601" s="43"/>
      <c r="CQ601" s="43"/>
      <c r="CR601" s="43"/>
      <c r="CS601" s="43"/>
      <c r="CT601" s="43"/>
    </row>
    <row r="602" spans="1:98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43"/>
      <c r="BA602" s="43"/>
      <c r="BB602" s="43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43"/>
      <c r="BO602" s="43"/>
      <c r="BP602" s="43"/>
      <c r="BQ602" s="43"/>
      <c r="BR602" s="43"/>
      <c r="BS602" s="43"/>
      <c r="BT602" s="43"/>
      <c r="BU602" s="43"/>
      <c r="BV602" s="43"/>
      <c r="BW602" s="43"/>
      <c r="BX602" s="43"/>
      <c r="BY602" s="43"/>
      <c r="BZ602" s="43"/>
      <c r="CA602" s="43"/>
      <c r="CB602" s="43"/>
      <c r="CC602" s="43"/>
      <c r="CD602" s="43"/>
      <c r="CE602" s="43"/>
      <c r="CF602" s="43"/>
      <c r="CG602" s="43"/>
      <c r="CH602" s="43"/>
      <c r="CI602" s="43"/>
      <c r="CJ602" s="43"/>
      <c r="CK602" s="43"/>
      <c r="CL602" s="43"/>
      <c r="CM602" s="43"/>
      <c r="CN602" s="43"/>
      <c r="CO602" s="43"/>
      <c r="CP602" s="43"/>
      <c r="CQ602" s="43"/>
      <c r="CR602" s="43"/>
      <c r="CS602" s="43"/>
      <c r="CT602" s="43"/>
    </row>
    <row r="603" spans="1:98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43"/>
      <c r="BA603" s="43"/>
      <c r="BB603" s="43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43"/>
      <c r="BO603" s="43"/>
      <c r="BP603" s="43"/>
      <c r="BQ603" s="43"/>
      <c r="BR603" s="43"/>
      <c r="BS603" s="43"/>
      <c r="BT603" s="43"/>
      <c r="BU603" s="43"/>
      <c r="BV603" s="43"/>
      <c r="BW603" s="43"/>
      <c r="BX603" s="43"/>
      <c r="BY603" s="43"/>
      <c r="BZ603" s="43"/>
      <c r="CA603" s="43"/>
      <c r="CB603" s="43"/>
      <c r="CC603" s="43"/>
      <c r="CD603" s="43"/>
      <c r="CE603" s="43"/>
      <c r="CF603" s="43"/>
      <c r="CG603" s="43"/>
      <c r="CH603" s="43"/>
      <c r="CI603" s="43"/>
      <c r="CJ603" s="43"/>
      <c r="CK603" s="43"/>
      <c r="CL603" s="43"/>
      <c r="CM603" s="43"/>
      <c r="CN603" s="43"/>
      <c r="CO603" s="43"/>
      <c r="CP603" s="43"/>
      <c r="CQ603" s="43"/>
      <c r="CR603" s="43"/>
      <c r="CS603" s="43"/>
      <c r="CT603" s="43"/>
    </row>
    <row r="604" spans="1:98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43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</row>
    <row r="605" spans="1:98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43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</row>
    <row r="606" spans="1:98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43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</row>
    <row r="607" spans="1:98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43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</row>
    <row r="608" spans="1:98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43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</row>
    <row r="609" spans="1:98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43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</row>
    <row r="610" spans="1:98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43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</row>
    <row r="611" spans="1:98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43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</row>
    <row r="612" spans="1:98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43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</row>
    <row r="613" spans="1:98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43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</row>
    <row r="614" spans="1:98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43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</row>
    <row r="615" spans="1:98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43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</row>
    <row r="616" spans="1:98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43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</row>
    <row r="617" spans="1:98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43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</row>
    <row r="618" spans="1:98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43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</row>
    <row r="619" spans="1:98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43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</row>
    <row r="620" spans="1:98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43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</row>
    <row r="621" spans="1:98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43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</row>
    <row r="622" spans="1:98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43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</row>
    <row r="623" spans="1:98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43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</row>
    <row r="624" spans="1:98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43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</row>
    <row r="625" spans="1:98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43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</row>
    <row r="626" spans="1:98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43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</row>
    <row r="627" spans="1:98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43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</row>
    <row r="628" spans="1:98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43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</row>
    <row r="629" spans="1:98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43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</row>
    <row r="630" spans="1:98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43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</row>
    <row r="631" spans="1:98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43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</row>
    <row r="632" spans="1:98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43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</row>
    <row r="633" spans="1:98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43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</row>
    <row r="634" spans="1:98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43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</row>
    <row r="635" spans="1:98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43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</row>
    <row r="636" spans="1:98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43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</row>
    <row r="637" spans="1:98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43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</row>
    <row r="638" spans="1:98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43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</row>
    <row r="639" spans="1:98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43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</row>
    <row r="640" spans="1:98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43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</row>
    <row r="641" spans="1:98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43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</row>
    <row r="642" spans="1:98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43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</row>
    <row r="643" spans="1:98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43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</row>
    <row r="644" spans="1:98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43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</row>
    <row r="645" spans="1:98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43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</row>
    <row r="646" spans="1:98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43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</row>
    <row r="647" spans="1:98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43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</row>
    <row r="648" spans="1:98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43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</row>
    <row r="649" spans="1:98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43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</row>
    <row r="650" spans="1:98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43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</row>
    <row r="651" spans="1:98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43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</row>
    <row r="652" spans="1:98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43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</row>
    <row r="653" spans="1:98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43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</row>
    <row r="654" spans="1:98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43"/>
      <c r="BA654" s="43"/>
      <c r="BB654" s="43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43"/>
      <c r="BO654" s="43"/>
      <c r="BP654" s="43"/>
      <c r="BQ654" s="43"/>
      <c r="BR654" s="43"/>
      <c r="BS654" s="43"/>
      <c r="BT654" s="43"/>
      <c r="BU654" s="43"/>
      <c r="BV654" s="43"/>
      <c r="BW654" s="43"/>
      <c r="BX654" s="43"/>
      <c r="BY654" s="43"/>
      <c r="BZ654" s="43"/>
      <c r="CA654" s="43"/>
      <c r="CB654" s="43"/>
      <c r="CC654" s="43"/>
      <c r="CD654" s="43"/>
      <c r="CE654" s="43"/>
      <c r="CF654" s="43"/>
      <c r="CG654" s="43"/>
      <c r="CH654" s="43"/>
      <c r="CI654" s="43"/>
      <c r="CJ654" s="43"/>
      <c r="CK654" s="43"/>
      <c r="CL654" s="43"/>
      <c r="CM654" s="43"/>
      <c r="CN654" s="43"/>
      <c r="CO654" s="43"/>
      <c r="CP654" s="43"/>
      <c r="CQ654" s="43"/>
      <c r="CR654" s="43"/>
      <c r="CS654" s="43"/>
      <c r="CT654" s="43"/>
    </row>
    <row r="655" spans="1:98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43"/>
      <c r="BA655" s="43"/>
      <c r="BB655" s="43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43"/>
      <c r="BO655" s="43"/>
      <c r="BP655" s="43"/>
      <c r="BQ655" s="43"/>
      <c r="BR655" s="43"/>
      <c r="BS655" s="43"/>
      <c r="BT655" s="43"/>
      <c r="BU655" s="43"/>
      <c r="BV655" s="43"/>
      <c r="BW655" s="43"/>
      <c r="BX655" s="43"/>
      <c r="BY655" s="43"/>
      <c r="BZ655" s="43"/>
      <c r="CA655" s="43"/>
      <c r="CB655" s="43"/>
      <c r="CC655" s="43"/>
      <c r="CD655" s="43"/>
      <c r="CE655" s="43"/>
      <c r="CF655" s="43"/>
      <c r="CG655" s="43"/>
      <c r="CH655" s="43"/>
      <c r="CI655" s="43"/>
      <c r="CJ655" s="43"/>
      <c r="CK655" s="43"/>
      <c r="CL655" s="43"/>
      <c r="CM655" s="43"/>
      <c r="CN655" s="43"/>
      <c r="CO655" s="43"/>
      <c r="CP655" s="43"/>
      <c r="CQ655" s="43"/>
      <c r="CR655" s="43"/>
      <c r="CS655" s="43"/>
      <c r="CT655" s="43"/>
    </row>
    <row r="656" spans="1:98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43"/>
      <c r="BA656" s="43"/>
      <c r="BB656" s="43"/>
      <c r="BC656" s="43"/>
      <c r="BD656" s="43"/>
      <c r="BE656" s="43"/>
      <c r="BF656" s="43"/>
      <c r="BG656" s="43"/>
      <c r="BH656" s="43"/>
      <c r="BI656" s="43"/>
      <c r="BJ656" s="43"/>
      <c r="BK656" s="43"/>
      <c r="BL656" s="43"/>
      <c r="BM656" s="43"/>
      <c r="BN656" s="43"/>
      <c r="BO656" s="43"/>
      <c r="BP656" s="43"/>
      <c r="BQ656" s="43"/>
      <c r="BR656" s="43"/>
      <c r="BS656" s="43"/>
      <c r="BT656" s="43"/>
      <c r="BU656" s="43"/>
      <c r="BV656" s="43"/>
      <c r="BW656" s="43"/>
      <c r="BX656" s="43"/>
      <c r="BY656" s="43"/>
      <c r="BZ656" s="43"/>
      <c r="CA656" s="43"/>
      <c r="CB656" s="43"/>
      <c r="CC656" s="43"/>
      <c r="CD656" s="43"/>
      <c r="CE656" s="43"/>
      <c r="CF656" s="43"/>
      <c r="CG656" s="43"/>
      <c r="CH656" s="43"/>
      <c r="CI656" s="43"/>
      <c r="CJ656" s="43"/>
      <c r="CK656" s="43"/>
      <c r="CL656" s="43"/>
      <c r="CM656" s="43"/>
      <c r="CN656" s="43"/>
      <c r="CO656" s="43"/>
      <c r="CP656" s="43"/>
      <c r="CQ656" s="43"/>
      <c r="CR656" s="43"/>
      <c r="CS656" s="43"/>
      <c r="CT656" s="43"/>
    </row>
    <row r="657" spans="1:98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43"/>
      <c r="BA657" s="43"/>
      <c r="BB657" s="43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43"/>
      <c r="BO657" s="43"/>
      <c r="BP657" s="43"/>
      <c r="BQ657" s="43"/>
      <c r="BR657" s="43"/>
      <c r="BS657" s="43"/>
      <c r="BT657" s="43"/>
      <c r="BU657" s="43"/>
      <c r="BV657" s="43"/>
      <c r="BW657" s="43"/>
      <c r="BX657" s="43"/>
      <c r="BY657" s="43"/>
      <c r="BZ657" s="43"/>
      <c r="CA657" s="43"/>
      <c r="CB657" s="43"/>
      <c r="CC657" s="43"/>
      <c r="CD657" s="43"/>
      <c r="CE657" s="43"/>
      <c r="CF657" s="43"/>
      <c r="CG657" s="43"/>
      <c r="CH657" s="43"/>
      <c r="CI657" s="43"/>
      <c r="CJ657" s="43"/>
      <c r="CK657" s="43"/>
      <c r="CL657" s="43"/>
      <c r="CM657" s="43"/>
      <c r="CN657" s="43"/>
      <c r="CO657" s="43"/>
      <c r="CP657" s="43"/>
      <c r="CQ657" s="43"/>
      <c r="CR657" s="43"/>
      <c r="CS657" s="43"/>
      <c r="CT657" s="43"/>
    </row>
    <row r="658" spans="1:98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43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</row>
    <row r="659" spans="1:98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43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</row>
    <row r="660" spans="1:98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43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</row>
    <row r="661" spans="1:98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43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</row>
    <row r="662" spans="1:98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43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</row>
    <row r="663" spans="1:98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43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</row>
    <row r="664" spans="1:98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43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</row>
    <row r="665" spans="1:98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43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</row>
    <row r="666" spans="1:98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43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</row>
    <row r="667" spans="1:98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43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</row>
    <row r="668" spans="1:98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43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</row>
    <row r="669" spans="1:98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43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</row>
    <row r="670" spans="1:98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43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</row>
    <row r="671" spans="1:98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43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</row>
    <row r="672" spans="1:98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43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</row>
    <row r="673" spans="1:98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43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</row>
    <row r="674" spans="1:98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43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</row>
    <row r="675" spans="1:98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43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</row>
    <row r="676" spans="1:98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43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</row>
    <row r="677" spans="1:98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43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</row>
    <row r="678" spans="1:98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43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</row>
    <row r="679" spans="1:98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43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</row>
    <row r="680" spans="1:98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43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</row>
    <row r="681" spans="1:98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43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</row>
    <row r="682" spans="1:98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43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</row>
    <row r="683" spans="1:98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43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</row>
    <row r="684" spans="1:98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43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</row>
    <row r="685" spans="1:98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43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</row>
    <row r="686" spans="1:98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43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</row>
    <row r="687" spans="1:98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43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</row>
    <row r="688" spans="1:98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43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</row>
    <row r="689" spans="1:98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43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</row>
    <row r="690" spans="1:98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43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</row>
    <row r="691" spans="1:98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43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</row>
    <row r="692" spans="1:98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</row>
    <row r="693" spans="1:98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</row>
    <row r="694" spans="1:98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43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</row>
    <row r="695" spans="1:98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43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</row>
    <row r="696" spans="1:98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43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</row>
    <row r="697" spans="1:98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43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</row>
    <row r="698" spans="1:98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43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</row>
    <row r="699" spans="1:98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43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</row>
    <row r="700" spans="1:98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43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</row>
    <row r="701" spans="1:98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43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</row>
    <row r="702" spans="1:98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43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</row>
    <row r="703" spans="1:98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43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</row>
    <row r="704" spans="1:98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43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</row>
    <row r="705" spans="1:98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43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</row>
    <row r="706" spans="1:98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43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</row>
    <row r="707" spans="1:98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43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</row>
    <row r="708" spans="1:98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43"/>
      <c r="BA708" s="43"/>
      <c r="BB708" s="43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43"/>
      <c r="BO708" s="43"/>
      <c r="BP708" s="43"/>
      <c r="BQ708" s="43"/>
      <c r="BR708" s="43"/>
      <c r="BS708" s="43"/>
      <c r="BT708" s="43"/>
      <c r="BU708" s="43"/>
      <c r="BV708" s="43"/>
      <c r="BW708" s="43"/>
      <c r="BX708" s="43"/>
      <c r="BY708" s="43"/>
      <c r="BZ708" s="43"/>
      <c r="CA708" s="43"/>
      <c r="CB708" s="43"/>
      <c r="CC708" s="43"/>
      <c r="CD708" s="43"/>
      <c r="CE708" s="43"/>
      <c r="CF708" s="43"/>
      <c r="CG708" s="43"/>
      <c r="CH708" s="43"/>
      <c r="CI708" s="43"/>
      <c r="CJ708" s="43"/>
      <c r="CK708" s="43"/>
      <c r="CL708" s="43"/>
      <c r="CM708" s="43"/>
      <c r="CN708" s="43"/>
      <c r="CO708" s="43"/>
      <c r="CP708" s="43"/>
      <c r="CQ708" s="43"/>
      <c r="CR708" s="43"/>
      <c r="CS708" s="43"/>
      <c r="CT708" s="43"/>
    </row>
    <row r="709" spans="1:98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/>
      <c r="AW709" s="43"/>
      <c r="AX709" s="43"/>
      <c r="AY709" s="43"/>
      <c r="AZ709" s="43"/>
      <c r="BA709" s="43"/>
      <c r="BB709" s="43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43"/>
      <c r="BO709" s="43"/>
      <c r="BP709" s="43"/>
      <c r="BQ709" s="43"/>
      <c r="BR709" s="43"/>
      <c r="BS709" s="43"/>
      <c r="BT709" s="43"/>
      <c r="BU709" s="43"/>
      <c r="BV709" s="43"/>
      <c r="BW709" s="43"/>
      <c r="BX709" s="43"/>
      <c r="BY709" s="43"/>
      <c r="BZ709" s="43"/>
      <c r="CA709" s="43"/>
      <c r="CB709" s="43"/>
      <c r="CC709" s="43"/>
      <c r="CD709" s="43"/>
      <c r="CE709" s="43"/>
      <c r="CF709" s="43"/>
      <c r="CG709" s="43"/>
      <c r="CH709" s="43"/>
      <c r="CI709" s="43"/>
      <c r="CJ709" s="43"/>
      <c r="CK709" s="43"/>
      <c r="CL709" s="43"/>
      <c r="CM709" s="43"/>
      <c r="CN709" s="43"/>
      <c r="CO709" s="43"/>
      <c r="CP709" s="43"/>
      <c r="CQ709" s="43"/>
      <c r="CR709" s="43"/>
      <c r="CS709" s="43"/>
      <c r="CT709" s="43"/>
    </row>
    <row r="710" spans="1:98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43"/>
      <c r="BA710" s="43"/>
      <c r="BB710" s="43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43"/>
      <c r="BO710" s="43"/>
      <c r="BP710" s="43"/>
      <c r="BQ710" s="43"/>
      <c r="BR710" s="43"/>
      <c r="BS710" s="43"/>
      <c r="BT710" s="43"/>
      <c r="BU710" s="43"/>
      <c r="BV710" s="43"/>
      <c r="BW710" s="43"/>
      <c r="BX710" s="43"/>
      <c r="BY710" s="43"/>
      <c r="BZ710" s="43"/>
      <c r="CA710" s="43"/>
      <c r="CB710" s="43"/>
      <c r="CC710" s="43"/>
      <c r="CD710" s="43"/>
      <c r="CE710" s="43"/>
      <c r="CF710" s="43"/>
      <c r="CG710" s="43"/>
      <c r="CH710" s="43"/>
      <c r="CI710" s="43"/>
      <c r="CJ710" s="43"/>
      <c r="CK710" s="43"/>
      <c r="CL710" s="43"/>
      <c r="CM710" s="43"/>
      <c r="CN710" s="43"/>
      <c r="CO710" s="43"/>
      <c r="CP710" s="43"/>
      <c r="CQ710" s="43"/>
      <c r="CR710" s="43"/>
      <c r="CS710" s="43"/>
      <c r="CT710" s="43"/>
    </row>
    <row r="711" spans="1:98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43"/>
      <c r="BA711" s="43"/>
      <c r="BB711" s="43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43"/>
      <c r="BO711" s="43"/>
      <c r="BP711" s="43"/>
      <c r="BQ711" s="43"/>
      <c r="BR711" s="43"/>
      <c r="BS711" s="43"/>
      <c r="BT711" s="43"/>
      <c r="BU711" s="43"/>
      <c r="BV711" s="43"/>
      <c r="BW711" s="43"/>
      <c r="BX711" s="43"/>
      <c r="BY711" s="43"/>
      <c r="BZ711" s="43"/>
      <c r="CA711" s="43"/>
      <c r="CB711" s="43"/>
      <c r="CC711" s="43"/>
      <c r="CD711" s="43"/>
      <c r="CE711" s="43"/>
      <c r="CF711" s="43"/>
      <c r="CG711" s="43"/>
      <c r="CH711" s="43"/>
      <c r="CI711" s="43"/>
      <c r="CJ711" s="43"/>
      <c r="CK711" s="43"/>
      <c r="CL711" s="43"/>
      <c r="CM711" s="43"/>
      <c r="CN711" s="43"/>
      <c r="CO711" s="43"/>
      <c r="CP711" s="43"/>
      <c r="CQ711" s="43"/>
      <c r="CR711" s="43"/>
      <c r="CS711" s="43"/>
      <c r="CT711" s="43"/>
    </row>
    <row r="712" spans="1:98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43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</row>
    <row r="713" spans="1:98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43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</row>
    <row r="714" spans="1:98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43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</row>
    <row r="715" spans="1:98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43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</row>
    <row r="716" spans="1:98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43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</row>
    <row r="717" spans="1:98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43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</row>
    <row r="718" spans="1:98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43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</row>
    <row r="719" spans="1:98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43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</row>
    <row r="720" spans="1:98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</row>
    <row r="721" spans="1:98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</row>
    <row r="722" spans="1:98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</row>
    <row r="723" spans="1:98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</row>
    <row r="724" spans="1:98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</row>
    <row r="725" spans="1:98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43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</row>
    <row r="726" spans="1:98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</row>
    <row r="727" spans="1:98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43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</row>
    <row r="728" spans="1:98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43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</row>
    <row r="729" spans="1:98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43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</row>
    <row r="730" spans="1:98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43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</row>
    <row r="731" spans="1:98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43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</row>
    <row r="732" spans="1:98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43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</row>
    <row r="733" spans="1:98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43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</row>
    <row r="734" spans="1:98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43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</row>
    <row r="735" spans="1:98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43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</row>
    <row r="736" spans="1:98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43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</row>
    <row r="737" spans="1:98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43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</row>
    <row r="738" spans="1:98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43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</row>
    <row r="739" spans="1:98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43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</row>
    <row r="740" spans="1:98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43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</row>
    <row r="741" spans="1:98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43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</row>
    <row r="742" spans="1:98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43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</row>
    <row r="743" spans="1:98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43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</row>
    <row r="744" spans="1:98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43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</row>
    <row r="745" spans="1:98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43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</row>
    <row r="746" spans="1:98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43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</row>
    <row r="747" spans="1:98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43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</row>
    <row r="748" spans="1:98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43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</row>
    <row r="749" spans="1:98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43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</row>
    <row r="750" spans="1:98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43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</row>
    <row r="751" spans="1:98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43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</row>
    <row r="752" spans="1:98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43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</row>
    <row r="753" spans="1:98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43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</row>
    <row r="754" spans="1:98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43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</row>
    <row r="755" spans="1:98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43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</row>
    <row r="756" spans="1:98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43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</row>
    <row r="757" spans="1:98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43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</row>
    <row r="758" spans="1:98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43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</row>
    <row r="759" spans="1:98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43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</row>
    <row r="760" spans="1:98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43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</row>
    <row r="761" spans="1:98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43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</row>
    <row r="762" spans="1:98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  <c r="AK762" s="43"/>
      <c r="AL762" s="43"/>
      <c r="AM762" s="43"/>
      <c r="AN762" s="43"/>
      <c r="AO762" s="43"/>
      <c r="AP762" s="43"/>
      <c r="AQ762" s="43"/>
      <c r="AR762" s="43"/>
      <c r="AS762" s="43"/>
      <c r="AT762" s="43"/>
      <c r="AU762" s="43"/>
      <c r="AV762" s="43"/>
      <c r="AW762" s="43"/>
      <c r="AX762" s="43"/>
      <c r="AY762" s="43"/>
      <c r="AZ762" s="43"/>
      <c r="BA762" s="43"/>
      <c r="BB762" s="43"/>
      <c r="BC762" s="43"/>
      <c r="BD762" s="43"/>
      <c r="BE762" s="43"/>
      <c r="BF762" s="43"/>
      <c r="BG762" s="43"/>
      <c r="BH762" s="43"/>
      <c r="BI762" s="43"/>
      <c r="BJ762" s="43"/>
      <c r="BK762" s="43"/>
      <c r="BL762" s="43"/>
      <c r="BM762" s="43"/>
      <c r="BN762" s="43"/>
      <c r="BO762" s="43"/>
      <c r="BP762" s="43"/>
      <c r="BQ762" s="43"/>
      <c r="BR762" s="43"/>
      <c r="BS762" s="43"/>
      <c r="BT762" s="43"/>
      <c r="BU762" s="43"/>
      <c r="BV762" s="43"/>
      <c r="BW762" s="43"/>
      <c r="BX762" s="43"/>
      <c r="BY762" s="43"/>
      <c r="BZ762" s="43"/>
      <c r="CA762" s="43"/>
      <c r="CB762" s="43"/>
      <c r="CC762" s="43"/>
      <c r="CD762" s="43"/>
      <c r="CE762" s="43"/>
      <c r="CF762" s="43"/>
      <c r="CG762" s="43"/>
      <c r="CH762" s="43"/>
      <c r="CI762" s="43"/>
      <c r="CJ762" s="43"/>
      <c r="CK762" s="43"/>
      <c r="CL762" s="43"/>
      <c r="CM762" s="43"/>
      <c r="CN762" s="43"/>
      <c r="CO762" s="43"/>
      <c r="CP762" s="43"/>
      <c r="CQ762" s="43"/>
      <c r="CR762" s="43"/>
      <c r="CS762" s="43"/>
      <c r="CT762" s="43"/>
    </row>
    <row r="763" spans="1:98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  <c r="AK763" s="43"/>
      <c r="AL763" s="43"/>
      <c r="AM763" s="43"/>
      <c r="AN763" s="43"/>
      <c r="AO763" s="43"/>
      <c r="AP763" s="43"/>
      <c r="AQ763" s="43"/>
      <c r="AR763" s="43"/>
      <c r="AS763" s="43"/>
      <c r="AT763" s="43"/>
      <c r="AU763" s="43"/>
      <c r="AV763" s="43"/>
      <c r="AW763" s="43"/>
      <c r="AX763" s="43"/>
      <c r="AY763" s="43"/>
      <c r="AZ763" s="43"/>
      <c r="BA763" s="43"/>
      <c r="BB763" s="43"/>
      <c r="BC763" s="43"/>
      <c r="BD763" s="43"/>
      <c r="BE763" s="43"/>
      <c r="BF763" s="43"/>
      <c r="BG763" s="43"/>
      <c r="BH763" s="43"/>
      <c r="BI763" s="43"/>
      <c r="BJ763" s="43"/>
      <c r="BK763" s="43"/>
      <c r="BL763" s="43"/>
      <c r="BM763" s="43"/>
      <c r="BN763" s="43"/>
      <c r="BO763" s="43"/>
      <c r="BP763" s="43"/>
      <c r="BQ763" s="43"/>
      <c r="BR763" s="43"/>
      <c r="BS763" s="43"/>
      <c r="BT763" s="43"/>
      <c r="BU763" s="43"/>
      <c r="BV763" s="43"/>
      <c r="BW763" s="43"/>
      <c r="BX763" s="43"/>
      <c r="BY763" s="43"/>
      <c r="BZ763" s="43"/>
      <c r="CA763" s="43"/>
      <c r="CB763" s="43"/>
      <c r="CC763" s="43"/>
      <c r="CD763" s="43"/>
      <c r="CE763" s="43"/>
      <c r="CF763" s="43"/>
      <c r="CG763" s="43"/>
      <c r="CH763" s="43"/>
      <c r="CI763" s="43"/>
      <c r="CJ763" s="43"/>
      <c r="CK763" s="43"/>
      <c r="CL763" s="43"/>
      <c r="CM763" s="43"/>
      <c r="CN763" s="43"/>
      <c r="CO763" s="43"/>
      <c r="CP763" s="43"/>
      <c r="CQ763" s="43"/>
      <c r="CR763" s="43"/>
      <c r="CS763" s="43"/>
      <c r="CT763" s="43"/>
    </row>
    <row r="764" spans="1:98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  <c r="AK764" s="43"/>
      <c r="AL764" s="43"/>
      <c r="AM764" s="43"/>
      <c r="AN764" s="43"/>
      <c r="AO764" s="43"/>
      <c r="AP764" s="43"/>
      <c r="AQ764" s="43"/>
      <c r="AR764" s="43"/>
      <c r="AS764" s="43"/>
      <c r="AT764" s="43"/>
      <c r="AU764" s="43"/>
      <c r="AV764" s="43"/>
      <c r="AW764" s="43"/>
      <c r="AX764" s="43"/>
      <c r="AY764" s="43"/>
      <c r="AZ764" s="43"/>
      <c r="BA764" s="43"/>
      <c r="BB764" s="43"/>
      <c r="BC764" s="43"/>
      <c r="BD764" s="43"/>
      <c r="BE764" s="43"/>
      <c r="BF764" s="43"/>
      <c r="BG764" s="43"/>
      <c r="BH764" s="43"/>
      <c r="BI764" s="43"/>
      <c r="BJ764" s="43"/>
      <c r="BK764" s="43"/>
      <c r="BL764" s="43"/>
      <c r="BM764" s="43"/>
      <c r="BN764" s="43"/>
      <c r="BO764" s="43"/>
      <c r="BP764" s="43"/>
      <c r="BQ764" s="43"/>
      <c r="BR764" s="43"/>
      <c r="BS764" s="43"/>
      <c r="BT764" s="43"/>
      <c r="BU764" s="43"/>
      <c r="BV764" s="43"/>
      <c r="BW764" s="43"/>
      <c r="BX764" s="43"/>
      <c r="BY764" s="43"/>
      <c r="BZ764" s="43"/>
      <c r="CA764" s="43"/>
      <c r="CB764" s="43"/>
      <c r="CC764" s="43"/>
      <c r="CD764" s="43"/>
      <c r="CE764" s="43"/>
      <c r="CF764" s="43"/>
      <c r="CG764" s="43"/>
      <c r="CH764" s="43"/>
      <c r="CI764" s="43"/>
      <c r="CJ764" s="43"/>
      <c r="CK764" s="43"/>
      <c r="CL764" s="43"/>
      <c r="CM764" s="43"/>
      <c r="CN764" s="43"/>
      <c r="CO764" s="43"/>
      <c r="CP764" s="43"/>
      <c r="CQ764" s="43"/>
      <c r="CR764" s="43"/>
      <c r="CS764" s="43"/>
      <c r="CT764" s="43"/>
    </row>
    <row r="765" spans="1:98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  <c r="AK765" s="43"/>
      <c r="AL765" s="43"/>
      <c r="AM765" s="43"/>
      <c r="AN765" s="43"/>
      <c r="AO765" s="43"/>
      <c r="AP765" s="43"/>
      <c r="AQ765" s="43"/>
      <c r="AR765" s="43"/>
      <c r="AS765" s="43"/>
      <c r="AT765" s="43"/>
      <c r="AU765" s="43"/>
      <c r="AV765" s="43"/>
      <c r="AW765" s="43"/>
      <c r="AX765" s="43"/>
      <c r="AY765" s="43"/>
      <c r="AZ765" s="43"/>
      <c r="BA765" s="43"/>
      <c r="BB765" s="43"/>
      <c r="BC765" s="43"/>
      <c r="BD765" s="43"/>
      <c r="BE765" s="43"/>
      <c r="BF765" s="43"/>
      <c r="BG765" s="43"/>
      <c r="BH765" s="43"/>
      <c r="BI765" s="43"/>
      <c r="BJ765" s="43"/>
      <c r="BK765" s="43"/>
      <c r="BL765" s="43"/>
      <c r="BM765" s="43"/>
      <c r="BN765" s="43"/>
      <c r="BO765" s="43"/>
      <c r="BP765" s="43"/>
      <c r="BQ765" s="43"/>
      <c r="BR765" s="43"/>
      <c r="BS765" s="43"/>
      <c r="BT765" s="43"/>
      <c r="BU765" s="43"/>
      <c r="BV765" s="43"/>
      <c r="BW765" s="43"/>
      <c r="BX765" s="43"/>
      <c r="BY765" s="43"/>
      <c r="BZ765" s="43"/>
      <c r="CA765" s="43"/>
      <c r="CB765" s="43"/>
      <c r="CC765" s="43"/>
      <c r="CD765" s="43"/>
      <c r="CE765" s="43"/>
      <c r="CF765" s="43"/>
      <c r="CG765" s="43"/>
      <c r="CH765" s="43"/>
      <c r="CI765" s="43"/>
      <c r="CJ765" s="43"/>
      <c r="CK765" s="43"/>
      <c r="CL765" s="43"/>
      <c r="CM765" s="43"/>
      <c r="CN765" s="43"/>
      <c r="CO765" s="43"/>
      <c r="CP765" s="43"/>
      <c r="CQ765" s="43"/>
      <c r="CR765" s="43"/>
      <c r="CS765" s="43"/>
      <c r="CT765" s="43"/>
    </row>
    <row r="766" spans="1:98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43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</row>
    <row r="767" spans="1:98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43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</row>
    <row r="768" spans="1:98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43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</row>
    <row r="769" spans="1:98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43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</row>
    <row r="770" spans="1:98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43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</row>
    <row r="771" spans="1:98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43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</row>
    <row r="772" spans="1:98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43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</row>
    <row r="773" spans="1:98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43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</row>
    <row r="774" spans="1:98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43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</row>
    <row r="775" spans="1:98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43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</row>
    <row r="776" spans="1:98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43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</row>
    <row r="777" spans="1:98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43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</row>
    <row r="778" spans="1:98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43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</row>
    <row r="779" spans="1:98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43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</row>
    <row r="780" spans="1:98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43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</row>
    <row r="781" spans="1:98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43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</row>
    <row r="782" spans="1:98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43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</row>
    <row r="783" spans="1:98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43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</row>
    <row r="784" spans="1:98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43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</row>
    <row r="785" spans="1:98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43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</row>
    <row r="786" spans="1:98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43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</row>
    <row r="787" spans="1:98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43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</row>
    <row r="788" spans="1:98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43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</row>
    <row r="789" spans="1:98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43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</row>
    <row r="790" spans="1:98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43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</row>
    <row r="791" spans="1:98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43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</row>
    <row r="792" spans="1:98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43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</row>
    <row r="793" spans="1:98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43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</row>
    <row r="794" spans="1:98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43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</row>
    <row r="795" spans="1:98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43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</row>
    <row r="796" spans="1:98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43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</row>
    <row r="797" spans="1:98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43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</row>
    <row r="798" spans="1:98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43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</row>
    <row r="799" spans="1:98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43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</row>
    <row r="800" spans="1:98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43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</row>
    <row r="801" spans="1:98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43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</row>
    <row r="802" spans="1:98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43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</row>
    <row r="803" spans="1:98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43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</row>
    <row r="804" spans="1:98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43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</row>
    <row r="805" spans="1:98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43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</row>
    <row r="806" spans="1:98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43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</row>
    <row r="807" spans="1:98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43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</row>
    <row r="808" spans="1:98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43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</row>
    <row r="809" spans="1:98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43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</row>
    <row r="810" spans="1:98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43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</row>
    <row r="811" spans="1:98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43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</row>
    <row r="812" spans="1:98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43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</row>
    <row r="813" spans="1:98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43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</row>
    <row r="814" spans="1:98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43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</row>
    <row r="815" spans="1:98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43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</row>
    <row r="816" spans="1:98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  <c r="AX816" s="43"/>
      <c r="AY816" s="43"/>
      <c r="AZ816" s="43"/>
      <c r="BA816" s="43"/>
      <c r="BB816" s="43"/>
      <c r="BC816" s="43"/>
      <c r="BD816" s="43"/>
      <c r="BE816" s="43"/>
      <c r="BF816" s="43"/>
      <c r="BG816" s="43"/>
      <c r="BH816" s="43"/>
      <c r="BI816" s="43"/>
      <c r="BJ816" s="43"/>
      <c r="BK816" s="43"/>
      <c r="BL816" s="43"/>
      <c r="BM816" s="43"/>
      <c r="BN816" s="43"/>
      <c r="BO816" s="43"/>
      <c r="BP816" s="43"/>
      <c r="BQ816" s="43"/>
      <c r="BR816" s="43"/>
      <c r="BS816" s="43"/>
      <c r="BT816" s="43"/>
      <c r="BU816" s="43"/>
      <c r="BV816" s="43"/>
      <c r="BW816" s="43"/>
      <c r="BX816" s="43"/>
      <c r="BY816" s="43"/>
      <c r="BZ816" s="43"/>
      <c r="CA816" s="43"/>
      <c r="CB816" s="43"/>
      <c r="CC816" s="43"/>
      <c r="CD816" s="43"/>
      <c r="CE816" s="43"/>
      <c r="CF816" s="43"/>
      <c r="CG816" s="43"/>
      <c r="CH816" s="43"/>
      <c r="CI816" s="43"/>
      <c r="CJ816" s="43"/>
      <c r="CK816" s="43"/>
      <c r="CL816" s="43"/>
      <c r="CM816" s="43"/>
      <c r="CN816" s="43"/>
      <c r="CO816" s="43"/>
      <c r="CP816" s="43"/>
      <c r="CQ816" s="43"/>
      <c r="CR816" s="43"/>
      <c r="CS816" s="43"/>
      <c r="CT816" s="43"/>
    </row>
    <row r="817" spans="1:98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  <c r="AX817" s="43"/>
      <c r="AY817" s="43"/>
      <c r="AZ817" s="43"/>
      <c r="BA817" s="43"/>
      <c r="BB817" s="43"/>
      <c r="BC817" s="43"/>
      <c r="BD817" s="43"/>
      <c r="BE817" s="43"/>
      <c r="BF817" s="43"/>
      <c r="BG817" s="43"/>
      <c r="BH817" s="43"/>
      <c r="BI817" s="43"/>
      <c r="BJ817" s="43"/>
      <c r="BK817" s="43"/>
      <c r="BL817" s="43"/>
      <c r="BM817" s="43"/>
      <c r="BN817" s="43"/>
      <c r="BO817" s="43"/>
      <c r="BP817" s="43"/>
      <c r="BQ817" s="43"/>
      <c r="BR817" s="43"/>
      <c r="BS817" s="43"/>
      <c r="BT817" s="43"/>
      <c r="BU817" s="43"/>
      <c r="BV817" s="43"/>
      <c r="BW817" s="43"/>
      <c r="BX817" s="43"/>
      <c r="BY817" s="43"/>
      <c r="BZ817" s="43"/>
      <c r="CA817" s="43"/>
      <c r="CB817" s="43"/>
      <c r="CC817" s="43"/>
      <c r="CD817" s="43"/>
      <c r="CE817" s="43"/>
      <c r="CF817" s="43"/>
      <c r="CG817" s="43"/>
      <c r="CH817" s="43"/>
      <c r="CI817" s="43"/>
      <c r="CJ817" s="43"/>
      <c r="CK817" s="43"/>
      <c r="CL817" s="43"/>
      <c r="CM817" s="43"/>
      <c r="CN817" s="43"/>
      <c r="CO817" s="43"/>
      <c r="CP817" s="43"/>
      <c r="CQ817" s="43"/>
      <c r="CR817" s="43"/>
      <c r="CS817" s="43"/>
      <c r="CT817" s="43"/>
    </row>
    <row r="818" spans="1:98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  <c r="AX818" s="43"/>
      <c r="AY818" s="43"/>
      <c r="AZ818" s="43"/>
      <c r="BA818" s="43"/>
      <c r="BB818" s="43"/>
      <c r="BC818" s="43"/>
      <c r="BD818" s="43"/>
      <c r="BE818" s="43"/>
      <c r="BF818" s="43"/>
      <c r="BG818" s="43"/>
      <c r="BH818" s="43"/>
      <c r="BI818" s="43"/>
      <c r="BJ818" s="43"/>
      <c r="BK818" s="43"/>
      <c r="BL818" s="43"/>
      <c r="BM818" s="43"/>
      <c r="BN818" s="43"/>
      <c r="BO818" s="43"/>
      <c r="BP818" s="43"/>
      <c r="BQ818" s="43"/>
      <c r="BR818" s="43"/>
      <c r="BS818" s="43"/>
      <c r="BT818" s="43"/>
      <c r="BU818" s="43"/>
      <c r="BV818" s="43"/>
      <c r="BW818" s="43"/>
      <c r="BX818" s="43"/>
      <c r="BY818" s="43"/>
      <c r="BZ818" s="43"/>
      <c r="CA818" s="43"/>
      <c r="CB818" s="43"/>
      <c r="CC818" s="43"/>
      <c r="CD818" s="43"/>
      <c r="CE818" s="43"/>
      <c r="CF818" s="43"/>
      <c r="CG818" s="43"/>
      <c r="CH818" s="43"/>
      <c r="CI818" s="43"/>
      <c r="CJ818" s="43"/>
      <c r="CK818" s="43"/>
      <c r="CL818" s="43"/>
      <c r="CM818" s="43"/>
      <c r="CN818" s="43"/>
      <c r="CO818" s="43"/>
      <c r="CP818" s="43"/>
      <c r="CQ818" s="43"/>
      <c r="CR818" s="43"/>
      <c r="CS818" s="43"/>
      <c r="CT818" s="43"/>
    </row>
    <row r="819" spans="1:98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  <c r="AX819" s="43"/>
      <c r="AY819" s="43"/>
      <c r="AZ819" s="43"/>
      <c r="BA819" s="43"/>
      <c r="BB819" s="43"/>
      <c r="BC819" s="43"/>
      <c r="BD819" s="43"/>
      <c r="BE819" s="43"/>
      <c r="BF819" s="43"/>
      <c r="BG819" s="43"/>
      <c r="BH819" s="43"/>
      <c r="BI819" s="43"/>
      <c r="BJ819" s="43"/>
      <c r="BK819" s="43"/>
      <c r="BL819" s="43"/>
      <c r="BM819" s="43"/>
      <c r="BN819" s="43"/>
      <c r="BO819" s="43"/>
      <c r="BP819" s="43"/>
      <c r="BQ819" s="43"/>
      <c r="BR819" s="43"/>
      <c r="BS819" s="43"/>
      <c r="BT819" s="43"/>
      <c r="BU819" s="43"/>
      <c r="BV819" s="43"/>
      <c r="BW819" s="43"/>
      <c r="BX819" s="43"/>
      <c r="BY819" s="43"/>
      <c r="BZ819" s="43"/>
      <c r="CA819" s="43"/>
      <c r="CB819" s="43"/>
      <c r="CC819" s="43"/>
      <c r="CD819" s="43"/>
      <c r="CE819" s="43"/>
      <c r="CF819" s="43"/>
      <c r="CG819" s="43"/>
      <c r="CH819" s="43"/>
      <c r="CI819" s="43"/>
      <c r="CJ819" s="43"/>
      <c r="CK819" s="43"/>
      <c r="CL819" s="43"/>
      <c r="CM819" s="43"/>
      <c r="CN819" s="43"/>
      <c r="CO819" s="43"/>
      <c r="CP819" s="43"/>
      <c r="CQ819" s="43"/>
      <c r="CR819" s="43"/>
      <c r="CS819" s="43"/>
      <c r="CT819" s="43"/>
    </row>
    <row r="820" spans="1:98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43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</row>
    <row r="821" spans="1:98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43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</row>
    <row r="822" spans="1:98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43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</row>
    <row r="823" spans="1:98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43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</row>
    <row r="824" spans="1:98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43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</row>
    <row r="825" spans="1:98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43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</row>
    <row r="826" spans="1:98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43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</row>
    <row r="827" spans="1:98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43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</row>
    <row r="828" spans="1:98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43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</row>
    <row r="829" spans="1:98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43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</row>
    <row r="830" spans="1:98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43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</row>
    <row r="831" spans="1:98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43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</row>
    <row r="832" spans="1:98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43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</row>
    <row r="833" spans="1:98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43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</row>
    <row r="834" spans="1:98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43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</row>
    <row r="835" spans="1:98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43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</row>
    <row r="836" spans="1:98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43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</row>
    <row r="837" spans="1:98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43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</row>
    <row r="838" spans="1:98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43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</row>
    <row r="839" spans="1:98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43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</row>
    <row r="840" spans="1:98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43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</row>
    <row r="841" spans="1:98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43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</row>
    <row r="842" spans="1:98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43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</row>
    <row r="843" spans="1:98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43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</row>
    <row r="844" spans="1:98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43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</row>
    <row r="845" spans="1:98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43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</row>
    <row r="846" spans="1:98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43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</row>
    <row r="847" spans="1:98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43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</row>
    <row r="848" spans="1:98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43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</row>
    <row r="849" spans="1:98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43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</row>
    <row r="850" spans="1:98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43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</row>
    <row r="851" spans="1:98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43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</row>
    <row r="852" spans="1:98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43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</row>
    <row r="853" spans="1:98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43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</row>
    <row r="854" spans="1:98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43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</row>
    <row r="855" spans="1:98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43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</row>
    <row r="856" spans="1:98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43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</row>
    <row r="857" spans="1:98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43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</row>
    <row r="858" spans="1:98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43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</row>
    <row r="859" spans="1:98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43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</row>
    <row r="860" spans="1:98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43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</row>
    <row r="861" spans="1:98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43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</row>
    <row r="862" spans="1:98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43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</row>
    <row r="863" spans="1:98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43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</row>
    <row r="864" spans="1:98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43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</row>
    <row r="865" spans="1:98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43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</row>
    <row r="866" spans="1:98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43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</row>
    <row r="867" spans="1:98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43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</row>
    <row r="868" spans="1:98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43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</row>
    <row r="869" spans="1:98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43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</row>
    <row r="870" spans="1:98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  <c r="AK870" s="43"/>
      <c r="AL870" s="43"/>
      <c r="AM870" s="43"/>
      <c r="AN870" s="43"/>
      <c r="AO870" s="43"/>
      <c r="AP870" s="43"/>
      <c r="AQ870" s="43"/>
      <c r="AR870" s="43"/>
      <c r="AS870" s="43"/>
      <c r="AT870" s="43"/>
      <c r="AU870" s="43"/>
      <c r="AV870" s="43"/>
      <c r="AW870" s="43"/>
      <c r="AX870" s="43"/>
      <c r="AY870" s="43"/>
      <c r="AZ870" s="43"/>
      <c r="BA870" s="43"/>
      <c r="BB870" s="43"/>
      <c r="BC870" s="43"/>
      <c r="BD870" s="43"/>
      <c r="BE870" s="43"/>
      <c r="BF870" s="43"/>
      <c r="BG870" s="43"/>
      <c r="BH870" s="43"/>
      <c r="BI870" s="43"/>
      <c r="BJ870" s="43"/>
      <c r="BK870" s="43"/>
      <c r="BL870" s="43"/>
      <c r="BM870" s="43"/>
      <c r="BN870" s="43"/>
      <c r="BO870" s="43"/>
      <c r="BP870" s="43"/>
      <c r="BQ870" s="43"/>
      <c r="BR870" s="43"/>
      <c r="BS870" s="43"/>
      <c r="BT870" s="43"/>
      <c r="BU870" s="43"/>
      <c r="BV870" s="43"/>
      <c r="BW870" s="43"/>
      <c r="BX870" s="43"/>
      <c r="BY870" s="43"/>
      <c r="BZ870" s="43"/>
      <c r="CA870" s="43"/>
      <c r="CB870" s="43"/>
      <c r="CC870" s="43"/>
      <c r="CD870" s="43"/>
      <c r="CE870" s="43"/>
      <c r="CF870" s="43"/>
      <c r="CG870" s="43"/>
      <c r="CH870" s="43"/>
      <c r="CI870" s="43"/>
      <c r="CJ870" s="43"/>
      <c r="CK870" s="43"/>
      <c r="CL870" s="43"/>
      <c r="CM870" s="43"/>
      <c r="CN870" s="43"/>
      <c r="CO870" s="43"/>
      <c r="CP870" s="43"/>
      <c r="CQ870" s="43"/>
      <c r="CR870" s="43"/>
      <c r="CS870" s="43"/>
      <c r="CT870" s="43"/>
    </row>
    <row r="871" spans="1:98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  <c r="AK871" s="43"/>
      <c r="AL871" s="43"/>
      <c r="AM871" s="43"/>
      <c r="AN871" s="43"/>
      <c r="AO871" s="43"/>
      <c r="AP871" s="43"/>
      <c r="AQ871" s="43"/>
      <c r="AR871" s="43"/>
      <c r="AS871" s="43"/>
      <c r="AT871" s="43"/>
      <c r="AU871" s="43"/>
      <c r="AV871" s="43"/>
      <c r="AW871" s="43"/>
      <c r="AX871" s="43"/>
      <c r="AY871" s="43"/>
      <c r="AZ871" s="43"/>
      <c r="BA871" s="43"/>
      <c r="BB871" s="43"/>
      <c r="BC871" s="43"/>
      <c r="BD871" s="43"/>
      <c r="BE871" s="43"/>
      <c r="BF871" s="43"/>
      <c r="BG871" s="43"/>
      <c r="BH871" s="43"/>
      <c r="BI871" s="43"/>
      <c r="BJ871" s="43"/>
      <c r="BK871" s="43"/>
      <c r="BL871" s="43"/>
      <c r="BM871" s="43"/>
      <c r="BN871" s="43"/>
      <c r="BO871" s="43"/>
      <c r="BP871" s="43"/>
      <c r="BQ871" s="43"/>
      <c r="BR871" s="43"/>
      <c r="BS871" s="43"/>
      <c r="BT871" s="43"/>
      <c r="BU871" s="43"/>
      <c r="BV871" s="43"/>
      <c r="BW871" s="43"/>
      <c r="BX871" s="43"/>
      <c r="BY871" s="43"/>
      <c r="BZ871" s="43"/>
      <c r="CA871" s="43"/>
      <c r="CB871" s="43"/>
      <c r="CC871" s="43"/>
      <c r="CD871" s="43"/>
      <c r="CE871" s="43"/>
      <c r="CF871" s="43"/>
      <c r="CG871" s="43"/>
      <c r="CH871" s="43"/>
      <c r="CI871" s="43"/>
      <c r="CJ871" s="43"/>
      <c r="CK871" s="43"/>
      <c r="CL871" s="43"/>
      <c r="CM871" s="43"/>
      <c r="CN871" s="43"/>
      <c r="CO871" s="43"/>
      <c r="CP871" s="43"/>
      <c r="CQ871" s="43"/>
      <c r="CR871" s="43"/>
      <c r="CS871" s="43"/>
      <c r="CT871" s="43"/>
    </row>
    <row r="872" spans="1:98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  <c r="AK872" s="43"/>
      <c r="AL872" s="43"/>
      <c r="AM872" s="43"/>
      <c r="AN872" s="43"/>
      <c r="AO872" s="43"/>
      <c r="AP872" s="43"/>
      <c r="AQ872" s="43"/>
      <c r="AR872" s="43"/>
      <c r="AS872" s="43"/>
      <c r="AT872" s="43"/>
      <c r="AU872" s="43"/>
      <c r="AV872" s="43"/>
      <c r="AW872" s="43"/>
      <c r="AX872" s="43"/>
      <c r="AY872" s="43"/>
      <c r="AZ872" s="43"/>
      <c r="BA872" s="43"/>
      <c r="BB872" s="43"/>
      <c r="BC872" s="43"/>
      <c r="BD872" s="43"/>
      <c r="BE872" s="43"/>
      <c r="BF872" s="43"/>
      <c r="BG872" s="43"/>
      <c r="BH872" s="43"/>
      <c r="BI872" s="43"/>
      <c r="BJ872" s="43"/>
      <c r="BK872" s="43"/>
      <c r="BL872" s="43"/>
      <c r="BM872" s="43"/>
      <c r="BN872" s="43"/>
      <c r="BO872" s="43"/>
      <c r="BP872" s="43"/>
      <c r="BQ872" s="43"/>
      <c r="BR872" s="43"/>
      <c r="BS872" s="43"/>
      <c r="BT872" s="43"/>
      <c r="BU872" s="43"/>
      <c r="BV872" s="43"/>
      <c r="BW872" s="43"/>
      <c r="BX872" s="43"/>
      <c r="BY872" s="43"/>
      <c r="BZ872" s="43"/>
      <c r="CA872" s="43"/>
      <c r="CB872" s="43"/>
      <c r="CC872" s="43"/>
      <c r="CD872" s="43"/>
      <c r="CE872" s="43"/>
      <c r="CF872" s="43"/>
      <c r="CG872" s="43"/>
      <c r="CH872" s="43"/>
      <c r="CI872" s="43"/>
      <c r="CJ872" s="43"/>
      <c r="CK872" s="43"/>
      <c r="CL872" s="43"/>
      <c r="CM872" s="43"/>
      <c r="CN872" s="43"/>
      <c r="CO872" s="43"/>
      <c r="CP872" s="43"/>
      <c r="CQ872" s="43"/>
      <c r="CR872" s="43"/>
      <c r="CS872" s="43"/>
      <c r="CT872" s="43"/>
    </row>
    <row r="873" spans="1:98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  <c r="AK873" s="43"/>
      <c r="AL873" s="43"/>
      <c r="AM873" s="43"/>
      <c r="AN873" s="43"/>
      <c r="AO873" s="43"/>
      <c r="AP873" s="43"/>
      <c r="AQ873" s="43"/>
      <c r="AR873" s="43"/>
      <c r="AS873" s="43"/>
      <c r="AT873" s="43"/>
      <c r="AU873" s="43"/>
      <c r="AV873" s="43"/>
      <c r="AW873" s="43"/>
      <c r="AX873" s="43"/>
      <c r="AY873" s="43"/>
      <c r="AZ873" s="43"/>
      <c r="BA873" s="43"/>
      <c r="BB873" s="43"/>
      <c r="BC873" s="43"/>
      <c r="BD873" s="43"/>
      <c r="BE873" s="43"/>
      <c r="BF873" s="43"/>
      <c r="BG873" s="43"/>
      <c r="BH873" s="43"/>
      <c r="BI873" s="43"/>
      <c r="BJ873" s="43"/>
      <c r="BK873" s="43"/>
      <c r="BL873" s="43"/>
      <c r="BM873" s="43"/>
      <c r="BN873" s="43"/>
      <c r="BO873" s="43"/>
      <c r="BP873" s="43"/>
      <c r="BQ873" s="43"/>
      <c r="BR873" s="43"/>
      <c r="BS873" s="43"/>
      <c r="BT873" s="43"/>
      <c r="BU873" s="43"/>
      <c r="BV873" s="43"/>
      <c r="BW873" s="43"/>
      <c r="BX873" s="43"/>
      <c r="BY873" s="43"/>
      <c r="BZ873" s="43"/>
      <c r="CA873" s="43"/>
      <c r="CB873" s="43"/>
      <c r="CC873" s="43"/>
      <c r="CD873" s="43"/>
      <c r="CE873" s="43"/>
      <c r="CF873" s="43"/>
      <c r="CG873" s="43"/>
      <c r="CH873" s="43"/>
      <c r="CI873" s="43"/>
      <c r="CJ873" s="43"/>
      <c r="CK873" s="43"/>
      <c r="CL873" s="43"/>
      <c r="CM873" s="43"/>
      <c r="CN873" s="43"/>
      <c r="CO873" s="43"/>
      <c r="CP873" s="43"/>
      <c r="CQ873" s="43"/>
      <c r="CR873" s="43"/>
      <c r="CS873" s="43"/>
      <c r="CT873" s="43"/>
    </row>
    <row r="874" spans="1:98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43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</row>
    <row r="875" spans="1:98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43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</row>
    <row r="876" spans="1:98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43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</row>
    <row r="877" spans="1:98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43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</row>
    <row r="878" spans="1:98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43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</row>
    <row r="879" spans="1:98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43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</row>
    <row r="880" spans="1:98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43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</row>
    <row r="881" spans="1:98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43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</row>
    <row r="882" spans="1:98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43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</row>
    <row r="883" spans="1:98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43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</row>
    <row r="884" spans="1:98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43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</row>
    <row r="885" spans="1:98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43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</row>
    <row r="886" spans="1:98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43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</row>
    <row r="887" spans="1:98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43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</row>
    <row r="888" spans="1:98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43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</row>
    <row r="889" spans="1:98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43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</row>
    <row r="890" spans="1:98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43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</row>
    <row r="891" spans="1:98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43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</row>
    <row r="892" spans="1:98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43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</row>
    <row r="893" spans="1:98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43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</row>
    <row r="894" spans="1:98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43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</row>
    <row r="895" spans="1:98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43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</row>
    <row r="896" spans="1:98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43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</row>
    <row r="897" spans="1:98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43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</row>
    <row r="898" spans="1:98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43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</row>
    <row r="899" spans="1:98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43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</row>
    <row r="900" spans="1:98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43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</row>
    <row r="901" spans="1:98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43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</row>
    <row r="902" spans="1:98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43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</row>
    <row r="903" spans="1:98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43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</row>
    <row r="904" spans="1:98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43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</row>
    <row r="905" spans="1:98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43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</row>
    <row r="906" spans="1:98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43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</row>
    <row r="907" spans="1:98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43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</row>
    <row r="908" spans="1:98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43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</row>
    <row r="909" spans="1:98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43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</row>
    <row r="910" spans="1:98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43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</row>
    <row r="911" spans="1:98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43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</row>
    <row r="912" spans="1:98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43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</row>
    <row r="913" spans="1:98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43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</row>
    <row r="914" spans="1:98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43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</row>
    <row r="915" spans="1:98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43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</row>
    <row r="916" spans="1:98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43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</row>
    <row r="917" spans="1:98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43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</row>
    <row r="918" spans="1:98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43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</row>
    <row r="919" spans="1:98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43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</row>
    <row r="920" spans="1:98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43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</row>
    <row r="921" spans="1:98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43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</row>
    <row r="922" spans="1:98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43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</row>
    <row r="923" spans="1:98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43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</row>
    <row r="924" spans="1:98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43"/>
      <c r="BA924" s="43"/>
      <c r="BB924" s="43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43"/>
      <c r="BO924" s="43"/>
      <c r="BP924" s="43"/>
      <c r="BQ924" s="43"/>
      <c r="BR924" s="43"/>
      <c r="BS924" s="43"/>
      <c r="BT924" s="43"/>
      <c r="BU924" s="43"/>
      <c r="BV924" s="43"/>
      <c r="BW924" s="43"/>
      <c r="BX924" s="43"/>
      <c r="BY924" s="43"/>
      <c r="BZ924" s="43"/>
      <c r="CA924" s="43"/>
      <c r="CB924" s="43"/>
      <c r="CC924" s="43"/>
      <c r="CD924" s="43"/>
      <c r="CE924" s="43"/>
      <c r="CF924" s="43"/>
      <c r="CG924" s="43"/>
      <c r="CH924" s="43"/>
      <c r="CI924" s="43"/>
      <c r="CJ924" s="43"/>
      <c r="CK924" s="43"/>
      <c r="CL924" s="43"/>
      <c r="CM924" s="43"/>
      <c r="CN924" s="43"/>
      <c r="CO924" s="43"/>
      <c r="CP924" s="43"/>
      <c r="CQ924" s="43"/>
      <c r="CR924" s="43"/>
      <c r="CS924" s="43"/>
      <c r="CT924" s="43"/>
    </row>
    <row r="925" spans="1:98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  <c r="AK925" s="43"/>
      <c r="AL925" s="43"/>
      <c r="AM925" s="43"/>
      <c r="AN925" s="43"/>
      <c r="AO925" s="43"/>
      <c r="AP925" s="43"/>
      <c r="AQ925" s="43"/>
      <c r="AR925" s="43"/>
      <c r="AS925" s="43"/>
      <c r="AT925" s="43"/>
      <c r="AU925" s="43"/>
      <c r="AV925" s="43"/>
      <c r="AW925" s="43"/>
      <c r="AX925" s="43"/>
      <c r="AY925" s="43"/>
      <c r="AZ925" s="43"/>
      <c r="BA925" s="43"/>
      <c r="BB925" s="43"/>
      <c r="BC925" s="43"/>
      <c r="BD925" s="43"/>
      <c r="BE925" s="43"/>
      <c r="BF925" s="43"/>
      <c r="BG925" s="43"/>
      <c r="BH925" s="43"/>
      <c r="BI925" s="43"/>
      <c r="BJ925" s="43"/>
      <c r="BK925" s="43"/>
      <c r="BL925" s="43"/>
      <c r="BM925" s="43"/>
      <c r="BN925" s="43"/>
      <c r="BO925" s="43"/>
      <c r="BP925" s="43"/>
      <c r="BQ925" s="43"/>
      <c r="BR925" s="43"/>
      <c r="BS925" s="43"/>
      <c r="BT925" s="43"/>
      <c r="BU925" s="43"/>
      <c r="BV925" s="43"/>
      <c r="BW925" s="43"/>
      <c r="BX925" s="43"/>
      <c r="BY925" s="43"/>
      <c r="BZ925" s="43"/>
      <c r="CA925" s="43"/>
      <c r="CB925" s="43"/>
      <c r="CC925" s="43"/>
      <c r="CD925" s="43"/>
      <c r="CE925" s="43"/>
      <c r="CF925" s="43"/>
      <c r="CG925" s="43"/>
      <c r="CH925" s="43"/>
      <c r="CI925" s="43"/>
      <c r="CJ925" s="43"/>
      <c r="CK925" s="43"/>
      <c r="CL925" s="43"/>
      <c r="CM925" s="43"/>
      <c r="CN925" s="43"/>
      <c r="CO925" s="43"/>
      <c r="CP925" s="43"/>
      <c r="CQ925" s="43"/>
      <c r="CR925" s="43"/>
      <c r="CS925" s="43"/>
      <c r="CT925" s="43"/>
    </row>
    <row r="926" spans="1:98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  <c r="AK926" s="43"/>
      <c r="AL926" s="43"/>
      <c r="AM926" s="43"/>
      <c r="AN926" s="43"/>
      <c r="AO926" s="43"/>
      <c r="AP926" s="43"/>
      <c r="AQ926" s="43"/>
      <c r="AR926" s="43"/>
      <c r="AS926" s="43"/>
      <c r="AT926" s="43"/>
      <c r="AU926" s="43"/>
      <c r="AV926" s="43"/>
      <c r="AW926" s="43"/>
      <c r="AX926" s="43"/>
      <c r="AY926" s="43"/>
      <c r="AZ926" s="43"/>
      <c r="BA926" s="43"/>
      <c r="BB926" s="43"/>
      <c r="BC926" s="43"/>
      <c r="BD926" s="43"/>
      <c r="BE926" s="43"/>
      <c r="BF926" s="43"/>
      <c r="BG926" s="43"/>
      <c r="BH926" s="43"/>
      <c r="BI926" s="43"/>
      <c r="BJ926" s="43"/>
      <c r="BK926" s="43"/>
      <c r="BL926" s="43"/>
      <c r="BM926" s="43"/>
      <c r="BN926" s="43"/>
      <c r="BO926" s="43"/>
      <c r="BP926" s="43"/>
      <c r="BQ926" s="43"/>
      <c r="BR926" s="43"/>
      <c r="BS926" s="43"/>
      <c r="BT926" s="43"/>
      <c r="BU926" s="43"/>
      <c r="BV926" s="43"/>
      <c r="BW926" s="43"/>
      <c r="BX926" s="43"/>
      <c r="BY926" s="43"/>
      <c r="BZ926" s="43"/>
      <c r="CA926" s="43"/>
      <c r="CB926" s="43"/>
      <c r="CC926" s="43"/>
      <c r="CD926" s="43"/>
      <c r="CE926" s="43"/>
      <c r="CF926" s="43"/>
      <c r="CG926" s="43"/>
      <c r="CH926" s="43"/>
      <c r="CI926" s="43"/>
      <c r="CJ926" s="43"/>
      <c r="CK926" s="43"/>
      <c r="CL926" s="43"/>
      <c r="CM926" s="43"/>
      <c r="CN926" s="43"/>
      <c r="CO926" s="43"/>
      <c r="CP926" s="43"/>
      <c r="CQ926" s="43"/>
      <c r="CR926" s="43"/>
      <c r="CS926" s="43"/>
      <c r="CT926" s="43"/>
    </row>
    <row r="927" spans="1:98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  <c r="AK927" s="43"/>
      <c r="AL927" s="43"/>
      <c r="AM927" s="43"/>
      <c r="AN927" s="43"/>
      <c r="AO927" s="43"/>
      <c r="AP927" s="43"/>
      <c r="AQ927" s="43"/>
      <c r="AR927" s="43"/>
      <c r="AS927" s="43"/>
      <c r="AT927" s="43"/>
      <c r="AU927" s="43"/>
      <c r="AV927" s="43"/>
      <c r="AW927" s="43"/>
      <c r="AX927" s="43"/>
      <c r="AY927" s="43"/>
      <c r="AZ927" s="43"/>
      <c r="BA927" s="43"/>
      <c r="BB927" s="43"/>
      <c r="BC927" s="43"/>
      <c r="BD927" s="43"/>
      <c r="BE927" s="43"/>
      <c r="BF927" s="43"/>
      <c r="BG927" s="43"/>
      <c r="BH927" s="43"/>
      <c r="BI927" s="43"/>
      <c r="BJ927" s="43"/>
      <c r="BK927" s="43"/>
      <c r="BL927" s="43"/>
      <c r="BM927" s="43"/>
      <c r="BN927" s="43"/>
      <c r="BO927" s="43"/>
      <c r="BP927" s="43"/>
      <c r="BQ927" s="43"/>
      <c r="BR927" s="43"/>
      <c r="BS927" s="43"/>
      <c r="BT927" s="43"/>
      <c r="BU927" s="43"/>
      <c r="BV927" s="43"/>
      <c r="BW927" s="43"/>
      <c r="BX927" s="43"/>
      <c r="BY927" s="43"/>
      <c r="BZ927" s="43"/>
      <c r="CA927" s="43"/>
      <c r="CB927" s="43"/>
      <c r="CC927" s="43"/>
      <c r="CD927" s="43"/>
      <c r="CE927" s="43"/>
      <c r="CF927" s="43"/>
      <c r="CG927" s="43"/>
      <c r="CH927" s="43"/>
      <c r="CI927" s="43"/>
      <c r="CJ927" s="43"/>
      <c r="CK927" s="43"/>
      <c r="CL927" s="43"/>
      <c r="CM927" s="43"/>
      <c r="CN927" s="43"/>
      <c r="CO927" s="43"/>
      <c r="CP927" s="43"/>
      <c r="CQ927" s="43"/>
      <c r="CR927" s="43"/>
      <c r="CS927" s="43"/>
      <c r="CT927" s="43"/>
    </row>
    <row r="928" spans="1:98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  <c r="AK928" s="43"/>
      <c r="AL928" s="43"/>
      <c r="AM928" s="43"/>
      <c r="AN928" s="43"/>
      <c r="AO928" s="43"/>
      <c r="AP928" s="43"/>
      <c r="AQ928" s="43"/>
      <c r="AR928" s="43"/>
      <c r="AS928" s="43"/>
      <c r="AT928" s="43"/>
      <c r="AU928" s="43"/>
      <c r="AV928" s="43"/>
      <c r="AW928" s="43"/>
      <c r="AX928" s="43"/>
      <c r="AY928" s="43"/>
      <c r="AZ928" s="43"/>
      <c r="BA928" s="43"/>
      <c r="BB928" s="43"/>
      <c r="BC928" s="43"/>
      <c r="BD928" s="43"/>
      <c r="BE928" s="43"/>
      <c r="BF928" s="43"/>
      <c r="BG928" s="43"/>
      <c r="BH928" s="43"/>
      <c r="BI928" s="43"/>
      <c r="BJ928" s="43"/>
      <c r="BK928" s="43"/>
      <c r="BL928" s="43"/>
      <c r="BM928" s="43"/>
      <c r="BN928" s="43"/>
      <c r="BO928" s="43"/>
      <c r="BP928" s="43"/>
      <c r="BQ928" s="43"/>
      <c r="BR928" s="43"/>
      <c r="BS928" s="43"/>
      <c r="BT928" s="43"/>
      <c r="BU928" s="43"/>
      <c r="BV928" s="43"/>
      <c r="BW928" s="43"/>
      <c r="BX928" s="43"/>
      <c r="BY928" s="43"/>
      <c r="BZ928" s="43"/>
      <c r="CA928" s="43"/>
      <c r="CB928" s="43"/>
      <c r="CC928" s="43"/>
      <c r="CD928" s="43"/>
      <c r="CE928" s="43"/>
      <c r="CF928" s="43"/>
      <c r="CG928" s="43"/>
      <c r="CH928" s="43"/>
      <c r="CI928" s="43"/>
      <c r="CJ928" s="43"/>
      <c r="CK928" s="43"/>
      <c r="CL928" s="43"/>
      <c r="CM928" s="43"/>
      <c r="CN928" s="43"/>
      <c r="CO928" s="43"/>
      <c r="CP928" s="43"/>
      <c r="CQ928" s="43"/>
      <c r="CR928" s="43"/>
      <c r="CS928" s="43"/>
      <c r="CT928" s="43"/>
    </row>
    <row r="929" spans="1:98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  <c r="AK929" s="43"/>
      <c r="AL929" s="43"/>
      <c r="AM929" s="43"/>
      <c r="AN929" s="43"/>
      <c r="AO929" s="43"/>
      <c r="AP929" s="43"/>
      <c r="AQ929" s="43"/>
      <c r="AR929" s="43"/>
      <c r="AS929" s="43"/>
      <c r="AT929" s="43"/>
      <c r="AU929" s="43"/>
      <c r="AV929" s="43"/>
      <c r="AW929" s="43"/>
      <c r="AX929" s="43"/>
      <c r="AY929" s="43"/>
      <c r="AZ929" s="43"/>
      <c r="BA929" s="43"/>
      <c r="BB929" s="43"/>
      <c r="BC929" s="43"/>
      <c r="BD929" s="43"/>
      <c r="BE929" s="43"/>
      <c r="BF929" s="43"/>
      <c r="BG929" s="43"/>
      <c r="BH929" s="43"/>
      <c r="BI929" s="43"/>
      <c r="BJ929" s="43"/>
      <c r="BK929" s="43"/>
      <c r="BL929" s="43"/>
      <c r="BM929" s="43"/>
      <c r="BN929" s="43"/>
      <c r="BO929" s="43"/>
      <c r="BP929" s="43"/>
      <c r="BQ929" s="43"/>
      <c r="BR929" s="43"/>
      <c r="BS929" s="43"/>
      <c r="BT929" s="43"/>
      <c r="BU929" s="43"/>
      <c r="BV929" s="43"/>
      <c r="BW929" s="43"/>
      <c r="BX929" s="43"/>
      <c r="BY929" s="43"/>
      <c r="BZ929" s="43"/>
      <c r="CA929" s="43"/>
      <c r="CB929" s="43"/>
      <c r="CC929" s="43"/>
      <c r="CD929" s="43"/>
      <c r="CE929" s="43"/>
      <c r="CF929" s="43"/>
      <c r="CG929" s="43"/>
      <c r="CH929" s="43"/>
      <c r="CI929" s="43"/>
      <c r="CJ929" s="43"/>
      <c r="CK929" s="43"/>
      <c r="CL929" s="43"/>
      <c r="CM929" s="43"/>
      <c r="CN929" s="43"/>
      <c r="CO929" s="43"/>
      <c r="CP929" s="43"/>
      <c r="CQ929" s="43"/>
      <c r="CR929" s="43"/>
      <c r="CS929" s="43"/>
      <c r="CT929" s="43"/>
    </row>
    <row r="930" spans="1:98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  <c r="AK930" s="43"/>
      <c r="AL930" s="43"/>
      <c r="AM930" s="43"/>
      <c r="AN930" s="43"/>
      <c r="AO930" s="43"/>
      <c r="AP930" s="43"/>
      <c r="AQ930" s="43"/>
      <c r="AR930" s="43"/>
      <c r="AS930" s="43"/>
      <c r="AT930" s="43"/>
      <c r="AU930" s="43"/>
      <c r="AV930" s="43"/>
      <c r="AW930" s="43"/>
      <c r="AX930" s="43"/>
      <c r="AY930" s="43"/>
      <c r="AZ930" s="43"/>
      <c r="BA930" s="43"/>
      <c r="BB930" s="43"/>
      <c r="BC930" s="43"/>
      <c r="BD930" s="43"/>
      <c r="BE930" s="43"/>
      <c r="BF930" s="43"/>
      <c r="BG930" s="43"/>
      <c r="BH930" s="43"/>
      <c r="BI930" s="43"/>
      <c r="BJ930" s="43"/>
      <c r="BK930" s="43"/>
      <c r="BL930" s="43"/>
      <c r="BM930" s="43"/>
      <c r="BN930" s="43"/>
      <c r="BO930" s="43"/>
      <c r="BP930" s="43"/>
      <c r="BQ930" s="43"/>
      <c r="BR930" s="43"/>
      <c r="BS930" s="43"/>
      <c r="BT930" s="43"/>
      <c r="BU930" s="43"/>
      <c r="BV930" s="43"/>
      <c r="BW930" s="43"/>
      <c r="BX930" s="43"/>
      <c r="BY930" s="43"/>
      <c r="BZ930" s="43"/>
      <c r="CA930" s="43"/>
      <c r="CB930" s="43"/>
      <c r="CC930" s="43"/>
      <c r="CD930" s="43"/>
      <c r="CE930" s="43"/>
      <c r="CF930" s="43"/>
      <c r="CG930" s="43"/>
      <c r="CH930" s="43"/>
      <c r="CI930" s="43"/>
      <c r="CJ930" s="43"/>
      <c r="CK930" s="43"/>
      <c r="CL930" s="43"/>
      <c r="CM930" s="43"/>
      <c r="CN930" s="43"/>
      <c r="CO930" s="43"/>
      <c r="CP930" s="43"/>
      <c r="CQ930" s="43"/>
      <c r="CR930" s="43"/>
      <c r="CS930" s="43"/>
      <c r="CT930" s="43"/>
    </row>
    <row r="931" spans="1:98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  <c r="AK931" s="43"/>
      <c r="AL931" s="43"/>
      <c r="AM931" s="43"/>
      <c r="AN931" s="43"/>
      <c r="AO931" s="43"/>
      <c r="AP931" s="43"/>
      <c r="AQ931" s="43"/>
      <c r="AR931" s="43"/>
      <c r="AS931" s="43"/>
      <c r="AT931" s="43"/>
      <c r="AU931" s="43"/>
      <c r="AV931" s="43"/>
      <c r="AW931" s="43"/>
      <c r="AX931" s="43"/>
      <c r="AY931" s="43"/>
      <c r="AZ931" s="43"/>
      <c r="BA931" s="43"/>
      <c r="BB931" s="43"/>
      <c r="BC931" s="43"/>
      <c r="BD931" s="43"/>
      <c r="BE931" s="43"/>
      <c r="BF931" s="43"/>
      <c r="BG931" s="43"/>
      <c r="BH931" s="43"/>
      <c r="BI931" s="43"/>
      <c r="BJ931" s="43"/>
      <c r="BK931" s="43"/>
      <c r="BL931" s="43"/>
      <c r="BM931" s="43"/>
      <c r="BN931" s="43"/>
      <c r="BO931" s="43"/>
      <c r="BP931" s="43"/>
      <c r="BQ931" s="43"/>
      <c r="BR931" s="43"/>
      <c r="BS931" s="43"/>
      <c r="BT931" s="43"/>
      <c r="BU931" s="43"/>
      <c r="BV931" s="43"/>
      <c r="BW931" s="43"/>
      <c r="BX931" s="43"/>
      <c r="BY931" s="43"/>
      <c r="BZ931" s="43"/>
      <c r="CA931" s="43"/>
      <c r="CB931" s="43"/>
      <c r="CC931" s="43"/>
      <c r="CD931" s="43"/>
      <c r="CE931" s="43"/>
      <c r="CF931" s="43"/>
      <c r="CG931" s="43"/>
      <c r="CH931" s="43"/>
      <c r="CI931" s="43"/>
      <c r="CJ931" s="43"/>
      <c r="CK931" s="43"/>
      <c r="CL931" s="43"/>
      <c r="CM931" s="43"/>
      <c r="CN931" s="43"/>
      <c r="CO931" s="43"/>
      <c r="CP931" s="43"/>
      <c r="CQ931" s="43"/>
      <c r="CR931" s="43"/>
      <c r="CS931" s="43"/>
      <c r="CT931" s="43"/>
    </row>
    <row r="932" spans="1:98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  <c r="AK932" s="43"/>
      <c r="AL932" s="43"/>
      <c r="AM932" s="43"/>
      <c r="AN932" s="43"/>
      <c r="AO932" s="43"/>
      <c r="AP932" s="43"/>
      <c r="AQ932" s="43"/>
      <c r="AR932" s="43"/>
      <c r="AS932" s="43"/>
      <c r="AT932" s="43"/>
      <c r="AU932" s="43"/>
      <c r="AV932" s="43"/>
      <c r="AW932" s="43"/>
      <c r="AX932" s="43"/>
      <c r="AY932" s="43"/>
      <c r="AZ932" s="43"/>
      <c r="BA932" s="43"/>
      <c r="BB932" s="43"/>
      <c r="BC932" s="43"/>
      <c r="BD932" s="43"/>
      <c r="BE932" s="43"/>
      <c r="BF932" s="43"/>
      <c r="BG932" s="43"/>
      <c r="BH932" s="43"/>
      <c r="BI932" s="43"/>
      <c r="BJ932" s="43"/>
      <c r="BK932" s="43"/>
      <c r="BL932" s="43"/>
      <c r="BM932" s="43"/>
      <c r="BN932" s="43"/>
      <c r="BO932" s="43"/>
      <c r="BP932" s="43"/>
      <c r="BQ932" s="43"/>
      <c r="BR932" s="43"/>
      <c r="BS932" s="43"/>
      <c r="BT932" s="43"/>
      <c r="BU932" s="43"/>
      <c r="BV932" s="43"/>
      <c r="BW932" s="43"/>
      <c r="BX932" s="43"/>
      <c r="BY932" s="43"/>
      <c r="BZ932" s="43"/>
      <c r="CA932" s="43"/>
      <c r="CB932" s="43"/>
      <c r="CC932" s="43"/>
      <c r="CD932" s="43"/>
      <c r="CE932" s="43"/>
      <c r="CF932" s="43"/>
      <c r="CG932" s="43"/>
      <c r="CH932" s="43"/>
      <c r="CI932" s="43"/>
      <c r="CJ932" s="43"/>
      <c r="CK932" s="43"/>
      <c r="CL932" s="43"/>
      <c r="CM932" s="43"/>
      <c r="CN932" s="43"/>
      <c r="CO932" s="43"/>
      <c r="CP932" s="43"/>
      <c r="CQ932" s="43"/>
      <c r="CR932" s="43"/>
      <c r="CS932" s="43"/>
      <c r="CT932" s="43"/>
    </row>
    <row r="933" spans="1:98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  <c r="AK933" s="43"/>
      <c r="AL933" s="43"/>
      <c r="AM933" s="43"/>
      <c r="AN933" s="43"/>
      <c r="AO933" s="43"/>
      <c r="AP933" s="43"/>
      <c r="AQ933" s="43"/>
      <c r="AR933" s="43"/>
      <c r="AS933" s="43"/>
      <c r="AT933" s="43"/>
      <c r="AU933" s="43"/>
      <c r="AV933" s="43"/>
      <c r="AW933" s="43"/>
      <c r="AX933" s="43"/>
      <c r="AY933" s="43"/>
      <c r="AZ933" s="43"/>
      <c r="BA933" s="43"/>
      <c r="BB933" s="43"/>
      <c r="BC933" s="43"/>
      <c r="BD933" s="43"/>
      <c r="BE933" s="43"/>
      <c r="BF933" s="43"/>
      <c r="BG933" s="43"/>
      <c r="BH933" s="43"/>
      <c r="BI933" s="43"/>
      <c r="BJ933" s="43"/>
      <c r="BK933" s="43"/>
      <c r="BL933" s="43"/>
      <c r="BM933" s="43"/>
      <c r="BN933" s="43"/>
      <c r="BO933" s="43"/>
      <c r="BP933" s="43"/>
      <c r="BQ933" s="43"/>
      <c r="BR933" s="43"/>
      <c r="BS933" s="43"/>
      <c r="BT933" s="43"/>
      <c r="BU933" s="43"/>
      <c r="BV933" s="43"/>
      <c r="BW933" s="43"/>
      <c r="BX933" s="43"/>
      <c r="BY933" s="43"/>
      <c r="BZ933" s="43"/>
      <c r="CA933" s="43"/>
      <c r="CB933" s="43"/>
      <c r="CC933" s="43"/>
      <c r="CD933" s="43"/>
      <c r="CE933" s="43"/>
      <c r="CF933" s="43"/>
      <c r="CG933" s="43"/>
      <c r="CH933" s="43"/>
      <c r="CI933" s="43"/>
      <c r="CJ933" s="43"/>
      <c r="CK933" s="43"/>
      <c r="CL933" s="43"/>
      <c r="CM933" s="43"/>
      <c r="CN933" s="43"/>
      <c r="CO933" s="43"/>
      <c r="CP933" s="43"/>
      <c r="CQ933" s="43"/>
      <c r="CR933" s="43"/>
      <c r="CS933" s="43"/>
      <c r="CT933" s="43"/>
    </row>
    <row r="934" spans="1:98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  <c r="AK934" s="43"/>
      <c r="AL934" s="43"/>
      <c r="AM934" s="43"/>
      <c r="AN934" s="43"/>
      <c r="AO934" s="43"/>
      <c r="AP934" s="43"/>
      <c r="AQ934" s="43"/>
      <c r="AR934" s="43"/>
      <c r="AS934" s="43"/>
      <c r="AT934" s="43"/>
      <c r="AU934" s="43"/>
      <c r="AV934" s="43"/>
      <c r="AW934" s="43"/>
      <c r="AX934" s="43"/>
      <c r="AY934" s="43"/>
      <c r="AZ934" s="43"/>
      <c r="BA934" s="43"/>
      <c r="BB934" s="43"/>
      <c r="BC934" s="43"/>
      <c r="BD934" s="43"/>
      <c r="BE934" s="43"/>
      <c r="BF934" s="43"/>
      <c r="BG934" s="43"/>
      <c r="BH934" s="43"/>
      <c r="BI934" s="43"/>
      <c r="BJ934" s="43"/>
      <c r="BK934" s="43"/>
      <c r="BL934" s="43"/>
      <c r="BM934" s="43"/>
      <c r="BN934" s="43"/>
      <c r="BO934" s="43"/>
      <c r="BP934" s="43"/>
      <c r="BQ934" s="43"/>
      <c r="BR934" s="43"/>
      <c r="BS934" s="43"/>
      <c r="BT934" s="43"/>
      <c r="BU934" s="43"/>
      <c r="BV934" s="43"/>
      <c r="BW934" s="43"/>
      <c r="BX934" s="43"/>
      <c r="BY934" s="43"/>
      <c r="BZ934" s="43"/>
      <c r="CA934" s="43"/>
      <c r="CB934" s="43"/>
      <c r="CC934" s="43"/>
      <c r="CD934" s="43"/>
      <c r="CE934" s="43"/>
      <c r="CF934" s="43"/>
      <c r="CG934" s="43"/>
      <c r="CH934" s="43"/>
      <c r="CI934" s="43"/>
      <c r="CJ934" s="43"/>
      <c r="CK934" s="43"/>
      <c r="CL934" s="43"/>
      <c r="CM934" s="43"/>
      <c r="CN934" s="43"/>
      <c r="CO934" s="43"/>
      <c r="CP934" s="43"/>
      <c r="CQ934" s="43"/>
      <c r="CR934" s="43"/>
      <c r="CS934" s="43"/>
      <c r="CT934" s="43"/>
    </row>
    <row r="935" spans="1:98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  <c r="AK935" s="43"/>
      <c r="AL935" s="43"/>
      <c r="AM935" s="43"/>
      <c r="AN935" s="43"/>
      <c r="AO935" s="43"/>
      <c r="AP935" s="43"/>
      <c r="AQ935" s="43"/>
      <c r="AR935" s="43"/>
      <c r="AS935" s="43"/>
      <c r="AT935" s="43"/>
      <c r="AU935" s="43"/>
      <c r="AV935" s="43"/>
      <c r="AW935" s="43"/>
      <c r="AX935" s="43"/>
      <c r="AY935" s="43"/>
      <c r="AZ935" s="43"/>
      <c r="BA935" s="43"/>
      <c r="BB935" s="43"/>
      <c r="BC935" s="43"/>
      <c r="BD935" s="43"/>
      <c r="BE935" s="43"/>
      <c r="BF935" s="43"/>
      <c r="BG935" s="43"/>
      <c r="BH935" s="43"/>
      <c r="BI935" s="43"/>
      <c r="BJ935" s="43"/>
      <c r="BK935" s="43"/>
      <c r="BL935" s="43"/>
      <c r="BM935" s="43"/>
      <c r="BN935" s="43"/>
      <c r="BO935" s="43"/>
      <c r="BP935" s="43"/>
      <c r="BQ935" s="43"/>
      <c r="BR935" s="43"/>
      <c r="BS935" s="43"/>
      <c r="BT935" s="43"/>
      <c r="BU935" s="43"/>
      <c r="BV935" s="43"/>
      <c r="BW935" s="43"/>
      <c r="BX935" s="43"/>
      <c r="BY935" s="43"/>
      <c r="BZ935" s="43"/>
      <c r="CA935" s="43"/>
      <c r="CB935" s="43"/>
      <c r="CC935" s="43"/>
      <c r="CD935" s="43"/>
      <c r="CE935" s="43"/>
      <c r="CF935" s="43"/>
      <c r="CG935" s="43"/>
      <c r="CH935" s="43"/>
      <c r="CI935" s="43"/>
      <c r="CJ935" s="43"/>
      <c r="CK935" s="43"/>
      <c r="CL935" s="43"/>
      <c r="CM935" s="43"/>
      <c r="CN935" s="43"/>
      <c r="CO935" s="43"/>
      <c r="CP935" s="43"/>
      <c r="CQ935" s="43"/>
      <c r="CR935" s="43"/>
      <c r="CS935" s="43"/>
      <c r="CT935" s="43"/>
    </row>
    <row r="936" spans="1:98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  <c r="AK936" s="43"/>
      <c r="AL936" s="43"/>
      <c r="AM936" s="43"/>
      <c r="AN936" s="43"/>
      <c r="AO936" s="43"/>
      <c r="AP936" s="43"/>
      <c r="AQ936" s="43"/>
      <c r="AR936" s="43"/>
      <c r="AS936" s="43"/>
      <c r="AT936" s="43"/>
      <c r="AU936" s="43"/>
      <c r="AV936" s="43"/>
      <c r="AW936" s="43"/>
      <c r="AX936" s="43"/>
      <c r="AY936" s="43"/>
      <c r="AZ936" s="43"/>
      <c r="BA936" s="43"/>
      <c r="BB936" s="43"/>
      <c r="BC936" s="43"/>
      <c r="BD936" s="43"/>
      <c r="BE936" s="43"/>
      <c r="BF936" s="43"/>
      <c r="BG936" s="43"/>
      <c r="BH936" s="43"/>
      <c r="BI936" s="43"/>
      <c r="BJ936" s="43"/>
      <c r="BK936" s="43"/>
      <c r="BL936" s="43"/>
      <c r="BM936" s="43"/>
      <c r="BN936" s="43"/>
      <c r="BO936" s="43"/>
      <c r="BP936" s="43"/>
      <c r="BQ936" s="43"/>
      <c r="BR936" s="43"/>
      <c r="BS936" s="43"/>
      <c r="BT936" s="43"/>
      <c r="BU936" s="43"/>
      <c r="BV936" s="43"/>
      <c r="BW936" s="43"/>
      <c r="BX936" s="43"/>
      <c r="BY936" s="43"/>
      <c r="BZ936" s="43"/>
      <c r="CA936" s="43"/>
      <c r="CB936" s="43"/>
      <c r="CC936" s="43"/>
      <c r="CD936" s="43"/>
      <c r="CE936" s="43"/>
      <c r="CF936" s="43"/>
      <c r="CG936" s="43"/>
      <c r="CH936" s="43"/>
      <c r="CI936" s="43"/>
      <c r="CJ936" s="43"/>
      <c r="CK936" s="43"/>
      <c r="CL936" s="43"/>
      <c r="CM936" s="43"/>
      <c r="CN936" s="43"/>
      <c r="CO936" s="43"/>
      <c r="CP936" s="43"/>
      <c r="CQ936" s="43"/>
      <c r="CR936" s="43"/>
      <c r="CS936" s="43"/>
      <c r="CT936" s="43"/>
    </row>
    <row r="937" spans="1:98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  <c r="AK937" s="43"/>
      <c r="AL937" s="43"/>
      <c r="AM937" s="43"/>
      <c r="AN937" s="43"/>
      <c r="AO937" s="43"/>
      <c r="AP937" s="43"/>
      <c r="AQ937" s="43"/>
      <c r="AR937" s="43"/>
      <c r="AS937" s="43"/>
      <c r="AT937" s="43"/>
      <c r="AU937" s="43"/>
      <c r="AV937" s="43"/>
      <c r="AW937" s="43"/>
      <c r="AX937" s="43"/>
      <c r="AY937" s="43"/>
      <c r="AZ937" s="43"/>
      <c r="BA937" s="43"/>
      <c r="BB937" s="43"/>
      <c r="BC937" s="43"/>
      <c r="BD937" s="43"/>
      <c r="BE937" s="43"/>
      <c r="BF937" s="43"/>
      <c r="BG937" s="43"/>
      <c r="BH937" s="43"/>
      <c r="BI937" s="43"/>
      <c r="BJ937" s="43"/>
      <c r="BK937" s="43"/>
      <c r="BL937" s="43"/>
      <c r="BM937" s="43"/>
      <c r="BN937" s="43"/>
      <c r="BO937" s="43"/>
      <c r="BP937" s="43"/>
      <c r="BQ937" s="43"/>
      <c r="BR937" s="43"/>
      <c r="BS937" s="43"/>
      <c r="BT937" s="43"/>
      <c r="BU937" s="43"/>
      <c r="BV937" s="43"/>
      <c r="BW937" s="43"/>
      <c r="BX937" s="43"/>
      <c r="BY937" s="43"/>
      <c r="BZ937" s="43"/>
      <c r="CA937" s="43"/>
      <c r="CB937" s="43"/>
      <c r="CC937" s="43"/>
      <c r="CD937" s="43"/>
      <c r="CE937" s="43"/>
      <c r="CF937" s="43"/>
      <c r="CG937" s="43"/>
      <c r="CH937" s="43"/>
      <c r="CI937" s="43"/>
      <c r="CJ937" s="43"/>
      <c r="CK937" s="43"/>
      <c r="CL937" s="43"/>
      <c r="CM937" s="43"/>
      <c r="CN937" s="43"/>
      <c r="CO937" s="43"/>
      <c r="CP937" s="43"/>
      <c r="CQ937" s="43"/>
      <c r="CR937" s="43"/>
      <c r="CS937" s="43"/>
      <c r="CT937" s="43"/>
    </row>
    <row r="938" spans="1:98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  <c r="AK938" s="43"/>
      <c r="AL938" s="43"/>
      <c r="AM938" s="43"/>
      <c r="AN938" s="43"/>
      <c r="AO938" s="43"/>
      <c r="AP938" s="43"/>
      <c r="AQ938" s="43"/>
      <c r="AR938" s="43"/>
      <c r="AS938" s="43"/>
      <c r="AT938" s="43"/>
      <c r="AU938" s="43"/>
      <c r="AV938" s="43"/>
      <c r="AW938" s="43"/>
      <c r="AX938" s="43"/>
      <c r="AY938" s="43"/>
      <c r="AZ938" s="43"/>
      <c r="BA938" s="43"/>
      <c r="BB938" s="43"/>
      <c r="BC938" s="43"/>
      <c r="BD938" s="43"/>
      <c r="BE938" s="43"/>
      <c r="BF938" s="43"/>
      <c r="BG938" s="43"/>
      <c r="BH938" s="43"/>
      <c r="BI938" s="43"/>
      <c r="BJ938" s="43"/>
      <c r="BK938" s="43"/>
      <c r="BL938" s="43"/>
      <c r="BM938" s="43"/>
      <c r="BN938" s="43"/>
      <c r="BO938" s="43"/>
      <c r="BP938" s="43"/>
      <c r="BQ938" s="43"/>
      <c r="BR938" s="43"/>
      <c r="BS938" s="43"/>
      <c r="BT938" s="43"/>
      <c r="BU938" s="43"/>
      <c r="BV938" s="43"/>
      <c r="BW938" s="43"/>
      <c r="BX938" s="43"/>
      <c r="BY938" s="43"/>
      <c r="BZ938" s="43"/>
      <c r="CA938" s="43"/>
      <c r="CB938" s="43"/>
      <c r="CC938" s="43"/>
      <c r="CD938" s="43"/>
      <c r="CE938" s="43"/>
      <c r="CF938" s="43"/>
      <c r="CG938" s="43"/>
      <c r="CH938" s="43"/>
      <c r="CI938" s="43"/>
      <c r="CJ938" s="43"/>
      <c r="CK938" s="43"/>
      <c r="CL938" s="43"/>
      <c r="CM938" s="43"/>
      <c r="CN938" s="43"/>
      <c r="CO938" s="43"/>
      <c r="CP938" s="43"/>
      <c r="CQ938" s="43"/>
      <c r="CR938" s="43"/>
      <c r="CS938" s="43"/>
      <c r="CT938" s="43"/>
    </row>
    <row r="939" spans="1:98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  <c r="AK939" s="43"/>
      <c r="AL939" s="43"/>
      <c r="AM939" s="43"/>
      <c r="AN939" s="43"/>
      <c r="AO939" s="43"/>
      <c r="AP939" s="43"/>
      <c r="AQ939" s="43"/>
      <c r="AR939" s="43"/>
      <c r="AS939" s="43"/>
      <c r="AT939" s="43"/>
      <c r="AU939" s="43"/>
      <c r="AV939" s="43"/>
      <c r="AW939" s="43"/>
      <c r="AX939" s="43"/>
      <c r="AY939" s="43"/>
      <c r="AZ939" s="43"/>
      <c r="BA939" s="43"/>
      <c r="BB939" s="43"/>
      <c r="BC939" s="43"/>
      <c r="BD939" s="43"/>
      <c r="BE939" s="43"/>
      <c r="BF939" s="43"/>
      <c r="BG939" s="43"/>
      <c r="BH939" s="43"/>
      <c r="BI939" s="43"/>
      <c r="BJ939" s="43"/>
      <c r="BK939" s="43"/>
      <c r="BL939" s="43"/>
      <c r="BM939" s="43"/>
      <c r="BN939" s="43"/>
      <c r="BO939" s="43"/>
      <c r="BP939" s="43"/>
      <c r="BQ939" s="43"/>
      <c r="BR939" s="43"/>
      <c r="BS939" s="43"/>
      <c r="BT939" s="43"/>
      <c r="BU939" s="43"/>
      <c r="BV939" s="43"/>
      <c r="BW939" s="43"/>
      <c r="BX939" s="43"/>
      <c r="BY939" s="43"/>
      <c r="BZ939" s="43"/>
      <c r="CA939" s="43"/>
      <c r="CB939" s="43"/>
      <c r="CC939" s="43"/>
      <c r="CD939" s="43"/>
      <c r="CE939" s="43"/>
      <c r="CF939" s="43"/>
      <c r="CG939" s="43"/>
      <c r="CH939" s="43"/>
      <c r="CI939" s="43"/>
      <c r="CJ939" s="43"/>
      <c r="CK939" s="43"/>
      <c r="CL939" s="43"/>
      <c r="CM939" s="43"/>
      <c r="CN939" s="43"/>
      <c r="CO939" s="43"/>
      <c r="CP939" s="43"/>
      <c r="CQ939" s="43"/>
      <c r="CR939" s="43"/>
      <c r="CS939" s="43"/>
      <c r="CT939" s="43"/>
    </row>
    <row r="940" spans="1:98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  <c r="AK940" s="43"/>
      <c r="AL940" s="43"/>
      <c r="AM940" s="43"/>
      <c r="AN940" s="43"/>
      <c r="AO940" s="43"/>
      <c r="AP940" s="43"/>
      <c r="AQ940" s="43"/>
      <c r="AR940" s="43"/>
      <c r="AS940" s="43"/>
      <c r="AT940" s="43"/>
      <c r="AU940" s="43"/>
      <c r="AV940" s="43"/>
      <c r="AW940" s="43"/>
      <c r="AX940" s="43"/>
      <c r="AY940" s="43"/>
      <c r="AZ940" s="43"/>
      <c r="BA940" s="43"/>
      <c r="BB940" s="43"/>
      <c r="BC940" s="43"/>
      <c r="BD940" s="43"/>
      <c r="BE940" s="43"/>
      <c r="BF940" s="43"/>
      <c r="BG940" s="43"/>
      <c r="BH940" s="43"/>
      <c r="BI940" s="43"/>
      <c r="BJ940" s="43"/>
      <c r="BK940" s="43"/>
      <c r="BL940" s="43"/>
      <c r="BM940" s="43"/>
      <c r="BN940" s="43"/>
      <c r="BO940" s="43"/>
      <c r="BP940" s="43"/>
      <c r="BQ940" s="43"/>
      <c r="BR940" s="43"/>
      <c r="BS940" s="43"/>
      <c r="BT940" s="43"/>
      <c r="BU940" s="43"/>
      <c r="BV940" s="43"/>
      <c r="BW940" s="43"/>
      <c r="BX940" s="43"/>
      <c r="BY940" s="43"/>
      <c r="BZ940" s="43"/>
      <c r="CA940" s="43"/>
      <c r="CB940" s="43"/>
      <c r="CC940" s="43"/>
      <c r="CD940" s="43"/>
      <c r="CE940" s="43"/>
      <c r="CF940" s="43"/>
      <c r="CG940" s="43"/>
      <c r="CH940" s="43"/>
      <c r="CI940" s="43"/>
      <c r="CJ940" s="43"/>
      <c r="CK940" s="43"/>
      <c r="CL940" s="43"/>
      <c r="CM940" s="43"/>
      <c r="CN940" s="43"/>
      <c r="CO940" s="43"/>
      <c r="CP940" s="43"/>
      <c r="CQ940" s="43"/>
      <c r="CR940" s="43"/>
      <c r="CS940" s="43"/>
      <c r="CT940" s="43"/>
    </row>
    <row r="941" spans="1:98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  <c r="AK941" s="43"/>
      <c r="AL941" s="43"/>
      <c r="AM941" s="43"/>
      <c r="AN941" s="43"/>
      <c r="AO941" s="43"/>
      <c r="AP941" s="43"/>
      <c r="AQ941" s="43"/>
      <c r="AR941" s="43"/>
      <c r="AS941" s="43"/>
      <c r="AT941" s="43"/>
      <c r="AU941" s="43"/>
      <c r="AV941" s="43"/>
      <c r="AW941" s="43"/>
      <c r="AX941" s="43"/>
      <c r="AY941" s="43"/>
      <c r="AZ941" s="43"/>
      <c r="BA941" s="43"/>
      <c r="BB941" s="43"/>
      <c r="BC941" s="43"/>
      <c r="BD941" s="43"/>
      <c r="BE941" s="43"/>
      <c r="BF941" s="43"/>
      <c r="BG941" s="43"/>
      <c r="BH941" s="43"/>
      <c r="BI941" s="43"/>
      <c r="BJ941" s="43"/>
      <c r="BK941" s="43"/>
      <c r="BL941" s="43"/>
      <c r="BM941" s="43"/>
      <c r="BN941" s="43"/>
      <c r="BO941" s="43"/>
      <c r="BP941" s="43"/>
      <c r="BQ941" s="43"/>
      <c r="BR941" s="43"/>
      <c r="BS941" s="43"/>
      <c r="BT941" s="43"/>
      <c r="BU941" s="43"/>
      <c r="BV941" s="43"/>
      <c r="BW941" s="43"/>
      <c r="BX941" s="43"/>
      <c r="BY941" s="43"/>
      <c r="BZ941" s="43"/>
      <c r="CA941" s="43"/>
      <c r="CB941" s="43"/>
      <c r="CC941" s="43"/>
      <c r="CD941" s="43"/>
      <c r="CE941" s="43"/>
      <c r="CF941" s="43"/>
      <c r="CG941" s="43"/>
      <c r="CH941" s="43"/>
      <c r="CI941" s="43"/>
      <c r="CJ941" s="43"/>
      <c r="CK941" s="43"/>
      <c r="CL941" s="43"/>
      <c r="CM941" s="43"/>
      <c r="CN941" s="43"/>
      <c r="CO941" s="43"/>
      <c r="CP941" s="43"/>
      <c r="CQ941" s="43"/>
      <c r="CR941" s="43"/>
      <c r="CS941" s="43"/>
      <c r="CT941" s="43"/>
    </row>
    <row r="942" spans="1:98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  <c r="AK942" s="43"/>
      <c r="AL942" s="43"/>
      <c r="AM942" s="43"/>
      <c r="AN942" s="43"/>
      <c r="AO942" s="43"/>
      <c r="AP942" s="43"/>
      <c r="AQ942" s="43"/>
      <c r="AR942" s="43"/>
      <c r="AS942" s="43"/>
      <c r="AT942" s="43"/>
      <c r="AU942" s="43"/>
      <c r="AV942" s="43"/>
      <c r="AW942" s="43"/>
      <c r="AX942" s="43"/>
      <c r="AY942" s="43"/>
      <c r="AZ942" s="43"/>
      <c r="BA942" s="43"/>
      <c r="BB942" s="43"/>
      <c r="BC942" s="43"/>
      <c r="BD942" s="43"/>
      <c r="BE942" s="43"/>
      <c r="BF942" s="43"/>
      <c r="BG942" s="43"/>
      <c r="BH942" s="43"/>
      <c r="BI942" s="43"/>
      <c r="BJ942" s="43"/>
      <c r="BK942" s="43"/>
      <c r="BL942" s="43"/>
      <c r="BM942" s="43"/>
      <c r="BN942" s="43"/>
      <c r="BO942" s="43"/>
      <c r="BP942" s="43"/>
      <c r="BQ942" s="43"/>
      <c r="BR942" s="43"/>
      <c r="BS942" s="43"/>
      <c r="BT942" s="43"/>
      <c r="BU942" s="43"/>
      <c r="BV942" s="43"/>
      <c r="BW942" s="43"/>
      <c r="BX942" s="43"/>
      <c r="BY942" s="43"/>
      <c r="BZ942" s="43"/>
      <c r="CA942" s="43"/>
      <c r="CB942" s="43"/>
      <c r="CC942" s="43"/>
      <c r="CD942" s="43"/>
      <c r="CE942" s="43"/>
      <c r="CF942" s="43"/>
      <c r="CG942" s="43"/>
      <c r="CH942" s="43"/>
      <c r="CI942" s="43"/>
      <c r="CJ942" s="43"/>
      <c r="CK942" s="43"/>
      <c r="CL942" s="43"/>
      <c r="CM942" s="43"/>
      <c r="CN942" s="43"/>
      <c r="CO942" s="43"/>
      <c r="CP942" s="43"/>
      <c r="CQ942" s="43"/>
      <c r="CR942" s="43"/>
      <c r="CS942" s="43"/>
      <c r="CT942" s="43"/>
    </row>
    <row r="943" spans="1:98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  <c r="AK943" s="43"/>
      <c r="AL943" s="43"/>
      <c r="AM943" s="43"/>
      <c r="AN943" s="43"/>
      <c r="AO943" s="43"/>
      <c r="AP943" s="43"/>
      <c r="AQ943" s="43"/>
      <c r="AR943" s="43"/>
      <c r="AS943" s="43"/>
      <c r="AT943" s="43"/>
      <c r="AU943" s="43"/>
      <c r="AV943" s="43"/>
      <c r="AW943" s="43"/>
      <c r="AX943" s="43"/>
      <c r="AY943" s="43"/>
      <c r="AZ943" s="43"/>
      <c r="BA943" s="43"/>
      <c r="BB943" s="43"/>
      <c r="BC943" s="43"/>
      <c r="BD943" s="43"/>
      <c r="BE943" s="43"/>
      <c r="BF943" s="43"/>
      <c r="BG943" s="43"/>
      <c r="BH943" s="43"/>
      <c r="BI943" s="43"/>
      <c r="BJ943" s="43"/>
      <c r="BK943" s="43"/>
      <c r="BL943" s="43"/>
      <c r="BM943" s="43"/>
      <c r="BN943" s="43"/>
      <c r="BO943" s="43"/>
      <c r="BP943" s="43"/>
      <c r="BQ943" s="43"/>
      <c r="BR943" s="43"/>
      <c r="BS943" s="43"/>
      <c r="BT943" s="43"/>
      <c r="BU943" s="43"/>
      <c r="BV943" s="43"/>
      <c r="BW943" s="43"/>
      <c r="BX943" s="43"/>
      <c r="BY943" s="43"/>
      <c r="BZ943" s="43"/>
      <c r="CA943" s="43"/>
      <c r="CB943" s="43"/>
      <c r="CC943" s="43"/>
      <c r="CD943" s="43"/>
      <c r="CE943" s="43"/>
      <c r="CF943" s="43"/>
      <c r="CG943" s="43"/>
      <c r="CH943" s="43"/>
      <c r="CI943" s="43"/>
      <c r="CJ943" s="43"/>
      <c r="CK943" s="43"/>
      <c r="CL943" s="43"/>
      <c r="CM943" s="43"/>
      <c r="CN943" s="43"/>
      <c r="CO943" s="43"/>
      <c r="CP943" s="43"/>
      <c r="CQ943" s="43"/>
      <c r="CR943" s="43"/>
      <c r="CS943" s="43"/>
      <c r="CT943" s="43"/>
    </row>
    <row r="944" spans="1:98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  <c r="AK944" s="43"/>
      <c r="AL944" s="43"/>
      <c r="AM944" s="43"/>
      <c r="AN944" s="43"/>
      <c r="AO944" s="43"/>
      <c r="AP944" s="43"/>
      <c r="AQ944" s="43"/>
      <c r="AR944" s="43"/>
      <c r="AS944" s="43"/>
      <c r="AT944" s="43"/>
      <c r="AU944" s="43"/>
      <c r="AV944" s="43"/>
      <c r="AW944" s="43"/>
      <c r="AX944" s="43"/>
      <c r="AY944" s="43"/>
      <c r="AZ944" s="43"/>
      <c r="BA944" s="43"/>
      <c r="BB944" s="43"/>
      <c r="BC944" s="43"/>
      <c r="BD944" s="43"/>
      <c r="BE944" s="43"/>
      <c r="BF944" s="43"/>
      <c r="BG944" s="43"/>
      <c r="BH944" s="43"/>
      <c r="BI944" s="43"/>
      <c r="BJ944" s="43"/>
      <c r="BK944" s="43"/>
      <c r="BL944" s="43"/>
      <c r="BM944" s="43"/>
      <c r="BN944" s="43"/>
      <c r="BO944" s="43"/>
      <c r="BP944" s="43"/>
      <c r="BQ944" s="43"/>
      <c r="BR944" s="43"/>
      <c r="BS944" s="43"/>
      <c r="BT944" s="43"/>
      <c r="BU944" s="43"/>
      <c r="BV944" s="43"/>
      <c r="BW944" s="43"/>
      <c r="BX944" s="43"/>
      <c r="BY944" s="43"/>
      <c r="BZ944" s="43"/>
      <c r="CA944" s="43"/>
      <c r="CB944" s="43"/>
      <c r="CC944" s="43"/>
      <c r="CD944" s="43"/>
      <c r="CE944" s="43"/>
      <c r="CF944" s="43"/>
      <c r="CG944" s="43"/>
      <c r="CH944" s="43"/>
      <c r="CI944" s="43"/>
      <c r="CJ944" s="43"/>
      <c r="CK944" s="43"/>
      <c r="CL944" s="43"/>
      <c r="CM944" s="43"/>
      <c r="CN944" s="43"/>
      <c r="CO944" s="43"/>
      <c r="CP944" s="43"/>
      <c r="CQ944" s="43"/>
      <c r="CR944" s="43"/>
      <c r="CS944" s="43"/>
      <c r="CT944" s="43"/>
    </row>
    <row r="945" spans="1:98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  <c r="AK945" s="43"/>
      <c r="AL945" s="43"/>
      <c r="AM945" s="43"/>
      <c r="AN945" s="43"/>
      <c r="AO945" s="43"/>
      <c r="AP945" s="43"/>
      <c r="AQ945" s="43"/>
      <c r="AR945" s="43"/>
      <c r="AS945" s="43"/>
      <c r="AT945" s="43"/>
      <c r="AU945" s="43"/>
      <c r="AV945" s="43"/>
      <c r="AW945" s="43"/>
      <c r="AX945" s="43"/>
      <c r="AY945" s="43"/>
      <c r="AZ945" s="43"/>
      <c r="BA945" s="43"/>
      <c r="BB945" s="43"/>
      <c r="BC945" s="43"/>
      <c r="BD945" s="43"/>
      <c r="BE945" s="43"/>
      <c r="BF945" s="43"/>
      <c r="BG945" s="43"/>
      <c r="BH945" s="43"/>
      <c r="BI945" s="43"/>
      <c r="BJ945" s="43"/>
      <c r="BK945" s="43"/>
      <c r="BL945" s="43"/>
      <c r="BM945" s="43"/>
      <c r="BN945" s="43"/>
      <c r="BO945" s="43"/>
      <c r="BP945" s="43"/>
      <c r="BQ945" s="43"/>
      <c r="BR945" s="43"/>
      <c r="BS945" s="43"/>
      <c r="BT945" s="43"/>
      <c r="BU945" s="43"/>
      <c r="BV945" s="43"/>
      <c r="BW945" s="43"/>
      <c r="BX945" s="43"/>
      <c r="BY945" s="43"/>
      <c r="BZ945" s="43"/>
      <c r="CA945" s="43"/>
      <c r="CB945" s="43"/>
      <c r="CC945" s="43"/>
      <c r="CD945" s="43"/>
      <c r="CE945" s="43"/>
      <c r="CF945" s="43"/>
      <c r="CG945" s="43"/>
      <c r="CH945" s="43"/>
      <c r="CI945" s="43"/>
      <c r="CJ945" s="43"/>
      <c r="CK945" s="43"/>
      <c r="CL945" s="43"/>
      <c r="CM945" s="43"/>
      <c r="CN945" s="43"/>
      <c r="CO945" s="43"/>
      <c r="CP945" s="43"/>
      <c r="CQ945" s="43"/>
      <c r="CR945" s="43"/>
      <c r="CS945" s="43"/>
      <c r="CT945" s="43"/>
    </row>
    <row r="946" spans="1:98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  <c r="AK946" s="43"/>
      <c r="AL946" s="43"/>
      <c r="AM946" s="43"/>
      <c r="AN946" s="43"/>
      <c r="AO946" s="43"/>
      <c r="AP946" s="43"/>
      <c r="AQ946" s="43"/>
      <c r="AR946" s="43"/>
      <c r="AS946" s="43"/>
      <c r="AT946" s="43"/>
      <c r="AU946" s="43"/>
      <c r="AV946" s="43"/>
      <c r="AW946" s="43"/>
      <c r="AX946" s="43"/>
      <c r="AY946" s="43"/>
      <c r="AZ946" s="43"/>
      <c r="BA946" s="43"/>
      <c r="BB946" s="43"/>
      <c r="BC946" s="43"/>
      <c r="BD946" s="43"/>
      <c r="BE946" s="43"/>
      <c r="BF946" s="43"/>
      <c r="BG946" s="43"/>
      <c r="BH946" s="43"/>
      <c r="BI946" s="43"/>
      <c r="BJ946" s="43"/>
      <c r="BK946" s="43"/>
      <c r="BL946" s="43"/>
      <c r="BM946" s="43"/>
      <c r="BN946" s="43"/>
      <c r="BO946" s="43"/>
      <c r="BP946" s="43"/>
      <c r="BQ946" s="43"/>
      <c r="BR946" s="43"/>
      <c r="BS946" s="43"/>
      <c r="BT946" s="43"/>
      <c r="BU946" s="43"/>
      <c r="BV946" s="43"/>
      <c r="BW946" s="43"/>
      <c r="BX946" s="43"/>
      <c r="BY946" s="43"/>
      <c r="BZ946" s="43"/>
      <c r="CA946" s="43"/>
      <c r="CB946" s="43"/>
      <c r="CC946" s="43"/>
      <c r="CD946" s="43"/>
      <c r="CE946" s="43"/>
      <c r="CF946" s="43"/>
      <c r="CG946" s="43"/>
      <c r="CH946" s="43"/>
      <c r="CI946" s="43"/>
      <c r="CJ946" s="43"/>
      <c r="CK946" s="43"/>
      <c r="CL946" s="43"/>
      <c r="CM946" s="43"/>
      <c r="CN946" s="43"/>
      <c r="CO946" s="43"/>
      <c r="CP946" s="43"/>
      <c r="CQ946" s="43"/>
      <c r="CR946" s="43"/>
      <c r="CS946" s="43"/>
      <c r="CT946" s="43"/>
    </row>
    <row r="947" spans="1:98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  <c r="AK947" s="43"/>
      <c r="AL947" s="43"/>
      <c r="AM947" s="43"/>
      <c r="AN947" s="43"/>
      <c r="AO947" s="43"/>
      <c r="AP947" s="43"/>
      <c r="AQ947" s="43"/>
      <c r="AR947" s="43"/>
      <c r="AS947" s="43"/>
      <c r="AT947" s="43"/>
      <c r="AU947" s="43"/>
      <c r="AV947" s="43"/>
      <c r="AW947" s="43"/>
      <c r="AX947" s="43"/>
      <c r="AY947" s="43"/>
      <c r="AZ947" s="43"/>
      <c r="BA947" s="43"/>
      <c r="BB947" s="43"/>
      <c r="BC947" s="43"/>
      <c r="BD947" s="43"/>
      <c r="BE947" s="43"/>
      <c r="BF947" s="43"/>
      <c r="BG947" s="43"/>
      <c r="BH947" s="43"/>
      <c r="BI947" s="43"/>
      <c r="BJ947" s="43"/>
      <c r="BK947" s="43"/>
      <c r="BL947" s="43"/>
      <c r="BM947" s="43"/>
      <c r="BN947" s="43"/>
      <c r="BO947" s="43"/>
      <c r="BP947" s="43"/>
      <c r="BQ947" s="43"/>
      <c r="BR947" s="43"/>
      <c r="BS947" s="43"/>
      <c r="BT947" s="43"/>
      <c r="BU947" s="43"/>
      <c r="BV947" s="43"/>
      <c r="BW947" s="43"/>
      <c r="BX947" s="43"/>
      <c r="BY947" s="43"/>
      <c r="BZ947" s="43"/>
      <c r="CA947" s="43"/>
      <c r="CB947" s="43"/>
      <c r="CC947" s="43"/>
      <c r="CD947" s="43"/>
      <c r="CE947" s="43"/>
      <c r="CF947" s="43"/>
      <c r="CG947" s="43"/>
      <c r="CH947" s="43"/>
      <c r="CI947" s="43"/>
      <c r="CJ947" s="43"/>
      <c r="CK947" s="43"/>
      <c r="CL947" s="43"/>
      <c r="CM947" s="43"/>
      <c r="CN947" s="43"/>
      <c r="CO947" s="43"/>
      <c r="CP947" s="43"/>
      <c r="CQ947" s="43"/>
      <c r="CR947" s="43"/>
      <c r="CS947" s="43"/>
      <c r="CT947" s="43"/>
    </row>
    <row r="948" spans="1:98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  <c r="AK948" s="43"/>
      <c r="AL948" s="43"/>
      <c r="AM948" s="43"/>
      <c r="AN948" s="43"/>
      <c r="AO948" s="43"/>
      <c r="AP948" s="43"/>
      <c r="AQ948" s="43"/>
      <c r="AR948" s="43"/>
      <c r="AS948" s="43"/>
      <c r="AT948" s="43"/>
      <c r="AU948" s="43"/>
      <c r="AV948" s="43"/>
      <c r="AW948" s="43"/>
      <c r="AX948" s="43"/>
      <c r="AY948" s="43"/>
      <c r="AZ948" s="43"/>
      <c r="BA948" s="43"/>
      <c r="BB948" s="43"/>
      <c r="BC948" s="43"/>
      <c r="BD948" s="43"/>
      <c r="BE948" s="43"/>
      <c r="BF948" s="43"/>
      <c r="BG948" s="43"/>
      <c r="BH948" s="43"/>
      <c r="BI948" s="43"/>
      <c r="BJ948" s="43"/>
      <c r="BK948" s="43"/>
      <c r="BL948" s="43"/>
      <c r="BM948" s="43"/>
      <c r="BN948" s="43"/>
      <c r="BO948" s="43"/>
      <c r="BP948" s="43"/>
      <c r="BQ948" s="43"/>
      <c r="BR948" s="43"/>
      <c r="BS948" s="43"/>
      <c r="BT948" s="43"/>
      <c r="BU948" s="43"/>
      <c r="BV948" s="43"/>
      <c r="BW948" s="43"/>
      <c r="BX948" s="43"/>
      <c r="BY948" s="43"/>
      <c r="BZ948" s="43"/>
      <c r="CA948" s="43"/>
      <c r="CB948" s="43"/>
      <c r="CC948" s="43"/>
      <c r="CD948" s="43"/>
      <c r="CE948" s="43"/>
      <c r="CF948" s="43"/>
      <c r="CG948" s="43"/>
      <c r="CH948" s="43"/>
      <c r="CI948" s="43"/>
      <c r="CJ948" s="43"/>
      <c r="CK948" s="43"/>
      <c r="CL948" s="43"/>
      <c r="CM948" s="43"/>
      <c r="CN948" s="43"/>
      <c r="CO948" s="43"/>
      <c r="CP948" s="43"/>
      <c r="CQ948" s="43"/>
      <c r="CR948" s="43"/>
      <c r="CS948" s="43"/>
      <c r="CT948" s="43"/>
    </row>
    <row r="949" spans="1:98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  <c r="AK949" s="43"/>
      <c r="AL949" s="43"/>
      <c r="AM949" s="43"/>
      <c r="AN949" s="43"/>
      <c r="AO949" s="43"/>
      <c r="AP949" s="43"/>
      <c r="AQ949" s="43"/>
      <c r="AR949" s="43"/>
      <c r="AS949" s="43"/>
      <c r="AT949" s="43"/>
      <c r="AU949" s="43"/>
      <c r="AV949" s="43"/>
      <c r="AW949" s="43"/>
      <c r="AX949" s="43"/>
      <c r="AY949" s="43"/>
      <c r="AZ949" s="43"/>
      <c r="BA949" s="43"/>
      <c r="BB949" s="43"/>
      <c r="BC949" s="43"/>
      <c r="BD949" s="43"/>
      <c r="BE949" s="43"/>
      <c r="BF949" s="43"/>
      <c r="BG949" s="43"/>
      <c r="BH949" s="43"/>
      <c r="BI949" s="43"/>
      <c r="BJ949" s="43"/>
      <c r="BK949" s="43"/>
      <c r="BL949" s="43"/>
      <c r="BM949" s="43"/>
      <c r="BN949" s="43"/>
      <c r="BO949" s="43"/>
      <c r="BP949" s="43"/>
      <c r="BQ949" s="43"/>
      <c r="BR949" s="43"/>
      <c r="BS949" s="43"/>
      <c r="BT949" s="43"/>
      <c r="BU949" s="43"/>
      <c r="BV949" s="43"/>
      <c r="BW949" s="43"/>
      <c r="BX949" s="43"/>
      <c r="BY949" s="43"/>
      <c r="BZ949" s="43"/>
      <c r="CA949" s="43"/>
      <c r="CB949" s="43"/>
      <c r="CC949" s="43"/>
      <c r="CD949" s="43"/>
      <c r="CE949" s="43"/>
      <c r="CF949" s="43"/>
      <c r="CG949" s="43"/>
      <c r="CH949" s="43"/>
      <c r="CI949" s="43"/>
      <c r="CJ949" s="43"/>
      <c r="CK949" s="43"/>
      <c r="CL949" s="43"/>
      <c r="CM949" s="43"/>
      <c r="CN949" s="43"/>
      <c r="CO949" s="43"/>
      <c r="CP949" s="43"/>
      <c r="CQ949" s="43"/>
      <c r="CR949" s="43"/>
      <c r="CS949" s="43"/>
      <c r="CT949" s="43"/>
    </row>
    <row r="950" spans="1:98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  <c r="AK950" s="43"/>
      <c r="AL950" s="43"/>
      <c r="AM950" s="43"/>
      <c r="AN950" s="43"/>
      <c r="AO950" s="43"/>
      <c r="AP950" s="43"/>
      <c r="AQ950" s="43"/>
      <c r="AR950" s="43"/>
      <c r="AS950" s="43"/>
      <c r="AT950" s="43"/>
      <c r="AU950" s="43"/>
      <c r="AV950" s="43"/>
      <c r="AW950" s="43"/>
      <c r="AX950" s="43"/>
      <c r="AY950" s="43"/>
      <c r="AZ950" s="43"/>
      <c r="BA950" s="43"/>
      <c r="BB950" s="43"/>
      <c r="BC950" s="43"/>
      <c r="BD950" s="43"/>
      <c r="BE950" s="43"/>
      <c r="BF950" s="43"/>
      <c r="BG950" s="43"/>
      <c r="BH950" s="43"/>
      <c r="BI950" s="43"/>
      <c r="BJ950" s="43"/>
      <c r="BK950" s="43"/>
      <c r="BL950" s="43"/>
      <c r="BM950" s="43"/>
      <c r="BN950" s="43"/>
      <c r="BO950" s="43"/>
      <c r="BP950" s="43"/>
      <c r="BQ950" s="43"/>
      <c r="BR950" s="43"/>
      <c r="BS950" s="43"/>
      <c r="BT950" s="43"/>
      <c r="BU950" s="43"/>
      <c r="BV950" s="43"/>
      <c r="BW950" s="43"/>
      <c r="BX950" s="43"/>
      <c r="BY950" s="43"/>
      <c r="BZ950" s="43"/>
      <c r="CA950" s="43"/>
      <c r="CB950" s="43"/>
      <c r="CC950" s="43"/>
      <c r="CD950" s="43"/>
      <c r="CE950" s="43"/>
      <c r="CF950" s="43"/>
      <c r="CG950" s="43"/>
      <c r="CH950" s="43"/>
      <c r="CI950" s="43"/>
      <c r="CJ950" s="43"/>
      <c r="CK950" s="43"/>
      <c r="CL950" s="43"/>
      <c r="CM950" s="43"/>
      <c r="CN950" s="43"/>
      <c r="CO950" s="43"/>
      <c r="CP950" s="43"/>
      <c r="CQ950" s="43"/>
      <c r="CR950" s="43"/>
      <c r="CS950" s="43"/>
      <c r="CT950" s="43"/>
    </row>
    <row r="951" spans="1:98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  <c r="AK951" s="43"/>
      <c r="AL951" s="43"/>
      <c r="AM951" s="43"/>
      <c r="AN951" s="43"/>
      <c r="AO951" s="43"/>
      <c r="AP951" s="43"/>
      <c r="AQ951" s="43"/>
      <c r="AR951" s="43"/>
      <c r="AS951" s="43"/>
      <c r="AT951" s="43"/>
      <c r="AU951" s="43"/>
      <c r="AV951" s="43"/>
      <c r="AW951" s="43"/>
      <c r="AX951" s="43"/>
      <c r="AY951" s="43"/>
      <c r="AZ951" s="43"/>
      <c r="BA951" s="43"/>
      <c r="BB951" s="43"/>
      <c r="BC951" s="43"/>
      <c r="BD951" s="43"/>
      <c r="BE951" s="43"/>
      <c r="BF951" s="43"/>
      <c r="BG951" s="43"/>
      <c r="BH951" s="43"/>
      <c r="BI951" s="43"/>
      <c r="BJ951" s="43"/>
      <c r="BK951" s="43"/>
      <c r="BL951" s="43"/>
      <c r="BM951" s="43"/>
      <c r="BN951" s="43"/>
      <c r="BO951" s="43"/>
      <c r="BP951" s="43"/>
      <c r="BQ951" s="43"/>
      <c r="BR951" s="43"/>
      <c r="BS951" s="43"/>
      <c r="BT951" s="43"/>
      <c r="BU951" s="43"/>
      <c r="BV951" s="43"/>
      <c r="BW951" s="43"/>
      <c r="BX951" s="43"/>
      <c r="BY951" s="43"/>
      <c r="BZ951" s="43"/>
      <c r="CA951" s="43"/>
      <c r="CB951" s="43"/>
      <c r="CC951" s="43"/>
      <c r="CD951" s="43"/>
      <c r="CE951" s="43"/>
      <c r="CF951" s="43"/>
      <c r="CG951" s="43"/>
      <c r="CH951" s="43"/>
      <c r="CI951" s="43"/>
      <c r="CJ951" s="43"/>
      <c r="CK951" s="43"/>
      <c r="CL951" s="43"/>
      <c r="CM951" s="43"/>
      <c r="CN951" s="43"/>
      <c r="CO951" s="43"/>
      <c r="CP951" s="43"/>
      <c r="CQ951" s="43"/>
      <c r="CR951" s="43"/>
      <c r="CS951" s="43"/>
      <c r="CT951" s="43"/>
    </row>
    <row r="952" spans="1:98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  <c r="AK952" s="43"/>
      <c r="AL952" s="43"/>
      <c r="AM952" s="43"/>
      <c r="AN952" s="43"/>
      <c r="AO952" s="43"/>
      <c r="AP952" s="43"/>
      <c r="AQ952" s="43"/>
      <c r="AR952" s="43"/>
      <c r="AS952" s="43"/>
      <c r="AT952" s="43"/>
      <c r="AU952" s="43"/>
      <c r="AV952" s="43"/>
      <c r="AW952" s="43"/>
      <c r="AX952" s="43"/>
      <c r="AY952" s="43"/>
      <c r="AZ952" s="43"/>
      <c r="BA952" s="43"/>
      <c r="BB952" s="43"/>
      <c r="BC952" s="43"/>
      <c r="BD952" s="43"/>
      <c r="BE952" s="43"/>
      <c r="BF952" s="43"/>
      <c r="BG952" s="43"/>
      <c r="BH952" s="43"/>
      <c r="BI952" s="43"/>
      <c r="BJ952" s="43"/>
      <c r="BK952" s="43"/>
      <c r="BL952" s="43"/>
      <c r="BM952" s="43"/>
      <c r="BN952" s="43"/>
      <c r="BO952" s="43"/>
      <c r="BP952" s="43"/>
      <c r="BQ952" s="43"/>
      <c r="BR952" s="43"/>
      <c r="BS952" s="43"/>
      <c r="BT952" s="43"/>
      <c r="BU952" s="43"/>
      <c r="BV952" s="43"/>
      <c r="BW952" s="43"/>
      <c r="BX952" s="43"/>
      <c r="BY952" s="43"/>
      <c r="BZ952" s="43"/>
      <c r="CA952" s="43"/>
      <c r="CB952" s="43"/>
      <c r="CC952" s="43"/>
      <c r="CD952" s="43"/>
      <c r="CE952" s="43"/>
      <c r="CF952" s="43"/>
      <c r="CG952" s="43"/>
      <c r="CH952" s="43"/>
      <c r="CI952" s="43"/>
      <c r="CJ952" s="43"/>
      <c r="CK952" s="43"/>
      <c r="CL952" s="43"/>
      <c r="CM952" s="43"/>
      <c r="CN952" s="43"/>
      <c r="CO952" s="43"/>
      <c r="CP952" s="43"/>
      <c r="CQ952" s="43"/>
      <c r="CR952" s="43"/>
      <c r="CS952" s="43"/>
      <c r="CT952" s="43"/>
    </row>
    <row r="953" spans="1:98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  <c r="AK953" s="43"/>
      <c r="AL953" s="43"/>
      <c r="AM953" s="43"/>
      <c r="AN953" s="43"/>
      <c r="AO953" s="43"/>
      <c r="AP953" s="43"/>
      <c r="AQ953" s="43"/>
      <c r="AR953" s="43"/>
      <c r="AS953" s="43"/>
      <c r="AT953" s="43"/>
      <c r="AU953" s="43"/>
      <c r="AV953" s="43"/>
      <c r="AW953" s="43"/>
      <c r="AX953" s="43"/>
      <c r="AY953" s="43"/>
      <c r="AZ953" s="43"/>
      <c r="BA953" s="43"/>
      <c r="BB953" s="43"/>
      <c r="BC953" s="43"/>
      <c r="BD953" s="43"/>
      <c r="BE953" s="43"/>
      <c r="BF953" s="43"/>
      <c r="BG953" s="43"/>
      <c r="BH953" s="43"/>
      <c r="BI953" s="43"/>
      <c r="BJ953" s="43"/>
      <c r="BK953" s="43"/>
      <c r="BL953" s="43"/>
      <c r="BM953" s="43"/>
      <c r="BN953" s="43"/>
      <c r="BO953" s="43"/>
      <c r="BP953" s="43"/>
      <c r="BQ953" s="43"/>
      <c r="BR953" s="43"/>
      <c r="BS953" s="43"/>
      <c r="BT953" s="43"/>
      <c r="BU953" s="43"/>
      <c r="BV953" s="43"/>
      <c r="BW953" s="43"/>
      <c r="BX953" s="43"/>
      <c r="BY953" s="43"/>
      <c r="BZ953" s="43"/>
      <c r="CA953" s="43"/>
      <c r="CB953" s="43"/>
      <c r="CC953" s="43"/>
      <c r="CD953" s="43"/>
      <c r="CE953" s="43"/>
      <c r="CF953" s="43"/>
      <c r="CG953" s="43"/>
      <c r="CH953" s="43"/>
      <c r="CI953" s="43"/>
      <c r="CJ953" s="43"/>
      <c r="CK953" s="43"/>
      <c r="CL953" s="43"/>
      <c r="CM953" s="43"/>
      <c r="CN953" s="43"/>
      <c r="CO953" s="43"/>
      <c r="CP953" s="43"/>
      <c r="CQ953" s="43"/>
      <c r="CR953" s="43"/>
      <c r="CS953" s="43"/>
      <c r="CT953" s="43"/>
    </row>
    <row r="954" spans="1:98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  <c r="AK954" s="43"/>
      <c r="AL954" s="43"/>
      <c r="AM954" s="43"/>
      <c r="AN954" s="43"/>
      <c r="AO954" s="43"/>
      <c r="AP954" s="43"/>
      <c r="AQ954" s="43"/>
      <c r="AR954" s="43"/>
      <c r="AS954" s="43"/>
      <c r="AT954" s="43"/>
      <c r="AU954" s="43"/>
      <c r="AV954" s="43"/>
      <c r="AW954" s="43"/>
      <c r="AX954" s="43"/>
      <c r="AY954" s="43"/>
      <c r="AZ954" s="43"/>
      <c r="BA954" s="43"/>
      <c r="BB954" s="43"/>
      <c r="BC954" s="43"/>
      <c r="BD954" s="43"/>
      <c r="BE954" s="43"/>
      <c r="BF954" s="43"/>
      <c r="BG954" s="43"/>
      <c r="BH954" s="43"/>
      <c r="BI954" s="43"/>
      <c r="BJ954" s="43"/>
      <c r="BK954" s="43"/>
      <c r="BL954" s="43"/>
      <c r="BM954" s="43"/>
      <c r="BN954" s="43"/>
      <c r="BO954" s="43"/>
      <c r="BP954" s="43"/>
      <c r="BQ954" s="43"/>
      <c r="BR954" s="43"/>
      <c r="BS954" s="43"/>
      <c r="BT954" s="43"/>
      <c r="BU954" s="43"/>
      <c r="BV954" s="43"/>
      <c r="BW954" s="43"/>
      <c r="BX954" s="43"/>
      <c r="BY954" s="43"/>
      <c r="BZ954" s="43"/>
      <c r="CA954" s="43"/>
      <c r="CB954" s="43"/>
      <c r="CC954" s="43"/>
      <c r="CD954" s="43"/>
      <c r="CE954" s="43"/>
      <c r="CF954" s="43"/>
      <c r="CG954" s="43"/>
      <c r="CH954" s="43"/>
      <c r="CI954" s="43"/>
      <c r="CJ954" s="43"/>
      <c r="CK954" s="43"/>
      <c r="CL954" s="43"/>
      <c r="CM954" s="43"/>
      <c r="CN954" s="43"/>
      <c r="CO954" s="43"/>
      <c r="CP954" s="43"/>
      <c r="CQ954" s="43"/>
      <c r="CR954" s="43"/>
      <c r="CS954" s="43"/>
      <c r="CT954" s="43"/>
    </row>
    <row r="955" spans="1:98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  <c r="AK955" s="43"/>
      <c r="AL955" s="43"/>
      <c r="AM955" s="43"/>
      <c r="AN955" s="43"/>
      <c r="AO955" s="43"/>
      <c r="AP955" s="43"/>
      <c r="AQ955" s="43"/>
      <c r="AR955" s="43"/>
      <c r="AS955" s="43"/>
      <c r="AT955" s="43"/>
      <c r="AU955" s="43"/>
      <c r="AV955" s="43"/>
      <c r="AW955" s="43"/>
      <c r="AX955" s="43"/>
      <c r="AY955" s="43"/>
      <c r="AZ955" s="43"/>
      <c r="BA955" s="43"/>
      <c r="BB955" s="43"/>
      <c r="BC955" s="43"/>
      <c r="BD955" s="43"/>
      <c r="BE955" s="43"/>
      <c r="BF955" s="43"/>
      <c r="BG955" s="43"/>
      <c r="BH955" s="43"/>
      <c r="BI955" s="43"/>
      <c r="BJ955" s="43"/>
      <c r="BK955" s="43"/>
      <c r="BL955" s="43"/>
      <c r="BM955" s="43"/>
      <c r="BN955" s="43"/>
      <c r="BO955" s="43"/>
      <c r="BP955" s="43"/>
      <c r="BQ955" s="43"/>
      <c r="BR955" s="43"/>
      <c r="BS955" s="43"/>
      <c r="BT955" s="43"/>
      <c r="BU955" s="43"/>
      <c r="BV955" s="43"/>
      <c r="BW955" s="43"/>
      <c r="BX955" s="43"/>
      <c r="BY955" s="43"/>
      <c r="BZ955" s="43"/>
      <c r="CA955" s="43"/>
      <c r="CB955" s="43"/>
      <c r="CC955" s="43"/>
      <c r="CD955" s="43"/>
      <c r="CE955" s="43"/>
      <c r="CF955" s="43"/>
      <c r="CG955" s="43"/>
      <c r="CH955" s="43"/>
      <c r="CI955" s="43"/>
      <c r="CJ955" s="43"/>
      <c r="CK955" s="43"/>
      <c r="CL955" s="43"/>
      <c r="CM955" s="43"/>
      <c r="CN955" s="43"/>
      <c r="CO955" s="43"/>
      <c r="CP955" s="43"/>
      <c r="CQ955" s="43"/>
      <c r="CR955" s="43"/>
      <c r="CS955" s="43"/>
      <c r="CT955" s="43"/>
    </row>
    <row r="956" spans="1:98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  <c r="AK956" s="43"/>
      <c r="AL956" s="43"/>
      <c r="AM956" s="43"/>
      <c r="AN956" s="43"/>
      <c r="AO956" s="43"/>
      <c r="AP956" s="43"/>
      <c r="AQ956" s="43"/>
      <c r="AR956" s="43"/>
      <c r="AS956" s="43"/>
      <c r="AT956" s="43"/>
      <c r="AU956" s="43"/>
      <c r="AV956" s="43"/>
      <c r="AW956" s="43"/>
      <c r="AX956" s="43"/>
      <c r="AY956" s="43"/>
      <c r="AZ956" s="43"/>
      <c r="BA956" s="43"/>
      <c r="BB956" s="43"/>
      <c r="BC956" s="43"/>
      <c r="BD956" s="43"/>
      <c r="BE956" s="43"/>
      <c r="BF956" s="43"/>
      <c r="BG956" s="43"/>
      <c r="BH956" s="43"/>
      <c r="BI956" s="43"/>
      <c r="BJ956" s="43"/>
      <c r="BK956" s="43"/>
      <c r="BL956" s="43"/>
      <c r="BM956" s="43"/>
      <c r="BN956" s="43"/>
      <c r="BO956" s="43"/>
      <c r="BP956" s="43"/>
      <c r="BQ956" s="43"/>
      <c r="BR956" s="43"/>
      <c r="BS956" s="43"/>
      <c r="BT956" s="43"/>
      <c r="BU956" s="43"/>
      <c r="BV956" s="43"/>
      <c r="BW956" s="43"/>
      <c r="BX956" s="43"/>
      <c r="BY956" s="43"/>
      <c r="BZ956" s="43"/>
      <c r="CA956" s="43"/>
      <c r="CB956" s="43"/>
      <c r="CC956" s="43"/>
      <c r="CD956" s="43"/>
      <c r="CE956" s="43"/>
      <c r="CF956" s="43"/>
      <c r="CG956" s="43"/>
      <c r="CH956" s="43"/>
      <c r="CI956" s="43"/>
      <c r="CJ956" s="43"/>
      <c r="CK956" s="43"/>
      <c r="CL956" s="43"/>
      <c r="CM956" s="43"/>
      <c r="CN956" s="43"/>
      <c r="CO956" s="43"/>
      <c r="CP956" s="43"/>
      <c r="CQ956" s="43"/>
      <c r="CR956" s="43"/>
      <c r="CS956" s="43"/>
      <c r="CT956" s="43"/>
    </row>
    <row r="957" spans="1:98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  <c r="AK957" s="43"/>
      <c r="AL957" s="43"/>
      <c r="AM957" s="43"/>
      <c r="AN957" s="43"/>
      <c r="AO957" s="43"/>
      <c r="AP957" s="43"/>
      <c r="AQ957" s="43"/>
      <c r="AR957" s="43"/>
      <c r="AS957" s="43"/>
      <c r="AT957" s="43"/>
      <c r="AU957" s="43"/>
      <c r="AV957" s="43"/>
      <c r="AW957" s="43"/>
      <c r="AX957" s="43"/>
      <c r="AY957" s="43"/>
      <c r="AZ957" s="43"/>
      <c r="BA957" s="43"/>
      <c r="BB957" s="43"/>
      <c r="BC957" s="43"/>
      <c r="BD957" s="43"/>
      <c r="BE957" s="43"/>
      <c r="BF957" s="43"/>
      <c r="BG957" s="43"/>
      <c r="BH957" s="43"/>
      <c r="BI957" s="43"/>
      <c r="BJ957" s="43"/>
      <c r="BK957" s="43"/>
      <c r="BL957" s="43"/>
      <c r="BM957" s="43"/>
      <c r="BN957" s="43"/>
      <c r="BO957" s="43"/>
      <c r="BP957" s="43"/>
      <c r="BQ957" s="43"/>
      <c r="BR957" s="43"/>
      <c r="BS957" s="43"/>
      <c r="BT957" s="43"/>
      <c r="BU957" s="43"/>
      <c r="BV957" s="43"/>
      <c r="BW957" s="43"/>
      <c r="BX957" s="43"/>
      <c r="BY957" s="43"/>
      <c r="BZ957" s="43"/>
      <c r="CA957" s="43"/>
      <c r="CB957" s="43"/>
      <c r="CC957" s="43"/>
      <c r="CD957" s="43"/>
      <c r="CE957" s="43"/>
      <c r="CF957" s="43"/>
      <c r="CG957" s="43"/>
      <c r="CH957" s="43"/>
      <c r="CI957" s="43"/>
      <c r="CJ957" s="43"/>
      <c r="CK957" s="43"/>
      <c r="CL957" s="43"/>
      <c r="CM957" s="43"/>
      <c r="CN957" s="43"/>
      <c r="CO957" s="43"/>
      <c r="CP957" s="43"/>
      <c r="CQ957" s="43"/>
      <c r="CR957" s="43"/>
      <c r="CS957" s="43"/>
      <c r="CT957" s="43"/>
    </row>
    <row r="958" spans="1:98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  <c r="AK958" s="43"/>
      <c r="AL958" s="43"/>
      <c r="AM958" s="43"/>
      <c r="AN958" s="43"/>
      <c r="AO958" s="43"/>
      <c r="AP958" s="43"/>
      <c r="AQ958" s="43"/>
      <c r="AR958" s="43"/>
      <c r="AS958" s="43"/>
      <c r="AT958" s="43"/>
      <c r="AU958" s="43"/>
      <c r="AV958" s="43"/>
      <c r="AW958" s="43"/>
      <c r="AX958" s="43"/>
      <c r="AY958" s="43"/>
      <c r="AZ958" s="43"/>
      <c r="BA958" s="43"/>
      <c r="BB958" s="43"/>
      <c r="BC958" s="43"/>
      <c r="BD958" s="43"/>
      <c r="BE958" s="43"/>
      <c r="BF958" s="43"/>
      <c r="BG958" s="43"/>
      <c r="BH958" s="43"/>
      <c r="BI958" s="43"/>
      <c r="BJ958" s="43"/>
      <c r="BK958" s="43"/>
      <c r="BL958" s="43"/>
      <c r="BM958" s="43"/>
      <c r="BN958" s="43"/>
      <c r="BO958" s="43"/>
      <c r="BP958" s="43"/>
      <c r="BQ958" s="43"/>
      <c r="BR958" s="43"/>
      <c r="BS958" s="43"/>
      <c r="BT958" s="43"/>
      <c r="BU958" s="43"/>
      <c r="BV958" s="43"/>
      <c r="BW958" s="43"/>
      <c r="BX958" s="43"/>
      <c r="BY958" s="43"/>
      <c r="BZ958" s="43"/>
      <c r="CA958" s="43"/>
      <c r="CB958" s="43"/>
      <c r="CC958" s="43"/>
      <c r="CD958" s="43"/>
      <c r="CE958" s="43"/>
      <c r="CF958" s="43"/>
      <c r="CG958" s="43"/>
      <c r="CH958" s="43"/>
      <c r="CI958" s="43"/>
      <c r="CJ958" s="43"/>
      <c r="CK958" s="43"/>
      <c r="CL958" s="43"/>
      <c r="CM958" s="43"/>
      <c r="CN958" s="43"/>
      <c r="CO958" s="43"/>
      <c r="CP958" s="43"/>
      <c r="CQ958" s="43"/>
      <c r="CR958" s="43"/>
      <c r="CS958" s="43"/>
      <c r="CT958" s="43"/>
    </row>
    <row r="959" spans="1:98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  <c r="AK959" s="43"/>
      <c r="AL959" s="43"/>
      <c r="AM959" s="43"/>
      <c r="AN959" s="43"/>
      <c r="AO959" s="43"/>
      <c r="AP959" s="43"/>
      <c r="AQ959" s="43"/>
      <c r="AR959" s="43"/>
      <c r="AS959" s="43"/>
      <c r="AT959" s="43"/>
      <c r="AU959" s="43"/>
      <c r="AV959" s="43"/>
      <c r="AW959" s="43"/>
      <c r="AX959" s="43"/>
      <c r="AY959" s="43"/>
      <c r="AZ959" s="43"/>
      <c r="BA959" s="43"/>
      <c r="BB959" s="43"/>
      <c r="BC959" s="43"/>
      <c r="BD959" s="43"/>
      <c r="BE959" s="43"/>
      <c r="BF959" s="43"/>
      <c r="BG959" s="43"/>
      <c r="BH959" s="43"/>
      <c r="BI959" s="43"/>
      <c r="BJ959" s="43"/>
      <c r="BK959" s="43"/>
      <c r="BL959" s="43"/>
      <c r="BM959" s="43"/>
      <c r="BN959" s="43"/>
      <c r="BO959" s="43"/>
      <c r="BP959" s="43"/>
      <c r="BQ959" s="43"/>
      <c r="BR959" s="43"/>
      <c r="BS959" s="43"/>
      <c r="BT959" s="43"/>
      <c r="BU959" s="43"/>
      <c r="BV959" s="43"/>
      <c r="BW959" s="43"/>
      <c r="BX959" s="43"/>
      <c r="BY959" s="43"/>
      <c r="BZ959" s="43"/>
      <c r="CA959" s="43"/>
      <c r="CB959" s="43"/>
      <c r="CC959" s="43"/>
      <c r="CD959" s="43"/>
      <c r="CE959" s="43"/>
      <c r="CF959" s="43"/>
      <c r="CG959" s="43"/>
      <c r="CH959" s="43"/>
      <c r="CI959" s="43"/>
      <c r="CJ959" s="43"/>
      <c r="CK959" s="43"/>
      <c r="CL959" s="43"/>
      <c r="CM959" s="43"/>
      <c r="CN959" s="43"/>
      <c r="CO959" s="43"/>
      <c r="CP959" s="43"/>
      <c r="CQ959" s="43"/>
      <c r="CR959" s="43"/>
      <c r="CS959" s="43"/>
      <c r="CT959" s="43"/>
    </row>
    <row r="960" spans="1:98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  <c r="AK960" s="43"/>
      <c r="AL960" s="43"/>
      <c r="AM960" s="43"/>
      <c r="AN960" s="43"/>
      <c r="AO960" s="43"/>
      <c r="AP960" s="43"/>
      <c r="AQ960" s="43"/>
      <c r="AR960" s="43"/>
      <c r="AS960" s="43"/>
      <c r="AT960" s="43"/>
      <c r="AU960" s="43"/>
      <c r="AV960" s="43"/>
      <c r="AW960" s="43"/>
      <c r="AX960" s="43"/>
      <c r="AY960" s="43"/>
      <c r="AZ960" s="43"/>
      <c r="BA960" s="43"/>
      <c r="BB960" s="43"/>
      <c r="BC960" s="43"/>
      <c r="BD960" s="43"/>
      <c r="BE960" s="43"/>
      <c r="BF960" s="43"/>
      <c r="BG960" s="43"/>
      <c r="BH960" s="43"/>
      <c r="BI960" s="43"/>
      <c r="BJ960" s="43"/>
      <c r="BK960" s="43"/>
      <c r="BL960" s="43"/>
      <c r="BM960" s="43"/>
      <c r="BN960" s="43"/>
      <c r="BO960" s="43"/>
      <c r="BP960" s="43"/>
      <c r="BQ960" s="43"/>
      <c r="BR960" s="43"/>
      <c r="BS960" s="43"/>
      <c r="BT960" s="43"/>
      <c r="BU960" s="43"/>
      <c r="BV960" s="43"/>
      <c r="BW960" s="43"/>
      <c r="BX960" s="43"/>
      <c r="BY960" s="43"/>
      <c r="BZ960" s="43"/>
      <c r="CA960" s="43"/>
      <c r="CB960" s="43"/>
      <c r="CC960" s="43"/>
      <c r="CD960" s="43"/>
      <c r="CE960" s="43"/>
      <c r="CF960" s="43"/>
      <c r="CG960" s="43"/>
      <c r="CH960" s="43"/>
      <c r="CI960" s="43"/>
      <c r="CJ960" s="43"/>
      <c r="CK960" s="43"/>
      <c r="CL960" s="43"/>
      <c r="CM960" s="43"/>
      <c r="CN960" s="43"/>
      <c r="CO960" s="43"/>
      <c r="CP960" s="43"/>
      <c r="CQ960" s="43"/>
      <c r="CR960" s="43"/>
      <c r="CS960" s="43"/>
      <c r="CT960" s="43"/>
    </row>
    <row r="961" spans="1:98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  <c r="AK961" s="43"/>
      <c r="AL961" s="43"/>
      <c r="AM961" s="43"/>
      <c r="AN961" s="43"/>
      <c r="AO961" s="43"/>
      <c r="AP961" s="43"/>
      <c r="AQ961" s="43"/>
      <c r="AR961" s="43"/>
      <c r="AS961" s="43"/>
      <c r="AT961" s="43"/>
      <c r="AU961" s="43"/>
      <c r="AV961" s="43"/>
      <c r="AW961" s="43"/>
      <c r="AX961" s="43"/>
      <c r="AY961" s="43"/>
      <c r="AZ961" s="43"/>
      <c r="BA961" s="43"/>
      <c r="BB961" s="43"/>
      <c r="BC961" s="43"/>
      <c r="BD961" s="43"/>
      <c r="BE961" s="43"/>
      <c r="BF961" s="43"/>
      <c r="BG961" s="43"/>
      <c r="BH961" s="43"/>
      <c r="BI961" s="43"/>
      <c r="BJ961" s="43"/>
      <c r="BK961" s="43"/>
      <c r="BL961" s="43"/>
      <c r="BM961" s="43"/>
      <c r="BN961" s="43"/>
      <c r="BO961" s="43"/>
      <c r="BP961" s="43"/>
      <c r="BQ961" s="43"/>
      <c r="BR961" s="43"/>
      <c r="BS961" s="43"/>
      <c r="BT961" s="43"/>
      <c r="BU961" s="43"/>
      <c r="BV961" s="43"/>
      <c r="BW961" s="43"/>
      <c r="BX961" s="43"/>
      <c r="BY961" s="43"/>
      <c r="BZ961" s="43"/>
      <c r="CA961" s="43"/>
      <c r="CB961" s="43"/>
      <c r="CC961" s="43"/>
      <c r="CD961" s="43"/>
      <c r="CE961" s="43"/>
      <c r="CF961" s="43"/>
      <c r="CG961" s="43"/>
      <c r="CH961" s="43"/>
      <c r="CI961" s="43"/>
      <c r="CJ961" s="43"/>
      <c r="CK961" s="43"/>
      <c r="CL961" s="43"/>
      <c r="CM961" s="43"/>
      <c r="CN961" s="43"/>
      <c r="CO961" s="43"/>
      <c r="CP961" s="43"/>
      <c r="CQ961" s="43"/>
      <c r="CR961" s="43"/>
      <c r="CS961" s="43"/>
      <c r="CT961" s="43"/>
    </row>
    <row r="962" spans="1:98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  <c r="AK962" s="43"/>
      <c r="AL962" s="43"/>
      <c r="AM962" s="43"/>
      <c r="AN962" s="43"/>
      <c r="AO962" s="43"/>
      <c r="AP962" s="43"/>
      <c r="AQ962" s="43"/>
      <c r="AR962" s="43"/>
      <c r="AS962" s="43"/>
      <c r="AT962" s="43"/>
      <c r="AU962" s="43"/>
      <c r="AV962" s="43"/>
      <c r="AW962" s="43"/>
      <c r="AX962" s="43"/>
      <c r="AY962" s="43"/>
      <c r="AZ962" s="43"/>
      <c r="BA962" s="43"/>
      <c r="BB962" s="43"/>
      <c r="BC962" s="43"/>
      <c r="BD962" s="43"/>
      <c r="BE962" s="43"/>
      <c r="BF962" s="43"/>
      <c r="BG962" s="43"/>
      <c r="BH962" s="43"/>
      <c r="BI962" s="43"/>
      <c r="BJ962" s="43"/>
      <c r="BK962" s="43"/>
      <c r="BL962" s="43"/>
      <c r="BM962" s="43"/>
      <c r="BN962" s="43"/>
      <c r="BO962" s="43"/>
      <c r="BP962" s="43"/>
      <c r="BQ962" s="43"/>
      <c r="BR962" s="43"/>
      <c r="BS962" s="43"/>
      <c r="BT962" s="43"/>
      <c r="BU962" s="43"/>
      <c r="BV962" s="43"/>
      <c r="BW962" s="43"/>
      <c r="BX962" s="43"/>
      <c r="BY962" s="43"/>
      <c r="BZ962" s="43"/>
      <c r="CA962" s="43"/>
      <c r="CB962" s="43"/>
      <c r="CC962" s="43"/>
      <c r="CD962" s="43"/>
      <c r="CE962" s="43"/>
      <c r="CF962" s="43"/>
      <c r="CG962" s="43"/>
      <c r="CH962" s="43"/>
      <c r="CI962" s="43"/>
      <c r="CJ962" s="43"/>
      <c r="CK962" s="43"/>
      <c r="CL962" s="43"/>
      <c r="CM962" s="43"/>
      <c r="CN962" s="43"/>
      <c r="CO962" s="43"/>
      <c r="CP962" s="43"/>
      <c r="CQ962" s="43"/>
      <c r="CR962" s="43"/>
      <c r="CS962" s="43"/>
      <c r="CT962" s="43"/>
    </row>
    <row r="963" spans="1:98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  <c r="AK963" s="43"/>
      <c r="AL963" s="43"/>
      <c r="AM963" s="43"/>
      <c r="AN963" s="43"/>
      <c r="AO963" s="43"/>
      <c r="AP963" s="43"/>
      <c r="AQ963" s="43"/>
      <c r="AR963" s="43"/>
      <c r="AS963" s="43"/>
      <c r="AT963" s="43"/>
      <c r="AU963" s="43"/>
      <c r="AV963" s="43"/>
      <c r="AW963" s="43"/>
      <c r="AX963" s="43"/>
      <c r="AY963" s="43"/>
      <c r="AZ963" s="43"/>
      <c r="BA963" s="43"/>
      <c r="BB963" s="43"/>
      <c r="BC963" s="43"/>
      <c r="BD963" s="43"/>
      <c r="BE963" s="43"/>
      <c r="BF963" s="43"/>
      <c r="BG963" s="43"/>
      <c r="BH963" s="43"/>
      <c r="BI963" s="43"/>
      <c r="BJ963" s="43"/>
      <c r="BK963" s="43"/>
      <c r="BL963" s="43"/>
      <c r="BM963" s="43"/>
      <c r="BN963" s="43"/>
      <c r="BO963" s="43"/>
      <c r="BP963" s="43"/>
      <c r="BQ963" s="43"/>
      <c r="BR963" s="43"/>
      <c r="BS963" s="43"/>
      <c r="BT963" s="43"/>
      <c r="BU963" s="43"/>
      <c r="BV963" s="43"/>
      <c r="BW963" s="43"/>
      <c r="BX963" s="43"/>
      <c r="BY963" s="43"/>
      <c r="BZ963" s="43"/>
      <c r="CA963" s="43"/>
      <c r="CB963" s="43"/>
      <c r="CC963" s="43"/>
      <c r="CD963" s="43"/>
      <c r="CE963" s="43"/>
      <c r="CF963" s="43"/>
      <c r="CG963" s="43"/>
      <c r="CH963" s="43"/>
      <c r="CI963" s="43"/>
      <c r="CJ963" s="43"/>
      <c r="CK963" s="43"/>
      <c r="CL963" s="43"/>
      <c r="CM963" s="43"/>
      <c r="CN963" s="43"/>
      <c r="CO963" s="43"/>
      <c r="CP963" s="43"/>
      <c r="CQ963" s="43"/>
      <c r="CR963" s="43"/>
      <c r="CS963" s="43"/>
      <c r="CT963" s="43"/>
    </row>
    <row r="964" spans="1:98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  <c r="AK964" s="43"/>
      <c r="AL964" s="43"/>
      <c r="AM964" s="43"/>
      <c r="AN964" s="43"/>
      <c r="AO964" s="43"/>
      <c r="AP964" s="43"/>
      <c r="AQ964" s="43"/>
      <c r="AR964" s="43"/>
      <c r="AS964" s="43"/>
      <c r="AT964" s="43"/>
      <c r="AU964" s="43"/>
      <c r="AV964" s="43"/>
      <c r="AW964" s="43"/>
      <c r="AX964" s="43"/>
      <c r="AY964" s="43"/>
      <c r="AZ964" s="43"/>
      <c r="BA964" s="43"/>
      <c r="BB964" s="43"/>
      <c r="BC964" s="43"/>
      <c r="BD964" s="43"/>
      <c r="BE964" s="43"/>
      <c r="BF964" s="43"/>
      <c r="BG964" s="43"/>
      <c r="BH964" s="43"/>
      <c r="BI964" s="43"/>
      <c r="BJ964" s="43"/>
      <c r="BK964" s="43"/>
      <c r="BL964" s="43"/>
      <c r="BM964" s="43"/>
      <c r="BN964" s="43"/>
      <c r="BO964" s="43"/>
      <c r="BP964" s="43"/>
      <c r="BQ964" s="43"/>
      <c r="BR964" s="43"/>
      <c r="BS964" s="43"/>
      <c r="BT964" s="43"/>
      <c r="BU964" s="43"/>
      <c r="BV964" s="43"/>
      <c r="BW964" s="43"/>
      <c r="BX964" s="43"/>
      <c r="BY964" s="43"/>
      <c r="BZ964" s="43"/>
      <c r="CA964" s="43"/>
      <c r="CB964" s="43"/>
      <c r="CC964" s="43"/>
      <c r="CD964" s="43"/>
      <c r="CE964" s="43"/>
      <c r="CF964" s="43"/>
      <c r="CG964" s="43"/>
      <c r="CH964" s="43"/>
      <c r="CI964" s="43"/>
      <c r="CJ964" s="43"/>
      <c r="CK964" s="43"/>
      <c r="CL964" s="43"/>
      <c r="CM964" s="43"/>
      <c r="CN964" s="43"/>
      <c r="CO964" s="43"/>
      <c r="CP964" s="43"/>
      <c r="CQ964" s="43"/>
      <c r="CR964" s="43"/>
      <c r="CS964" s="43"/>
      <c r="CT964" s="43"/>
    </row>
    <row r="965" spans="1:98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  <c r="AK965" s="43"/>
      <c r="AL965" s="43"/>
      <c r="AM965" s="43"/>
      <c r="AN965" s="43"/>
      <c r="AO965" s="43"/>
      <c r="AP965" s="43"/>
      <c r="AQ965" s="43"/>
      <c r="AR965" s="43"/>
      <c r="AS965" s="43"/>
      <c r="AT965" s="43"/>
      <c r="AU965" s="43"/>
      <c r="AV965" s="43"/>
      <c r="AW965" s="43"/>
      <c r="AX965" s="43"/>
      <c r="AY965" s="43"/>
      <c r="AZ965" s="43"/>
      <c r="BA965" s="43"/>
      <c r="BB965" s="43"/>
      <c r="BC965" s="43"/>
      <c r="BD965" s="43"/>
      <c r="BE965" s="43"/>
      <c r="BF965" s="43"/>
      <c r="BG965" s="43"/>
      <c r="BH965" s="43"/>
      <c r="BI965" s="43"/>
      <c r="BJ965" s="43"/>
      <c r="BK965" s="43"/>
      <c r="BL965" s="43"/>
      <c r="BM965" s="43"/>
      <c r="BN965" s="43"/>
      <c r="BO965" s="43"/>
      <c r="BP965" s="43"/>
      <c r="BQ965" s="43"/>
      <c r="BR965" s="43"/>
      <c r="BS965" s="43"/>
      <c r="BT965" s="43"/>
      <c r="BU965" s="43"/>
      <c r="BV965" s="43"/>
      <c r="BW965" s="43"/>
      <c r="BX965" s="43"/>
      <c r="BY965" s="43"/>
      <c r="BZ965" s="43"/>
      <c r="CA965" s="43"/>
      <c r="CB965" s="43"/>
      <c r="CC965" s="43"/>
      <c r="CD965" s="43"/>
      <c r="CE965" s="43"/>
      <c r="CF965" s="43"/>
      <c r="CG965" s="43"/>
      <c r="CH965" s="43"/>
      <c r="CI965" s="43"/>
      <c r="CJ965" s="43"/>
      <c r="CK965" s="43"/>
      <c r="CL965" s="43"/>
      <c r="CM965" s="43"/>
      <c r="CN965" s="43"/>
      <c r="CO965" s="43"/>
      <c r="CP965" s="43"/>
      <c r="CQ965" s="43"/>
      <c r="CR965" s="43"/>
      <c r="CS965" s="43"/>
      <c r="CT965" s="43"/>
    </row>
    <row r="966" spans="1:98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  <c r="AK966" s="43"/>
      <c r="AL966" s="43"/>
      <c r="AM966" s="43"/>
      <c r="AN966" s="43"/>
      <c r="AO966" s="43"/>
      <c r="AP966" s="43"/>
      <c r="AQ966" s="43"/>
      <c r="AR966" s="43"/>
      <c r="AS966" s="43"/>
      <c r="AT966" s="43"/>
      <c r="AU966" s="43"/>
      <c r="AV966" s="43"/>
      <c r="AW966" s="43"/>
      <c r="AX966" s="43"/>
      <c r="AY966" s="43"/>
      <c r="AZ966" s="43"/>
      <c r="BA966" s="43"/>
      <c r="BB966" s="43"/>
      <c r="BC966" s="43"/>
      <c r="BD966" s="43"/>
      <c r="BE966" s="43"/>
      <c r="BF966" s="43"/>
      <c r="BG966" s="43"/>
      <c r="BH966" s="43"/>
      <c r="BI966" s="43"/>
      <c r="BJ966" s="43"/>
      <c r="BK966" s="43"/>
      <c r="BL966" s="43"/>
      <c r="BM966" s="43"/>
      <c r="BN966" s="43"/>
      <c r="BO966" s="43"/>
      <c r="BP966" s="43"/>
      <c r="BQ966" s="43"/>
      <c r="BR966" s="43"/>
      <c r="BS966" s="43"/>
      <c r="BT966" s="43"/>
      <c r="BU966" s="43"/>
      <c r="BV966" s="43"/>
      <c r="BW966" s="43"/>
      <c r="BX966" s="43"/>
      <c r="BY966" s="43"/>
      <c r="BZ966" s="43"/>
      <c r="CA966" s="43"/>
      <c r="CB966" s="43"/>
      <c r="CC966" s="43"/>
      <c r="CD966" s="43"/>
      <c r="CE966" s="43"/>
      <c r="CF966" s="43"/>
      <c r="CG966" s="43"/>
      <c r="CH966" s="43"/>
      <c r="CI966" s="43"/>
      <c r="CJ966" s="43"/>
      <c r="CK966" s="43"/>
      <c r="CL966" s="43"/>
      <c r="CM966" s="43"/>
      <c r="CN966" s="43"/>
      <c r="CO966" s="43"/>
      <c r="CP966" s="43"/>
      <c r="CQ966" s="43"/>
      <c r="CR966" s="43"/>
      <c r="CS966" s="43"/>
      <c r="CT966" s="43"/>
    </row>
    <row r="967" spans="1:98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  <c r="AK967" s="43"/>
      <c r="AL967" s="43"/>
      <c r="AM967" s="43"/>
      <c r="AN967" s="43"/>
      <c r="AO967" s="43"/>
      <c r="AP967" s="43"/>
      <c r="AQ967" s="43"/>
      <c r="AR967" s="43"/>
      <c r="AS967" s="43"/>
      <c r="AT967" s="43"/>
      <c r="AU967" s="43"/>
      <c r="AV967" s="43"/>
      <c r="AW967" s="43"/>
      <c r="AX967" s="43"/>
      <c r="AY967" s="43"/>
      <c r="AZ967" s="43"/>
      <c r="BA967" s="43"/>
      <c r="BB967" s="43"/>
      <c r="BC967" s="43"/>
      <c r="BD967" s="43"/>
      <c r="BE967" s="43"/>
      <c r="BF967" s="43"/>
      <c r="BG967" s="43"/>
      <c r="BH967" s="43"/>
      <c r="BI967" s="43"/>
      <c r="BJ967" s="43"/>
      <c r="BK967" s="43"/>
      <c r="BL967" s="43"/>
      <c r="BM967" s="43"/>
      <c r="BN967" s="43"/>
      <c r="BO967" s="43"/>
      <c r="BP967" s="43"/>
      <c r="BQ967" s="43"/>
      <c r="BR967" s="43"/>
      <c r="BS967" s="43"/>
      <c r="BT967" s="43"/>
      <c r="BU967" s="43"/>
      <c r="BV967" s="43"/>
      <c r="BW967" s="43"/>
      <c r="BX967" s="43"/>
      <c r="BY967" s="43"/>
      <c r="BZ967" s="43"/>
      <c r="CA967" s="43"/>
      <c r="CB967" s="43"/>
      <c r="CC967" s="43"/>
      <c r="CD967" s="43"/>
      <c r="CE967" s="43"/>
      <c r="CF967" s="43"/>
      <c r="CG967" s="43"/>
      <c r="CH967" s="43"/>
      <c r="CI967" s="43"/>
      <c r="CJ967" s="43"/>
      <c r="CK967" s="43"/>
      <c r="CL967" s="43"/>
      <c r="CM967" s="43"/>
      <c r="CN967" s="43"/>
      <c r="CO967" s="43"/>
      <c r="CP967" s="43"/>
      <c r="CQ967" s="43"/>
      <c r="CR967" s="43"/>
      <c r="CS967" s="43"/>
      <c r="CT967" s="43"/>
    </row>
    <row r="968" spans="1:98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  <c r="AK968" s="43"/>
      <c r="AL968" s="43"/>
      <c r="AM968" s="43"/>
      <c r="AN968" s="43"/>
      <c r="AO968" s="43"/>
      <c r="AP968" s="43"/>
      <c r="AQ968" s="43"/>
      <c r="AR968" s="43"/>
      <c r="AS968" s="43"/>
      <c r="AT968" s="43"/>
      <c r="AU968" s="43"/>
      <c r="AV968" s="43"/>
      <c r="AW968" s="43"/>
      <c r="AX968" s="43"/>
      <c r="AY968" s="43"/>
      <c r="AZ968" s="43"/>
      <c r="BA968" s="43"/>
      <c r="BB968" s="43"/>
      <c r="BC968" s="43"/>
      <c r="BD968" s="43"/>
      <c r="BE968" s="43"/>
      <c r="BF968" s="43"/>
      <c r="BG968" s="43"/>
      <c r="BH968" s="43"/>
      <c r="BI968" s="43"/>
      <c r="BJ968" s="43"/>
      <c r="BK968" s="43"/>
      <c r="BL968" s="43"/>
      <c r="BM968" s="43"/>
      <c r="BN968" s="43"/>
      <c r="BO968" s="43"/>
      <c r="BP968" s="43"/>
      <c r="BQ968" s="43"/>
      <c r="BR968" s="43"/>
      <c r="BS968" s="43"/>
      <c r="BT968" s="43"/>
      <c r="BU968" s="43"/>
      <c r="BV968" s="43"/>
      <c r="BW968" s="43"/>
      <c r="BX968" s="43"/>
      <c r="BY968" s="43"/>
      <c r="BZ968" s="43"/>
      <c r="CA968" s="43"/>
      <c r="CB968" s="43"/>
      <c r="CC968" s="43"/>
      <c r="CD968" s="43"/>
      <c r="CE968" s="43"/>
      <c r="CF968" s="43"/>
      <c r="CG968" s="43"/>
      <c r="CH968" s="43"/>
      <c r="CI968" s="43"/>
      <c r="CJ968" s="43"/>
      <c r="CK968" s="43"/>
      <c r="CL968" s="43"/>
      <c r="CM968" s="43"/>
      <c r="CN968" s="43"/>
      <c r="CO968" s="43"/>
      <c r="CP968" s="43"/>
      <c r="CQ968" s="43"/>
      <c r="CR968" s="43"/>
      <c r="CS968" s="43"/>
      <c r="CT968" s="43"/>
    </row>
    <row r="969" spans="1:98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  <c r="AK969" s="43"/>
      <c r="AL969" s="43"/>
      <c r="AM969" s="43"/>
      <c r="AN969" s="43"/>
      <c r="AO969" s="43"/>
      <c r="AP969" s="43"/>
      <c r="AQ969" s="43"/>
      <c r="AR969" s="43"/>
      <c r="AS969" s="43"/>
      <c r="AT969" s="43"/>
      <c r="AU969" s="43"/>
      <c r="AV969" s="43"/>
      <c r="AW969" s="43"/>
      <c r="AX969" s="43"/>
      <c r="AY969" s="43"/>
      <c r="AZ969" s="43"/>
      <c r="BA969" s="43"/>
      <c r="BB969" s="43"/>
      <c r="BC969" s="43"/>
      <c r="BD969" s="43"/>
      <c r="BE969" s="43"/>
      <c r="BF969" s="43"/>
      <c r="BG969" s="43"/>
      <c r="BH969" s="43"/>
      <c r="BI969" s="43"/>
      <c r="BJ969" s="43"/>
      <c r="BK969" s="43"/>
      <c r="BL969" s="43"/>
      <c r="BM969" s="43"/>
      <c r="BN969" s="43"/>
      <c r="BO969" s="43"/>
      <c r="BP969" s="43"/>
      <c r="BQ969" s="43"/>
      <c r="BR969" s="43"/>
      <c r="BS969" s="43"/>
      <c r="BT969" s="43"/>
      <c r="BU969" s="43"/>
      <c r="BV969" s="43"/>
      <c r="BW969" s="43"/>
      <c r="BX969" s="43"/>
      <c r="BY969" s="43"/>
      <c r="BZ969" s="43"/>
      <c r="CA969" s="43"/>
      <c r="CB969" s="43"/>
      <c r="CC969" s="43"/>
      <c r="CD969" s="43"/>
      <c r="CE969" s="43"/>
      <c r="CF969" s="43"/>
      <c r="CG969" s="43"/>
      <c r="CH969" s="43"/>
      <c r="CI969" s="43"/>
      <c r="CJ969" s="43"/>
      <c r="CK969" s="43"/>
      <c r="CL969" s="43"/>
      <c r="CM969" s="43"/>
      <c r="CN969" s="43"/>
      <c r="CO969" s="43"/>
      <c r="CP969" s="43"/>
      <c r="CQ969" s="43"/>
      <c r="CR969" s="43"/>
      <c r="CS969" s="43"/>
      <c r="CT969" s="43"/>
    </row>
    <row r="970" spans="1:98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  <c r="AK970" s="43"/>
      <c r="AL970" s="43"/>
      <c r="AM970" s="43"/>
      <c r="AN970" s="43"/>
      <c r="AO970" s="43"/>
      <c r="AP970" s="43"/>
      <c r="AQ970" s="43"/>
      <c r="AR970" s="43"/>
      <c r="AS970" s="43"/>
      <c r="AT970" s="43"/>
      <c r="AU970" s="43"/>
      <c r="AV970" s="43"/>
      <c r="AW970" s="43"/>
      <c r="AX970" s="43"/>
      <c r="AY970" s="43"/>
      <c r="AZ970" s="43"/>
      <c r="BA970" s="43"/>
      <c r="BB970" s="43"/>
      <c r="BC970" s="43"/>
      <c r="BD970" s="43"/>
      <c r="BE970" s="43"/>
      <c r="BF970" s="43"/>
      <c r="BG970" s="43"/>
      <c r="BH970" s="43"/>
      <c r="BI970" s="43"/>
      <c r="BJ970" s="43"/>
      <c r="BK970" s="43"/>
      <c r="BL970" s="43"/>
      <c r="BM970" s="43"/>
      <c r="BN970" s="43"/>
      <c r="BO970" s="43"/>
      <c r="BP970" s="43"/>
      <c r="BQ970" s="43"/>
      <c r="BR970" s="43"/>
      <c r="BS970" s="43"/>
      <c r="BT970" s="43"/>
      <c r="BU970" s="43"/>
      <c r="BV970" s="43"/>
      <c r="BW970" s="43"/>
      <c r="BX970" s="43"/>
      <c r="BY970" s="43"/>
      <c r="BZ970" s="43"/>
      <c r="CA970" s="43"/>
      <c r="CB970" s="43"/>
      <c r="CC970" s="43"/>
      <c r="CD970" s="43"/>
      <c r="CE970" s="43"/>
      <c r="CF970" s="43"/>
      <c r="CG970" s="43"/>
      <c r="CH970" s="43"/>
      <c r="CI970" s="43"/>
      <c r="CJ970" s="43"/>
      <c r="CK970" s="43"/>
      <c r="CL970" s="43"/>
      <c r="CM970" s="43"/>
      <c r="CN970" s="43"/>
      <c r="CO970" s="43"/>
      <c r="CP970" s="43"/>
      <c r="CQ970" s="43"/>
      <c r="CR970" s="43"/>
      <c r="CS970" s="43"/>
      <c r="CT970" s="43"/>
    </row>
    <row r="971" spans="1:98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  <c r="AK971" s="43"/>
      <c r="AL971" s="43"/>
      <c r="AM971" s="43"/>
      <c r="AN971" s="43"/>
      <c r="AO971" s="43"/>
      <c r="AP971" s="43"/>
      <c r="AQ971" s="43"/>
      <c r="AR971" s="43"/>
      <c r="AS971" s="43"/>
      <c r="AT971" s="43"/>
      <c r="AU971" s="43"/>
      <c r="AV971" s="43"/>
      <c r="AW971" s="43"/>
      <c r="AX971" s="43"/>
      <c r="AY971" s="43"/>
      <c r="AZ971" s="43"/>
      <c r="BA971" s="43"/>
      <c r="BB971" s="43"/>
      <c r="BC971" s="43"/>
      <c r="BD971" s="43"/>
      <c r="BE971" s="43"/>
      <c r="BF971" s="43"/>
      <c r="BG971" s="43"/>
      <c r="BH971" s="43"/>
      <c r="BI971" s="43"/>
      <c r="BJ971" s="43"/>
      <c r="BK971" s="43"/>
      <c r="BL971" s="43"/>
      <c r="BM971" s="43"/>
      <c r="BN971" s="43"/>
      <c r="BO971" s="43"/>
      <c r="BP971" s="43"/>
      <c r="BQ971" s="43"/>
      <c r="BR971" s="43"/>
      <c r="BS971" s="43"/>
      <c r="BT971" s="43"/>
      <c r="BU971" s="43"/>
      <c r="BV971" s="43"/>
      <c r="BW971" s="43"/>
      <c r="BX971" s="43"/>
      <c r="BY971" s="43"/>
      <c r="BZ971" s="43"/>
      <c r="CA971" s="43"/>
      <c r="CB971" s="43"/>
      <c r="CC971" s="43"/>
      <c r="CD971" s="43"/>
      <c r="CE971" s="43"/>
      <c r="CF971" s="43"/>
      <c r="CG971" s="43"/>
      <c r="CH971" s="43"/>
      <c r="CI971" s="43"/>
      <c r="CJ971" s="43"/>
      <c r="CK971" s="43"/>
      <c r="CL971" s="43"/>
      <c r="CM971" s="43"/>
      <c r="CN971" s="43"/>
      <c r="CO971" s="43"/>
      <c r="CP971" s="43"/>
      <c r="CQ971" s="43"/>
      <c r="CR971" s="43"/>
      <c r="CS971" s="43"/>
      <c r="CT971" s="43"/>
    </row>
    <row r="972" spans="1:98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  <c r="AK972" s="43"/>
      <c r="AL972" s="43"/>
      <c r="AM972" s="43"/>
      <c r="AN972" s="43"/>
      <c r="AO972" s="43"/>
      <c r="AP972" s="43"/>
      <c r="AQ972" s="43"/>
      <c r="AR972" s="43"/>
      <c r="AS972" s="43"/>
      <c r="AT972" s="43"/>
      <c r="AU972" s="43"/>
      <c r="AV972" s="43"/>
      <c r="AW972" s="43"/>
      <c r="AX972" s="43"/>
      <c r="AY972" s="43"/>
      <c r="AZ972" s="43"/>
      <c r="BA972" s="43"/>
      <c r="BB972" s="43"/>
      <c r="BC972" s="43"/>
      <c r="BD972" s="43"/>
      <c r="BE972" s="43"/>
      <c r="BF972" s="43"/>
      <c r="BG972" s="43"/>
      <c r="BH972" s="43"/>
      <c r="BI972" s="43"/>
      <c r="BJ972" s="43"/>
      <c r="BK972" s="43"/>
      <c r="BL972" s="43"/>
      <c r="BM972" s="43"/>
      <c r="BN972" s="43"/>
      <c r="BO972" s="43"/>
      <c r="BP972" s="43"/>
      <c r="BQ972" s="43"/>
      <c r="BR972" s="43"/>
      <c r="BS972" s="43"/>
      <c r="BT972" s="43"/>
      <c r="BU972" s="43"/>
      <c r="BV972" s="43"/>
      <c r="BW972" s="43"/>
      <c r="BX972" s="43"/>
      <c r="BY972" s="43"/>
      <c r="BZ972" s="43"/>
      <c r="CA972" s="43"/>
      <c r="CB972" s="43"/>
      <c r="CC972" s="43"/>
      <c r="CD972" s="43"/>
      <c r="CE972" s="43"/>
      <c r="CF972" s="43"/>
      <c r="CG972" s="43"/>
      <c r="CH972" s="43"/>
      <c r="CI972" s="43"/>
      <c r="CJ972" s="43"/>
      <c r="CK972" s="43"/>
      <c r="CL972" s="43"/>
      <c r="CM972" s="43"/>
      <c r="CN972" s="43"/>
      <c r="CO972" s="43"/>
      <c r="CP972" s="43"/>
      <c r="CQ972" s="43"/>
      <c r="CR972" s="43"/>
      <c r="CS972" s="43"/>
      <c r="CT972" s="43"/>
    </row>
    <row r="973" spans="1:98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  <c r="AK973" s="43"/>
      <c r="AL973" s="43"/>
      <c r="AM973" s="43"/>
      <c r="AN973" s="43"/>
      <c r="AO973" s="43"/>
      <c r="AP973" s="43"/>
      <c r="AQ973" s="43"/>
      <c r="AR973" s="43"/>
      <c r="AS973" s="43"/>
      <c r="AT973" s="43"/>
      <c r="AU973" s="43"/>
      <c r="AV973" s="43"/>
      <c r="AW973" s="43"/>
      <c r="AX973" s="43"/>
      <c r="AY973" s="43"/>
      <c r="AZ973" s="43"/>
      <c r="BA973" s="43"/>
      <c r="BB973" s="43"/>
      <c r="BC973" s="43"/>
      <c r="BD973" s="43"/>
      <c r="BE973" s="43"/>
      <c r="BF973" s="43"/>
      <c r="BG973" s="43"/>
      <c r="BH973" s="43"/>
      <c r="BI973" s="43"/>
      <c r="BJ973" s="43"/>
      <c r="BK973" s="43"/>
      <c r="BL973" s="43"/>
      <c r="BM973" s="43"/>
      <c r="BN973" s="43"/>
      <c r="BO973" s="43"/>
      <c r="BP973" s="43"/>
      <c r="BQ973" s="43"/>
      <c r="BR973" s="43"/>
      <c r="BS973" s="43"/>
      <c r="BT973" s="43"/>
      <c r="BU973" s="43"/>
      <c r="BV973" s="43"/>
      <c r="BW973" s="43"/>
      <c r="BX973" s="43"/>
      <c r="BY973" s="43"/>
      <c r="BZ973" s="43"/>
      <c r="CA973" s="43"/>
      <c r="CB973" s="43"/>
      <c r="CC973" s="43"/>
      <c r="CD973" s="43"/>
      <c r="CE973" s="43"/>
      <c r="CF973" s="43"/>
      <c r="CG973" s="43"/>
      <c r="CH973" s="43"/>
      <c r="CI973" s="43"/>
      <c r="CJ973" s="43"/>
      <c r="CK973" s="43"/>
      <c r="CL973" s="43"/>
      <c r="CM973" s="43"/>
      <c r="CN973" s="43"/>
      <c r="CO973" s="43"/>
      <c r="CP973" s="43"/>
      <c r="CQ973" s="43"/>
      <c r="CR973" s="43"/>
      <c r="CS973" s="43"/>
      <c r="CT973" s="43"/>
    </row>
    <row r="974" spans="1:98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  <c r="AK974" s="43"/>
      <c r="AL974" s="43"/>
      <c r="AM974" s="43"/>
      <c r="AN974" s="43"/>
      <c r="AO974" s="43"/>
      <c r="AP974" s="43"/>
      <c r="AQ974" s="43"/>
      <c r="AR974" s="43"/>
      <c r="AS974" s="43"/>
      <c r="AT974" s="43"/>
      <c r="AU974" s="43"/>
      <c r="AV974" s="43"/>
      <c r="AW974" s="43"/>
      <c r="AX974" s="43"/>
      <c r="AY974" s="43"/>
      <c r="AZ974" s="43"/>
      <c r="BA974" s="43"/>
      <c r="BB974" s="43"/>
      <c r="BC974" s="43"/>
      <c r="BD974" s="43"/>
      <c r="BE974" s="43"/>
      <c r="BF974" s="43"/>
      <c r="BG974" s="43"/>
      <c r="BH974" s="43"/>
      <c r="BI974" s="43"/>
      <c r="BJ974" s="43"/>
      <c r="BK974" s="43"/>
      <c r="BL974" s="43"/>
      <c r="BM974" s="43"/>
      <c r="BN974" s="43"/>
      <c r="BO974" s="43"/>
      <c r="BP974" s="43"/>
      <c r="BQ974" s="43"/>
      <c r="BR974" s="43"/>
      <c r="BS974" s="43"/>
      <c r="BT974" s="43"/>
      <c r="BU974" s="43"/>
      <c r="BV974" s="43"/>
      <c r="BW974" s="43"/>
      <c r="BX974" s="43"/>
      <c r="BY974" s="43"/>
      <c r="BZ974" s="43"/>
      <c r="CA974" s="43"/>
      <c r="CB974" s="43"/>
      <c r="CC974" s="43"/>
      <c r="CD974" s="43"/>
      <c r="CE974" s="43"/>
      <c r="CF974" s="43"/>
      <c r="CG974" s="43"/>
      <c r="CH974" s="43"/>
      <c r="CI974" s="43"/>
      <c r="CJ974" s="43"/>
      <c r="CK974" s="43"/>
      <c r="CL974" s="43"/>
      <c r="CM974" s="43"/>
      <c r="CN974" s="43"/>
      <c r="CO974" s="43"/>
      <c r="CP974" s="43"/>
      <c r="CQ974" s="43"/>
      <c r="CR974" s="43"/>
      <c r="CS974" s="43"/>
      <c r="CT974" s="43"/>
    </row>
    <row r="975" spans="1:98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  <c r="AK975" s="43"/>
      <c r="AL975" s="43"/>
      <c r="AM975" s="43"/>
      <c r="AN975" s="43"/>
      <c r="AO975" s="43"/>
      <c r="AP975" s="43"/>
      <c r="AQ975" s="43"/>
      <c r="AR975" s="43"/>
      <c r="AS975" s="43"/>
      <c r="AT975" s="43"/>
      <c r="AU975" s="43"/>
      <c r="AV975" s="43"/>
      <c r="AW975" s="43"/>
      <c r="AX975" s="43"/>
      <c r="AY975" s="43"/>
      <c r="AZ975" s="43"/>
      <c r="BA975" s="43"/>
      <c r="BB975" s="43"/>
      <c r="BC975" s="43"/>
      <c r="BD975" s="43"/>
      <c r="BE975" s="43"/>
      <c r="BF975" s="43"/>
      <c r="BG975" s="43"/>
      <c r="BH975" s="43"/>
      <c r="BI975" s="43"/>
      <c r="BJ975" s="43"/>
      <c r="BK975" s="43"/>
      <c r="BL975" s="43"/>
      <c r="BM975" s="43"/>
      <c r="BN975" s="43"/>
      <c r="BO975" s="43"/>
      <c r="BP975" s="43"/>
      <c r="BQ975" s="43"/>
      <c r="BR975" s="43"/>
      <c r="BS975" s="43"/>
      <c r="BT975" s="43"/>
      <c r="BU975" s="43"/>
      <c r="BV975" s="43"/>
      <c r="BW975" s="43"/>
      <c r="BX975" s="43"/>
      <c r="BY975" s="43"/>
      <c r="BZ975" s="43"/>
      <c r="CA975" s="43"/>
      <c r="CB975" s="43"/>
      <c r="CC975" s="43"/>
      <c r="CD975" s="43"/>
      <c r="CE975" s="43"/>
      <c r="CF975" s="43"/>
      <c r="CG975" s="43"/>
      <c r="CH975" s="43"/>
      <c r="CI975" s="43"/>
      <c r="CJ975" s="43"/>
      <c r="CK975" s="43"/>
      <c r="CL975" s="43"/>
      <c r="CM975" s="43"/>
      <c r="CN975" s="43"/>
      <c r="CO975" s="43"/>
      <c r="CP975" s="43"/>
      <c r="CQ975" s="43"/>
      <c r="CR975" s="43"/>
      <c r="CS975" s="43"/>
      <c r="CT975" s="43"/>
    </row>
    <row r="976" spans="1:98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  <c r="AK976" s="43"/>
      <c r="AL976" s="43"/>
      <c r="AM976" s="43"/>
      <c r="AN976" s="43"/>
      <c r="AO976" s="43"/>
      <c r="AP976" s="43"/>
      <c r="AQ976" s="43"/>
      <c r="AR976" s="43"/>
      <c r="AS976" s="43"/>
      <c r="AT976" s="43"/>
      <c r="AU976" s="43"/>
      <c r="AV976" s="43"/>
      <c r="AW976" s="43"/>
      <c r="AX976" s="43"/>
      <c r="AY976" s="43"/>
      <c r="AZ976" s="43"/>
      <c r="BA976" s="43"/>
      <c r="BB976" s="43"/>
      <c r="BC976" s="43"/>
      <c r="BD976" s="43"/>
      <c r="BE976" s="43"/>
      <c r="BF976" s="43"/>
      <c r="BG976" s="43"/>
      <c r="BH976" s="43"/>
      <c r="BI976" s="43"/>
      <c r="BJ976" s="43"/>
      <c r="BK976" s="43"/>
      <c r="BL976" s="43"/>
      <c r="BM976" s="43"/>
      <c r="BN976" s="43"/>
      <c r="BO976" s="43"/>
      <c r="BP976" s="43"/>
      <c r="BQ976" s="43"/>
      <c r="BR976" s="43"/>
      <c r="BS976" s="43"/>
      <c r="BT976" s="43"/>
      <c r="BU976" s="43"/>
      <c r="BV976" s="43"/>
      <c r="BW976" s="43"/>
      <c r="BX976" s="43"/>
      <c r="BY976" s="43"/>
      <c r="BZ976" s="43"/>
      <c r="CA976" s="43"/>
      <c r="CB976" s="43"/>
      <c r="CC976" s="43"/>
      <c r="CD976" s="43"/>
      <c r="CE976" s="43"/>
      <c r="CF976" s="43"/>
      <c r="CG976" s="43"/>
      <c r="CH976" s="43"/>
      <c r="CI976" s="43"/>
      <c r="CJ976" s="43"/>
      <c r="CK976" s="43"/>
      <c r="CL976" s="43"/>
      <c r="CM976" s="43"/>
      <c r="CN976" s="43"/>
      <c r="CO976" s="43"/>
      <c r="CP976" s="43"/>
      <c r="CQ976" s="43"/>
      <c r="CR976" s="43"/>
      <c r="CS976" s="43"/>
      <c r="CT976" s="43"/>
    </row>
    <row r="977" spans="1:98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  <c r="AK977" s="43"/>
      <c r="AL977" s="43"/>
      <c r="AM977" s="43"/>
      <c r="AN977" s="43"/>
      <c r="AO977" s="43"/>
      <c r="AP977" s="43"/>
      <c r="AQ977" s="43"/>
      <c r="AR977" s="43"/>
      <c r="AS977" s="43"/>
      <c r="AT977" s="43"/>
      <c r="AU977" s="43"/>
      <c r="AV977" s="43"/>
      <c r="AW977" s="43"/>
      <c r="AX977" s="43"/>
      <c r="AY977" s="43"/>
      <c r="AZ977" s="43"/>
      <c r="BA977" s="43"/>
      <c r="BB977" s="43"/>
      <c r="BC977" s="43"/>
      <c r="BD977" s="43"/>
      <c r="BE977" s="43"/>
      <c r="BF977" s="43"/>
      <c r="BG977" s="43"/>
      <c r="BH977" s="43"/>
      <c r="BI977" s="43"/>
      <c r="BJ977" s="43"/>
      <c r="BK977" s="43"/>
      <c r="BL977" s="43"/>
      <c r="BM977" s="43"/>
      <c r="BN977" s="43"/>
      <c r="BO977" s="43"/>
      <c r="BP977" s="43"/>
      <c r="BQ977" s="43"/>
      <c r="BR977" s="43"/>
      <c r="BS977" s="43"/>
      <c r="BT977" s="43"/>
      <c r="BU977" s="43"/>
      <c r="BV977" s="43"/>
      <c r="BW977" s="43"/>
      <c r="BX977" s="43"/>
      <c r="BY977" s="43"/>
      <c r="BZ977" s="43"/>
      <c r="CA977" s="43"/>
      <c r="CB977" s="43"/>
      <c r="CC977" s="43"/>
      <c r="CD977" s="43"/>
      <c r="CE977" s="43"/>
      <c r="CF977" s="43"/>
      <c r="CG977" s="43"/>
      <c r="CH977" s="43"/>
      <c r="CI977" s="43"/>
      <c r="CJ977" s="43"/>
      <c r="CK977" s="43"/>
      <c r="CL977" s="43"/>
      <c r="CM977" s="43"/>
      <c r="CN977" s="43"/>
      <c r="CO977" s="43"/>
      <c r="CP977" s="43"/>
      <c r="CQ977" s="43"/>
      <c r="CR977" s="43"/>
      <c r="CS977" s="43"/>
      <c r="CT977" s="43"/>
    </row>
    <row r="978" spans="1:98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  <c r="AK978" s="43"/>
      <c r="AL978" s="43"/>
      <c r="AM978" s="43"/>
      <c r="AN978" s="43"/>
      <c r="AO978" s="43"/>
      <c r="AP978" s="43"/>
      <c r="AQ978" s="43"/>
      <c r="AR978" s="43"/>
      <c r="AS978" s="43"/>
      <c r="AT978" s="43"/>
      <c r="AU978" s="43"/>
      <c r="AV978" s="43"/>
      <c r="AW978" s="43"/>
      <c r="AX978" s="43"/>
      <c r="AY978" s="43"/>
      <c r="AZ978" s="43"/>
      <c r="BA978" s="43"/>
      <c r="BB978" s="43"/>
      <c r="BC978" s="43"/>
      <c r="BD978" s="43"/>
      <c r="BE978" s="43"/>
      <c r="BF978" s="43"/>
      <c r="BG978" s="43"/>
      <c r="BH978" s="43"/>
      <c r="BI978" s="43"/>
      <c r="BJ978" s="43"/>
      <c r="BK978" s="43"/>
      <c r="BL978" s="43"/>
      <c r="BM978" s="43"/>
      <c r="BN978" s="43"/>
      <c r="BO978" s="43"/>
      <c r="BP978" s="43"/>
      <c r="BQ978" s="43"/>
      <c r="BR978" s="43"/>
      <c r="BS978" s="43"/>
      <c r="BT978" s="43"/>
      <c r="BU978" s="43"/>
      <c r="BV978" s="43"/>
      <c r="BW978" s="43"/>
      <c r="BX978" s="43"/>
      <c r="BY978" s="43"/>
      <c r="BZ978" s="43"/>
      <c r="CA978" s="43"/>
      <c r="CB978" s="43"/>
      <c r="CC978" s="43"/>
      <c r="CD978" s="43"/>
      <c r="CE978" s="43"/>
      <c r="CF978" s="43"/>
      <c r="CG978" s="43"/>
      <c r="CH978" s="43"/>
      <c r="CI978" s="43"/>
      <c r="CJ978" s="43"/>
      <c r="CK978" s="43"/>
      <c r="CL978" s="43"/>
      <c r="CM978" s="43"/>
      <c r="CN978" s="43"/>
      <c r="CO978" s="43"/>
      <c r="CP978" s="43"/>
      <c r="CQ978" s="43"/>
      <c r="CR978" s="43"/>
      <c r="CS978" s="43"/>
      <c r="CT978" s="43"/>
    </row>
    <row r="979" spans="1:98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  <c r="AK979" s="43"/>
      <c r="AL979" s="43"/>
      <c r="AM979" s="43"/>
      <c r="AN979" s="43"/>
      <c r="AO979" s="43"/>
      <c r="AP979" s="43"/>
      <c r="AQ979" s="43"/>
      <c r="AR979" s="43"/>
      <c r="AS979" s="43"/>
      <c r="AT979" s="43"/>
      <c r="AU979" s="43"/>
      <c r="AV979" s="43"/>
      <c r="AW979" s="43"/>
      <c r="AX979" s="43"/>
      <c r="AY979" s="43"/>
      <c r="AZ979" s="43"/>
      <c r="BA979" s="43"/>
      <c r="BB979" s="43"/>
      <c r="BC979" s="43"/>
      <c r="BD979" s="43"/>
      <c r="BE979" s="43"/>
      <c r="BF979" s="43"/>
      <c r="BG979" s="43"/>
      <c r="BH979" s="43"/>
      <c r="BI979" s="43"/>
      <c r="BJ979" s="43"/>
      <c r="BK979" s="43"/>
      <c r="BL979" s="43"/>
      <c r="BM979" s="43"/>
      <c r="BN979" s="43"/>
      <c r="BO979" s="43"/>
      <c r="BP979" s="43"/>
      <c r="BQ979" s="43"/>
      <c r="BR979" s="43"/>
      <c r="BS979" s="43"/>
      <c r="BT979" s="43"/>
      <c r="BU979" s="43"/>
      <c r="BV979" s="43"/>
      <c r="BW979" s="43"/>
      <c r="BX979" s="43"/>
      <c r="BY979" s="43"/>
      <c r="BZ979" s="43"/>
      <c r="CA979" s="43"/>
      <c r="CB979" s="43"/>
      <c r="CC979" s="43"/>
      <c r="CD979" s="43"/>
      <c r="CE979" s="43"/>
      <c r="CF979" s="43"/>
      <c r="CG979" s="43"/>
      <c r="CH979" s="43"/>
      <c r="CI979" s="43"/>
      <c r="CJ979" s="43"/>
      <c r="CK979" s="43"/>
      <c r="CL979" s="43"/>
      <c r="CM979" s="43"/>
      <c r="CN979" s="43"/>
      <c r="CO979" s="43"/>
      <c r="CP979" s="43"/>
      <c r="CQ979" s="43"/>
      <c r="CR979" s="43"/>
      <c r="CS979" s="43"/>
      <c r="CT979" s="43"/>
    </row>
    <row r="980" spans="1:98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  <c r="AK980" s="43"/>
      <c r="AL980" s="43"/>
      <c r="AM980" s="43"/>
      <c r="AN980" s="43"/>
      <c r="AO980" s="43"/>
      <c r="AP980" s="43"/>
      <c r="AQ980" s="43"/>
      <c r="AR980" s="43"/>
      <c r="AS980" s="43"/>
      <c r="AT980" s="43"/>
      <c r="AU980" s="43"/>
      <c r="AV980" s="43"/>
      <c r="AW980" s="43"/>
      <c r="AX980" s="43"/>
      <c r="AY980" s="43"/>
      <c r="AZ980" s="43"/>
      <c r="BA980" s="43"/>
      <c r="BB980" s="43"/>
      <c r="BC980" s="43"/>
      <c r="BD980" s="43"/>
      <c r="BE980" s="43"/>
      <c r="BF980" s="43"/>
      <c r="BG980" s="43"/>
      <c r="BH980" s="43"/>
      <c r="BI980" s="43"/>
      <c r="BJ980" s="43"/>
      <c r="BK980" s="43"/>
      <c r="BL980" s="43"/>
      <c r="BM980" s="43"/>
      <c r="BN980" s="43"/>
      <c r="BO980" s="43"/>
      <c r="BP980" s="43"/>
      <c r="BQ980" s="43"/>
      <c r="BR980" s="43"/>
      <c r="BS980" s="43"/>
      <c r="BT980" s="43"/>
      <c r="BU980" s="43"/>
      <c r="BV980" s="43"/>
      <c r="BW980" s="43"/>
      <c r="BX980" s="43"/>
      <c r="BY980" s="43"/>
      <c r="BZ980" s="43"/>
      <c r="CA980" s="43"/>
      <c r="CB980" s="43"/>
      <c r="CC980" s="43"/>
      <c r="CD980" s="43"/>
      <c r="CE980" s="43"/>
      <c r="CF980" s="43"/>
      <c r="CG980" s="43"/>
      <c r="CH980" s="43"/>
      <c r="CI980" s="43"/>
      <c r="CJ980" s="43"/>
      <c r="CK980" s="43"/>
      <c r="CL980" s="43"/>
      <c r="CM980" s="43"/>
      <c r="CN980" s="43"/>
      <c r="CO980" s="43"/>
      <c r="CP980" s="43"/>
      <c r="CQ980" s="43"/>
      <c r="CR980" s="43"/>
      <c r="CS980" s="43"/>
      <c r="CT980" s="43"/>
    </row>
    <row r="981" spans="1:98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  <c r="AK981" s="43"/>
      <c r="AL981" s="43"/>
      <c r="AM981" s="43"/>
      <c r="AN981" s="43"/>
      <c r="AO981" s="43"/>
      <c r="AP981" s="43"/>
      <c r="AQ981" s="43"/>
      <c r="AR981" s="43"/>
      <c r="AS981" s="43"/>
      <c r="AT981" s="43"/>
      <c r="AU981" s="43"/>
      <c r="AV981" s="43"/>
      <c r="AW981" s="43"/>
      <c r="AX981" s="43"/>
      <c r="AY981" s="43"/>
      <c r="AZ981" s="43"/>
      <c r="BA981" s="43"/>
      <c r="BB981" s="43"/>
      <c r="BC981" s="43"/>
      <c r="BD981" s="43"/>
      <c r="BE981" s="43"/>
      <c r="BF981" s="43"/>
      <c r="BG981" s="43"/>
      <c r="BH981" s="43"/>
      <c r="BI981" s="43"/>
      <c r="BJ981" s="43"/>
      <c r="BK981" s="43"/>
      <c r="BL981" s="43"/>
      <c r="BM981" s="43"/>
      <c r="BN981" s="43"/>
      <c r="BO981" s="43"/>
      <c r="BP981" s="43"/>
      <c r="BQ981" s="43"/>
      <c r="BR981" s="43"/>
      <c r="BS981" s="43"/>
      <c r="BT981" s="43"/>
      <c r="BU981" s="43"/>
      <c r="BV981" s="43"/>
      <c r="BW981" s="43"/>
      <c r="BX981" s="43"/>
      <c r="BY981" s="43"/>
      <c r="BZ981" s="43"/>
      <c r="CA981" s="43"/>
      <c r="CB981" s="43"/>
      <c r="CC981" s="43"/>
      <c r="CD981" s="43"/>
      <c r="CE981" s="43"/>
      <c r="CF981" s="43"/>
      <c r="CG981" s="43"/>
      <c r="CH981" s="43"/>
      <c r="CI981" s="43"/>
      <c r="CJ981" s="43"/>
      <c r="CK981" s="43"/>
      <c r="CL981" s="43"/>
      <c r="CM981" s="43"/>
      <c r="CN981" s="43"/>
      <c r="CO981" s="43"/>
      <c r="CP981" s="43"/>
      <c r="CQ981" s="43"/>
      <c r="CR981" s="43"/>
      <c r="CS981" s="43"/>
      <c r="CT981" s="43"/>
    </row>
    <row r="982" spans="1:98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  <c r="AK982" s="43"/>
      <c r="AL982" s="43"/>
      <c r="AM982" s="43"/>
      <c r="AN982" s="43"/>
      <c r="AO982" s="43"/>
      <c r="AP982" s="43"/>
      <c r="AQ982" s="43"/>
      <c r="AR982" s="43"/>
      <c r="AS982" s="43"/>
      <c r="AT982" s="43"/>
      <c r="AU982" s="43"/>
      <c r="AV982" s="43"/>
      <c r="AW982" s="43"/>
      <c r="AX982" s="43"/>
      <c r="AY982" s="43"/>
      <c r="AZ982" s="43"/>
      <c r="BA982" s="43"/>
      <c r="BB982" s="43"/>
      <c r="BC982" s="43"/>
      <c r="BD982" s="43"/>
      <c r="BE982" s="43"/>
      <c r="BF982" s="43"/>
      <c r="BG982" s="43"/>
      <c r="BH982" s="43"/>
      <c r="BI982" s="43"/>
      <c r="BJ982" s="43"/>
      <c r="BK982" s="43"/>
      <c r="BL982" s="43"/>
      <c r="BM982" s="43"/>
      <c r="BN982" s="43"/>
      <c r="BO982" s="43"/>
      <c r="BP982" s="43"/>
      <c r="BQ982" s="43"/>
      <c r="BR982" s="43"/>
      <c r="BS982" s="43"/>
      <c r="BT982" s="43"/>
      <c r="BU982" s="43"/>
      <c r="BV982" s="43"/>
      <c r="BW982" s="43"/>
      <c r="BX982" s="43"/>
      <c r="BY982" s="43"/>
      <c r="BZ982" s="43"/>
      <c r="CA982" s="43"/>
      <c r="CB982" s="43"/>
      <c r="CC982" s="43"/>
      <c r="CD982" s="43"/>
      <c r="CE982" s="43"/>
      <c r="CF982" s="43"/>
      <c r="CG982" s="43"/>
      <c r="CH982" s="43"/>
      <c r="CI982" s="43"/>
      <c r="CJ982" s="43"/>
      <c r="CK982" s="43"/>
      <c r="CL982" s="43"/>
      <c r="CM982" s="43"/>
      <c r="CN982" s="43"/>
      <c r="CO982" s="43"/>
      <c r="CP982" s="43"/>
      <c r="CQ982" s="43"/>
      <c r="CR982" s="43"/>
      <c r="CS982" s="43"/>
      <c r="CT982" s="43"/>
    </row>
    <row r="983" spans="1:98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  <c r="AK983" s="43"/>
      <c r="AL983" s="43"/>
      <c r="AM983" s="43"/>
      <c r="AN983" s="43"/>
      <c r="AO983" s="43"/>
      <c r="AP983" s="43"/>
      <c r="AQ983" s="43"/>
      <c r="AR983" s="43"/>
      <c r="AS983" s="43"/>
      <c r="AT983" s="43"/>
      <c r="AU983" s="43"/>
      <c r="AV983" s="43"/>
      <c r="AW983" s="43"/>
      <c r="AX983" s="43"/>
      <c r="AY983" s="43"/>
      <c r="AZ983" s="43"/>
      <c r="BA983" s="43"/>
      <c r="BB983" s="43"/>
      <c r="BC983" s="43"/>
      <c r="BD983" s="43"/>
      <c r="BE983" s="43"/>
      <c r="BF983" s="43"/>
      <c r="BG983" s="43"/>
      <c r="BH983" s="43"/>
      <c r="BI983" s="43"/>
      <c r="BJ983" s="43"/>
      <c r="BK983" s="43"/>
      <c r="BL983" s="43"/>
      <c r="BM983" s="43"/>
      <c r="BN983" s="43"/>
      <c r="BO983" s="43"/>
      <c r="BP983" s="43"/>
      <c r="BQ983" s="43"/>
      <c r="BR983" s="43"/>
      <c r="BS983" s="43"/>
      <c r="BT983" s="43"/>
      <c r="BU983" s="43"/>
      <c r="BV983" s="43"/>
      <c r="BW983" s="43"/>
      <c r="BX983" s="43"/>
      <c r="BY983" s="43"/>
      <c r="BZ983" s="43"/>
      <c r="CA983" s="43"/>
      <c r="CB983" s="43"/>
      <c r="CC983" s="43"/>
      <c r="CD983" s="43"/>
      <c r="CE983" s="43"/>
      <c r="CF983" s="43"/>
      <c r="CG983" s="43"/>
      <c r="CH983" s="43"/>
      <c r="CI983" s="43"/>
      <c r="CJ983" s="43"/>
      <c r="CK983" s="43"/>
      <c r="CL983" s="43"/>
      <c r="CM983" s="43"/>
      <c r="CN983" s="43"/>
      <c r="CO983" s="43"/>
      <c r="CP983" s="43"/>
      <c r="CQ983" s="43"/>
      <c r="CR983" s="43"/>
      <c r="CS983" s="43"/>
      <c r="CT983" s="43"/>
    </row>
    <row r="984" spans="1:98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  <c r="AK984" s="43"/>
      <c r="AL984" s="43"/>
      <c r="AM984" s="43"/>
      <c r="AN984" s="43"/>
      <c r="AO984" s="43"/>
      <c r="AP984" s="43"/>
      <c r="AQ984" s="43"/>
      <c r="AR984" s="43"/>
      <c r="AS984" s="43"/>
      <c r="AT984" s="43"/>
      <c r="AU984" s="43"/>
      <c r="AV984" s="43"/>
      <c r="AW984" s="43"/>
      <c r="AX984" s="43"/>
      <c r="AY984" s="43"/>
      <c r="AZ984" s="43"/>
      <c r="BA984" s="43"/>
      <c r="BB984" s="43"/>
      <c r="BC984" s="43"/>
      <c r="BD984" s="43"/>
      <c r="BE984" s="43"/>
      <c r="BF984" s="43"/>
      <c r="BG984" s="43"/>
      <c r="BH984" s="43"/>
      <c r="BI984" s="43"/>
      <c r="BJ984" s="43"/>
      <c r="BK984" s="43"/>
      <c r="BL984" s="43"/>
      <c r="BM984" s="43"/>
      <c r="BN984" s="43"/>
      <c r="BO984" s="43"/>
      <c r="BP984" s="43"/>
      <c r="BQ984" s="43"/>
      <c r="BR984" s="43"/>
      <c r="BS984" s="43"/>
      <c r="BT984" s="43"/>
      <c r="BU984" s="43"/>
      <c r="BV984" s="43"/>
      <c r="BW984" s="43"/>
      <c r="BX984" s="43"/>
      <c r="BY984" s="43"/>
      <c r="BZ984" s="43"/>
      <c r="CA984" s="43"/>
      <c r="CB984" s="43"/>
      <c r="CC984" s="43"/>
      <c r="CD984" s="43"/>
      <c r="CE984" s="43"/>
      <c r="CF984" s="43"/>
      <c r="CG984" s="43"/>
      <c r="CH984" s="43"/>
      <c r="CI984" s="43"/>
      <c r="CJ984" s="43"/>
      <c r="CK984" s="43"/>
      <c r="CL984" s="43"/>
      <c r="CM984" s="43"/>
      <c r="CN984" s="43"/>
      <c r="CO984" s="43"/>
      <c r="CP984" s="43"/>
      <c r="CQ984" s="43"/>
      <c r="CR984" s="43"/>
      <c r="CS984" s="43"/>
      <c r="CT984" s="43"/>
    </row>
    <row r="985" spans="1:98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  <c r="AK985" s="43"/>
      <c r="AL985" s="43"/>
      <c r="AM985" s="43"/>
      <c r="AN985" s="43"/>
      <c r="AO985" s="43"/>
      <c r="AP985" s="43"/>
      <c r="AQ985" s="43"/>
      <c r="AR985" s="43"/>
      <c r="AS985" s="43"/>
      <c r="AT985" s="43"/>
      <c r="AU985" s="43"/>
      <c r="AV985" s="43"/>
      <c r="AW985" s="43"/>
      <c r="AX985" s="43"/>
      <c r="AY985" s="43"/>
      <c r="AZ985" s="43"/>
      <c r="BA985" s="43"/>
      <c r="BB985" s="43"/>
      <c r="BC985" s="43"/>
      <c r="BD985" s="43"/>
      <c r="BE985" s="43"/>
      <c r="BF985" s="43"/>
      <c r="BG985" s="43"/>
      <c r="BH985" s="43"/>
      <c r="BI985" s="43"/>
      <c r="BJ985" s="43"/>
      <c r="BK985" s="43"/>
      <c r="BL985" s="43"/>
      <c r="BM985" s="43"/>
      <c r="BN985" s="43"/>
      <c r="BO985" s="43"/>
      <c r="BP985" s="43"/>
      <c r="BQ985" s="43"/>
      <c r="BR985" s="43"/>
      <c r="BS985" s="43"/>
      <c r="BT985" s="43"/>
      <c r="BU985" s="43"/>
      <c r="BV985" s="43"/>
      <c r="BW985" s="43"/>
      <c r="BX985" s="43"/>
      <c r="BY985" s="43"/>
      <c r="BZ985" s="43"/>
      <c r="CA985" s="43"/>
      <c r="CB985" s="43"/>
      <c r="CC985" s="43"/>
      <c r="CD985" s="43"/>
      <c r="CE985" s="43"/>
      <c r="CF985" s="43"/>
      <c r="CG985" s="43"/>
      <c r="CH985" s="43"/>
      <c r="CI985" s="43"/>
      <c r="CJ985" s="43"/>
      <c r="CK985" s="43"/>
      <c r="CL985" s="43"/>
      <c r="CM985" s="43"/>
      <c r="CN985" s="43"/>
      <c r="CO985" s="43"/>
      <c r="CP985" s="43"/>
      <c r="CQ985" s="43"/>
      <c r="CR985" s="43"/>
      <c r="CS985" s="43"/>
      <c r="CT985" s="43"/>
    </row>
    <row r="986" spans="1:98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  <c r="AK986" s="43"/>
      <c r="AL986" s="43"/>
      <c r="AM986" s="43"/>
      <c r="AN986" s="43"/>
      <c r="AO986" s="43"/>
      <c r="AP986" s="43"/>
      <c r="AQ986" s="43"/>
      <c r="AR986" s="43"/>
      <c r="AS986" s="43"/>
      <c r="AT986" s="43"/>
      <c r="AU986" s="43"/>
      <c r="AV986" s="43"/>
      <c r="AW986" s="43"/>
      <c r="AX986" s="43"/>
      <c r="AY986" s="43"/>
      <c r="AZ986" s="43"/>
      <c r="BA986" s="43"/>
      <c r="BB986" s="43"/>
      <c r="BC986" s="43"/>
      <c r="BD986" s="43"/>
      <c r="BE986" s="43"/>
      <c r="BF986" s="43"/>
      <c r="BG986" s="43"/>
      <c r="BH986" s="43"/>
      <c r="BI986" s="43"/>
      <c r="BJ986" s="43"/>
      <c r="BK986" s="43"/>
      <c r="BL986" s="43"/>
      <c r="BM986" s="43"/>
      <c r="BN986" s="43"/>
      <c r="BO986" s="43"/>
      <c r="BP986" s="43"/>
      <c r="BQ986" s="43"/>
      <c r="BR986" s="43"/>
      <c r="BS986" s="43"/>
      <c r="BT986" s="43"/>
      <c r="BU986" s="43"/>
      <c r="BV986" s="43"/>
      <c r="BW986" s="43"/>
      <c r="BX986" s="43"/>
      <c r="BY986" s="43"/>
      <c r="BZ986" s="43"/>
      <c r="CA986" s="43"/>
      <c r="CB986" s="43"/>
      <c r="CC986" s="43"/>
      <c r="CD986" s="43"/>
      <c r="CE986" s="43"/>
      <c r="CF986" s="43"/>
      <c r="CG986" s="43"/>
      <c r="CH986" s="43"/>
      <c r="CI986" s="43"/>
      <c r="CJ986" s="43"/>
      <c r="CK986" s="43"/>
      <c r="CL986" s="43"/>
      <c r="CM986" s="43"/>
      <c r="CN986" s="43"/>
      <c r="CO986" s="43"/>
      <c r="CP986" s="43"/>
      <c r="CQ986" s="43"/>
      <c r="CR986" s="43"/>
      <c r="CS986" s="43"/>
      <c r="CT986" s="43"/>
    </row>
    <row r="987" spans="1:98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  <c r="AK987" s="43"/>
      <c r="AL987" s="43"/>
      <c r="AM987" s="43"/>
      <c r="AN987" s="43"/>
      <c r="AO987" s="43"/>
      <c r="AP987" s="43"/>
      <c r="AQ987" s="43"/>
      <c r="AR987" s="43"/>
      <c r="AS987" s="43"/>
      <c r="AT987" s="43"/>
      <c r="AU987" s="43"/>
      <c r="AV987" s="43"/>
      <c r="AW987" s="43"/>
      <c r="AX987" s="43"/>
      <c r="AY987" s="43"/>
      <c r="AZ987" s="43"/>
      <c r="BA987" s="43"/>
      <c r="BB987" s="43"/>
      <c r="BC987" s="43"/>
      <c r="BD987" s="43"/>
      <c r="BE987" s="43"/>
      <c r="BF987" s="43"/>
      <c r="BG987" s="43"/>
      <c r="BH987" s="43"/>
      <c r="BI987" s="43"/>
      <c r="BJ987" s="43"/>
      <c r="BK987" s="43"/>
      <c r="BL987" s="43"/>
      <c r="BM987" s="43"/>
      <c r="BN987" s="43"/>
      <c r="BO987" s="43"/>
      <c r="BP987" s="43"/>
      <c r="BQ987" s="43"/>
      <c r="BR987" s="43"/>
      <c r="BS987" s="43"/>
      <c r="BT987" s="43"/>
      <c r="BU987" s="43"/>
      <c r="BV987" s="43"/>
      <c r="BW987" s="43"/>
      <c r="BX987" s="43"/>
      <c r="BY987" s="43"/>
      <c r="BZ987" s="43"/>
      <c r="CA987" s="43"/>
      <c r="CB987" s="43"/>
      <c r="CC987" s="43"/>
      <c r="CD987" s="43"/>
      <c r="CE987" s="43"/>
      <c r="CF987" s="43"/>
      <c r="CG987" s="43"/>
      <c r="CH987" s="43"/>
      <c r="CI987" s="43"/>
      <c r="CJ987" s="43"/>
      <c r="CK987" s="43"/>
      <c r="CL987" s="43"/>
      <c r="CM987" s="43"/>
      <c r="CN987" s="43"/>
      <c r="CO987" s="43"/>
      <c r="CP987" s="43"/>
      <c r="CQ987" s="43"/>
      <c r="CR987" s="43"/>
      <c r="CS987" s="43"/>
      <c r="CT987" s="43"/>
    </row>
    <row r="988" spans="1:98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  <c r="AK988" s="43"/>
      <c r="AL988" s="43"/>
      <c r="AM988" s="43"/>
      <c r="AN988" s="43"/>
      <c r="AO988" s="43"/>
      <c r="AP988" s="43"/>
      <c r="AQ988" s="43"/>
      <c r="AR988" s="43"/>
      <c r="AS988" s="43"/>
      <c r="AT988" s="43"/>
      <c r="AU988" s="43"/>
      <c r="AV988" s="43"/>
      <c r="AW988" s="43"/>
      <c r="AX988" s="43"/>
      <c r="AY988" s="43"/>
      <c r="AZ988" s="43"/>
      <c r="BA988" s="43"/>
      <c r="BB988" s="43"/>
      <c r="BC988" s="43"/>
      <c r="BD988" s="43"/>
      <c r="BE988" s="43"/>
      <c r="BF988" s="43"/>
      <c r="BG988" s="43"/>
      <c r="BH988" s="43"/>
      <c r="BI988" s="43"/>
      <c r="BJ988" s="43"/>
      <c r="BK988" s="43"/>
      <c r="BL988" s="43"/>
      <c r="BM988" s="43"/>
      <c r="BN988" s="43"/>
      <c r="BO988" s="43"/>
      <c r="BP988" s="43"/>
      <c r="BQ988" s="43"/>
      <c r="BR988" s="43"/>
      <c r="BS988" s="43"/>
      <c r="BT988" s="43"/>
      <c r="BU988" s="43"/>
      <c r="BV988" s="43"/>
      <c r="BW988" s="43"/>
      <c r="BX988" s="43"/>
      <c r="BY988" s="43"/>
      <c r="BZ988" s="43"/>
      <c r="CA988" s="43"/>
      <c r="CB988" s="43"/>
      <c r="CC988" s="43"/>
      <c r="CD988" s="43"/>
      <c r="CE988" s="43"/>
      <c r="CF988" s="43"/>
      <c r="CG988" s="43"/>
      <c r="CH988" s="43"/>
      <c r="CI988" s="43"/>
      <c r="CJ988" s="43"/>
      <c r="CK988" s="43"/>
      <c r="CL988" s="43"/>
      <c r="CM988" s="43"/>
      <c r="CN988" s="43"/>
      <c r="CO988" s="43"/>
      <c r="CP988" s="43"/>
      <c r="CQ988" s="43"/>
      <c r="CR988" s="43"/>
      <c r="CS988" s="43"/>
      <c r="CT988" s="43"/>
    </row>
    <row r="989" spans="1:98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  <c r="AK989" s="43"/>
      <c r="AL989" s="43"/>
      <c r="AM989" s="43"/>
      <c r="AN989" s="43"/>
      <c r="AO989" s="43"/>
      <c r="AP989" s="43"/>
      <c r="AQ989" s="43"/>
      <c r="AR989" s="43"/>
      <c r="AS989" s="43"/>
      <c r="AT989" s="43"/>
      <c r="AU989" s="43"/>
      <c r="AV989" s="43"/>
      <c r="AW989" s="43"/>
      <c r="AX989" s="43"/>
      <c r="AY989" s="43"/>
      <c r="AZ989" s="43"/>
      <c r="BA989" s="43"/>
      <c r="BB989" s="43"/>
      <c r="BC989" s="43"/>
      <c r="BD989" s="43"/>
      <c r="BE989" s="43"/>
      <c r="BF989" s="43"/>
      <c r="BG989" s="43"/>
      <c r="BH989" s="43"/>
      <c r="BI989" s="43"/>
      <c r="BJ989" s="43"/>
      <c r="BK989" s="43"/>
      <c r="BL989" s="43"/>
      <c r="BM989" s="43"/>
      <c r="BN989" s="43"/>
      <c r="BO989" s="43"/>
      <c r="BP989" s="43"/>
      <c r="BQ989" s="43"/>
      <c r="BR989" s="43"/>
      <c r="BS989" s="43"/>
      <c r="BT989" s="43"/>
      <c r="BU989" s="43"/>
      <c r="BV989" s="43"/>
      <c r="BW989" s="43"/>
      <c r="BX989" s="43"/>
      <c r="BY989" s="43"/>
      <c r="BZ989" s="43"/>
      <c r="CA989" s="43"/>
      <c r="CB989" s="43"/>
      <c r="CC989" s="43"/>
      <c r="CD989" s="43"/>
      <c r="CE989" s="43"/>
      <c r="CF989" s="43"/>
      <c r="CG989" s="43"/>
      <c r="CH989" s="43"/>
      <c r="CI989" s="43"/>
      <c r="CJ989" s="43"/>
      <c r="CK989" s="43"/>
      <c r="CL989" s="43"/>
      <c r="CM989" s="43"/>
      <c r="CN989" s="43"/>
      <c r="CO989" s="43"/>
      <c r="CP989" s="43"/>
      <c r="CQ989" s="43"/>
      <c r="CR989" s="43"/>
      <c r="CS989" s="43"/>
      <c r="CT989" s="43"/>
    </row>
    <row r="990" spans="1:98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  <c r="AK990" s="43"/>
      <c r="AL990" s="43"/>
      <c r="AM990" s="43"/>
      <c r="AN990" s="43"/>
      <c r="AO990" s="43"/>
      <c r="AP990" s="43"/>
      <c r="AQ990" s="43"/>
      <c r="AR990" s="43"/>
      <c r="AS990" s="43"/>
      <c r="AT990" s="43"/>
      <c r="AU990" s="43"/>
      <c r="AV990" s="43"/>
      <c r="AW990" s="43"/>
      <c r="AX990" s="43"/>
      <c r="AY990" s="43"/>
      <c r="AZ990" s="43"/>
      <c r="BA990" s="43"/>
      <c r="BB990" s="43"/>
      <c r="BC990" s="43"/>
      <c r="BD990" s="43"/>
      <c r="BE990" s="43"/>
      <c r="BF990" s="43"/>
      <c r="BG990" s="43"/>
      <c r="BH990" s="43"/>
      <c r="BI990" s="43"/>
      <c r="BJ990" s="43"/>
      <c r="BK990" s="43"/>
      <c r="BL990" s="43"/>
      <c r="BM990" s="43"/>
      <c r="BN990" s="43"/>
      <c r="BO990" s="43"/>
      <c r="BP990" s="43"/>
      <c r="BQ990" s="43"/>
      <c r="BR990" s="43"/>
      <c r="BS990" s="43"/>
      <c r="BT990" s="43"/>
      <c r="BU990" s="43"/>
      <c r="BV990" s="43"/>
      <c r="BW990" s="43"/>
      <c r="BX990" s="43"/>
      <c r="BY990" s="43"/>
      <c r="BZ990" s="43"/>
      <c r="CA990" s="43"/>
      <c r="CB990" s="43"/>
      <c r="CC990" s="43"/>
      <c r="CD990" s="43"/>
      <c r="CE990" s="43"/>
      <c r="CF990" s="43"/>
      <c r="CG990" s="43"/>
      <c r="CH990" s="43"/>
      <c r="CI990" s="43"/>
      <c r="CJ990" s="43"/>
      <c r="CK990" s="43"/>
      <c r="CL990" s="43"/>
      <c r="CM990" s="43"/>
      <c r="CN990" s="43"/>
      <c r="CO990" s="43"/>
      <c r="CP990" s="43"/>
      <c r="CQ990" s="43"/>
      <c r="CR990" s="43"/>
      <c r="CS990" s="43"/>
      <c r="CT990" s="43"/>
    </row>
    <row r="991" spans="1:98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  <c r="AK991" s="43"/>
      <c r="AL991" s="43"/>
      <c r="AM991" s="43"/>
      <c r="AN991" s="43"/>
      <c r="AO991" s="43"/>
      <c r="AP991" s="43"/>
      <c r="AQ991" s="43"/>
      <c r="AR991" s="43"/>
      <c r="AS991" s="43"/>
      <c r="AT991" s="43"/>
      <c r="AU991" s="43"/>
      <c r="AV991" s="43"/>
      <c r="AW991" s="43"/>
      <c r="AX991" s="43"/>
      <c r="AY991" s="43"/>
      <c r="AZ991" s="43"/>
      <c r="BA991" s="43"/>
      <c r="BB991" s="43"/>
      <c r="BC991" s="43"/>
      <c r="BD991" s="43"/>
      <c r="BE991" s="43"/>
      <c r="BF991" s="43"/>
      <c r="BG991" s="43"/>
      <c r="BH991" s="43"/>
      <c r="BI991" s="43"/>
      <c r="BJ991" s="43"/>
      <c r="BK991" s="43"/>
      <c r="BL991" s="43"/>
      <c r="BM991" s="43"/>
      <c r="BN991" s="43"/>
      <c r="BO991" s="43"/>
      <c r="BP991" s="43"/>
      <c r="BQ991" s="43"/>
      <c r="BR991" s="43"/>
      <c r="BS991" s="43"/>
      <c r="BT991" s="43"/>
      <c r="BU991" s="43"/>
      <c r="BV991" s="43"/>
      <c r="BW991" s="43"/>
      <c r="BX991" s="43"/>
      <c r="BY991" s="43"/>
      <c r="BZ991" s="43"/>
      <c r="CA991" s="43"/>
      <c r="CB991" s="43"/>
      <c r="CC991" s="43"/>
      <c r="CD991" s="43"/>
      <c r="CE991" s="43"/>
      <c r="CF991" s="43"/>
      <c r="CG991" s="43"/>
      <c r="CH991" s="43"/>
      <c r="CI991" s="43"/>
      <c r="CJ991" s="43"/>
      <c r="CK991" s="43"/>
      <c r="CL991" s="43"/>
      <c r="CM991" s="43"/>
      <c r="CN991" s="43"/>
      <c r="CO991" s="43"/>
      <c r="CP991" s="43"/>
      <c r="CQ991" s="43"/>
      <c r="CR991" s="43"/>
      <c r="CS991" s="43"/>
      <c r="CT991" s="43"/>
    </row>
    <row r="992" spans="1:98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  <c r="AK992" s="43"/>
      <c r="AL992" s="43"/>
      <c r="AM992" s="43"/>
      <c r="AN992" s="43"/>
      <c r="AO992" s="43"/>
      <c r="AP992" s="43"/>
      <c r="AQ992" s="43"/>
      <c r="AR992" s="43"/>
      <c r="AS992" s="43"/>
      <c r="AT992" s="43"/>
      <c r="AU992" s="43"/>
      <c r="AV992" s="43"/>
      <c r="AW992" s="43"/>
      <c r="AX992" s="43"/>
      <c r="AY992" s="43"/>
      <c r="AZ992" s="43"/>
      <c r="BA992" s="43"/>
      <c r="BB992" s="43"/>
      <c r="BC992" s="43"/>
      <c r="BD992" s="43"/>
      <c r="BE992" s="43"/>
      <c r="BF992" s="43"/>
      <c r="BG992" s="43"/>
      <c r="BH992" s="43"/>
      <c r="BI992" s="43"/>
      <c r="BJ992" s="43"/>
      <c r="BK992" s="43"/>
      <c r="BL992" s="43"/>
      <c r="BM992" s="43"/>
      <c r="BN992" s="43"/>
      <c r="BO992" s="43"/>
      <c r="BP992" s="43"/>
      <c r="BQ992" s="43"/>
      <c r="BR992" s="43"/>
      <c r="BS992" s="43"/>
      <c r="BT992" s="43"/>
      <c r="BU992" s="43"/>
      <c r="BV992" s="43"/>
      <c r="BW992" s="43"/>
      <c r="BX992" s="43"/>
      <c r="BY992" s="43"/>
      <c r="BZ992" s="43"/>
      <c r="CA992" s="43"/>
      <c r="CB992" s="43"/>
      <c r="CC992" s="43"/>
      <c r="CD992" s="43"/>
      <c r="CE992" s="43"/>
      <c r="CF992" s="43"/>
      <c r="CG992" s="43"/>
      <c r="CH992" s="43"/>
      <c r="CI992" s="43"/>
      <c r="CJ992" s="43"/>
      <c r="CK992" s="43"/>
      <c r="CL992" s="43"/>
      <c r="CM992" s="43"/>
      <c r="CN992" s="43"/>
      <c r="CO992" s="43"/>
      <c r="CP992" s="43"/>
      <c r="CQ992" s="43"/>
      <c r="CR992" s="43"/>
      <c r="CS992" s="43"/>
      <c r="CT992" s="43"/>
    </row>
    <row r="993" spans="1:98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  <c r="AK993" s="43"/>
      <c r="AL993" s="43"/>
      <c r="AM993" s="43"/>
      <c r="AN993" s="43"/>
      <c r="AO993" s="43"/>
      <c r="AP993" s="43"/>
      <c r="AQ993" s="43"/>
      <c r="AR993" s="43"/>
      <c r="AS993" s="43"/>
      <c r="AT993" s="43"/>
      <c r="AU993" s="43"/>
      <c r="AV993" s="43"/>
      <c r="AW993" s="43"/>
      <c r="AX993" s="43"/>
      <c r="AY993" s="43"/>
      <c r="AZ993" s="43"/>
      <c r="BA993" s="43"/>
      <c r="BB993" s="43"/>
      <c r="BC993" s="43"/>
      <c r="BD993" s="43"/>
      <c r="BE993" s="43"/>
      <c r="BF993" s="43"/>
      <c r="BG993" s="43"/>
      <c r="BH993" s="43"/>
      <c r="BI993" s="43"/>
      <c r="BJ993" s="43"/>
      <c r="BK993" s="43"/>
      <c r="BL993" s="43"/>
      <c r="BM993" s="43"/>
      <c r="BN993" s="43"/>
      <c r="BO993" s="43"/>
      <c r="BP993" s="43"/>
      <c r="BQ993" s="43"/>
      <c r="BR993" s="43"/>
      <c r="BS993" s="43"/>
      <c r="BT993" s="43"/>
      <c r="BU993" s="43"/>
      <c r="BV993" s="43"/>
      <c r="BW993" s="43"/>
      <c r="BX993" s="43"/>
      <c r="BY993" s="43"/>
      <c r="BZ993" s="43"/>
      <c r="CA993" s="43"/>
      <c r="CB993" s="43"/>
      <c r="CC993" s="43"/>
      <c r="CD993" s="43"/>
      <c r="CE993" s="43"/>
      <c r="CF993" s="43"/>
      <c r="CG993" s="43"/>
      <c r="CH993" s="43"/>
      <c r="CI993" s="43"/>
      <c r="CJ993" s="43"/>
      <c r="CK993" s="43"/>
      <c r="CL993" s="43"/>
      <c r="CM993" s="43"/>
      <c r="CN993" s="43"/>
      <c r="CO993" s="43"/>
      <c r="CP993" s="43"/>
      <c r="CQ993" s="43"/>
      <c r="CR993" s="43"/>
      <c r="CS993" s="43"/>
      <c r="CT993" s="43"/>
    </row>
    <row r="994" spans="1:98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  <c r="AK994" s="43"/>
      <c r="AL994" s="43"/>
      <c r="AM994" s="43"/>
      <c r="AN994" s="43"/>
      <c r="AO994" s="43"/>
      <c r="AP994" s="43"/>
      <c r="AQ994" s="43"/>
      <c r="AR994" s="43"/>
      <c r="AS994" s="43"/>
      <c r="AT994" s="43"/>
      <c r="AU994" s="43"/>
      <c r="AV994" s="43"/>
      <c r="AW994" s="43"/>
      <c r="AX994" s="43"/>
      <c r="AY994" s="43"/>
      <c r="AZ994" s="43"/>
      <c r="BA994" s="43"/>
      <c r="BB994" s="43"/>
      <c r="BC994" s="43"/>
      <c r="BD994" s="43"/>
      <c r="BE994" s="43"/>
      <c r="BF994" s="43"/>
      <c r="BG994" s="43"/>
      <c r="BH994" s="43"/>
      <c r="BI994" s="43"/>
      <c r="BJ994" s="43"/>
      <c r="BK994" s="43"/>
      <c r="BL994" s="43"/>
      <c r="BM994" s="43"/>
      <c r="BN994" s="43"/>
      <c r="BO994" s="43"/>
      <c r="BP994" s="43"/>
      <c r="BQ994" s="43"/>
      <c r="BR994" s="43"/>
      <c r="BS994" s="43"/>
      <c r="BT994" s="43"/>
      <c r="BU994" s="43"/>
      <c r="BV994" s="43"/>
      <c r="BW994" s="43"/>
      <c r="BX994" s="43"/>
      <c r="BY994" s="43"/>
      <c r="BZ994" s="43"/>
      <c r="CA994" s="43"/>
      <c r="CB994" s="43"/>
      <c r="CC994" s="43"/>
      <c r="CD994" s="43"/>
      <c r="CE994" s="43"/>
      <c r="CF994" s="43"/>
      <c r="CG994" s="43"/>
      <c r="CH994" s="43"/>
      <c r="CI994" s="43"/>
      <c r="CJ994" s="43"/>
      <c r="CK994" s="43"/>
      <c r="CL994" s="43"/>
      <c r="CM994" s="43"/>
      <c r="CN994" s="43"/>
      <c r="CO994" s="43"/>
      <c r="CP994" s="43"/>
      <c r="CQ994" s="43"/>
      <c r="CR994" s="43"/>
      <c r="CS994" s="43"/>
      <c r="CT994" s="43"/>
    </row>
    <row r="995" spans="1:98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  <c r="AK995" s="43"/>
      <c r="AL995" s="43"/>
      <c r="AM995" s="43"/>
      <c r="AN995" s="43"/>
      <c r="AO995" s="43"/>
      <c r="AP995" s="43"/>
      <c r="AQ995" s="43"/>
      <c r="AR995" s="43"/>
      <c r="AS995" s="43"/>
      <c r="AT995" s="43"/>
      <c r="AU995" s="43"/>
      <c r="AV995" s="43"/>
      <c r="AW995" s="43"/>
      <c r="AX995" s="43"/>
      <c r="AY995" s="43"/>
      <c r="AZ995" s="43"/>
      <c r="BA995" s="43"/>
      <c r="BB995" s="43"/>
      <c r="BC995" s="43"/>
      <c r="BD995" s="43"/>
      <c r="BE995" s="43"/>
      <c r="BF995" s="43"/>
      <c r="BG995" s="43"/>
      <c r="BH995" s="43"/>
      <c r="BI995" s="43"/>
      <c r="BJ995" s="43"/>
      <c r="BK995" s="43"/>
      <c r="BL995" s="43"/>
      <c r="BM995" s="43"/>
      <c r="BN995" s="43"/>
      <c r="BO995" s="43"/>
      <c r="BP995" s="43"/>
      <c r="BQ995" s="43"/>
      <c r="BR995" s="43"/>
      <c r="BS995" s="43"/>
      <c r="BT995" s="43"/>
      <c r="BU995" s="43"/>
      <c r="BV995" s="43"/>
      <c r="BW995" s="43"/>
      <c r="BX995" s="43"/>
      <c r="BY995" s="43"/>
      <c r="BZ995" s="43"/>
      <c r="CA995" s="43"/>
      <c r="CB995" s="43"/>
      <c r="CC995" s="43"/>
      <c r="CD995" s="43"/>
      <c r="CE995" s="43"/>
      <c r="CF995" s="43"/>
      <c r="CG995" s="43"/>
      <c r="CH995" s="43"/>
      <c r="CI995" s="43"/>
      <c r="CJ995" s="43"/>
      <c r="CK995" s="43"/>
      <c r="CL995" s="43"/>
      <c r="CM995" s="43"/>
      <c r="CN995" s="43"/>
      <c r="CO995" s="43"/>
      <c r="CP995" s="43"/>
      <c r="CQ995" s="43"/>
      <c r="CR995" s="43"/>
      <c r="CS995" s="43"/>
      <c r="CT995" s="43"/>
    </row>
    <row r="996" spans="1:98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  <c r="AH996" s="43"/>
      <c r="AI996" s="43"/>
      <c r="AJ996" s="43"/>
      <c r="AK996" s="43"/>
      <c r="AL996" s="43"/>
      <c r="AM996" s="43"/>
      <c r="AN996" s="43"/>
      <c r="AO996" s="43"/>
      <c r="AP996" s="43"/>
      <c r="AQ996" s="43"/>
      <c r="AR996" s="43"/>
      <c r="AS996" s="43"/>
      <c r="AT996" s="43"/>
      <c r="AU996" s="43"/>
      <c r="AV996" s="43"/>
      <c r="AW996" s="43"/>
      <c r="AX996" s="43"/>
      <c r="AY996" s="43"/>
      <c r="AZ996" s="43"/>
      <c r="BA996" s="43"/>
      <c r="BB996" s="43"/>
      <c r="BC996" s="43"/>
      <c r="BD996" s="43"/>
      <c r="BE996" s="43"/>
      <c r="BF996" s="43"/>
      <c r="BG996" s="43"/>
      <c r="BH996" s="43"/>
      <c r="BI996" s="43"/>
      <c r="BJ996" s="43"/>
      <c r="BK996" s="43"/>
      <c r="BL996" s="43"/>
      <c r="BM996" s="43"/>
      <c r="BN996" s="43"/>
      <c r="BO996" s="43"/>
      <c r="BP996" s="43"/>
      <c r="BQ996" s="43"/>
      <c r="BR996" s="43"/>
      <c r="BS996" s="43"/>
      <c r="BT996" s="43"/>
      <c r="BU996" s="43"/>
      <c r="BV996" s="43"/>
      <c r="BW996" s="43"/>
      <c r="BX996" s="43"/>
      <c r="BY996" s="43"/>
      <c r="BZ996" s="43"/>
      <c r="CA996" s="43"/>
      <c r="CB996" s="43"/>
      <c r="CC996" s="43"/>
      <c r="CD996" s="43"/>
      <c r="CE996" s="43"/>
      <c r="CF996" s="43"/>
      <c r="CG996" s="43"/>
      <c r="CH996" s="43"/>
      <c r="CI996" s="43"/>
      <c r="CJ996" s="43"/>
      <c r="CK996" s="43"/>
      <c r="CL996" s="43"/>
      <c r="CM996" s="43"/>
      <c r="CN996" s="43"/>
      <c r="CO996" s="43"/>
      <c r="CP996" s="43"/>
      <c r="CQ996" s="43"/>
      <c r="CR996" s="43"/>
      <c r="CS996" s="43"/>
      <c r="CT996" s="43"/>
    </row>
    <row r="997" spans="1:98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  <c r="AH997" s="43"/>
      <c r="AI997" s="43"/>
      <c r="AJ997" s="43"/>
      <c r="AK997" s="43"/>
      <c r="AL997" s="43"/>
      <c r="AM997" s="43"/>
      <c r="AN997" s="43"/>
      <c r="AO997" s="43"/>
      <c r="AP997" s="43"/>
      <c r="AQ997" s="43"/>
      <c r="AR997" s="43"/>
      <c r="AS997" s="43"/>
      <c r="AT997" s="43"/>
      <c r="AU997" s="43"/>
      <c r="AV997" s="43"/>
      <c r="AW997" s="43"/>
      <c r="AX997" s="43"/>
      <c r="AY997" s="43"/>
      <c r="AZ997" s="43"/>
      <c r="BA997" s="43"/>
      <c r="BB997" s="43"/>
      <c r="BC997" s="43"/>
      <c r="BD997" s="43"/>
      <c r="BE997" s="43"/>
      <c r="BF997" s="43"/>
      <c r="BG997" s="43"/>
      <c r="BH997" s="43"/>
      <c r="BI997" s="43"/>
      <c r="BJ997" s="43"/>
      <c r="BK997" s="43"/>
      <c r="BL997" s="43"/>
      <c r="BM997" s="43"/>
      <c r="BN997" s="43"/>
      <c r="BO997" s="43"/>
      <c r="BP997" s="43"/>
      <c r="BQ997" s="43"/>
      <c r="BR997" s="43"/>
      <c r="BS997" s="43"/>
      <c r="BT997" s="43"/>
      <c r="BU997" s="43"/>
      <c r="BV997" s="43"/>
      <c r="BW997" s="43"/>
      <c r="BX997" s="43"/>
      <c r="BY997" s="43"/>
      <c r="BZ997" s="43"/>
      <c r="CA997" s="43"/>
      <c r="CB997" s="43"/>
      <c r="CC997" s="43"/>
      <c r="CD997" s="43"/>
      <c r="CE997" s="43"/>
      <c r="CF997" s="43"/>
      <c r="CG997" s="43"/>
      <c r="CH997" s="43"/>
      <c r="CI997" s="43"/>
      <c r="CJ997" s="43"/>
      <c r="CK997" s="43"/>
      <c r="CL997" s="43"/>
      <c r="CM997" s="43"/>
      <c r="CN997" s="43"/>
      <c r="CO997" s="43"/>
      <c r="CP997" s="43"/>
      <c r="CQ997" s="43"/>
      <c r="CR997" s="43"/>
      <c r="CS997" s="43"/>
      <c r="CT997" s="43"/>
    </row>
    <row r="998" spans="1:98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  <c r="AH998" s="43"/>
      <c r="AI998" s="43"/>
      <c r="AJ998" s="43"/>
      <c r="AK998" s="43"/>
      <c r="AL998" s="43"/>
      <c r="AM998" s="43"/>
      <c r="AN998" s="43"/>
      <c r="AO998" s="43"/>
      <c r="AP998" s="43"/>
      <c r="AQ998" s="43"/>
      <c r="AR998" s="43"/>
      <c r="AS998" s="43"/>
      <c r="AT998" s="43"/>
      <c r="AU998" s="43"/>
      <c r="AV998" s="43"/>
      <c r="AW998" s="43"/>
      <c r="AX998" s="43"/>
      <c r="AY998" s="43"/>
      <c r="AZ998" s="43"/>
      <c r="BA998" s="43"/>
      <c r="BB998" s="43"/>
      <c r="BC998" s="43"/>
      <c r="BD998" s="43"/>
      <c r="BE998" s="43"/>
      <c r="BF998" s="43"/>
      <c r="BG998" s="43"/>
      <c r="BH998" s="43"/>
      <c r="BI998" s="43"/>
      <c r="BJ998" s="43"/>
      <c r="BK998" s="43"/>
      <c r="BL998" s="43"/>
      <c r="BM998" s="43"/>
      <c r="BN998" s="43"/>
      <c r="BO998" s="43"/>
      <c r="BP998" s="43"/>
      <c r="BQ998" s="43"/>
      <c r="BR998" s="43"/>
      <c r="BS998" s="43"/>
      <c r="BT998" s="43"/>
      <c r="BU998" s="43"/>
      <c r="BV998" s="43"/>
      <c r="BW998" s="43"/>
      <c r="BX998" s="43"/>
      <c r="BY998" s="43"/>
      <c r="BZ998" s="43"/>
      <c r="CA998" s="43"/>
      <c r="CB998" s="43"/>
      <c r="CC998" s="43"/>
      <c r="CD998" s="43"/>
      <c r="CE998" s="43"/>
      <c r="CF998" s="43"/>
      <c r="CG998" s="43"/>
      <c r="CH998" s="43"/>
      <c r="CI998" s="43"/>
      <c r="CJ998" s="43"/>
      <c r="CK998" s="43"/>
      <c r="CL998" s="43"/>
      <c r="CM998" s="43"/>
      <c r="CN998" s="43"/>
      <c r="CO998" s="43"/>
      <c r="CP998" s="43"/>
      <c r="CQ998" s="43"/>
      <c r="CR998" s="43"/>
      <c r="CS998" s="43"/>
      <c r="CT998" s="43"/>
    </row>
    <row r="999" spans="1:98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  <c r="AH999" s="43"/>
      <c r="AI999" s="43"/>
      <c r="AJ999" s="43"/>
      <c r="AK999" s="43"/>
      <c r="AL999" s="43"/>
      <c r="AM999" s="43"/>
      <c r="AN999" s="43"/>
      <c r="AO999" s="43"/>
      <c r="AP999" s="43"/>
      <c r="AQ999" s="43"/>
      <c r="AR999" s="43"/>
      <c r="AS999" s="43"/>
      <c r="AT999" s="43"/>
      <c r="AU999" s="43"/>
      <c r="AV999" s="43"/>
      <c r="AW999" s="43"/>
      <c r="AX999" s="43"/>
      <c r="AY999" s="43"/>
      <c r="AZ999" s="43"/>
      <c r="BA999" s="43"/>
      <c r="BB999" s="43"/>
      <c r="BC999" s="43"/>
      <c r="BD999" s="43"/>
      <c r="BE999" s="43"/>
      <c r="BF999" s="43"/>
      <c r="BG999" s="43"/>
      <c r="BH999" s="43"/>
      <c r="BI999" s="43"/>
      <c r="BJ999" s="43"/>
      <c r="BK999" s="43"/>
      <c r="BL999" s="43"/>
      <c r="BM999" s="43"/>
      <c r="BN999" s="43"/>
      <c r="BO999" s="43"/>
      <c r="BP999" s="43"/>
      <c r="BQ999" s="43"/>
      <c r="BR999" s="43"/>
      <c r="BS999" s="43"/>
      <c r="BT999" s="43"/>
      <c r="BU999" s="43"/>
      <c r="BV999" s="43"/>
      <c r="BW999" s="43"/>
      <c r="BX999" s="43"/>
      <c r="BY999" s="43"/>
      <c r="BZ999" s="43"/>
      <c r="CA999" s="43"/>
      <c r="CB999" s="43"/>
      <c r="CC999" s="43"/>
      <c r="CD999" s="43"/>
      <c r="CE999" s="43"/>
      <c r="CF999" s="43"/>
      <c r="CG999" s="43"/>
      <c r="CH999" s="43"/>
      <c r="CI999" s="43"/>
      <c r="CJ999" s="43"/>
      <c r="CK999" s="43"/>
      <c r="CL999" s="43"/>
      <c r="CM999" s="43"/>
      <c r="CN999" s="43"/>
      <c r="CO999" s="43"/>
      <c r="CP999" s="43"/>
      <c r="CQ999" s="43"/>
      <c r="CR999" s="43"/>
      <c r="CS999" s="43"/>
      <c r="CT999" s="43"/>
    </row>
    <row r="1000" spans="1:98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  <c r="AH1000" s="43"/>
      <c r="AI1000" s="43"/>
      <c r="AJ1000" s="43"/>
      <c r="AK1000" s="43"/>
      <c r="AL1000" s="43"/>
      <c r="AM1000" s="43"/>
      <c r="AN1000" s="43"/>
      <c r="AO1000" s="43"/>
      <c r="AP1000" s="43"/>
      <c r="AQ1000" s="43"/>
      <c r="AR1000" s="43"/>
      <c r="AS1000" s="43"/>
      <c r="AT1000" s="43"/>
      <c r="AU1000" s="43"/>
      <c r="AV1000" s="43"/>
      <c r="AW1000" s="43"/>
      <c r="AX1000" s="43"/>
      <c r="AY1000" s="43"/>
      <c r="AZ1000" s="43"/>
      <c r="BA1000" s="43"/>
      <c r="BB1000" s="43"/>
      <c r="BC1000" s="43"/>
      <c r="BD1000" s="43"/>
      <c r="BE1000" s="43"/>
      <c r="BF1000" s="43"/>
      <c r="BG1000" s="43"/>
      <c r="BH1000" s="43"/>
      <c r="BI1000" s="43"/>
      <c r="BJ1000" s="43"/>
      <c r="BK1000" s="43"/>
      <c r="BL1000" s="43"/>
      <c r="BM1000" s="43"/>
      <c r="BN1000" s="43"/>
      <c r="BO1000" s="43"/>
      <c r="BP1000" s="43"/>
      <c r="BQ1000" s="43"/>
      <c r="BR1000" s="43"/>
      <c r="BS1000" s="43"/>
      <c r="BT1000" s="43"/>
      <c r="BU1000" s="43"/>
      <c r="BV1000" s="43"/>
      <c r="BW1000" s="43"/>
      <c r="BX1000" s="43"/>
      <c r="BY1000" s="43"/>
      <c r="BZ1000" s="43"/>
      <c r="CA1000" s="43"/>
      <c r="CB1000" s="43"/>
      <c r="CC1000" s="43"/>
      <c r="CD1000" s="43"/>
      <c r="CE1000" s="43"/>
      <c r="CF1000" s="43"/>
      <c r="CG1000" s="43"/>
      <c r="CH1000" s="43"/>
      <c r="CI1000" s="43"/>
      <c r="CJ1000" s="43"/>
      <c r="CK1000" s="43"/>
      <c r="CL1000" s="43"/>
      <c r="CM1000" s="43"/>
      <c r="CN1000" s="43"/>
      <c r="CO1000" s="43"/>
      <c r="CP1000" s="43"/>
      <c r="CQ1000" s="43"/>
      <c r="CR1000" s="43"/>
      <c r="CS1000" s="43"/>
      <c r="CT1000" s="43"/>
    </row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EPARA"/>
  <dimension ref="A1:L1000"/>
  <sheetViews>
    <sheetView workbookViewId="0"/>
  </sheetViews>
  <sheetFormatPr defaultColWidth="12.625" defaultRowHeight="15" customHeight="1" x14ac:dyDescent="0.2"/>
  <cols>
    <col min="1" max="26" width="7.625" customWidth="1"/>
  </cols>
  <sheetData>
    <row r="1" spans="1:12" ht="18.75" customHeight="1" x14ac:dyDescent="0.25">
      <c r="A1" s="45" t="s">
        <v>214</v>
      </c>
      <c r="B1" s="46" t="s">
        <v>215</v>
      </c>
      <c r="C1" s="47" t="s">
        <v>216</v>
      </c>
      <c r="D1" s="48" t="s">
        <v>217</v>
      </c>
      <c r="E1" s="49" t="s">
        <v>216</v>
      </c>
      <c r="F1" s="48" t="s">
        <v>218</v>
      </c>
      <c r="G1" s="48" t="s">
        <v>219</v>
      </c>
      <c r="H1" s="47" t="s">
        <v>220</v>
      </c>
      <c r="I1" s="47" t="s">
        <v>221</v>
      </c>
      <c r="J1" s="47" t="s">
        <v>222</v>
      </c>
      <c r="K1" s="48" t="s">
        <v>223</v>
      </c>
      <c r="L1" s="50" t="s">
        <v>224</v>
      </c>
    </row>
    <row r="2" spans="1:12" x14ac:dyDescent="0.25">
      <c r="A2" s="51" t="s">
        <v>225</v>
      </c>
      <c r="B2" s="52" t="s">
        <v>226</v>
      </c>
      <c r="C2" s="53">
        <v>2202</v>
      </c>
      <c r="D2" s="54" t="s">
        <v>227</v>
      </c>
      <c r="E2" s="53">
        <v>2202</v>
      </c>
      <c r="F2" s="55" t="s">
        <v>218</v>
      </c>
      <c r="G2" s="55" t="s">
        <v>5</v>
      </c>
      <c r="H2" s="53" t="s">
        <v>0</v>
      </c>
      <c r="I2" s="53" t="s">
        <v>18</v>
      </c>
      <c r="J2" s="55" t="s">
        <v>228</v>
      </c>
      <c r="K2" s="55" t="s">
        <v>7</v>
      </c>
      <c r="L2" s="41" t="s">
        <v>18</v>
      </c>
    </row>
    <row r="3" spans="1:12" x14ac:dyDescent="0.25">
      <c r="A3" s="51" t="s">
        <v>225</v>
      </c>
      <c r="B3" s="52" t="s">
        <v>226</v>
      </c>
      <c r="C3" s="53">
        <v>2204</v>
      </c>
      <c r="D3" s="54" t="s">
        <v>229</v>
      </c>
      <c r="E3" s="53">
        <v>2204</v>
      </c>
      <c r="F3" s="55" t="s">
        <v>218</v>
      </c>
      <c r="G3" s="55" t="s">
        <v>5</v>
      </c>
      <c r="H3" s="53" t="s">
        <v>0</v>
      </c>
      <c r="I3" s="53" t="s">
        <v>18</v>
      </c>
      <c r="J3" s="55" t="s">
        <v>230</v>
      </c>
      <c r="K3" s="55" t="s">
        <v>7</v>
      </c>
      <c r="L3" s="55" t="s">
        <v>18</v>
      </c>
    </row>
    <row r="4" spans="1:12" x14ac:dyDescent="0.25">
      <c r="A4" s="51" t="s">
        <v>225</v>
      </c>
      <c r="B4" s="52" t="s">
        <v>226</v>
      </c>
      <c r="C4" s="53">
        <v>2205</v>
      </c>
      <c r="D4" s="54" t="s">
        <v>231</v>
      </c>
      <c r="E4" s="53">
        <v>2205</v>
      </c>
      <c r="F4" s="55" t="s">
        <v>218</v>
      </c>
      <c r="G4" s="55" t="s">
        <v>5</v>
      </c>
      <c r="H4" s="53" t="s">
        <v>0</v>
      </c>
      <c r="I4" s="53" t="s">
        <v>18</v>
      </c>
      <c r="J4" s="55" t="s">
        <v>232</v>
      </c>
      <c r="K4" s="55" t="s">
        <v>7</v>
      </c>
      <c r="L4" s="55" t="s">
        <v>18</v>
      </c>
    </row>
    <row r="5" spans="1:12" x14ac:dyDescent="0.25">
      <c r="A5" s="51" t="s">
        <v>225</v>
      </c>
      <c r="B5" s="52" t="s">
        <v>226</v>
      </c>
      <c r="C5" s="53">
        <v>2203</v>
      </c>
      <c r="D5" s="54" t="s">
        <v>233</v>
      </c>
      <c r="E5" s="53">
        <v>2203</v>
      </c>
      <c r="F5" s="55" t="s">
        <v>218</v>
      </c>
      <c r="G5" s="55" t="s">
        <v>5</v>
      </c>
      <c r="H5" s="53" t="s">
        <v>0</v>
      </c>
      <c r="I5" s="53" t="s">
        <v>18</v>
      </c>
      <c r="J5" s="55" t="s">
        <v>234</v>
      </c>
      <c r="K5" s="55" t="s">
        <v>7</v>
      </c>
      <c r="L5" s="55" t="s">
        <v>18</v>
      </c>
    </row>
    <row r="6" spans="1:12" x14ac:dyDescent="0.25">
      <c r="A6" s="51" t="s">
        <v>225</v>
      </c>
      <c r="B6" s="52" t="s">
        <v>226</v>
      </c>
      <c r="C6" s="53">
        <v>2201</v>
      </c>
      <c r="D6" s="54" t="s">
        <v>235</v>
      </c>
      <c r="E6" s="53">
        <v>2201</v>
      </c>
      <c r="F6" s="55" t="s">
        <v>218</v>
      </c>
      <c r="G6" s="55" t="s">
        <v>5</v>
      </c>
      <c r="H6" s="53" t="s">
        <v>0</v>
      </c>
      <c r="I6" s="53" t="s">
        <v>18</v>
      </c>
      <c r="J6" s="55" t="s">
        <v>236</v>
      </c>
      <c r="K6" s="55" t="s">
        <v>7</v>
      </c>
      <c r="L6" s="55" t="s">
        <v>18</v>
      </c>
    </row>
    <row r="7" spans="1:12" x14ac:dyDescent="0.25">
      <c r="A7" s="51" t="s">
        <v>225</v>
      </c>
      <c r="B7" s="52" t="s">
        <v>237</v>
      </c>
      <c r="C7" s="53">
        <v>219</v>
      </c>
      <c r="D7" s="54" t="s">
        <v>238</v>
      </c>
      <c r="E7" s="53">
        <v>219</v>
      </c>
      <c r="F7" s="54" t="s">
        <v>218</v>
      </c>
      <c r="G7" s="54" t="s">
        <v>2</v>
      </c>
      <c r="H7" s="53" t="s">
        <v>0</v>
      </c>
      <c r="I7" s="53" t="s">
        <v>15</v>
      </c>
      <c r="J7" s="55" t="s">
        <v>230</v>
      </c>
      <c r="K7" s="54" t="s">
        <v>7</v>
      </c>
      <c r="L7" s="56" t="s">
        <v>239</v>
      </c>
    </row>
    <row r="8" spans="1:12" x14ac:dyDescent="0.25">
      <c r="A8" s="51" t="s">
        <v>225</v>
      </c>
      <c r="B8" s="52" t="s">
        <v>240</v>
      </c>
      <c r="C8" s="53">
        <v>220</v>
      </c>
      <c r="D8" s="54" t="s">
        <v>241</v>
      </c>
      <c r="E8" s="53">
        <v>220</v>
      </c>
      <c r="F8" s="54" t="s">
        <v>218</v>
      </c>
      <c r="G8" s="54" t="s">
        <v>2</v>
      </c>
      <c r="H8" s="53" t="s">
        <v>0</v>
      </c>
      <c r="I8" s="53" t="s">
        <v>15</v>
      </c>
      <c r="J8" s="55" t="s">
        <v>230</v>
      </c>
      <c r="K8" s="54" t="s">
        <v>13</v>
      </c>
      <c r="L8" s="56" t="s">
        <v>239</v>
      </c>
    </row>
    <row r="9" spans="1:12" x14ac:dyDescent="0.25">
      <c r="A9" s="51" t="s">
        <v>225</v>
      </c>
      <c r="B9" s="52" t="s">
        <v>242</v>
      </c>
      <c r="C9" s="53">
        <v>221</v>
      </c>
      <c r="D9" s="54" t="s">
        <v>243</v>
      </c>
      <c r="E9" s="53">
        <v>221</v>
      </c>
      <c r="F9" s="54" t="s">
        <v>218</v>
      </c>
      <c r="G9" s="54" t="s">
        <v>2</v>
      </c>
      <c r="H9" s="53" t="s">
        <v>0</v>
      </c>
      <c r="I9" s="53" t="s">
        <v>15</v>
      </c>
      <c r="J9" s="55" t="s">
        <v>230</v>
      </c>
      <c r="K9" s="54" t="s">
        <v>8</v>
      </c>
      <c r="L9" s="56" t="s">
        <v>239</v>
      </c>
    </row>
    <row r="10" spans="1:12" x14ac:dyDescent="0.25">
      <c r="A10" s="51" t="s">
        <v>225</v>
      </c>
      <c r="B10" s="52" t="s">
        <v>244</v>
      </c>
      <c r="C10" s="53">
        <v>222</v>
      </c>
      <c r="D10" s="54" t="s">
        <v>245</v>
      </c>
      <c r="E10" s="53">
        <v>222</v>
      </c>
      <c r="F10" s="54" t="s">
        <v>218</v>
      </c>
      <c r="G10" s="54" t="s">
        <v>2</v>
      </c>
      <c r="H10" s="53" t="s">
        <v>0</v>
      </c>
      <c r="I10" s="53" t="s">
        <v>15</v>
      </c>
      <c r="J10" s="55" t="s">
        <v>230</v>
      </c>
      <c r="K10" s="54" t="s">
        <v>9</v>
      </c>
      <c r="L10" s="56" t="s">
        <v>239</v>
      </c>
    </row>
    <row r="11" spans="1:12" x14ac:dyDescent="0.25">
      <c r="A11" s="51" t="s">
        <v>225</v>
      </c>
      <c r="B11" s="52" t="s">
        <v>246</v>
      </c>
      <c r="C11" s="53">
        <v>223</v>
      </c>
      <c r="D11" s="54" t="s">
        <v>247</v>
      </c>
      <c r="E11" s="53">
        <v>223</v>
      </c>
      <c r="F11" s="54" t="s">
        <v>218</v>
      </c>
      <c r="G11" s="54" t="s">
        <v>2</v>
      </c>
      <c r="H11" s="53" t="s">
        <v>0</v>
      </c>
      <c r="I11" s="53" t="s">
        <v>15</v>
      </c>
      <c r="J11" s="55" t="s">
        <v>230</v>
      </c>
      <c r="K11" s="54" t="s">
        <v>12</v>
      </c>
      <c r="L11" s="56" t="s">
        <v>239</v>
      </c>
    </row>
    <row r="12" spans="1:12" x14ac:dyDescent="0.25">
      <c r="A12" s="51" t="s">
        <v>225</v>
      </c>
      <c r="B12" s="52" t="s">
        <v>248</v>
      </c>
      <c r="C12" s="53">
        <v>224</v>
      </c>
      <c r="D12" s="54" t="s">
        <v>249</v>
      </c>
      <c r="E12" s="53">
        <v>224</v>
      </c>
      <c r="F12" s="54" t="s">
        <v>218</v>
      </c>
      <c r="G12" s="54" t="s">
        <v>2</v>
      </c>
      <c r="H12" s="53" t="s">
        <v>0</v>
      </c>
      <c r="I12" s="53" t="s">
        <v>15</v>
      </c>
      <c r="J12" s="55" t="s">
        <v>230</v>
      </c>
      <c r="K12" s="54" t="s">
        <v>11</v>
      </c>
      <c r="L12" s="56" t="s">
        <v>239</v>
      </c>
    </row>
    <row r="13" spans="1:12" x14ac:dyDescent="0.25">
      <c r="A13" s="51" t="s">
        <v>225</v>
      </c>
      <c r="B13" s="52" t="s">
        <v>250</v>
      </c>
      <c r="C13" s="53">
        <v>249</v>
      </c>
      <c r="D13" s="54" t="s">
        <v>251</v>
      </c>
      <c r="E13" s="53">
        <v>249</v>
      </c>
      <c r="F13" s="54" t="s">
        <v>218</v>
      </c>
      <c r="G13" s="54" t="s">
        <v>2</v>
      </c>
      <c r="H13" s="53" t="s">
        <v>0</v>
      </c>
      <c r="I13" s="53" t="s">
        <v>17</v>
      </c>
      <c r="J13" s="55" t="s">
        <v>230</v>
      </c>
      <c r="K13" s="54" t="s">
        <v>7</v>
      </c>
      <c r="L13" s="56" t="s">
        <v>239</v>
      </c>
    </row>
    <row r="14" spans="1:12" x14ac:dyDescent="0.25">
      <c r="A14" s="51" t="s">
        <v>225</v>
      </c>
      <c r="B14" s="52" t="s">
        <v>252</v>
      </c>
      <c r="C14" s="53">
        <v>250</v>
      </c>
      <c r="D14" s="54" t="s">
        <v>253</v>
      </c>
      <c r="E14" s="53">
        <v>250</v>
      </c>
      <c r="F14" s="54" t="s">
        <v>218</v>
      </c>
      <c r="G14" s="54" t="s">
        <v>2</v>
      </c>
      <c r="H14" s="53" t="s">
        <v>0</v>
      </c>
      <c r="I14" s="53" t="s">
        <v>17</v>
      </c>
      <c r="J14" s="55" t="s">
        <v>230</v>
      </c>
      <c r="K14" s="54" t="s">
        <v>13</v>
      </c>
      <c r="L14" s="56" t="s">
        <v>239</v>
      </c>
    </row>
    <row r="15" spans="1:12" x14ac:dyDescent="0.25">
      <c r="A15" s="51" t="s">
        <v>225</v>
      </c>
      <c r="B15" s="52" t="s">
        <v>254</v>
      </c>
      <c r="C15" s="53">
        <v>251</v>
      </c>
      <c r="D15" s="54" t="s">
        <v>255</v>
      </c>
      <c r="E15" s="53">
        <v>251</v>
      </c>
      <c r="F15" s="54" t="s">
        <v>218</v>
      </c>
      <c r="G15" s="54" t="s">
        <v>2</v>
      </c>
      <c r="H15" s="53" t="s">
        <v>0</v>
      </c>
      <c r="I15" s="53" t="s">
        <v>17</v>
      </c>
      <c r="J15" s="55" t="s">
        <v>230</v>
      </c>
      <c r="K15" s="54" t="s">
        <v>8</v>
      </c>
      <c r="L15" s="56" t="s">
        <v>239</v>
      </c>
    </row>
    <row r="16" spans="1:12" x14ac:dyDescent="0.25">
      <c r="A16" s="51" t="s">
        <v>225</v>
      </c>
      <c r="B16" s="52" t="s">
        <v>256</v>
      </c>
      <c r="C16" s="53">
        <v>252</v>
      </c>
      <c r="D16" s="54" t="s">
        <v>257</v>
      </c>
      <c r="E16" s="53">
        <v>252</v>
      </c>
      <c r="F16" s="54" t="s">
        <v>218</v>
      </c>
      <c r="G16" s="54" t="s">
        <v>2</v>
      </c>
      <c r="H16" s="53" t="s">
        <v>0</v>
      </c>
      <c r="I16" s="53" t="s">
        <v>17</v>
      </c>
      <c r="J16" s="55" t="s">
        <v>230</v>
      </c>
      <c r="K16" s="54" t="s">
        <v>9</v>
      </c>
      <c r="L16" s="56" t="s">
        <v>239</v>
      </c>
    </row>
    <row r="17" spans="1:12" x14ac:dyDescent="0.25">
      <c r="A17" s="51" t="s">
        <v>225</v>
      </c>
      <c r="B17" s="52" t="s">
        <v>258</v>
      </c>
      <c r="C17" s="53">
        <v>253</v>
      </c>
      <c r="D17" s="54" t="s">
        <v>259</v>
      </c>
      <c r="E17" s="53">
        <v>253</v>
      </c>
      <c r="F17" s="54" t="s">
        <v>218</v>
      </c>
      <c r="G17" s="54" t="s">
        <v>2</v>
      </c>
      <c r="H17" s="53" t="s">
        <v>0</v>
      </c>
      <c r="I17" s="53" t="s">
        <v>17</v>
      </c>
      <c r="J17" s="55" t="s">
        <v>230</v>
      </c>
      <c r="K17" s="54" t="s">
        <v>12</v>
      </c>
      <c r="L17" s="56" t="s">
        <v>239</v>
      </c>
    </row>
    <row r="18" spans="1:12" x14ac:dyDescent="0.25">
      <c r="A18" s="51" t="s">
        <v>225</v>
      </c>
      <c r="B18" s="52" t="s">
        <v>260</v>
      </c>
      <c r="C18" s="53">
        <v>254</v>
      </c>
      <c r="D18" s="54" t="s">
        <v>261</v>
      </c>
      <c r="E18" s="53">
        <v>254</v>
      </c>
      <c r="F18" s="54" t="s">
        <v>218</v>
      </c>
      <c r="G18" s="54" t="s">
        <v>2</v>
      </c>
      <c r="H18" s="53" t="s">
        <v>0</v>
      </c>
      <c r="I18" s="53" t="s">
        <v>17</v>
      </c>
      <c r="J18" s="55" t="s">
        <v>230</v>
      </c>
      <c r="K18" s="54" t="s">
        <v>11</v>
      </c>
      <c r="L18" s="56" t="s">
        <v>239</v>
      </c>
    </row>
    <row r="19" spans="1:12" x14ac:dyDescent="0.25">
      <c r="A19" s="51" t="s">
        <v>225</v>
      </c>
      <c r="B19" s="52" t="s">
        <v>237</v>
      </c>
      <c r="C19" s="53">
        <v>279</v>
      </c>
      <c r="D19" s="54" t="s">
        <v>262</v>
      </c>
      <c r="E19" s="53">
        <v>279</v>
      </c>
      <c r="F19" s="54" t="s">
        <v>218</v>
      </c>
      <c r="G19" s="54" t="s">
        <v>2</v>
      </c>
      <c r="H19" s="53" t="s">
        <v>1</v>
      </c>
      <c r="I19" s="53" t="s">
        <v>15</v>
      </c>
      <c r="J19" s="55" t="s">
        <v>230</v>
      </c>
      <c r="K19" s="54" t="s">
        <v>7</v>
      </c>
      <c r="L19" s="56" t="s">
        <v>239</v>
      </c>
    </row>
    <row r="20" spans="1:12" x14ac:dyDescent="0.25">
      <c r="A20" s="51" t="s">
        <v>225</v>
      </c>
      <c r="B20" s="52" t="s">
        <v>240</v>
      </c>
      <c r="C20" s="53">
        <v>280</v>
      </c>
      <c r="D20" s="54" t="s">
        <v>263</v>
      </c>
      <c r="E20" s="53">
        <v>280</v>
      </c>
      <c r="F20" s="54" t="s">
        <v>218</v>
      </c>
      <c r="G20" s="54" t="s">
        <v>2</v>
      </c>
      <c r="H20" s="53" t="s">
        <v>1</v>
      </c>
      <c r="I20" s="53" t="s">
        <v>15</v>
      </c>
      <c r="J20" s="55" t="s">
        <v>230</v>
      </c>
      <c r="K20" s="54" t="s">
        <v>13</v>
      </c>
      <c r="L20" s="56" t="s">
        <v>239</v>
      </c>
    </row>
    <row r="21" spans="1:12" ht="15.75" customHeight="1" x14ac:dyDescent="0.25">
      <c r="A21" s="51" t="s">
        <v>225</v>
      </c>
      <c r="B21" s="52" t="s">
        <v>242</v>
      </c>
      <c r="C21" s="53">
        <v>281</v>
      </c>
      <c r="D21" s="54" t="s">
        <v>264</v>
      </c>
      <c r="E21" s="53">
        <v>281</v>
      </c>
      <c r="F21" s="54" t="s">
        <v>218</v>
      </c>
      <c r="G21" s="54" t="s">
        <v>2</v>
      </c>
      <c r="H21" s="53" t="s">
        <v>1</v>
      </c>
      <c r="I21" s="53" t="s">
        <v>15</v>
      </c>
      <c r="J21" s="55" t="s">
        <v>230</v>
      </c>
      <c r="K21" s="54" t="s">
        <v>8</v>
      </c>
      <c r="L21" s="56" t="s">
        <v>239</v>
      </c>
    </row>
    <row r="22" spans="1:12" ht="15.75" customHeight="1" x14ac:dyDescent="0.25">
      <c r="A22" s="51" t="s">
        <v>225</v>
      </c>
      <c r="B22" s="52" t="s">
        <v>244</v>
      </c>
      <c r="C22" s="53">
        <v>282</v>
      </c>
      <c r="D22" s="54" t="s">
        <v>265</v>
      </c>
      <c r="E22" s="53">
        <v>282</v>
      </c>
      <c r="F22" s="54" t="s">
        <v>218</v>
      </c>
      <c r="G22" s="54" t="s">
        <v>2</v>
      </c>
      <c r="H22" s="53" t="s">
        <v>1</v>
      </c>
      <c r="I22" s="53" t="s">
        <v>15</v>
      </c>
      <c r="J22" s="55" t="s">
        <v>230</v>
      </c>
      <c r="K22" s="54" t="s">
        <v>9</v>
      </c>
      <c r="L22" s="56" t="s">
        <v>239</v>
      </c>
    </row>
    <row r="23" spans="1:12" ht="15.75" customHeight="1" x14ac:dyDescent="0.25">
      <c r="A23" s="51" t="s">
        <v>225</v>
      </c>
      <c r="B23" s="52" t="s">
        <v>246</v>
      </c>
      <c r="C23" s="53">
        <v>283</v>
      </c>
      <c r="D23" s="54" t="s">
        <v>266</v>
      </c>
      <c r="E23" s="53">
        <v>283</v>
      </c>
      <c r="F23" s="54" t="s">
        <v>218</v>
      </c>
      <c r="G23" s="54" t="s">
        <v>2</v>
      </c>
      <c r="H23" s="53" t="s">
        <v>1</v>
      </c>
      <c r="I23" s="53" t="s">
        <v>15</v>
      </c>
      <c r="J23" s="55" t="s">
        <v>230</v>
      </c>
      <c r="K23" s="54" t="s">
        <v>12</v>
      </c>
      <c r="L23" s="56" t="s">
        <v>239</v>
      </c>
    </row>
    <row r="24" spans="1:12" ht="15.75" customHeight="1" x14ac:dyDescent="0.25">
      <c r="A24" s="51" t="s">
        <v>225</v>
      </c>
      <c r="B24" s="52" t="s">
        <v>248</v>
      </c>
      <c r="C24" s="53">
        <v>284</v>
      </c>
      <c r="D24" s="54" t="s">
        <v>267</v>
      </c>
      <c r="E24" s="53">
        <v>284</v>
      </c>
      <c r="F24" s="54" t="s">
        <v>218</v>
      </c>
      <c r="G24" s="54" t="s">
        <v>2</v>
      </c>
      <c r="H24" s="53" t="s">
        <v>1</v>
      </c>
      <c r="I24" s="53" t="s">
        <v>15</v>
      </c>
      <c r="J24" s="55" t="s">
        <v>230</v>
      </c>
      <c r="K24" s="54" t="s">
        <v>11</v>
      </c>
      <c r="L24" s="56" t="s">
        <v>239</v>
      </c>
    </row>
    <row r="25" spans="1:12" ht="15.75" customHeight="1" x14ac:dyDescent="0.25">
      <c r="A25" s="51" t="s">
        <v>225</v>
      </c>
      <c r="B25" s="52" t="s">
        <v>250</v>
      </c>
      <c r="C25" s="53">
        <v>309</v>
      </c>
      <c r="D25" s="54" t="s">
        <v>268</v>
      </c>
      <c r="E25" s="53">
        <v>309</v>
      </c>
      <c r="F25" s="54" t="s">
        <v>218</v>
      </c>
      <c r="G25" s="54" t="s">
        <v>2</v>
      </c>
      <c r="H25" s="53" t="s">
        <v>1</v>
      </c>
      <c r="I25" s="53" t="s">
        <v>17</v>
      </c>
      <c r="J25" s="55" t="s">
        <v>230</v>
      </c>
      <c r="K25" s="54" t="s">
        <v>7</v>
      </c>
      <c r="L25" s="56" t="s">
        <v>239</v>
      </c>
    </row>
    <row r="26" spans="1:12" ht="15.75" customHeight="1" x14ac:dyDescent="0.25">
      <c r="A26" s="51" t="s">
        <v>225</v>
      </c>
      <c r="B26" s="52" t="s">
        <v>252</v>
      </c>
      <c r="C26" s="53">
        <v>310</v>
      </c>
      <c r="D26" s="54" t="s">
        <v>269</v>
      </c>
      <c r="E26" s="53">
        <v>310</v>
      </c>
      <c r="F26" s="54" t="s">
        <v>218</v>
      </c>
      <c r="G26" s="54" t="s">
        <v>2</v>
      </c>
      <c r="H26" s="53" t="s">
        <v>1</v>
      </c>
      <c r="I26" s="53" t="s">
        <v>17</v>
      </c>
      <c r="J26" s="55" t="s">
        <v>230</v>
      </c>
      <c r="K26" s="54" t="s">
        <v>13</v>
      </c>
      <c r="L26" s="56" t="s">
        <v>239</v>
      </c>
    </row>
    <row r="27" spans="1:12" ht="15.75" customHeight="1" x14ac:dyDescent="0.25">
      <c r="A27" s="51" t="s">
        <v>225</v>
      </c>
      <c r="B27" s="52" t="s">
        <v>254</v>
      </c>
      <c r="C27" s="53">
        <v>311</v>
      </c>
      <c r="D27" s="54" t="s">
        <v>270</v>
      </c>
      <c r="E27" s="53">
        <v>311</v>
      </c>
      <c r="F27" s="54" t="s">
        <v>218</v>
      </c>
      <c r="G27" s="54" t="s">
        <v>2</v>
      </c>
      <c r="H27" s="53" t="s">
        <v>1</v>
      </c>
      <c r="I27" s="53" t="s">
        <v>17</v>
      </c>
      <c r="J27" s="55" t="s">
        <v>230</v>
      </c>
      <c r="K27" s="54" t="s">
        <v>8</v>
      </c>
      <c r="L27" s="56" t="s">
        <v>239</v>
      </c>
    </row>
    <row r="28" spans="1:12" ht="15.75" customHeight="1" x14ac:dyDescent="0.25">
      <c r="A28" s="51" t="s">
        <v>225</v>
      </c>
      <c r="B28" s="52" t="s">
        <v>256</v>
      </c>
      <c r="C28" s="53">
        <v>312</v>
      </c>
      <c r="D28" s="54" t="s">
        <v>271</v>
      </c>
      <c r="E28" s="53">
        <v>312</v>
      </c>
      <c r="F28" s="54" t="s">
        <v>218</v>
      </c>
      <c r="G28" s="54" t="s">
        <v>2</v>
      </c>
      <c r="H28" s="53" t="s">
        <v>1</v>
      </c>
      <c r="I28" s="53" t="s">
        <v>17</v>
      </c>
      <c r="J28" s="55" t="s">
        <v>230</v>
      </c>
      <c r="K28" s="54" t="s">
        <v>9</v>
      </c>
      <c r="L28" s="56" t="s">
        <v>239</v>
      </c>
    </row>
    <row r="29" spans="1:12" ht="15.75" customHeight="1" x14ac:dyDescent="0.25">
      <c r="A29" s="51" t="s">
        <v>225</v>
      </c>
      <c r="B29" s="52" t="s">
        <v>258</v>
      </c>
      <c r="C29" s="53">
        <v>313</v>
      </c>
      <c r="D29" s="54" t="s">
        <v>272</v>
      </c>
      <c r="E29" s="53">
        <v>313</v>
      </c>
      <c r="F29" s="54" t="s">
        <v>218</v>
      </c>
      <c r="G29" s="54" t="s">
        <v>2</v>
      </c>
      <c r="H29" s="53" t="s">
        <v>1</v>
      </c>
      <c r="I29" s="53" t="s">
        <v>17</v>
      </c>
      <c r="J29" s="55" t="s">
        <v>230</v>
      </c>
      <c r="K29" s="54" t="s">
        <v>12</v>
      </c>
      <c r="L29" s="56" t="s">
        <v>239</v>
      </c>
    </row>
    <row r="30" spans="1:12" ht="15.75" customHeight="1" x14ac:dyDescent="0.25">
      <c r="A30" s="51" t="s">
        <v>225</v>
      </c>
      <c r="B30" s="52" t="s">
        <v>260</v>
      </c>
      <c r="C30" s="53">
        <v>314</v>
      </c>
      <c r="D30" s="54" t="s">
        <v>273</v>
      </c>
      <c r="E30" s="53">
        <v>314</v>
      </c>
      <c r="F30" s="54" t="s">
        <v>218</v>
      </c>
      <c r="G30" s="54" t="s">
        <v>2</v>
      </c>
      <c r="H30" s="53" t="s">
        <v>1</v>
      </c>
      <c r="I30" s="53" t="s">
        <v>17</v>
      </c>
      <c r="J30" s="55" t="s">
        <v>230</v>
      </c>
      <c r="K30" s="54" t="s">
        <v>11</v>
      </c>
      <c r="L30" s="56" t="s">
        <v>239</v>
      </c>
    </row>
    <row r="31" spans="1:12" ht="15.75" customHeight="1" x14ac:dyDescent="0.25">
      <c r="A31" s="51" t="s">
        <v>225</v>
      </c>
      <c r="B31" s="52" t="s">
        <v>274</v>
      </c>
      <c r="C31" s="53">
        <v>884</v>
      </c>
      <c r="D31" s="54" t="s">
        <v>275</v>
      </c>
      <c r="E31" s="53">
        <v>884</v>
      </c>
      <c r="F31" s="54" t="s">
        <v>218</v>
      </c>
      <c r="G31" s="54" t="s">
        <v>2</v>
      </c>
      <c r="H31" s="53" t="s">
        <v>0</v>
      </c>
      <c r="I31" s="53" t="s">
        <v>15</v>
      </c>
      <c r="J31" s="55" t="s">
        <v>230</v>
      </c>
      <c r="K31" s="54" t="s">
        <v>10</v>
      </c>
      <c r="L31" s="56" t="s">
        <v>239</v>
      </c>
    </row>
    <row r="32" spans="1:12" ht="15.75" customHeight="1" x14ac:dyDescent="0.25">
      <c r="A32" s="51" t="s">
        <v>225</v>
      </c>
      <c r="B32" s="52" t="s">
        <v>276</v>
      </c>
      <c r="C32" s="53">
        <v>889</v>
      </c>
      <c r="D32" s="54" t="s">
        <v>277</v>
      </c>
      <c r="E32" s="53">
        <v>889</v>
      </c>
      <c r="F32" s="54" t="s">
        <v>218</v>
      </c>
      <c r="G32" s="54" t="s">
        <v>2</v>
      </c>
      <c r="H32" s="53" t="s">
        <v>0</v>
      </c>
      <c r="I32" s="53" t="s">
        <v>17</v>
      </c>
      <c r="J32" s="55" t="s">
        <v>230</v>
      </c>
      <c r="K32" s="54" t="s">
        <v>10</v>
      </c>
      <c r="L32" s="56" t="s">
        <v>239</v>
      </c>
    </row>
    <row r="33" spans="1:12" ht="15.75" customHeight="1" x14ac:dyDescent="0.25">
      <c r="A33" s="51" t="s">
        <v>225</v>
      </c>
      <c r="B33" s="52" t="s">
        <v>274</v>
      </c>
      <c r="C33" s="53">
        <v>894</v>
      </c>
      <c r="D33" s="54" t="s">
        <v>278</v>
      </c>
      <c r="E33" s="53">
        <v>894</v>
      </c>
      <c r="F33" s="54" t="s">
        <v>218</v>
      </c>
      <c r="G33" s="54" t="s">
        <v>2</v>
      </c>
      <c r="H33" s="53" t="s">
        <v>1</v>
      </c>
      <c r="I33" s="53" t="s">
        <v>15</v>
      </c>
      <c r="J33" s="55" t="s">
        <v>230</v>
      </c>
      <c r="K33" s="54" t="s">
        <v>10</v>
      </c>
      <c r="L33" s="56" t="s">
        <v>239</v>
      </c>
    </row>
    <row r="34" spans="1:12" ht="15.75" customHeight="1" x14ac:dyDescent="0.25">
      <c r="A34" s="51" t="s">
        <v>225</v>
      </c>
      <c r="B34" s="52" t="s">
        <v>276</v>
      </c>
      <c r="C34" s="53">
        <v>899</v>
      </c>
      <c r="D34" s="54" t="s">
        <v>279</v>
      </c>
      <c r="E34" s="53">
        <v>899</v>
      </c>
      <c r="F34" s="54" t="s">
        <v>218</v>
      </c>
      <c r="G34" s="54" t="s">
        <v>2</v>
      </c>
      <c r="H34" s="53" t="s">
        <v>1</v>
      </c>
      <c r="I34" s="53" t="s">
        <v>17</v>
      </c>
      <c r="J34" s="55" t="s">
        <v>230</v>
      </c>
      <c r="K34" s="54" t="s">
        <v>10</v>
      </c>
      <c r="L34" s="56" t="s">
        <v>239</v>
      </c>
    </row>
    <row r="35" spans="1:12" ht="15.75" customHeight="1" x14ac:dyDescent="0.25">
      <c r="A35" s="51" t="s">
        <v>225</v>
      </c>
      <c r="B35" s="52" t="s">
        <v>237</v>
      </c>
      <c r="C35" s="53">
        <v>225</v>
      </c>
      <c r="D35" s="54" t="s">
        <v>280</v>
      </c>
      <c r="E35" s="53">
        <v>225</v>
      </c>
      <c r="F35" s="54" t="s">
        <v>218</v>
      </c>
      <c r="G35" s="54" t="s">
        <v>2</v>
      </c>
      <c r="H35" s="53" t="s">
        <v>0</v>
      </c>
      <c r="I35" s="53" t="s">
        <v>15</v>
      </c>
      <c r="J35" s="55" t="s">
        <v>232</v>
      </c>
      <c r="K35" s="54" t="s">
        <v>7</v>
      </c>
      <c r="L35" s="56" t="s">
        <v>239</v>
      </c>
    </row>
    <row r="36" spans="1:12" ht="15.75" customHeight="1" x14ac:dyDescent="0.25">
      <c r="A36" s="51" t="s">
        <v>225</v>
      </c>
      <c r="B36" s="52" t="s">
        <v>240</v>
      </c>
      <c r="C36" s="53">
        <v>226</v>
      </c>
      <c r="D36" s="54" t="s">
        <v>281</v>
      </c>
      <c r="E36" s="53">
        <v>226</v>
      </c>
      <c r="F36" s="54" t="s">
        <v>218</v>
      </c>
      <c r="G36" s="54" t="s">
        <v>2</v>
      </c>
      <c r="H36" s="53" t="s">
        <v>0</v>
      </c>
      <c r="I36" s="53" t="s">
        <v>15</v>
      </c>
      <c r="J36" s="55" t="s">
        <v>232</v>
      </c>
      <c r="K36" s="54" t="s">
        <v>13</v>
      </c>
      <c r="L36" s="56" t="s">
        <v>239</v>
      </c>
    </row>
    <row r="37" spans="1:12" ht="15.75" customHeight="1" x14ac:dyDescent="0.25">
      <c r="A37" s="51" t="s">
        <v>225</v>
      </c>
      <c r="B37" s="52" t="s">
        <v>242</v>
      </c>
      <c r="C37" s="53">
        <v>227</v>
      </c>
      <c r="D37" s="54" t="s">
        <v>282</v>
      </c>
      <c r="E37" s="53">
        <v>227</v>
      </c>
      <c r="F37" s="54" t="s">
        <v>218</v>
      </c>
      <c r="G37" s="54" t="s">
        <v>2</v>
      </c>
      <c r="H37" s="53" t="s">
        <v>0</v>
      </c>
      <c r="I37" s="53" t="s">
        <v>15</v>
      </c>
      <c r="J37" s="55" t="s">
        <v>232</v>
      </c>
      <c r="K37" s="54" t="s">
        <v>8</v>
      </c>
      <c r="L37" s="56" t="s">
        <v>239</v>
      </c>
    </row>
    <row r="38" spans="1:12" ht="15.75" customHeight="1" x14ac:dyDescent="0.25">
      <c r="A38" s="51" t="s">
        <v>225</v>
      </c>
      <c r="B38" s="52" t="s">
        <v>244</v>
      </c>
      <c r="C38" s="53">
        <v>228</v>
      </c>
      <c r="D38" s="54" t="s">
        <v>283</v>
      </c>
      <c r="E38" s="53">
        <v>228</v>
      </c>
      <c r="F38" s="54" t="s">
        <v>218</v>
      </c>
      <c r="G38" s="54" t="s">
        <v>2</v>
      </c>
      <c r="H38" s="53" t="s">
        <v>0</v>
      </c>
      <c r="I38" s="53" t="s">
        <v>15</v>
      </c>
      <c r="J38" s="55" t="s">
        <v>232</v>
      </c>
      <c r="K38" s="54" t="s">
        <v>9</v>
      </c>
      <c r="L38" s="56" t="s">
        <v>239</v>
      </c>
    </row>
    <row r="39" spans="1:12" ht="15.75" customHeight="1" x14ac:dyDescent="0.25">
      <c r="A39" s="51" t="s">
        <v>225</v>
      </c>
      <c r="B39" s="52" t="s">
        <v>246</v>
      </c>
      <c r="C39" s="53">
        <v>229</v>
      </c>
      <c r="D39" s="54" t="s">
        <v>284</v>
      </c>
      <c r="E39" s="53">
        <v>229</v>
      </c>
      <c r="F39" s="54" t="s">
        <v>218</v>
      </c>
      <c r="G39" s="54" t="s">
        <v>2</v>
      </c>
      <c r="H39" s="53" t="s">
        <v>0</v>
      </c>
      <c r="I39" s="53" t="s">
        <v>15</v>
      </c>
      <c r="J39" s="55" t="s">
        <v>232</v>
      </c>
      <c r="K39" s="54" t="s">
        <v>12</v>
      </c>
      <c r="L39" s="56" t="s">
        <v>239</v>
      </c>
    </row>
    <row r="40" spans="1:12" ht="15.75" customHeight="1" x14ac:dyDescent="0.25">
      <c r="A40" s="51" t="s">
        <v>225</v>
      </c>
      <c r="B40" s="52" t="s">
        <v>248</v>
      </c>
      <c r="C40" s="53">
        <v>230</v>
      </c>
      <c r="D40" s="54" t="s">
        <v>285</v>
      </c>
      <c r="E40" s="53">
        <v>230</v>
      </c>
      <c r="F40" s="54" t="s">
        <v>218</v>
      </c>
      <c r="G40" s="54" t="s">
        <v>2</v>
      </c>
      <c r="H40" s="53" t="s">
        <v>0</v>
      </c>
      <c r="I40" s="53" t="s">
        <v>15</v>
      </c>
      <c r="J40" s="55" t="s">
        <v>232</v>
      </c>
      <c r="K40" s="54" t="s">
        <v>11</v>
      </c>
      <c r="L40" s="56" t="s">
        <v>239</v>
      </c>
    </row>
    <row r="41" spans="1:12" ht="15.75" customHeight="1" x14ac:dyDescent="0.25">
      <c r="A41" s="51" t="s">
        <v>225</v>
      </c>
      <c r="B41" s="52" t="s">
        <v>250</v>
      </c>
      <c r="C41" s="53">
        <v>255</v>
      </c>
      <c r="D41" s="54" t="s">
        <v>286</v>
      </c>
      <c r="E41" s="53">
        <v>255</v>
      </c>
      <c r="F41" s="54" t="s">
        <v>218</v>
      </c>
      <c r="G41" s="54" t="s">
        <v>2</v>
      </c>
      <c r="H41" s="53" t="s">
        <v>0</v>
      </c>
      <c r="I41" s="53" t="s">
        <v>17</v>
      </c>
      <c r="J41" s="55" t="s">
        <v>232</v>
      </c>
      <c r="K41" s="54" t="s">
        <v>7</v>
      </c>
      <c r="L41" s="56" t="s">
        <v>239</v>
      </c>
    </row>
    <row r="42" spans="1:12" ht="15.75" customHeight="1" x14ac:dyDescent="0.25">
      <c r="A42" s="51" t="s">
        <v>225</v>
      </c>
      <c r="B42" s="52" t="s">
        <v>252</v>
      </c>
      <c r="C42" s="53">
        <v>256</v>
      </c>
      <c r="D42" s="54" t="s">
        <v>287</v>
      </c>
      <c r="E42" s="53">
        <v>256</v>
      </c>
      <c r="F42" s="54" t="s">
        <v>218</v>
      </c>
      <c r="G42" s="54" t="s">
        <v>2</v>
      </c>
      <c r="H42" s="53" t="s">
        <v>0</v>
      </c>
      <c r="I42" s="53" t="s">
        <v>17</v>
      </c>
      <c r="J42" s="55" t="s">
        <v>232</v>
      </c>
      <c r="K42" s="54" t="s">
        <v>13</v>
      </c>
      <c r="L42" s="56" t="s">
        <v>239</v>
      </c>
    </row>
    <row r="43" spans="1:12" ht="15.75" customHeight="1" x14ac:dyDescent="0.25">
      <c r="A43" s="51" t="s">
        <v>225</v>
      </c>
      <c r="B43" s="52" t="s">
        <v>254</v>
      </c>
      <c r="C43" s="53">
        <v>257</v>
      </c>
      <c r="D43" s="54" t="s">
        <v>288</v>
      </c>
      <c r="E43" s="53">
        <v>257</v>
      </c>
      <c r="F43" s="54" t="s">
        <v>218</v>
      </c>
      <c r="G43" s="54" t="s">
        <v>2</v>
      </c>
      <c r="H43" s="53" t="s">
        <v>0</v>
      </c>
      <c r="I43" s="53" t="s">
        <v>17</v>
      </c>
      <c r="J43" s="55" t="s">
        <v>232</v>
      </c>
      <c r="K43" s="54" t="s">
        <v>8</v>
      </c>
      <c r="L43" s="56" t="s">
        <v>239</v>
      </c>
    </row>
    <row r="44" spans="1:12" ht="15.75" customHeight="1" x14ac:dyDescent="0.25">
      <c r="A44" s="51" t="s">
        <v>225</v>
      </c>
      <c r="B44" s="52" t="s">
        <v>256</v>
      </c>
      <c r="C44" s="53">
        <v>258</v>
      </c>
      <c r="D44" s="54" t="s">
        <v>289</v>
      </c>
      <c r="E44" s="53">
        <v>258</v>
      </c>
      <c r="F44" s="54" t="s">
        <v>218</v>
      </c>
      <c r="G44" s="54" t="s">
        <v>2</v>
      </c>
      <c r="H44" s="53" t="s">
        <v>0</v>
      </c>
      <c r="I44" s="53" t="s">
        <v>17</v>
      </c>
      <c r="J44" s="55" t="s">
        <v>232</v>
      </c>
      <c r="K44" s="54" t="s">
        <v>9</v>
      </c>
      <c r="L44" s="56" t="s">
        <v>239</v>
      </c>
    </row>
    <row r="45" spans="1:12" ht="15.75" customHeight="1" x14ac:dyDescent="0.25">
      <c r="A45" s="51" t="s">
        <v>225</v>
      </c>
      <c r="B45" s="52" t="s">
        <v>258</v>
      </c>
      <c r="C45" s="53">
        <v>259</v>
      </c>
      <c r="D45" s="54" t="s">
        <v>290</v>
      </c>
      <c r="E45" s="53">
        <v>259</v>
      </c>
      <c r="F45" s="54" t="s">
        <v>218</v>
      </c>
      <c r="G45" s="54" t="s">
        <v>2</v>
      </c>
      <c r="H45" s="53" t="s">
        <v>0</v>
      </c>
      <c r="I45" s="53" t="s">
        <v>17</v>
      </c>
      <c r="J45" s="55" t="s">
        <v>232</v>
      </c>
      <c r="K45" s="54" t="s">
        <v>12</v>
      </c>
      <c r="L45" s="56" t="s">
        <v>239</v>
      </c>
    </row>
    <row r="46" spans="1:12" ht="15.75" customHeight="1" x14ac:dyDescent="0.25">
      <c r="A46" s="51" t="s">
        <v>225</v>
      </c>
      <c r="B46" s="52" t="s">
        <v>260</v>
      </c>
      <c r="C46" s="53">
        <v>260</v>
      </c>
      <c r="D46" s="54" t="s">
        <v>291</v>
      </c>
      <c r="E46" s="53">
        <v>260</v>
      </c>
      <c r="F46" s="54" t="s">
        <v>218</v>
      </c>
      <c r="G46" s="54" t="s">
        <v>2</v>
      </c>
      <c r="H46" s="53" t="s">
        <v>0</v>
      </c>
      <c r="I46" s="53" t="s">
        <v>17</v>
      </c>
      <c r="J46" s="55" t="s">
        <v>232</v>
      </c>
      <c r="K46" s="54" t="s">
        <v>11</v>
      </c>
      <c r="L46" s="56" t="s">
        <v>239</v>
      </c>
    </row>
    <row r="47" spans="1:12" ht="15.75" customHeight="1" x14ac:dyDescent="0.25">
      <c r="A47" s="51" t="s">
        <v>225</v>
      </c>
      <c r="B47" s="52" t="s">
        <v>237</v>
      </c>
      <c r="C47" s="53">
        <v>285</v>
      </c>
      <c r="D47" s="54" t="s">
        <v>292</v>
      </c>
      <c r="E47" s="53">
        <v>285</v>
      </c>
      <c r="F47" s="54" t="s">
        <v>218</v>
      </c>
      <c r="G47" s="54" t="s">
        <v>2</v>
      </c>
      <c r="H47" s="53" t="s">
        <v>1</v>
      </c>
      <c r="I47" s="53" t="s">
        <v>15</v>
      </c>
      <c r="J47" s="55" t="s">
        <v>232</v>
      </c>
      <c r="K47" s="54" t="s">
        <v>7</v>
      </c>
      <c r="L47" s="56" t="s">
        <v>239</v>
      </c>
    </row>
    <row r="48" spans="1:12" ht="15.75" customHeight="1" x14ac:dyDescent="0.25">
      <c r="A48" s="51" t="s">
        <v>225</v>
      </c>
      <c r="B48" s="52" t="s">
        <v>240</v>
      </c>
      <c r="C48" s="53">
        <v>286</v>
      </c>
      <c r="D48" s="54" t="s">
        <v>293</v>
      </c>
      <c r="E48" s="53">
        <v>286</v>
      </c>
      <c r="F48" s="54" t="s">
        <v>218</v>
      </c>
      <c r="G48" s="54" t="s">
        <v>2</v>
      </c>
      <c r="H48" s="53" t="s">
        <v>1</v>
      </c>
      <c r="I48" s="53" t="s">
        <v>15</v>
      </c>
      <c r="J48" s="55" t="s">
        <v>232</v>
      </c>
      <c r="K48" s="54" t="s">
        <v>13</v>
      </c>
      <c r="L48" s="56" t="s">
        <v>239</v>
      </c>
    </row>
    <row r="49" spans="1:12" ht="15.75" customHeight="1" x14ac:dyDescent="0.25">
      <c r="A49" s="51" t="s">
        <v>225</v>
      </c>
      <c r="B49" s="52" t="s">
        <v>242</v>
      </c>
      <c r="C49" s="53">
        <v>287</v>
      </c>
      <c r="D49" s="54" t="s">
        <v>294</v>
      </c>
      <c r="E49" s="53">
        <v>287</v>
      </c>
      <c r="F49" s="54" t="s">
        <v>218</v>
      </c>
      <c r="G49" s="54" t="s">
        <v>2</v>
      </c>
      <c r="H49" s="53" t="s">
        <v>1</v>
      </c>
      <c r="I49" s="53" t="s">
        <v>15</v>
      </c>
      <c r="J49" s="55" t="s">
        <v>232</v>
      </c>
      <c r="K49" s="54" t="s">
        <v>8</v>
      </c>
      <c r="L49" s="56" t="s">
        <v>239</v>
      </c>
    </row>
    <row r="50" spans="1:12" ht="15.75" customHeight="1" x14ac:dyDescent="0.25">
      <c r="A50" s="51" t="s">
        <v>225</v>
      </c>
      <c r="B50" s="52" t="s">
        <v>244</v>
      </c>
      <c r="C50" s="53">
        <v>288</v>
      </c>
      <c r="D50" s="54" t="s">
        <v>295</v>
      </c>
      <c r="E50" s="53">
        <v>288</v>
      </c>
      <c r="F50" s="54" t="s">
        <v>218</v>
      </c>
      <c r="G50" s="54" t="s">
        <v>2</v>
      </c>
      <c r="H50" s="53" t="s">
        <v>1</v>
      </c>
      <c r="I50" s="53" t="s">
        <v>15</v>
      </c>
      <c r="J50" s="55" t="s">
        <v>232</v>
      </c>
      <c r="K50" s="54" t="s">
        <v>9</v>
      </c>
      <c r="L50" s="56" t="s">
        <v>239</v>
      </c>
    </row>
    <row r="51" spans="1:12" ht="15.75" customHeight="1" x14ac:dyDescent="0.25">
      <c r="A51" s="51" t="s">
        <v>225</v>
      </c>
      <c r="B51" s="52" t="s">
        <v>246</v>
      </c>
      <c r="C51" s="53">
        <v>289</v>
      </c>
      <c r="D51" s="54" t="s">
        <v>296</v>
      </c>
      <c r="E51" s="53">
        <v>289</v>
      </c>
      <c r="F51" s="54" t="s">
        <v>218</v>
      </c>
      <c r="G51" s="54" t="s">
        <v>2</v>
      </c>
      <c r="H51" s="53" t="s">
        <v>1</v>
      </c>
      <c r="I51" s="53" t="s">
        <v>15</v>
      </c>
      <c r="J51" s="55" t="s">
        <v>232</v>
      </c>
      <c r="K51" s="54" t="s">
        <v>12</v>
      </c>
      <c r="L51" s="56" t="s">
        <v>239</v>
      </c>
    </row>
    <row r="52" spans="1:12" ht="15.75" customHeight="1" x14ac:dyDescent="0.25">
      <c r="A52" s="51" t="s">
        <v>225</v>
      </c>
      <c r="B52" s="52" t="s">
        <v>248</v>
      </c>
      <c r="C52" s="53">
        <v>290</v>
      </c>
      <c r="D52" s="54" t="s">
        <v>297</v>
      </c>
      <c r="E52" s="53">
        <v>290</v>
      </c>
      <c r="F52" s="54" t="s">
        <v>218</v>
      </c>
      <c r="G52" s="54" t="s">
        <v>2</v>
      </c>
      <c r="H52" s="53" t="s">
        <v>1</v>
      </c>
      <c r="I52" s="53" t="s">
        <v>15</v>
      </c>
      <c r="J52" s="55" t="s">
        <v>232</v>
      </c>
      <c r="K52" s="54" t="s">
        <v>11</v>
      </c>
      <c r="L52" s="56" t="s">
        <v>239</v>
      </c>
    </row>
    <row r="53" spans="1:12" ht="15.75" customHeight="1" x14ac:dyDescent="0.25">
      <c r="A53" s="51" t="s">
        <v>225</v>
      </c>
      <c r="B53" s="52" t="s">
        <v>250</v>
      </c>
      <c r="C53" s="53">
        <v>315</v>
      </c>
      <c r="D53" s="54" t="s">
        <v>298</v>
      </c>
      <c r="E53" s="53">
        <v>315</v>
      </c>
      <c r="F53" s="54" t="s">
        <v>218</v>
      </c>
      <c r="G53" s="54" t="s">
        <v>2</v>
      </c>
      <c r="H53" s="53" t="s">
        <v>1</v>
      </c>
      <c r="I53" s="53" t="s">
        <v>17</v>
      </c>
      <c r="J53" s="55" t="s">
        <v>232</v>
      </c>
      <c r="K53" s="54" t="s">
        <v>7</v>
      </c>
      <c r="L53" s="56" t="s">
        <v>239</v>
      </c>
    </row>
    <row r="54" spans="1:12" ht="15.75" customHeight="1" x14ac:dyDescent="0.25">
      <c r="A54" s="51" t="s">
        <v>225</v>
      </c>
      <c r="B54" s="52" t="s">
        <v>252</v>
      </c>
      <c r="C54" s="53">
        <v>316</v>
      </c>
      <c r="D54" s="54" t="s">
        <v>299</v>
      </c>
      <c r="E54" s="53">
        <v>316</v>
      </c>
      <c r="F54" s="54" t="s">
        <v>218</v>
      </c>
      <c r="G54" s="54" t="s">
        <v>2</v>
      </c>
      <c r="H54" s="53" t="s">
        <v>1</v>
      </c>
      <c r="I54" s="53" t="s">
        <v>17</v>
      </c>
      <c r="J54" s="55" t="s">
        <v>232</v>
      </c>
      <c r="K54" s="54" t="s">
        <v>13</v>
      </c>
      <c r="L54" s="56" t="s">
        <v>239</v>
      </c>
    </row>
    <row r="55" spans="1:12" ht="15.75" customHeight="1" x14ac:dyDescent="0.25">
      <c r="A55" s="51" t="s">
        <v>225</v>
      </c>
      <c r="B55" s="52" t="s">
        <v>254</v>
      </c>
      <c r="C55" s="53">
        <v>317</v>
      </c>
      <c r="D55" s="54" t="s">
        <v>300</v>
      </c>
      <c r="E55" s="53">
        <v>317</v>
      </c>
      <c r="F55" s="54" t="s">
        <v>218</v>
      </c>
      <c r="G55" s="54" t="s">
        <v>2</v>
      </c>
      <c r="H55" s="53" t="s">
        <v>1</v>
      </c>
      <c r="I55" s="53" t="s">
        <v>17</v>
      </c>
      <c r="J55" s="55" t="s">
        <v>232</v>
      </c>
      <c r="K55" s="54" t="s">
        <v>8</v>
      </c>
      <c r="L55" s="56" t="s">
        <v>239</v>
      </c>
    </row>
    <row r="56" spans="1:12" ht="15.75" customHeight="1" x14ac:dyDescent="0.25">
      <c r="A56" s="51" t="s">
        <v>225</v>
      </c>
      <c r="B56" s="52" t="s">
        <v>256</v>
      </c>
      <c r="C56" s="53">
        <v>318</v>
      </c>
      <c r="D56" s="54" t="s">
        <v>301</v>
      </c>
      <c r="E56" s="53">
        <v>318</v>
      </c>
      <c r="F56" s="54" t="s">
        <v>218</v>
      </c>
      <c r="G56" s="54" t="s">
        <v>2</v>
      </c>
      <c r="H56" s="53" t="s">
        <v>1</v>
      </c>
      <c r="I56" s="53" t="s">
        <v>17</v>
      </c>
      <c r="J56" s="55" t="s">
        <v>232</v>
      </c>
      <c r="K56" s="54" t="s">
        <v>9</v>
      </c>
      <c r="L56" s="56" t="s">
        <v>239</v>
      </c>
    </row>
    <row r="57" spans="1:12" ht="15.75" customHeight="1" x14ac:dyDescent="0.25">
      <c r="A57" s="51" t="s">
        <v>225</v>
      </c>
      <c r="B57" s="52" t="s">
        <v>258</v>
      </c>
      <c r="C57" s="53">
        <v>319</v>
      </c>
      <c r="D57" s="54" t="s">
        <v>302</v>
      </c>
      <c r="E57" s="53">
        <v>319</v>
      </c>
      <c r="F57" s="54" t="s">
        <v>218</v>
      </c>
      <c r="G57" s="54" t="s">
        <v>2</v>
      </c>
      <c r="H57" s="53" t="s">
        <v>1</v>
      </c>
      <c r="I57" s="53" t="s">
        <v>17</v>
      </c>
      <c r="J57" s="55" t="s">
        <v>232</v>
      </c>
      <c r="K57" s="54" t="s">
        <v>12</v>
      </c>
      <c r="L57" s="56" t="s">
        <v>239</v>
      </c>
    </row>
    <row r="58" spans="1:12" ht="15.75" customHeight="1" x14ac:dyDescent="0.25">
      <c r="A58" s="51" t="s">
        <v>225</v>
      </c>
      <c r="B58" s="52" t="s">
        <v>260</v>
      </c>
      <c r="C58" s="53">
        <v>320</v>
      </c>
      <c r="D58" s="54" t="s">
        <v>303</v>
      </c>
      <c r="E58" s="53">
        <v>320</v>
      </c>
      <c r="F58" s="54" t="s">
        <v>218</v>
      </c>
      <c r="G58" s="54" t="s">
        <v>2</v>
      </c>
      <c r="H58" s="53" t="s">
        <v>1</v>
      </c>
      <c r="I58" s="53" t="s">
        <v>17</v>
      </c>
      <c r="J58" s="55" t="s">
        <v>232</v>
      </c>
      <c r="K58" s="54" t="s">
        <v>11</v>
      </c>
      <c r="L58" s="56" t="s">
        <v>239</v>
      </c>
    </row>
    <row r="59" spans="1:12" ht="15.75" customHeight="1" x14ac:dyDescent="0.25">
      <c r="A59" s="51" t="s">
        <v>225</v>
      </c>
      <c r="B59" s="52" t="s">
        <v>274</v>
      </c>
      <c r="C59" s="53">
        <v>885</v>
      </c>
      <c r="D59" s="54" t="s">
        <v>304</v>
      </c>
      <c r="E59" s="53">
        <v>885</v>
      </c>
      <c r="F59" s="54" t="s">
        <v>218</v>
      </c>
      <c r="G59" s="54" t="s">
        <v>2</v>
      </c>
      <c r="H59" s="53" t="s">
        <v>0</v>
      </c>
      <c r="I59" s="53" t="s">
        <v>15</v>
      </c>
      <c r="J59" s="55" t="s">
        <v>232</v>
      </c>
      <c r="K59" s="54" t="s">
        <v>10</v>
      </c>
      <c r="L59" s="56" t="s">
        <v>239</v>
      </c>
    </row>
    <row r="60" spans="1:12" ht="15.75" customHeight="1" x14ac:dyDescent="0.25">
      <c r="A60" s="51" t="s">
        <v>225</v>
      </c>
      <c r="B60" s="52" t="s">
        <v>276</v>
      </c>
      <c r="C60" s="53">
        <v>890</v>
      </c>
      <c r="D60" s="54" t="s">
        <v>305</v>
      </c>
      <c r="E60" s="53">
        <v>890</v>
      </c>
      <c r="F60" s="54" t="s">
        <v>218</v>
      </c>
      <c r="G60" s="54" t="s">
        <v>2</v>
      </c>
      <c r="H60" s="53" t="s">
        <v>0</v>
      </c>
      <c r="I60" s="53" t="s">
        <v>17</v>
      </c>
      <c r="J60" s="55" t="s">
        <v>232</v>
      </c>
      <c r="K60" s="54" t="s">
        <v>10</v>
      </c>
      <c r="L60" s="56" t="s">
        <v>239</v>
      </c>
    </row>
    <row r="61" spans="1:12" ht="15.75" customHeight="1" x14ac:dyDescent="0.25">
      <c r="A61" s="51" t="s">
        <v>225</v>
      </c>
      <c r="B61" s="52" t="s">
        <v>274</v>
      </c>
      <c r="C61" s="53">
        <v>895</v>
      </c>
      <c r="D61" s="54" t="s">
        <v>306</v>
      </c>
      <c r="E61" s="53">
        <v>895</v>
      </c>
      <c r="F61" s="54" t="s">
        <v>218</v>
      </c>
      <c r="G61" s="54" t="s">
        <v>2</v>
      </c>
      <c r="H61" s="53" t="s">
        <v>1</v>
      </c>
      <c r="I61" s="53" t="s">
        <v>15</v>
      </c>
      <c r="J61" s="55" t="s">
        <v>232</v>
      </c>
      <c r="K61" s="54" t="s">
        <v>10</v>
      </c>
      <c r="L61" s="56" t="s">
        <v>239</v>
      </c>
    </row>
    <row r="62" spans="1:12" ht="15.75" customHeight="1" x14ac:dyDescent="0.25">
      <c r="A62" s="51" t="s">
        <v>225</v>
      </c>
      <c r="B62" s="52" t="s">
        <v>276</v>
      </c>
      <c r="C62" s="53">
        <v>900</v>
      </c>
      <c r="D62" s="54" t="s">
        <v>307</v>
      </c>
      <c r="E62" s="53">
        <v>900</v>
      </c>
      <c r="F62" s="54" t="s">
        <v>218</v>
      </c>
      <c r="G62" s="54" t="s">
        <v>2</v>
      </c>
      <c r="H62" s="53" t="s">
        <v>1</v>
      </c>
      <c r="I62" s="53" t="s">
        <v>17</v>
      </c>
      <c r="J62" s="55" t="s">
        <v>232</v>
      </c>
      <c r="K62" s="54" t="s">
        <v>10</v>
      </c>
      <c r="L62" s="56" t="s">
        <v>239</v>
      </c>
    </row>
    <row r="63" spans="1:12" ht="15.75" customHeight="1" x14ac:dyDescent="0.25">
      <c r="A63" s="51" t="s">
        <v>225</v>
      </c>
      <c r="B63" s="52" t="s">
        <v>237</v>
      </c>
      <c r="C63" s="53">
        <v>213</v>
      </c>
      <c r="D63" s="54" t="s">
        <v>308</v>
      </c>
      <c r="E63" s="53">
        <v>213</v>
      </c>
      <c r="F63" s="54" t="s">
        <v>218</v>
      </c>
      <c r="G63" s="54" t="s">
        <v>2</v>
      </c>
      <c r="H63" s="53" t="s">
        <v>0</v>
      </c>
      <c r="I63" s="53" t="s">
        <v>15</v>
      </c>
      <c r="J63" s="55" t="s">
        <v>234</v>
      </c>
      <c r="K63" s="54" t="s">
        <v>7</v>
      </c>
      <c r="L63" s="56" t="s">
        <v>239</v>
      </c>
    </row>
    <row r="64" spans="1:12" ht="15.75" customHeight="1" x14ac:dyDescent="0.25">
      <c r="A64" s="51" t="s">
        <v>225</v>
      </c>
      <c r="B64" s="52" t="s">
        <v>240</v>
      </c>
      <c r="C64" s="53">
        <v>214</v>
      </c>
      <c r="D64" s="54" t="s">
        <v>309</v>
      </c>
      <c r="E64" s="53">
        <v>214</v>
      </c>
      <c r="F64" s="54" t="s">
        <v>218</v>
      </c>
      <c r="G64" s="54" t="s">
        <v>2</v>
      </c>
      <c r="H64" s="53" t="s">
        <v>0</v>
      </c>
      <c r="I64" s="53" t="s">
        <v>15</v>
      </c>
      <c r="J64" s="55" t="s">
        <v>234</v>
      </c>
      <c r="K64" s="54" t="s">
        <v>13</v>
      </c>
      <c r="L64" s="56" t="s">
        <v>239</v>
      </c>
    </row>
    <row r="65" spans="1:12" ht="15.75" customHeight="1" x14ac:dyDescent="0.25">
      <c r="A65" s="51" t="s">
        <v>225</v>
      </c>
      <c r="B65" s="52" t="s">
        <v>242</v>
      </c>
      <c r="C65" s="53">
        <v>215</v>
      </c>
      <c r="D65" s="54" t="s">
        <v>310</v>
      </c>
      <c r="E65" s="53">
        <v>215</v>
      </c>
      <c r="F65" s="54" t="s">
        <v>218</v>
      </c>
      <c r="G65" s="54" t="s">
        <v>2</v>
      </c>
      <c r="H65" s="53" t="s">
        <v>0</v>
      </c>
      <c r="I65" s="53" t="s">
        <v>15</v>
      </c>
      <c r="J65" s="55" t="s">
        <v>234</v>
      </c>
      <c r="K65" s="54" t="s">
        <v>8</v>
      </c>
      <c r="L65" s="56" t="s">
        <v>239</v>
      </c>
    </row>
    <row r="66" spans="1:12" ht="15.75" customHeight="1" x14ac:dyDescent="0.25">
      <c r="A66" s="51" t="s">
        <v>225</v>
      </c>
      <c r="B66" s="52" t="s">
        <v>244</v>
      </c>
      <c r="C66" s="53">
        <v>216</v>
      </c>
      <c r="D66" s="54" t="s">
        <v>311</v>
      </c>
      <c r="E66" s="53">
        <v>216</v>
      </c>
      <c r="F66" s="54" t="s">
        <v>218</v>
      </c>
      <c r="G66" s="54" t="s">
        <v>2</v>
      </c>
      <c r="H66" s="53" t="s">
        <v>0</v>
      </c>
      <c r="I66" s="53" t="s">
        <v>15</v>
      </c>
      <c r="J66" s="55" t="s">
        <v>234</v>
      </c>
      <c r="K66" s="54" t="s">
        <v>9</v>
      </c>
      <c r="L66" s="56" t="s">
        <v>239</v>
      </c>
    </row>
    <row r="67" spans="1:12" ht="15.75" customHeight="1" x14ac:dyDescent="0.25">
      <c r="A67" s="51" t="s">
        <v>225</v>
      </c>
      <c r="B67" s="52" t="s">
        <v>246</v>
      </c>
      <c r="C67" s="53">
        <v>217</v>
      </c>
      <c r="D67" s="54" t="s">
        <v>312</v>
      </c>
      <c r="E67" s="53">
        <v>217</v>
      </c>
      <c r="F67" s="54" t="s">
        <v>218</v>
      </c>
      <c r="G67" s="54" t="s">
        <v>2</v>
      </c>
      <c r="H67" s="53" t="s">
        <v>0</v>
      </c>
      <c r="I67" s="53" t="s">
        <v>15</v>
      </c>
      <c r="J67" s="55" t="s">
        <v>234</v>
      </c>
      <c r="K67" s="54" t="s">
        <v>12</v>
      </c>
      <c r="L67" s="56" t="s">
        <v>239</v>
      </c>
    </row>
    <row r="68" spans="1:12" ht="15.75" customHeight="1" x14ac:dyDescent="0.25">
      <c r="A68" s="51" t="s">
        <v>225</v>
      </c>
      <c r="B68" s="52" t="s">
        <v>248</v>
      </c>
      <c r="C68" s="53">
        <v>218</v>
      </c>
      <c r="D68" s="54" t="s">
        <v>313</v>
      </c>
      <c r="E68" s="53">
        <v>218</v>
      </c>
      <c r="F68" s="54" t="s">
        <v>218</v>
      </c>
      <c r="G68" s="54" t="s">
        <v>2</v>
      </c>
      <c r="H68" s="53" t="s">
        <v>0</v>
      </c>
      <c r="I68" s="53" t="s">
        <v>15</v>
      </c>
      <c r="J68" s="55" t="s">
        <v>234</v>
      </c>
      <c r="K68" s="54" t="s">
        <v>11</v>
      </c>
      <c r="L68" s="56" t="s">
        <v>239</v>
      </c>
    </row>
    <row r="69" spans="1:12" ht="15.75" customHeight="1" x14ac:dyDescent="0.25">
      <c r="A69" s="51" t="s">
        <v>225</v>
      </c>
      <c r="B69" s="52" t="s">
        <v>250</v>
      </c>
      <c r="C69" s="53">
        <v>243</v>
      </c>
      <c r="D69" s="54" t="s">
        <v>314</v>
      </c>
      <c r="E69" s="53">
        <v>243</v>
      </c>
      <c r="F69" s="54" t="s">
        <v>218</v>
      </c>
      <c r="G69" s="54" t="s">
        <v>2</v>
      </c>
      <c r="H69" s="53" t="s">
        <v>0</v>
      </c>
      <c r="I69" s="53" t="s">
        <v>17</v>
      </c>
      <c r="J69" s="55" t="s">
        <v>234</v>
      </c>
      <c r="K69" s="54" t="s">
        <v>7</v>
      </c>
      <c r="L69" s="56" t="s">
        <v>239</v>
      </c>
    </row>
    <row r="70" spans="1:12" ht="15.75" customHeight="1" x14ac:dyDescent="0.25">
      <c r="A70" s="51" t="s">
        <v>225</v>
      </c>
      <c r="B70" s="52" t="s">
        <v>252</v>
      </c>
      <c r="C70" s="53">
        <v>244</v>
      </c>
      <c r="D70" s="54" t="s">
        <v>315</v>
      </c>
      <c r="E70" s="53">
        <v>244</v>
      </c>
      <c r="F70" s="54" t="s">
        <v>218</v>
      </c>
      <c r="G70" s="54" t="s">
        <v>2</v>
      </c>
      <c r="H70" s="53" t="s">
        <v>0</v>
      </c>
      <c r="I70" s="53" t="s">
        <v>17</v>
      </c>
      <c r="J70" s="55" t="s">
        <v>234</v>
      </c>
      <c r="K70" s="54" t="s">
        <v>13</v>
      </c>
      <c r="L70" s="56" t="s">
        <v>239</v>
      </c>
    </row>
    <row r="71" spans="1:12" ht="15.75" customHeight="1" x14ac:dyDescent="0.25">
      <c r="A71" s="51" t="s">
        <v>225</v>
      </c>
      <c r="B71" s="52" t="s">
        <v>254</v>
      </c>
      <c r="C71" s="53">
        <v>245</v>
      </c>
      <c r="D71" s="54" t="s">
        <v>316</v>
      </c>
      <c r="E71" s="53">
        <v>245</v>
      </c>
      <c r="F71" s="54" t="s">
        <v>218</v>
      </c>
      <c r="G71" s="54" t="s">
        <v>2</v>
      </c>
      <c r="H71" s="53" t="s">
        <v>0</v>
      </c>
      <c r="I71" s="53" t="s">
        <v>17</v>
      </c>
      <c r="J71" s="55" t="s">
        <v>234</v>
      </c>
      <c r="K71" s="54" t="s">
        <v>8</v>
      </c>
      <c r="L71" s="56" t="s">
        <v>239</v>
      </c>
    </row>
    <row r="72" spans="1:12" ht="15.75" customHeight="1" x14ac:dyDescent="0.25">
      <c r="A72" s="51" t="s">
        <v>225</v>
      </c>
      <c r="B72" s="52" t="s">
        <v>256</v>
      </c>
      <c r="C72" s="53">
        <v>246</v>
      </c>
      <c r="D72" s="54" t="s">
        <v>317</v>
      </c>
      <c r="E72" s="53">
        <v>246</v>
      </c>
      <c r="F72" s="54" t="s">
        <v>218</v>
      </c>
      <c r="G72" s="54" t="s">
        <v>2</v>
      </c>
      <c r="H72" s="53" t="s">
        <v>0</v>
      </c>
      <c r="I72" s="53" t="s">
        <v>17</v>
      </c>
      <c r="J72" s="55" t="s">
        <v>234</v>
      </c>
      <c r="K72" s="54" t="s">
        <v>9</v>
      </c>
      <c r="L72" s="56" t="s">
        <v>239</v>
      </c>
    </row>
    <row r="73" spans="1:12" ht="15.75" customHeight="1" x14ac:dyDescent="0.25">
      <c r="A73" s="51" t="s">
        <v>225</v>
      </c>
      <c r="B73" s="52" t="s">
        <v>258</v>
      </c>
      <c r="C73" s="53">
        <v>247</v>
      </c>
      <c r="D73" s="54" t="s">
        <v>318</v>
      </c>
      <c r="E73" s="53">
        <v>247</v>
      </c>
      <c r="F73" s="54" t="s">
        <v>218</v>
      </c>
      <c r="G73" s="54" t="s">
        <v>2</v>
      </c>
      <c r="H73" s="53" t="s">
        <v>0</v>
      </c>
      <c r="I73" s="53" t="s">
        <v>17</v>
      </c>
      <c r="J73" s="55" t="s">
        <v>234</v>
      </c>
      <c r="K73" s="54" t="s">
        <v>12</v>
      </c>
      <c r="L73" s="56" t="s">
        <v>239</v>
      </c>
    </row>
    <row r="74" spans="1:12" ht="15.75" customHeight="1" x14ac:dyDescent="0.25">
      <c r="A74" s="51" t="s">
        <v>225</v>
      </c>
      <c r="B74" s="52" t="s">
        <v>260</v>
      </c>
      <c r="C74" s="53">
        <v>248</v>
      </c>
      <c r="D74" s="54" t="s">
        <v>319</v>
      </c>
      <c r="E74" s="53">
        <v>248</v>
      </c>
      <c r="F74" s="54" t="s">
        <v>218</v>
      </c>
      <c r="G74" s="54" t="s">
        <v>2</v>
      </c>
      <c r="H74" s="53" t="s">
        <v>0</v>
      </c>
      <c r="I74" s="53" t="s">
        <v>17</v>
      </c>
      <c r="J74" s="55" t="s">
        <v>234</v>
      </c>
      <c r="K74" s="54" t="s">
        <v>11</v>
      </c>
      <c r="L74" s="56" t="s">
        <v>239</v>
      </c>
    </row>
    <row r="75" spans="1:12" ht="15.75" customHeight="1" x14ac:dyDescent="0.25">
      <c r="A75" s="51" t="s">
        <v>225</v>
      </c>
      <c r="B75" s="52" t="s">
        <v>237</v>
      </c>
      <c r="C75" s="53">
        <v>273</v>
      </c>
      <c r="D75" s="54" t="s">
        <v>320</v>
      </c>
      <c r="E75" s="53">
        <v>273</v>
      </c>
      <c r="F75" s="54" t="s">
        <v>218</v>
      </c>
      <c r="G75" s="54" t="s">
        <v>2</v>
      </c>
      <c r="H75" s="53" t="s">
        <v>1</v>
      </c>
      <c r="I75" s="53" t="s">
        <v>15</v>
      </c>
      <c r="J75" s="55" t="s">
        <v>234</v>
      </c>
      <c r="K75" s="54" t="s">
        <v>7</v>
      </c>
      <c r="L75" s="56" t="s">
        <v>239</v>
      </c>
    </row>
    <row r="76" spans="1:12" ht="15.75" customHeight="1" x14ac:dyDescent="0.25">
      <c r="A76" s="51" t="s">
        <v>225</v>
      </c>
      <c r="B76" s="52" t="s">
        <v>240</v>
      </c>
      <c r="C76" s="53">
        <v>274</v>
      </c>
      <c r="D76" s="54" t="s">
        <v>321</v>
      </c>
      <c r="E76" s="53">
        <v>274</v>
      </c>
      <c r="F76" s="54" t="s">
        <v>218</v>
      </c>
      <c r="G76" s="54" t="s">
        <v>2</v>
      </c>
      <c r="H76" s="53" t="s">
        <v>1</v>
      </c>
      <c r="I76" s="53" t="s">
        <v>15</v>
      </c>
      <c r="J76" s="55" t="s">
        <v>234</v>
      </c>
      <c r="K76" s="54" t="s">
        <v>13</v>
      </c>
      <c r="L76" s="56" t="s">
        <v>239</v>
      </c>
    </row>
    <row r="77" spans="1:12" ht="15.75" customHeight="1" x14ac:dyDescent="0.25">
      <c r="A77" s="51" t="s">
        <v>225</v>
      </c>
      <c r="B77" s="52" t="s">
        <v>242</v>
      </c>
      <c r="C77" s="53">
        <v>275</v>
      </c>
      <c r="D77" s="54" t="s">
        <v>322</v>
      </c>
      <c r="E77" s="53">
        <v>275</v>
      </c>
      <c r="F77" s="54" t="s">
        <v>218</v>
      </c>
      <c r="G77" s="54" t="s">
        <v>2</v>
      </c>
      <c r="H77" s="53" t="s">
        <v>1</v>
      </c>
      <c r="I77" s="53" t="s">
        <v>15</v>
      </c>
      <c r="J77" s="55" t="s">
        <v>234</v>
      </c>
      <c r="K77" s="54" t="s">
        <v>8</v>
      </c>
      <c r="L77" s="56" t="s">
        <v>239</v>
      </c>
    </row>
    <row r="78" spans="1:12" ht="15.75" customHeight="1" x14ac:dyDescent="0.25">
      <c r="A78" s="51" t="s">
        <v>225</v>
      </c>
      <c r="B78" s="52" t="s">
        <v>244</v>
      </c>
      <c r="C78" s="53">
        <v>276</v>
      </c>
      <c r="D78" s="54" t="s">
        <v>323</v>
      </c>
      <c r="E78" s="53">
        <v>276</v>
      </c>
      <c r="F78" s="54" t="s">
        <v>218</v>
      </c>
      <c r="G78" s="54" t="s">
        <v>2</v>
      </c>
      <c r="H78" s="53" t="s">
        <v>1</v>
      </c>
      <c r="I78" s="53" t="s">
        <v>15</v>
      </c>
      <c r="J78" s="55" t="s">
        <v>234</v>
      </c>
      <c r="K78" s="54" t="s">
        <v>9</v>
      </c>
      <c r="L78" s="56" t="s">
        <v>239</v>
      </c>
    </row>
    <row r="79" spans="1:12" ht="15.75" customHeight="1" x14ac:dyDescent="0.25">
      <c r="A79" s="51" t="s">
        <v>225</v>
      </c>
      <c r="B79" s="52" t="s">
        <v>246</v>
      </c>
      <c r="C79" s="53">
        <v>277</v>
      </c>
      <c r="D79" s="54" t="s">
        <v>324</v>
      </c>
      <c r="E79" s="53">
        <v>277</v>
      </c>
      <c r="F79" s="54" t="s">
        <v>218</v>
      </c>
      <c r="G79" s="54" t="s">
        <v>2</v>
      </c>
      <c r="H79" s="53" t="s">
        <v>1</v>
      </c>
      <c r="I79" s="53" t="s">
        <v>15</v>
      </c>
      <c r="J79" s="55" t="s">
        <v>234</v>
      </c>
      <c r="K79" s="54" t="s">
        <v>12</v>
      </c>
      <c r="L79" s="56" t="s">
        <v>239</v>
      </c>
    </row>
    <row r="80" spans="1:12" ht="15.75" customHeight="1" x14ac:dyDescent="0.25">
      <c r="A80" s="51" t="s">
        <v>225</v>
      </c>
      <c r="B80" s="52" t="s">
        <v>248</v>
      </c>
      <c r="C80" s="53">
        <v>278</v>
      </c>
      <c r="D80" s="54" t="s">
        <v>325</v>
      </c>
      <c r="E80" s="53">
        <v>278</v>
      </c>
      <c r="F80" s="54" t="s">
        <v>218</v>
      </c>
      <c r="G80" s="54" t="s">
        <v>2</v>
      </c>
      <c r="H80" s="53" t="s">
        <v>1</v>
      </c>
      <c r="I80" s="53" t="s">
        <v>15</v>
      </c>
      <c r="J80" s="55" t="s">
        <v>234</v>
      </c>
      <c r="K80" s="54" t="s">
        <v>11</v>
      </c>
      <c r="L80" s="56" t="s">
        <v>239</v>
      </c>
    </row>
    <row r="81" spans="1:12" ht="15.75" customHeight="1" x14ac:dyDescent="0.25">
      <c r="A81" s="51" t="s">
        <v>225</v>
      </c>
      <c r="B81" s="52" t="s">
        <v>250</v>
      </c>
      <c r="C81" s="53">
        <v>303</v>
      </c>
      <c r="D81" s="54" t="s">
        <v>326</v>
      </c>
      <c r="E81" s="53">
        <v>303</v>
      </c>
      <c r="F81" s="54" t="s">
        <v>218</v>
      </c>
      <c r="G81" s="54" t="s">
        <v>2</v>
      </c>
      <c r="H81" s="53" t="s">
        <v>1</v>
      </c>
      <c r="I81" s="53" t="s">
        <v>17</v>
      </c>
      <c r="J81" s="55" t="s">
        <v>234</v>
      </c>
      <c r="K81" s="54" t="s">
        <v>7</v>
      </c>
      <c r="L81" s="56" t="s">
        <v>239</v>
      </c>
    </row>
    <row r="82" spans="1:12" ht="15.75" customHeight="1" x14ac:dyDescent="0.25">
      <c r="A82" s="51" t="s">
        <v>225</v>
      </c>
      <c r="B82" s="52" t="s">
        <v>252</v>
      </c>
      <c r="C82" s="53">
        <v>304</v>
      </c>
      <c r="D82" s="54" t="s">
        <v>327</v>
      </c>
      <c r="E82" s="53">
        <v>304</v>
      </c>
      <c r="F82" s="54" t="s">
        <v>218</v>
      </c>
      <c r="G82" s="54" t="s">
        <v>2</v>
      </c>
      <c r="H82" s="53" t="s">
        <v>1</v>
      </c>
      <c r="I82" s="53" t="s">
        <v>17</v>
      </c>
      <c r="J82" s="55" t="s">
        <v>234</v>
      </c>
      <c r="K82" s="54" t="s">
        <v>13</v>
      </c>
      <c r="L82" s="56" t="s">
        <v>239</v>
      </c>
    </row>
    <row r="83" spans="1:12" ht="15.75" customHeight="1" x14ac:dyDescent="0.25">
      <c r="A83" s="51" t="s">
        <v>225</v>
      </c>
      <c r="B83" s="52" t="s">
        <v>254</v>
      </c>
      <c r="C83" s="53">
        <v>305</v>
      </c>
      <c r="D83" s="54" t="s">
        <v>328</v>
      </c>
      <c r="E83" s="53">
        <v>305</v>
      </c>
      <c r="F83" s="54" t="s">
        <v>218</v>
      </c>
      <c r="G83" s="54" t="s">
        <v>2</v>
      </c>
      <c r="H83" s="53" t="s">
        <v>1</v>
      </c>
      <c r="I83" s="53" t="s">
        <v>17</v>
      </c>
      <c r="J83" s="55" t="s">
        <v>234</v>
      </c>
      <c r="K83" s="54" t="s">
        <v>8</v>
      </c>
      <c r="L83" s="56" t="s">
        <v>239</v>
      </c>
    </row>
    <row r="84" spans="1:12" ht="15.75" customHeight="1" x14ac:dyDescent="0.25">
      <c r="A84" s="51" t="s">
        <v>225</v>
      </c>
      <c r="B84" s="52" t="s">
        <v>256</v>
      </c>
      <c r="C84" s="53">
        <v>306</v>
      </c>
      <c r="D84" s="54" t="s">
        <v>329</v>
      </c>
      <c r="E84" s="53">
        <v>306</v>
      </c>
      <c r="F84" s="54" t="s">
        <v>218</v>
      </c>
      <c r="G84" s="54" t="s">
        <v>2</v>
      </c>
      <c r="H84" s="53" t="s">
        <v>1</v>
      </c>
      <c r="I84" s="53" t="s">
        <v>17</v>
      </c>
      <c r="J84" s="55" t="s">
        <v>234</v>
      </c>
      <c r="K84" s="54" t="s">
        <v>9</v>
      </c>
      <c r="L84" s="56" t="s">
        <v>239</v>
      </c>
    </row>
    <row r="85" spans="1:12" ht="15.75" customHeight="1" x14ac:dyDescent="0.25">
      <c r="A85" s="51" t="s">
        <v>225</v>
      </c>
      <c r="B85" s="52" t="s">
        <v>258</v>
      </c>
      <c r="C85" s="53">
        <v>307</v>
      </c>
      <c r="D85" s="54" t="s">
        <v>330</v>
      </c>
      <c r="E85" s="53">
        <v>307</v>
      </c>
      <c r="F85" s="54" t="s">
        <v>218</v>
      </c>
      <c r="G85" s="54" t="s">
        <v>2</v>
      </c>
      <c r="H85" s="53" t="s">
        <v>1</v>
      </c>
      <c r="I85" s="53" t="s">
        <v>17</v>
      </c>
      <c r="J85" s="55" t="s">
        <v>234</v>
      </c>
      <c r="K85" s="54" t="s">
        <v>12</v>
      </c>
      <c r="L85" s="56" t="s">
        <v>239</v>
      </c>
    </row>
    <row r="86" spans="1:12" ht="15.75" customHeight="1" x14ac:dyDescent="0.25">
      <c r="A86" s="51" t="s">
        <v>225</v>
      </c>
      <c r="B86" s="52" t="s">
        <v>260</v>
      </c>
      <c r="C86" s="53">
        <v>308</v>
      </c>
      <c r="D86" s="54" t="s">
        <v>331</v>
      </c>
      <c r="E86" s="53">
        <v>308</v>
      </c>
      <c r="F86" s="54" t="s">
        <v>218</v>
      </c>
      <c r="G86" s="54" t="s">
        <v>2</v>
      </c>
      <c r="H86" s="53" t="s">
        <v>1</v>
      </c>
      <c r="I86" s="53" t="s">
        <v>17</v>
      </c>
      <c r="J86" s="55" t="s">
        <v>234</v>
      </c>
      <c r="K86" s="54" t="s">
        <v>11</v>
      </c>
      <c r="L86" s="56" t="s">
        <v>239</v>
      </c>
    </row>
    <row r="87" spans="1:12" ht="15.75" customHeight="1" x14ac:dyDescent="0.25">
      <c r="A87" s="51" t="s">
        <v>225</v>
      </c>
      <c r="B87" s="52" t="s">
        <v>274</v>
      </c>
      <c r="C87" s="53">
        <v>883</v>
      </c>
      <c r="D87" s="54" t="s">
        <v>332</v>
      </c>
      <c r="E87" s="53">
        <v>883</v>
      </c>
      <c r="F87" s="54" t="s">
        <v>218</v>
      </c>
      <c r="G87" s="54" t="s">
        <v>2</v>
      </c>
      <c r="H87" s="53" t="s">
        <v>0</v>
      </c>
      <c r="I87" s="53" t="s">
        <v>15</v>
      </c>
      <c r="J87" s="55" t="s">
        <v>234</v>
      </c>
      <c r="K87" s="54" t="s">
        <v>10</v>
      </c>
      <c r="L87" s="56" t="s">
        <v>239</v>
      </c>
    </row>
    <row r="88" spans="1:12" ht="15.75" customHeight="1" x14ac:dyDescent="0.25">
      <c r="A88" s="51" t="s">
        <v>225</v>
      </c>
      <c r="B88" s="52" t="s">
        <v>276</v>
      </c>
      <c r="C88" s="53">
        <v>888</v>
      </c>
      <c r="D88" s="54" t="s">
        <v>333</v>
      </c>
      <c r="E88" s="53">
        <v>888</v>
      </c>
      <c r="F88" s="54" t="s">
        <v>218</v>
      </c>
      <c r="G88" s="54" t="s">
        <v>2</v>
      </c>
      <c r="H88" s="53" t="s">
        <v>0</v>
      </c>
      <c r="I88" s="53" t="s">
        <v>17</v>
      </c>
      <c r="J88" s="55" t="s">
        <v>234</v>
      </c>
      <c r="K88" s="54" t="s">
        <v>10</v>
      </c>
      <c r="L88" s="56" t="s">
        <v>239</v>
      </c>
    </row>
    <row r="89" spans="1:12" ht="15.75" customHeight="1" x14ac:dyDescent="0.25">
      <c r="A89" s="51" t="s">
        <v>225</v>
      </c>
      <c r="B89" s="52" t="s">
        <v>274</v>
      </c>
      <c r="C89" s="53">
        <v>893</v>
      </c>
      <c r="D89" s="54" t="s">
        <v>334</v>
      </c>
      <c r="E89" s="53">
        <v>893</v>
      </c>
      <c r="F89" s="54" t="s">
        <v>218</v>
      </c>
      <c r="G89" s="54" t="s">
        <v>2</v>
      </c>
      <c r="H89" s="53" t="s">
        <v>1</v>
      </c>
      <c r="I89" s="53" t="s">
        <v>15</v>
      </c>
      <c r="J89" s="55" t="s">
        <v>234</v>
      </c>
      <c r="K89" s="54" t="s">
        <v>10</v>
      </c>
      <c r="L89" s="56" t="s">
        <v>239</v>
      </c>
    </row>
    <row r="90" spans="1:12" ht="15.75" customHeight="1" x14ac:dyDescent="0.25">
      <c r="A90" s="51" t="s">
        <v>225</v>
      </c>
      <c r="B90" s="52" t="s">
        <v>276</v>
      </c>
      <c r="C90" s="53">
        <v>898</v>
      </c>
      <c r="D90" s="54" t="s">
        <v>335</v>
      </c>
      <c r="E90" s="53">
        <v>898</v>
      </c>
      <c r="F90" s="54" t="s">
        <v>218</v>
      </c>
      <c r="G90" s="54" t="s">
        <v>2</v>
      </c>
      <c r="H90" s="53" t="s">
        <v>1</v>
      </c>
      <c r="I90" s="53" t="s">
        <v>17</v>
      </c>
      <c r="J90" s="55" t="s">
        <v>234</v>
      </c>
      <c r="K90" s="54" t="s">
        <v>10</v>
      </c>
      <c r="L90" s="56" t="s">
        <v>239</v>
      </c>
    </row>
    <row r="91" spans="1:12" ht="15.75" customHeight="1" x14ac:dyDescent="0.25">
      <c r="A91" s="51" t="s">
        <v>225</v>
      </c>
      <c r="B91" s="52" t="s">
        <v>237</v>
      </c>
      <c r="C91" s="53">
        <v>207</v>
      </c>
      <c r="D91" s="54" t="s">
        <v>336</v>
      </c>
      <c r="E91" s="53">
        <v>207</v>
      </c>
      <c r="F91" s="54" t="s">
        <v>218</v>
      </c>
      <c r="G91" s="54" t="s">
        <v>2</v>
      </c>
      <c r="H91" s="53" t="s">
        <v>0</v>
      </c>
      <c r="I91" s="53" t="s">
        <v>15</v>
      </c>
      <c r="J91" s="55" t="s">
        <v>228</v>
      </c>
      <c r="K91" s="54" t="s">
        <v>7</v>
      </c>
      <c r="L91" s="56" t="s">
        <v>239</v>
      </c>
    </row>
    <row r="92" spans="1:12" ht="15.75" customHeight="1" x14ac:dyDescent="0.25">
      <c r="A92" s="51" t="s">
        <v>225</v>
      </c>
      <c r="B92" s="52" t="s">
        <v>240</v>
      </c>
      <c r="C92" s="53">
        <v>208</v>
      </c>
      <c r="D92" s="54" t="s">
        <v>337</v>
      </c>
      <c r="E92" s="53">
        <v>208</v>
      </c>
      <c r="F92" s="54" t="s">
        <v>218</v>
      </c>
      <c r="G92" s="54" t="s">
        <v>2</v>
      </c>
      <c r="H92" s="53" t="s">
        <v>0</v>
      </c>
      <c r="I92" s="53" t="s">
        <v>15</v>
      </c>
      <c r="J92" s="55" t="s">
        <v>228</v>
      </c>
      <c r="K92" s="54" t="s">
        <v>13</v>
      </c>
      <c r="L92" s="56" t="s">
        <v>239</v>
      </c>
    </row>
    <row r="93" spans="1:12" ht="15.75" customHeight="1" x14ac:dyDescent="0.25">
      <c r="A93" s="51" t="s">
        <v>225</v>
      </c>
      <c r="B93" s="52" t="s">
        <v>242</v>
      </c>
      <c r="C93" s="53">
        <v>209</v>
      </c>
      <c r="D93" s="54" t="s">
        <v>338</v>
      </c>
      <c r="E93" s="53">
        <v>209</v>
      </c>
      <c r="F93" s="54" t="s">
        <v>218</v>
      </c>
      <c r="G93" s="54" t="s">
        <v>2</v>
      </c>
      <c r="H93" s="53" t="s">
        <v>0</v>
      </c>
      <c r="I93" s="53" t="s">
        <v>15</v>
      </c>
      <c r="J93" s="55" t="s">
        <v>228</v>
      </c>
      <c r="K93" s="54" t="s">
        <v>8</v>
      </c>
      <c r="L93" s="56" t="s">
        <v>239</v>
      </c>
    </row>
    <row r="94" spans="1:12" ht="15.75" customHeight="1" x14ac:dyDescent="0.25">
      <c r="A94" s="51" t="s">
        <v>225</v>
      </c>
      <c r="B94" s="52" t="s">
        <v>244</v>
      </c>
      <c r="C94" s="53">
        <v>210</v>
      </c>
      <c r="D94" s="54" t="s">
        <v>339</v>
      </c>
      <c r="E94" s="53">
        <v>210</v>
      </c>
      <c r="F94" s="54" t="s">
        <v>218</v>
      </c>
      <c r="G94" s="54" t="s">
        <v>2</v>
      </c>
      <c r="H94" s="53" t="s">
        <v>0</v>
      </c>
      <c r="I94" s="53" t="s">
        <v>15</v>
      </c>
      <c r="J94" s="55" t="s">
        <v>228</v>
      </c>
      <c r="K94" s="54" t="s">
        <v>9</v>
      </c>
      <c r="L94" s="56" t="s">
        <v>239</v>
      </c>
    </row>
    <row r="95" spans="1:12" ht="15.75" customHeight="1" x14ac:dyDescent="0.25">
      <c r="A95" s="51" t="s">
        <v>225</v>
      </c>
      <c r="B95" s="52" t="s">
        <v>246</v>
      </c>
      <c r="C95" s="53">
        <v>211</v>
      </c>
      <c r="D95" s="54" t="s">
        <v>340</v>
      </c>
      <c r="E95" s="53">
        <v>211</v>
      </c>
      <c r="F95" s="54" t="s">
        <v>218</v>
      </c>
      <c r="G95" s="54" t="s">
        <v>2</v>
      </c>
      <c r="H95" s="53" t="s">
        <v>0</v>
      </c>
      <c r="I95" s="53" t="s">
        <v>15</v>
      </c>
      <c r="J95" s="55" t="s">
        <v>228</v>
      </c>
      <c r="K95" s="54" t="s">
        <v>12</v>
      </c>
      <c r="L95" s="56" t="s">
        <v>239</v>
      </c>
    </row>
    <row r="96" spans="1:12" ht="15.75" customHeight="1" x14ac:dyDescent="0.25">
      <c r="A96" s="51" t="s">
        <v>225</v>
      </c>
      <c r="B96" s="52" t="s">
        <v>248</v>
      </c>
      <c r="C96" s="53">
        <v>212</v>
      </c>
      <c r="D96" s="54" t="s">
        <v>341</v>
      </c>
      <c r="E96" s="53">
        <v>212</v>
      </c>
      <c r="F96" s="54" t="s">
        <v>218</v>
      </c>
      <c r="G96" s="54" t="s">
        <v>2</v>
      </c>
      <c r="H96" s="53" t="s">
        <v>0</v>
      </c>
      <c r="I96" s="53" t="s">
        <v>15</v>
      </c>
      <c r="J96" s="55" t="s">
        <v>228</v>
      </c>
      <c r="K96" s="54" t="s">
        <v>11</v>
      </c>
      <c r="L96" s="56" t="s">
        <v>239</v>
      </c>
    </row>
    <row r="97" spans="1:12" ht="15.75" customHeight="1" x14ac:dyDescent="0.25">
      <c r="A97" s="51" t="s">
        <v>225</v>
      </c>
      <c r="B97" s="52" t="s">
        <v>250</v>
      </c>
      <c r="C97" s="53">
        <v>237</v>
      </c>
      <c r="D97" s="54" t="s">
        <v>342</v>
      </c>
      <c r="E97" s="53">
        <v>237</v>
      </c>
      <c r="F97" s="54" t="s">
        <v>218</v>
      </c>
      <c r="G97" s="54" t="s">
        <v>2</v>
      </c>
      <c r="H97" s="53" t="s">
        <v>0</v>
      </c>
      <c r="I97" s="53" t="s">
        <v>17</v>
      </c>
      <c r="J97" s="55" t="s">
        <v>228</v>
      </c>
      <c r="K97" s="54" t="s">
        <v>7</v>
      </c>
      <c r="L97" s="56" t="s">
        <v>239</v>
      </c>
    </row>
    <row r="98" spans="1:12" ht="15.75" customHeight="1" x14ac:dyDescent="0.25">
      <c r="A98" s="51" t="s">
        <v>225</v>
      </c>
      <c r="B98" s="52" t="s">
        <v>252</v>
      </c>
      <c r="C98" s="53">
        <v>238</v>
      </c>
      <c r="D98" s="54" t="s">
        <v>343</v>
      </c>
      <c r="E98" s="53">
        <v>238</v>
      </c>
      <c r="F98" s="54" t="s">
        <v>218</v>
      </c>
      <c r="G98" s="54" t="s">
        <v>2</v>
      </c>
      <c r="H98" s="53" t="s">
        <v>0</v>
      </c>
      <c r="I98" s="53" t="s">
        <v>17</v>
      </c>
      <c r="J98" s="55" t="s">
        <v>228</v>
      </c>
      <c r="K98" s="54" t="s">
        <v>13</v>
      </c>
      <c r="L98" s="56" t="s">
        <v>239</v>
      </c>
    </row>
    <row r="99" spans="1:12" ht="15.75" customHeight="1" x14ac:dyDescent="0.25">
      <c r="A99" s="51" t="s">
        <v>225</v>
      </c>
      <c r="B99" s="52" t="s">
        <v>254</v>
      </c>
      <c r="C99" s="53">
        <v>239</v>
      </c>
      <c r="D99" s="54" t="s">
        <v>344</v>
      </c>
      <c r="E99" s="53">
        <v>239</v>
      </c>
      <c r="F99" s="54" t="s">
        <v>218</v>
      </c>
      <c r="G99" s="54" t="s">
        <v>2</v>
      </c>
      <c r="H99" s="53" t="s">
        <v>0</v>
      </c>
      <c r="I99" s="53" t="s">
        <v>17</v>
      </c>
      <c r="J99" s="55" t="s">
        <v>228</v>
      </c>
      <c r="K99" s="54" t="s">
        <v>8</v>
      </c>
      <c r="L99" s="56" t="s">
        <v>239</v>
      </c>
    </row>
    <row r="100" spans="1:12" ht="15.75" customHeight="1" x14ac:dyDescent="0.25">
      <c r="A100" s="51" t="s">
        <v>225</v>
      </c>
      <c r="B100" s="52" t="s">
        <v>256</v>
      </c>
      <c r="C100" s="53">
        <v>240</v>
      </c>
      <c r="D100" s="54" t="s">
        <v>345</v>
      </c>
      <c r="E100" s="53">
        <v>240</v>
      </c>
      <c r="F100" s="54" t="s">
        <v>218</v>
      </c>
      <c r="G100" s="54" t="s">
        <v>2</v>
      </c>
      <c r="H100" s="53" t="s">
        <v>0</v>
      </c>
      <c r="I100" s="53" t="s">
        <v>17</v>
      </c>
      <c r="J100" s="55" t="s">
        <v>228</v>
      </c>
      <c r="K100" s="54" t="s">
        <v>9</v>
      </c>
      <c r="L100" s="56" t="s">
        <v>239</v>
      </c>
    </row>
    <row r="101" spans="1:12" ht="15.75" customHeight="1" x14ac:dyDescent="0.25">
      <c r="A101" s="51" t="s">
        <v>225</v>
      </c>
      <c r="B101" s="52" t="s">
        <v>258</v>
      </c>
      <c r="C101" s="53">
        <v>241</v>
      </c>
      <c r="D101" s="54" t="s">
        <v>346</v>
      </c>
      <c r="E101" s="53">
        <v>241</v>
      </c>
      <c r="F101" s="54" t="s">
        <v>218</v>
      </c>
      <c r="G101" s="54" t="s">
        <v>2</v>
      </c>
      <c r="H101" s="53" t="s">
        <v>0</v>
      </c>
      <c r="I101" s="53" t="s">
        <v>17</v>
      </c>
      <c r="J101" s="55" t="s">
        <v>228</v>
      </c>
      <c r="K101" s="54" t="s">
        <v>12</v>
      </c>
      <c r="L101" s="56" t="s">
        <v>239</v>
      </c>
    </row>
    <row r="102" spans="1:12" ht="15.75" customHeight="1" x14ac:dyDescent="0.25">
      <c r="A102" s="51" t="s">
        <v>225</v>
      </c>
      <c r="B102" s="52" t="s">
        <v>260</v>
      </c>
      <c r="C102" s="53">
        <v>242</v>
      </c>
      <c r="D102" s="54" t="s">
        <v>347</v>
      </c>
      <c r="E102" s="53">
        <v>242</v>
      </c>
      <c r="F102" s="54" t="s">
        <v>218</v>
      </c>
      <c r="G102" s="54" t="s">
        <v>2</v>
      </c>
      <c r="H102" s="53" t="s">
        <v>0</v>
      </c>
      <c r="I102" s="53" t="s">
        <v>17</v>
      </c>
      <c r="J102" s="55" t="s">
        <v>228</v>
      </c>
      <c r="K102" s="54" t="s">
        <v>11</v>
      </c>
      <c r="L102" s="56" t="s">
        <v>239</v>
      </c>
    </row>
    <row r="103" spans="1:12" ht="15.75" customHeight="1" x14ac:dyDescent="0.25">
      <c r="A103" s="51" t="s">
        <v>225</v>
      </c>
      <c r="B103" s="52" t="s">
        <v>237</v>
      </c>
      <c r="C103" s="53">
        <v>267</v>
      </c>
      <c r="D103" s="54" t="s">
        <v>348</v>
      </c>
      <c r="E103" s="53">
        <v>267</v>
      </c>
      <c r="F103" s="54" t="s">
        <v>218</v>
      </c>
      <c r="G103" s="54" t="s">
        <v>2</v>
      </c>
      <c r="H103" s="53" t="s">
        <v>1</v>
      </c>
      <c r="I103" s="53" t="s">
        <v>15</v>
      </c>
      <c r="J103" s="55" t="s">
        <v>228</v>
      </c>
      <c r="K103" s="54" t="s">
        <v>7</v>
      </c>
      <c r="L103" s="56" t="s">
        <v>239</v>
      </c>
    </row>
    <row r="104" spans="1:12" ht="15.75" customHeight="1" x14ac:dyDescent="0.25">
      <c r="A104" s="51" t="s">
        <v>225</v>
      </c>
      <c r="B104" s="52" t="s">
        <v>240</v>
      </c>
      <c r="C104" s="53">
        <v>268</v>
      </c>
      <c r="D104" s="54" t="s">
        <v>349</v>
      </c>
      <c r="E104" s="53">
        <v>268</v>
      </c>
      <c r="F104" s="54" t="s">
        <v>218</v>
      </c>
      <c r="G104" s="54" t="s">
        <v>2</v>
      </c>
      <c r="H104" s="53" t="s">
        <v>1</v>
      </c>
      <c r="I104" s="53" t="s">
        <v>15</v>
      </c>
      <c r="J104" s="55" t="s">
        <v>228</v>
      </c>
      <c r="K104" s="54" t="s">
        <v>13</v>
      </c>
      <c r="L104" s="56" t="s">
        <v>239</v>
      </c>
    </row>
    <row r="105" spans="1:12" ht="15.75" customHeight="1" x14ac:dyDescent="0.25">
      <c r="A105" s="51" t="s">
        <v>225</v>
      </c>
      <c r="B105" s="52" t="s">
        <v>242</v>
      </c>
      <c r="C105" s="53">
        <v>269</v>
      </c>
      <c r="D105" s="54" t="s">
        <v>350</v>
      </c>
      <c r="E105" s="53">
        <v>269</v>
      </c>
      <c r="F105" s="54" t="s">
        <v>218</v>
      </c>
      <c r="G105" s="54" t="s">
        <v>2</v>
      </c>
      <c r="H105" s="53" t="s">
        <v>1</v>
      </c>
      <c r="I105" s="53" t="s">
        <v>15</v>
      </c>
      <c r="J105" s="55" t="s">
        <v>228</v>
      </c>
      <c r="K105" s="54" t="s">
        <v>8</v>
      </c>
      <c r="L105" s="56" t="s">
        <v>239</v>
      </c>
    </row>
    <row r="106" spans="1:12" ht="15.75" customHeight="1" x14ac:dyDescent="0.25">
      <c r="A106" s="51" t="s">
        <v>225</v>
      </c>
      <c r="B106" s="52" t="s">
        <v>244</v>
      </c>
      <c r="C106" s="53">
        <v>270</v>
      </c>
      <c r="D106" s="54" t="s">
        <v>351</v>
      </c>
      <c r="E106" s="53">
        <v>270</v>
      </c>
      <c r="F106" s="54" t="s">
        <v>218</v>
      </c>
      <c r="G106" s="54" t="s">
        <v>2</v>
      </c>
      <c r="H106" s="53" t="s">
        <v>1</v>
      </c>
      <c r="I106" s="53" t="s">
        <v>15</v>
      </c>
      <c r="J106" s="55" t="s">
        <v>228</v>
      </c>
      <c r="K106" s="54" t="s">
        <v>9</v>
      </c>
      <c r="L106" s="56" t="s">
        <v>239</v>
      </c>
    </row>
    <row r="107" spans="1:12" ht="15.75" customHeight="1" x14ac:dyDescent="0.25">
      <c r="A107" s="51" t="s">
        <v>225</v>
      </c>
      <c r="B107" s="52" t="s">
        <v>246</v>
      </c>
      <c r="C107" s="53">
        <v>271</v>
      </c>
      <c r="D107" s="54" t="s">
        <v>352</v>
      </c>
      <c r="E107" s="53">
        <v>271</v>
      </c>
      <c r="F107" s="54" t="s">
        <v>218</v>
      </c>
      <c r="G107" s="54" t="s">
        <v>2</v>
      </c>
      <c r="H107" s="53" t="s">
        <v>1</v>
      </c>
      <c r="I107" s="53" t="s">
        <v>15</v>
      </c>
      <c r="J107" s="55" t="s">
        <v>228</v>
      </c>
      <c r="K107" s="54" t="s">
        <v>12</v>
      </c>
      <c r="L107" s="56" t="s">
        <v>239</v>
      </c>
    </row>
    <row r="108" spans="1:12" ht="15.75" customHeight="1" x14ac:dyDescent="0.25">
      <c r="A108" s="51" t="s">
        <v>225</v>
      </c>
      <c r="B108" s="52" t="s">
        <v>248</v>
      </c>
      <c r="C108" s="53">
        <v>272</v>
      </c>
      <c r="D108" s="54" t="s">
        <v>353</v>
      </c>
      <c r="E108" s="53">
        <v>272</v>
      </c>
      <c r="F108" s="54" t="s">
        <v>218</v>
      </c>
      <c r="G108" s="54" t="s">
        <v>2</v>
      </c>
      <c r="H108" s="53" t="s">
        <v>1</v>
      </c>
      <c r="I108" s="53" t="s">
        <v>15</v>
      </c>
      <c r="J108" s="55" t="s">
        <v>228</v>
      </c>
      <c r="K108" s="54" t="s">
        <v>11</v>
      </c>
      <c r="L108" s="56" t="s">
        <v>239</v>
      </c>
    </row>
    <row r="109" spans="1:12" ht="15.75" customHeight="1" x14ac:dyDescent="0.25">
      <c r="A109" s="51" t="s">
        <v>225</v>
      </c>
      <c r="B109" s="52" t="s">
        <v>250</v>
      </c>
      <c r="C109" s="53">
        <v>297</v>
      </c>
      <c r="D109" s="54" t="s">
        <v>354</v>
      </c>
      <c r="E109" s="53">
        <v>297</v>
      </c>
      <c r="F109" s="54" t="s">
        <v>218</v>
      </c>
      <c r="G109" s="54" t="s">
        <v>2</v>
      </c>
      <c r="H109" s="53" t="s">
        <v>1</v>
      </c>
      <c r="I109" s="53" t="s">
        <v>17</v>
      </c>
      <c r="J109" s="55" t="s">
        <v>228</v>
      </c>
      <c r="K109" s="54" t="s">
        <v>7</v>
      </c>
      <c r="L109" s="56" t="s">
        <v>239</v>
      </c>
    </row>
    <row r="110" spans="1:12" ht="15.75" customHeight="1" x14ac:dyDescent="0.25">
      <c r="A110" s="51" t="s">
        <v>225</v>
      </c>
      <c r="B110" s="52" t="s">
        <v>252</v>
      </c>
      <c r="C110" s="53">
        <v>298</v>
      </c>
      <c r="D110" s="54" t="s">
        <v>355</v>
      </c>
      <c r="E110" s="53">
        <v>298</v>
      </c>
      <c r="F110" s="54" t="s">
        <v>218</v>
      </c>
      <c r="G110" s="54" t="s">
        <v>2</v>
      </c>
      <c r="H110" s="53" t="s">
        <v>1</v>
      </c>
      <c r="I110" s="53" t="s">
        <v>17</v>
      </c>
      <c r="J110" s="55" t="s">
        <v>228</v>
      </c>
      <c r="K110" s="54" t="s">
        <v>13</v>
      </c>
      <c r="L110" s="56" t="s">
        <v>239</v>
      </c>
    </row>
    <row r="111" spans="1:12" ht="15.75" customHeight="1" x14ac:dyDescent="0.25">
      <c r="A111" s="51" t="s">
        <v>225</v>
      </c>
      <c r="B111" s="52" t="s">
        <v>254</v>
      </c>
      <c r="C111" s="53">
        <v>299</v>
      </c>
      <c r="D111" s="54" t="s">
        <v>356</v>
      </c>
      <c r="E111" s="53">
        <v>299</v>
      </c>
      <c r="F111" s="54" t="s">
        <v>218</v>
      </c>
      <c r="G111" s="54" t="s">
        <v>2</v>
      </c>
      <c r="H111" s="53" t="s">
        <v>1</v>
      </c>
      <c r="I111" s="53" t="s">
        <v>17</v>
      </c>
      <c r="J111" s="55" t="s">
        <v>228</v>
      </c>
      <c r="K111" s="54" t="s">
        <v>8</v>
      </c>
      <c r="L111" s="56" t="s">
        <v>239</v>
      </c>
    </row>
    <row r="112" spans="1:12" ht="15.75" customHeight="1" x14ac:dyDescent="0.25">
      <c r="A112" s="51" t="s">
        <v>225</v>
      </c>
      <c r="B112" s="52" t="s">
        <v>256</v>
      </c>
      <c r="C112" s="53">
        <v>300</v>
      </c>
      <c r="D112" s="54" t="s">
        <v>357</v>
      </c>
      <c r="E112" s="53">
        <v>300</v>
      </c>
      <c r="F112" s="54" t="s">
        <v>218</v>
      </c>
      <c r="G112" s="54" t="s">
        <v>2</v>
      </c>
      <c r="H112" s="53" t="s">
        <v>1</v>
      </c>
      <c r="I112" s="53" t="s">
        <v>17</v>
      </c>
      <c r="J112" s="55" t="s">
        <v>228</v>
      </c>
      <c r="K112" s="54" t="s">
        <v>9</v>
      </c>
      <c r="L112" s="56" t="s">
        <v>239</v>
      </c>
    </row>
    <row r="113" spans="1:12" ht="15.75" customHeight="1" x14ac:dyDescent="0.25">
      <c r="A113" s="51" t="s">
        <v>225</v>
      </c>
      <c r="B113" s="52" t="s">
        <v>258</v>
      </c>
      <c r="C113" s="53">
        <v>301</v>
      </c>
      <c r="D113" s="54" t="s">
        <v>358</v>
      </c>
      <c r="E113" s="53">
        <v>301</v>
      </c>
      <c r="F113" s="54" t="s">
        <v>218</v>
      </c>
      <c r="G113" s="54" t="s">
        <v>2</v>
      </c>
      <c r="H113" s="53" t="s">
        <v>1</v>
      </c>
      <c r="I113" s="53" t="s">
        <v>17</v>
      </c>
      <c r="J113" s="55" t="s">
        <v>228</v>
      </c>
      <c r="K113" s="54" t="s">
        <v>12</v>
      </c>
      <c r="L113" s="56" t="s">
        <v>239</v>
      </c>
    </row>
    <row r="114" spans="1:12" ht="15.75" customHeight="1" x14ac:dyDescent="0.25">
      <c r="A114" s="51" t="s">
        <v>225</v>
      </c>
      <c r="B114" s="52" t="s">
        <v>260</v>
      </c>
      <c r="C114" s="53">
        <v>302</v>
      </c>
      <c r="D114" s="54" t="s">
        <v>359</v>
      </c>
      <c r="E114" s="53">
        <v>302</v>
      </c>
      <c r="F114" s="54" t="s">
        <v>218</v>
      </c>
      <c r="G114" s="54" t="s">
        <v>2</v>
      </c>
      <c r="H114" s="53" t="s">
        <v>1</v>
      </c>
      <c r="I114" s="53" t="s">
        <v>17</v>
      </c>
      <c r="J114" s="55" t="s">
        <v>228</v>
      </c>
      <c r="K114" s="54" t="s">
        <v>11</v>
      </c>
      <c r="L114" s="56" t="s">
        <v>239</v>
      </c>
    </row>
    <row r="115" spans="1:12" ht="15.75" customHeight="1" x14ac:dyDescent="0.25">
      <c r="A115" s="51" t="s">
        <v>225</v>
      </c>
      <c r="B115" s="52" t="s">
        <v>274</v>
      </c>
      <c r="C115" s="53">
        <v>882</v>
      </c>
      <c r="D115" s="54" t="s">
        <v>360</v>
      </c>
      <c r="E115" s="53">
        <v>882</v>
      </c>
      <c r="F115" s="54" t="s">
        <v>218</v>
      </c>
      <c r="G115" s="54" t="s">
        <v>2</v>
      </c>
      <c r="H115" s="53" t="s">
        <v>0</v>
      </c>
      <c r="I115" s="53" t="s">
        <v>15</v>
      </c>
      <c r="J115" s="55" t="s">
        <v>228</v>
      </c>
      <c r="K115" s="54" t="s">
        <v>10</v>
      </c>
      <c r="L115" s="56" t="s">
        <v>239</v>
      </c>
    </row>
    <row r="116" spans="1:12" ht="15.75" customHeight="1" x14ac:dyDescent="0.25">
      <c r="A116" s="51" t="s">
        <v>225</v>
      </c>
      <c r="B116" s="52" t="s">
        <v>276</v>
      </c>
      <c r="C116" s="53">
        <v>887</v>
      </c>
      <c r="D116" s="54" t="s">
        <v>361</v>
      </c>
      <c r="E116" s="53">
        <v>887</v>
      </c>
      <c r="F116" s="54" t="s">
        <v>218</v>
      </c>
      <c r="G116" s="54" t="s">
        <v>2</v>
      </c>
      <c r="H116" s="53" t="s">
        <v>0</v>
      </c>
      <c r="I116" s="53" t="s">
        <v>17</v>
      </c>
      <c r="J116" s="55" t="s">
        <v>228</v>
      </c>
      <c r="K116" s="54" t="s">
        <v>10</v>
      </c>
      <c r="L116" s="56" t="s">
        <v>239</v>
      </c>
    </row>
    <row r="117" spans="1:12" ht="15.75" customHeight="1" x14ac:dyDescent="0.25">
      <c r="A117" s="51" t="s">
        <v>225</v>
      </c>
      <c r="B117" s="52" t="s">
        <v>274</v>
      </c>
      <c r="C117" s="53">
        <v>892</v>
      </c>
      <c r="D117" s="54" t="s">
        <v>362</v>
      </c>
      <c r="E117" s="53">
        <v>892</v>
      </c>
      <c r="F117" s="54" t="s">
        <v>218</v>
      </c>
      <c r="G117" s="54" t="s">
        <v>2</v>
      </c>
      <c r="H117" s="53" t="s">
        <v>1</v>
      </c>
      <c r="I117" s="53" t="s">
        <v>15</v>
      </c>
      <c r="J117" s="55" t="s">
        <v>228</v>
      </c>
      <c r="K117" s="54" t="s">
        <v>10</v>
      </c>
      <c r="L117" s="56" t="s">
        <v>239</v>
      </c>
    </row>
    <row r="118" spans="1:12" ht="15.75" customHeight="1" x14ac:dyDescent="0.25">
      <c r="A118" s="51" t="s">
        <v>225</v>
      </c>
      <c r="B118" s="52" t="s">
        <v>276</v>
      </c>
      <c r="C118" s="53">
        <v>897</v>
      </c>
      <c r="D118" s="54" t="s">
        <v>363</v>
      </c>
      <c r="E118" s="53">
        <v>897</v>
      </c>
      <c r="F118" s="54" t="s">
        <v>218</v>
      </c>
      <c r="G118" s="54" t="s">
        <v>2</v>
      </c>
      <c r="H118" s="53" t="s">
        <v>1</v>
      </c>
      <c r="I118" s="53" t="s">
        <v>17</v>
      </c>
      <c r="J118" s="55" t="s">
        <v>228</v>
      </c>
      <c r="K118" s="54" t="s">
        <v>10</v>
      </c>
      <c r="L118" s="56" t="s">
        <v>239</v>
      </c>
    </row>
    <row r="119" spans="1:12" ht="15.75" customHeight="1" x14ac:dyDescent="0.25">
      <c r="A119" s="51" t="s">
        <v>225</v>
      </c>
      <c r="B119" s="52" t="s">
        <v>237</v>
      </c>
      <c r="C119" s="53">
        <v>201</v>
      </c>
      <c r="D119" s="54" t="s">
        <v>364</v>
      </c>
      <c r="E119" s="53">
        <v>201</v>
      </c>
      <c r="F119" s="54" t="s">
        <v>218</v>
      </c>
      <c r="G119" s="54" t="s">
        <v>2</v>
      </c>
      <c r="H119" s="53" t="s">
        <v>0</v>
      </c>
      <c r="I119" s="53" t="s">
        <v>15</v>
      </c>
      <c r="J119" s="55" t="s">
        <v>236</v>
      </c>
      <c r="K119" s="54" t="s">
        <v>7</v>
      </c>
      <c r="L119" s="56" t="s">
        <v>239</v>
      </c>
    </row>
    <row r="120" spans="1:12" ht="15.75" customHeight="1" x14ac:dyDescent="0.25">
      <c r="A120" s="51" t="s">
        <v>225</v>
      </c>
      <c r="B120" s="52" t="s">
        <v>240</v>
      </c>
      <c r="C120" s="53">
        <v>202</v>
      </c>
      <c r="D120" s="54" t="s">
        <v>365</v>
      </c>
      <c r="E120" s="53">
        <v>202</v>
      </c>
      <c r="F120" s="54" t="s">
        <v>218</v>
      </c>
      <c r="G120" s="54" t="s">
        <v>2</v>
      </c>
      <c r="H120" s="53" t="s">
        <v>0</v>
      </c>
      <c r="I120" s="53" t="s">
        <v>15</v>
      </c>
      <c r="J120" s="55" t="s">
        <v>236</v>
      </c>
      <c r="K120" s="54" t="s">
        <v>13</v>
      </c>
      <c r="L120" s="56" t="s">
        <v>239</v>
      </c>
    </row>
    <row r="121" spans="1:12" ht="15.75" customHeight="1" x14ac:dyDescent="0.25">
      <c r="A121" s="51" t="s">
        <v>225</v>
      </c>
      <c r="B121" s="52" t="s">
        <v>242</v>
      </c>
      <c r="C121" s="53">
        <v>203</v>
      </c>
      <c r="D121" s="54" t="s">
        <v>366</v>
      </c>
      <c r="E121" s="53">
        <v>203</v>
      </c>
      <c r="F121" s="54" t="s">
        <v>218</v>
      </c>
      <c r="G121" s="54" t="s">
        <v>2</v>
      </c>
      <c r="H121" s="53" t="s">
        <v>0</v>
      </c>
      <c r="I121" s="53" t="s">
        <v>15</v>
      </c>
      <c r="J121" s="55" t="s">
        <v>236</v>
      </c>
      <c r="K121" s="54" t="s">
        <v>8</v>
      </c>
      <c r="L121" s="56" t="s">
        <v>239</v>
      </c>
    </row>
    <row r="122" spans="1:12" ht="15.75" customHeight="1" x14ac:dyDescent="0.25">
      <c r="A122" s="51" t="s">
        <v>225</v>
      </c>
      <c r="B122" s="52" t="s">
        <v>244</v>
      </c>
      <c r="C122" s="53">
        <v>204</v>
      </c>
      <c r="D122" s="54" t="s">
        <v>367</v>
      </c>
      <c r="E122" s="53">
        <v>204</v>
      </c>
      <c r="F122" s="54" t="s">
        <v>218</v>
      </c>
      <c r="G122" s="54" t="s">
        <v>2</v>
      </c>
      <c r="H122" s="53" t="s">
        <v>0</v>
      </c>
      <c r="I122" s="53" t="s">
        <v>15</v>
      </c>
      <c r="J122" s="55" t="s">
        <v>236</v>
      </c>
      <c r="K122" s="54" t="s">
        <v>9</v>
      </c>
      <c r="L122" s="56" t="s">
        <v>239</v>
      </c>
    </row>
    <row r="123" spans="1:12" ht="15.75" customHeight="1" x14ac:dyDescent="0.25">
      <c r="A123" s="51" t="s">
        <v>225</v>
      </c>
      <c r="B123" s="52" t="s">
        <v>246</v>
      </c>
      <c r="C123" s="53">
        <v>205</v>
      </c>
      <c r="D123" s="54" t="s">
        <v>368</v>
      </c>
      <c r="E123" s="53">
        <v>205</v>
      </c>
      <c r="F123" s="54" t="s">
        <v>218</v>
      </c>
      <c r="G123" s="54" t="s">
        <v>2</v>
      </c>
      <c r="H123" s="53" t="s">
        <v>0</v>
      </c>
      <c r="I123" s="53" t="s">
        <v>15</v>
      </c>
      <c r="J123" s="55" t="s">
        <v>236</v>
      </c>
      <c r="K123" s="54" t="s">
        <v>12</v>
      </c>
      <c r="L123" s="56" t="s">
        <v>239</v>
      </c>
    </row>
    <row r="124" spans="1:12" ht="15.75" customHeight="1" x14ac:dyDescent="0.25">
      <c r="A124" s="51" t="s">
        <v>225</v>
      </c>
      <c r="B124" s="52" t="s">
        <v>248</v>
      </c>
      <c r="C124" s="53">
        <v>206</v>
      </c>
      <c r="D124" s="54" t="s">
        <v>369</v>
      </c>
      <c r="E124" s="53">
        <v>206</v>
      </c>
      <c r="F124" s="54" t="s">
        <v>218</v>
      </c>
      <c r="G124" s="54" t="s">
        <v>2</v>
      </c>
      <c r="H124" s="53" t="s">
        <v>0</v>
      </c>
      <c r="I124" s="53" t="s">
        <v>15</v>
      </c>
      <c r="J124" s="55" t="s">
        <v>236</v>
      </c>
      <c r="K124" s="54" t="s">
        <v>11</v>
      </c>
      <c r="L124" s="56" t="s">
        <v>239</v>
      </c>
    </row>
    <row r="125" spans="1:12" ht="15.75" customHeight="1" x14ac:dyDescent="0.25">
      <c r="A125" s="51" t="s">
        <v>225</v>
      </c>
      <c r="B125" s="52" t="s">
        <v>250</v>
      </c>
      <c r="C125" s="53">
        <v>231</v>
      </c>
      <c r="D125" s="54" t="s">
        <v>370</v>
      </c>
      <c r="E125" s="53">
        <v>231</v>
      </c>
      <c r="F125" s="54" t="s">
        <v>218</v>
      </c>
      <c r="G125" s="54" t="s">
        <v>2</v>
      </c>
      <c r="H125" s="53" t="s">
        <v>0</v>
      </c>
      <c r="I125" s="53" t="s">
        <v>17</v>
      </c>
      <c r="J125" s="55" t="s">
        <v>236</v>
      </c>
      <c r="K125" s="54" t="s">
        <v>7</v>
      </c>
      <c r="L125" s="56" t="s">
        <v>239</v>
      </c>
    </row>
    <row r="126" spans="1:12" ht="15.75" customHeight="1" x14ac:dyDescent="0.25">
      <c r="A126" s="51" t="s">
        <v>225</v>
      </c>
      <c r="B126" s="52" t="s">
        <v>252</v>
      </c>
      <c r="C126" s="53">
        <v>232</v>
      </c>
      <c r="D126" s="54" t="s">
        <v>371</v>
      </c>
      <c r="E126" s="53">
        <v>232</v>
      </c>
      <c r="F126" s="54" t="s">
        <v>218</v>
      </c>
      <c r="G126" s="54" t="s">
        <v>2</v>
      </c>
      <c r="H126" s="53" t="s">
        <v>0</v>
      </c>
      <c r="I126" s="53" t="s">
        <v>17</v>
      </c>
      <c r="J126" s="55" t="s">
        <v>236</v>
      </c>
      <c r="K126" s="54" t="s">
        <v>13</v>
      </c>
      <c r="L126" s="56" t="s">
        <v>239</v>
      </c>
    </row>
    <row r="127" spans="1:12" ht="15.75" customHeight="1" x14ac:dyDescent="0.25">
      <c r="A127" s="51" t="s">
        <v>225</v>
      </c>
      <c r="B127" s="52" t="s">
        <v>254</v>
      </c>
      <c r="C127" s="53">
        <v>233</v>
      </c>
      <c r="D127" s="54" t="s">
        <v>372</v>
      </c>
      <c r="E127" s="53">
        <v>233</v>
      </c>
      <c r="F127" s="54" t="s">
        <v>218</v>
      </c>
      <c r="G127" s="54" t="s">
        <v>2</v>
      </c>
      <c r="H127" s="53" t="s">
        <v>0</v>
      </c>
      <c r="I127" s="53" t="s">
        <v>17</v>
      </c>
      <c r="J127" s="55" t="s">
        <v>236</v>
      </c>
      <c r="K127" s="54" t="s">
        <v>8</v>
      </c>
      <c r="L127" s="56" t="s">
        <v>239</v>
      </c>
    </row>
    <row r="128" spans="1:12" ht="15.75" customHeight="1" x14ac:dyDescent="0.25">
      <c r="A128" s="51" t="s">
        <v>225</v>
      </c>
      <c r="B128" s="52" t="s">
        <v>256</v>
      </c>
      <c r="C128" s="53">
        <v>234</v>
      </c>
      <c r="D128" s="54" t="s">
        <v>373</v>
      </c>
      <c r="E128" s="53">
        <v>234</v>
      </c>
      <c r="F128" s="54" t="s">
        <v>218</v>
      </c>
      <c r="G128" s="54" t="s">
        <v>2</v>
      </c>
      <c r="H128" s="53" t="s">
        <v>0</v>
      </c>
      <c r="I128" s="53" t="s">
        <v>17</v>
      </c>
      <c r="J128" s="55" t="s">
        <v>236</v>
      </c>
      <c r="K128" s="54" t="s">
        <v>9</v>
      </c>
      <c r="L128" s="56" t="s">
        <v>239</v>
      </c>
    </row>
    <row r="129" spans="1:12" ht="15.75" customHeight="1" x14ac:dyDescent="0.25">
      <c r="A129" s="51" t="s">
        <v>225</v>
      </c>
      <c r="B129" s="52" t="s">
        <v>258</v>
      </c>
      <c r="C129" s="53">
        <v>235</v>
      </c>
      <c r="D129" s="54" t="s">
        <v>374</v>
      </c>
      <c r="E129" s="53">
        <v>235</v>
      </c>
      <c r="F129" s="54" t="s">
        <v>218</v>
      </c>
      <c r="G129" s="54" t="s">
        <v>2</v>
      </c>
      <c r="H129" s="53" t="s">
        <v>0</v>
      </c>
      <c r="I129" s="53" t="s">
        <v>17</v>
      </c>
      <c r="J129" s="55" t="s">
        <v>236</v>
      </c>
      <c r="K129" s="54" t="s">
        <v>12</v>
      </c>
      <c r="L129" s="56" t="s">
        <v>239</v>
      </c>
    </row>
    <row r="130" spans="1:12" ht="15.75" customHeight="1" x14ac:dyDescent="0.25">
      <c r="A130" s="51" t="s">
        <v>225</v>
      </c>
      <c r="B130" s="52" t="s">
        <v>260</v>
      </c>
      <c r="C130" s="53">
        <v>236</v>
      </c>
      <c r="D130" s="54" t="s">
        <v>375</v>
      </c>
      <c r="E130" s="53">
        <v>236</v>
      </c>
      <c r="F130" s="54" t="s">
        <v>218</v>
      </c>
      <c r="G130" s="54" t="s">
        <v>2</v>
      </c>
      <c r="H130" s="53" t="s">
        <v>0</v>
      </c>
      <c r="I130" s="53" t="s">
        <v>17</v>
      </c>
      <c r="J130" s="55" t="s">
        <v>236</v>
      </c>
      <c r="K130" s="54" t="s">
        <v>11</v>
      </c>
      <c r="L130" s="56" t="s">
        <v>239</v>
      </c>
    </row>
    <row r="131" spans="1:12" ht="15.75" customHeight="1" x14ac:dyDescent="0.25">
      <c r="A131" s="51" t="s">
        <v>225</v>
      </c>
      <c r="B131" s="52" t="s">
        <v>237</v>
      </c>
      <c r="C131" s="53">
        <v>261</v>
      </c>
      <c r="D131" s="54" t="s">
        <v>376</v>
      </c>
      <c r="E131" s="53">
        <v>261</v>
      </c>
      <c r="F131" s="54" t="s">
        <v>218</v>
      </c>
      <c r="G131" s="54" t="s">
        <v>2</v>
      </c>
      <c r="H131" s="53" t="s">
        <v>1</v>
      </c>
      <c r="I131" s="53" t="s">
        <v>15</v>
      </c>
      <c r="J131" s="55" t="s">
        <v>236</v>
      </c>
      <c r="K131" s="54" t="s">
        <v>7</v>
      </c>
      <c r="L131" s="56" t="s">
        <v>239</v>
      </c>
    </row>
    <row r="132" spans="1:12" ht="15.75" customHeight="1" x14ac:dyDescent="0.25">
      <c r="A132" s="51" t="s">
        <v>225</v>
      </c>
      <c r="B132" s="52" t="s">
        <v>240</v>
      </c>
      <c r="C132" s="53">
        <v>262</v>
      </c>
      <c r="D132" s="54" t="s">
        <v>377</v>
      </c>
      <c r="E132" s="53">
        <v>262</v>
      </c>
      <c r="F132" s="54" t="s">
        <v>218</v>
      </c>
      <c r="G132" s="54" t="s">
        <v>2</v>
      </c>
      <c r="H132" s="53" t="s">
        <v>1</v>
      </c>
      <c r="I132" s="53" t="s">
        <v>15</v>
      </c>
      <c r="J132" s="55" t="s">
        <v>236</v>
      </c>
      <c r="K132" s="54" t="s">
        <v>13</v>
      </c>
      <c r="L132" s="56" t="s">
        <v>239</v>
      </c>
    </row>
    <row r="133" spans="1:12" ht="15.75" customHeight="1" x14ac:dyDescent="0.25">
      <c r="A133" s="51" t="s">
        <v>225</v>
      </c>
      <c r="B133" s="52" t="s">
        <v>242</v>
      </c>
      <c r="C133" s="53">
        <v>263</v>
      </c>
      <c r="D133" s="54" t="s">
        <v>378</v>
      </c>
      <c r="E133" s="53">
        <v>263</v>
      </c>
      <c r="F133" s="54" t="s">
        <v>218</v>
      </c>
      <c r="G133" s="54" t="s">
        <v>2</v>
      </c>
      <c r="H133" s="53" t="s">
        <v>1</v>
      </c>
      <c r="I133" s="53" t="s">
        <v>15</v>
      </c>
      <c r="J133" s="55" t="s">
        <v>236</v>
      </c>
      <c r="K133" s="54" t="s">
        <v>8</v>
      </c>
      <c r="L133" s="56" t="s">
        <v>239</v>
      </c>
    </row>
    <row r="134" spans="1:12" ht="15.75" customHeight="1" x14ac:dyDescent="0.25">
      <c r="A134" s="51" t="s">
        <v>225</v>
      </c>
      <c r="B134" s="52" t="s">
        <v>244</v>
      </c>
      <c r="C134" s="53">
        <v>264</v>
      </c>
      <c r="D134" s="54" t="s">
        <v>379</v>
      </c>
      <c r="E134" s="53">
        <v>264</v>
      </c>
      <c r="F134" s="54" t="s">
        <v>218</v>
      </c>
      <c r="G134" s="54" t="s">
        <v>2</v>
      </c>
      <c r="H134" s="53" t="s">
        <v>1</v>
      </c>
      <c r="I134" s="53" t="s">
        <v>15</v>
      </c>
      <c r="J134" s="55" t="s">
        <v>236</v>
      </c>
      <c r="K134" s="54" t="s">
        <v>9</v>
      </c>
      <c r="L134" s="56" t="s">
        <v>239</v>
      </c>
    </row>
    <row r="135" spans="1:12" ht="15.75" customHeight="1" x14ac:dyDescent="0.25">
      <c r="A135" s="51" t="s">
        <v>225</v>
      </c>
      <c r="B135" s="52" t="s">
        <v>246</v>
      </c>
      <c r="C135" s="53">
        <v>265</v>
      </c>
      <c r="D135" s="54" t="s">
        <v>380</v>
      </c>
      <c r="E135" s="53">
        <v>265</v>
      </c>
      <c r="F135" s="54" t="s">
        <v>218</v>
      </c>
      <c r="G135" s="54" t="s">
        <v>2</v>
      </c>
      <c r="H135" s="53" t="s">
        <v>1</v>
      </c>
      <c r="I135" s="53" t="s">
        <v>15</v>
      </c>
      <c r="J135" s="55" t="s">
        <v>236</v>
      </c>
      <c r="K135" s="54" t="s">
        <v>12</v>
      </c>
      <c r="L135" s="56" t="s">
        <v>239</v>
      </c>
    </row>
    <row r="136" spans="1:12" ht="15.75" customHeight="1" x14ac:dyDescent="0.25">
      <c r="A136" s="51" t="s">
        <v>225</v>
      </c>
      <c r="B136" s="52" t="s">
        <v>248</v>
      </c>
      <c r="C136" s="53">
        <v>266</v>
      </c>
      <c r="D136" s="54" t="s">
        <v>381</v>
      </c>
      <c r="E136" s="53">
        <v>266</v>
      </c>
      <c r="F136" s="54" t="s">
        <v>218</v>
      </c>
      <c r="G136" s="54" t="s">
        <v>2</v>
      </c>
      <c r="H136" s="53" t="s">
        <v>1</v>
      </c>
      <c r="I136" s="53" t="s">
        <v>15</v>
      </c>
      <c r="J136" s="55" t="s">
        <v>236</v>
      </c>
      <c r="K136" s="54" t="s">
        <v>11</v>
      </c>
      <c r="L136" s="56" t="s">
        <v>239</v>
      </c>
    </row>
    <row r="137" spans="1:12" ht="15.75" customHeight="1" x14ac:dyDescent="0.25">
      <c r="A137" s="51" t="s">
        <v>225</v>
      </c>
      <c r="B137" s="52" t="s">
        <v>250</v>
      </c>
      <c r="C137" s="53">
        <v>291</v>
      </c>
      <c r="D137" s="54" t="s">
        <v>382</v>
      </c>
      <c r="E137" s="53">
        <v>291</v>
      </c>
      <c r="F137" s="54" t="s">
        <v>218</v>
      </c>
      <c r="G137" s="54" t="s">
        <v>2</v>
      </c>
      <c r="H137" s="53" t="s">
        <v>1</v>
      </c>
      <c r="I137" s="53" t="s">
        <v>17</v>
      </c>
      <c r="J137" s="55" t="s">
        <v>236</v>
      </c>
      <c r="K137" s="54" t="s">
        <v>7</v>
      </c>
      <c r="L137" s="56" t="s">
        <v>239</v>
      </c>
    </row>
    <row r="138" spans="1:12" ht="15.75" customHeight="1" x14ac:dyDescent="0.25">
      <c r="A138" s="51" t="s">
        <v>225</v>
      </c>
      <c r="B138" s="52" t="s">
        <v>252</v>
      </c>
      <c r="C138" s="53">
        <v>292</v>
      </c>
      <c r="D138" s="54" t="s">
        <v>383</v>
      </c>
      <c r="E138" s="53">
        <v>292</v>
      </c>
      <c r="F138" s="54" t="s">
        <v>218</v>
      </c>
      <c r="G138" s="54" t="s">
        <v>2</v>
      </c>
      <c r="H138" s="53" t="s">
        <v>1</v>
      </c>
      <c r="I138" s="53" t="s">
        <v>17</v>
      </c>
      <c r="J138" s="55" t="s">
        <v>236</v>
      </c>
      <c r="K138" s="54" t="s">
        <v>13</v>
      </c>
      <c r="L138" s="56" t="s">
        <v>239</v>
      </c>
    </row>
    <row r="139" spans="1:12" ht="15.75" customHeight="1" x14ac:dyDescent="0.25">
      <c r="A139" s="51" t="s">
        <v>225</v>
      </c>
      <c r="B139" s="52" t="s">
        <v>254</v>
      </c>
      <c r="C139" s="53">
        <v>293</v>
      </c>
      <c r="D139" s="54" t="s">
        <v>384</v>
      </c>
      <c r="E139" s="53">
        <v>293</v>
      </c>
      <c r="F139" s="54" t="s">
        <v>218</v>
      </c>
      <c r="G139" s="54" t="s">
        <v>2</v>
      </c>
      <c r="H139" s="53" t="s">
        <v>1</v>
      </c>
      <c r="I139" s="53" t="s">
        <v>17</v>
      </c>
      <c r="J139" s="55" t="s">
        <v>236</v>
      </c>
      <c r="K139" s="54" t="s">
        <v>8</v>
      </c>
      <c r="L139" s="56" t="s">
        <v>239</v>
      </c>
    </row>
    <row r="140" spans="1:12" ht="15.75" customHeight="1" x14ac:dyDescent="0.25">
      <c r="A140" s="51" t="s">
        <v>225</v>
      </c>
      <c r="B140" s="52" t="s">
        <v>256</v>
      </c>
      <c r="C140" s="53">
        <v>294</v>
      </c>
      <c r="D140" s="54" t="s">
        <v>385</v>
      </c>
      <c r="E140" s="53">
        <v>294</v>
      </c>
      <c r="F140" s="54" t="s">
        <v>218</v>
      </c>
      <c r="G140" s="54" t="s">
        <v>2</v>
      </c>
      <c r="H140" s="53" t="s">
        <v>1</v>
      </c>
      <c r="I140" s="53" t="s">
        <v>17</v>
      </c>
      <c r="J140" s="55" t="s">
        <v>236</v>
      </c>
      <c r="K140" s="54" t="s">
        <v>9</v>
      </c>
      <c r="L140" s="56" t="s">
        <v>239</v>
      </c>
    </row>
    <row r="141" spans="1:12" ht="15.75" customHeight="1" x14ac:dyDescent="0.25">
      <c r="A141" s="51" t="s">
        <v>225</v>
      </c>
      <c r="B141" s="52" t="s">
        <v>258</v>
      </c>
      <c r="C141" s="53">
        <v>295</v>
      </c>
      <c r="D141" s="54" t="s">
        <v>386</v>
      </c>
      <c r="E141" s="53">
        <v>295</v>
      </c>
      <c r="F141" s="54" t="s">
        <v>218</v>
      </c>
      <c r="G141" s="54" t="s">
        <v>2</v>
      </c>
      <c r="H141" s="53" t="s">
        <v>1</v>
      </c>
      <c r="I141" s="53" t="s">
        <v>17</v>
      </c>
      <c r="J141" s="55" t="s">
        <v>236</v>
      </c>
      <c r="K141" s="54" t="s">
        <v>12</v>
      </c>
      <c r="L141" s="56" t="s">
        <v>239</v>
      </c>
    </row>
    <row r="142" spans="1:12" ht="15.75" customHeight="1" x14ac:dyDescent="0.25">
      <c r="A142" s="51" t="s">
        <v>225</v>
      </c>
      <c r="B142" s="52" t="s">
        <v>260</v>
      </c>
      <c r="C142" s="53">
        <v>296</v>
      </c>
      <c r="D142" s="54" t="s">
        <v>387</v>
      </c>
      <c r="E142" s="53">
        <v>296</v>
      </c>
      <c r="F142" s="54" t="s">
        <v>218</v>
      </c>
      <c r="G142" s="54" t="s">
        <v>2</v>
      </c>
      <c r="H142" s="53" t="s">
        <v>1</v>
      </c>
      <c r="I142" s="53" t="s">
        <v>17</v>
      </c>
      <c r="J142" s="55" t="s">
        <v>236</v>
      </c>
      <c r="K142" s="54" t="s">
        <v>11</v>
      </c>
      <c r="L142" s="56" t="s">
        <v>239</v>
      </c>
    </row>
    <row r="143" spans="1:12" ht="15.75" customHeight="1" x14ac:dyDescent="0.25">
      <c r="A143" s="51" t="s">
        <v>225</v>
      </c>
      <c r="B143" s="52" t="s">
        <v>274</v>
      </c>
      <c r="C143" s="53">
        <v>881</v>
      </c>
      <c r="D143" s="54" t="s">
        <v>388</v>
      </c>
      <c r="E143" s="53">
        <v>881</v>
      </c>
      <c r="F143" s="54" t="s">
        <v>218</v>
      </c>
      <c r="G143" s="54" t="s">
        <v>2</v>
      </c>
      <c r="H143" s="53" t="s">
        <v>0</v>
      </c>
      <c r="I143" s="53" t="s">
        <v>15</v>
      </c>
      <c r="J143" s="55" t="s">
        <v>236</v>
      </c>
      <c r="K143" s="54" t="s">
        <v>10</v>
      </c>
      <c r="L143" s="56" t="s">
        <v>239</v>
      </c>
    </row>
    <row r="144" spans="1:12" ht="15.75" customHeight="1" x14ac:dyDescent="0.25">
      <c r="A144" s="51" t="s">
        <v>225</v>
      </c>
      <c r="B144" s="52" t="s">
        <v>276</v>
      </c>
      <c r="C144" s="53">
        <v>886</v>
      </c>
      <c r="D144" s="54" t="s">
        <v>389</v>
      </c>
      <c r="E144" s="53">
        <v>886</v>
      </c>
      <c r="F144" s="54" t="s">
        <v>218</v>
      </c>
      <c r="G144" s="54" t="s">
        <v>2</v>
      </c>
      <c r="H144" s="53" t="s">
        <v>0</v>
      </c>
      <c r="I144" s="53" t="s">
        <v>17</v>
      </c>
      <c r="J144" s="55" t="s">
        <v>236</v>
      </c>
      <c r="K144" s="54" t="s">
        <v>10</v>
      </c>
      <c r="L144" s="56" t="s">
        <v>239</v>
      </c>
    </row>
    <row r="145" spans="1:12" ht="15.75" customHeight="1" x14ac:dyDescent="0.25">
      <c r="A145" s="51" t="s">
        <v>225</v>
      </c>
      <c r="B145" s="52" t="s">
        <v>274</v>
      </c>
      <c r="C145" s="53">
        <v>891</v>
      </c>
      <c r="D145" s="54" t="s">
        <v>390</v>
      </c>
      <c r="E145" s="53">
        <v>891</v>
      </c>
      <c r="F145" s="54" t="s">
        <v>218</v>
      </c>
      <c r="G145" s="54" t="s">
        <v>2</v>
      </c>
      <c r="H145" s="53" t="s">
        <v>1</v>
      </c>
      <c r="I145" s="53" t="s">
        <v>15</v>
      </c>
      <c r="J145" s="55" t="s">
        <v>236</v>
      </c>
      <c r="K145" s="54" t="s">
        <v>10</v>
      </c>
      <c r="L145" s="56" t="s">
        <v>239</v>
      </c>
    </row>
    <row r="146" spans="1:12" ht="15.75" customHeight="1" x14ac:dyDescent="0.25">
      <c r="A146" s="51" t="s">
        <v>225</v>
      </c>
      <c r="B146" s="52" t="s">
        <v>276</v>
      </c>
      <c r="C146" s="53">
        <v>896</v>
      </c>
      <c r="D146" s="54" t="s">
        <v>391</v>
      </c>
      <c r="E146" s="53">
        <v>896</v>
      </c>
      <c r="F146" s="54" t="s">
        <v>218</v>
      </c>
      <c r="G146" s="54" t="s">
        <v>2</v>
      </c>
      <c r="H146" s="53" t="s">
        <v>1</v>
      </c>
      <c r="I146" s="53" t="s">
        <v>17</v>
      </c>
      <c r="J146" s="55" t="s">
        <v>236</v>
      </c>
      <c r="K146" s="54" t="s">
        <v>10</v>
      </c>
      <c r="L146" s="56" t="s">
        <v>239</v>
      </c>
    </row>
    <row r="147" spans="1:12" ht="15.75" customHeight="1" x14ac:dyDescent="0.25">
      <c r="A147" s="51" t="s">
        <v>225</v>
      </c>
      <c r="B147" s="52" t="s">
        <v>392</v>
      </c>
      <c r="C147" s="53">
        <v>342</v>
      </c>
      <c r="D147" s="54" t="s">
        <v>393</v>
      </c>
      <c r="E147" s="53">
        <v>342</v>
      </c>
      <c r="F147" s="54" t="s">
        <v>218</v>
      </c>
      <c r="G147" s="54" t="s">
        <v>3</v>
      </c>
      <c r="H147" s="53" t="s">
        <v>0</v>
      </c>
      <c r="I147" s="53" t="s">
        <v>15</v>
      </c>
      <c r="J147" s="55" t="s">
        <v>230</v>
      </c>
      <c r="K147" s="54" t="s">
        <v>10</v>
      </c>
      <c r="L147" s="56" t="s">
        <v>239</v>
      </c>
    </row>
    <row r="148" spans="1:12" ht="15.75" customHeight="1" x14ac:dyDescent="0.25">
      <c r="A148" s="51" t="s">
        <v>225</v>
      </c>
      <c r="B148" s="52" t="s">
        <v>394</v>
      </c>
      <c r="C148" s="53">
        <v>343</v>
      </c>
      <c r="D148" s="54" t="s">
        <v>395</v>
      </c>
      <c r="E148" s="53">
        <v>343</v>
      </c>
      <c r="F148" s="54" t="s">
        <v>218</v>
      </c>
      <c r="G148" s="54" t="s">
        <v>3</v>
      </c>
      <c r="H148" s="53" t="s">
        <v>0</v>
      </c>
      <c r="I148" s="53" t="s">
        <v>15</v>
      </c>
      <c r="J148" s="55" t="s">
        <v>230</v>
      </c>
      <c r="K148" s="54" t="s">
        <v>7</v>
      </c>
      <c r="L148" s="56" t="s">
        <v>239</v>
      </c>
    </row>
    <row r="149" spans="1:12" ht="15.75" customHeight="1" x14ac:dyDescent="0.25">
      <c r="A149" s="51" t="s">
        <v>225</v>
      </c>
      <c r="B149" s="52" t="s">
        <v>396</v>
      </c>
      <c r="C149" s="53">
        <v>344</v>
      </c>
      <c r="D149" s="54" t="s">
        <v>397</v>
      </c>
      <c r="E149" s="53">
        <v>344</v>
      </c>
      <c r="F149" s="54" t="s">
        <v>218</v>
      </c>
      <c r="G149" s="54" t="s">
        <v>3</v>
      </c>
      <c r="H149" s="53" t="s">
        <v>0</v>
      </c>
      <c r="I149" s="53" t="s">
        <v>15</v>
      </c>
      <c r="J149" s="55" t="s">
        <v>230</v>
      </c>
      <c r="K149" s="54" t="s">
        <v>13</v>
      </c>
      <c r="L149" s="56" t="s">
        <v>239</v>
      </c>
    </row>
    <row r="150" spans="1:12" ht="15.75" customHeight="1" x14ac:dyDescent="0.25">
      <c r="A150" s="51" t="s">
        <v>225</v>
      </c>
      <c r="B150" s="52" t="s">
        <v>398</v>
      </c>
      <c r="C150" s="53">
        <v>345</v>
      </c>
      <c r="D150" s="54" t="s">
        <v>399</v>
      </c>
      <c r="E150" s="53">
        <v>345</v>
      </c>
      <c r="F150" s="54" t="s">
        <v>218</v>
      </c>
      <c r="G150" s="54" t="s">
        <v>3</v>
      </c>
      <c r="H150" s="53" t="s">
        <v>0</v>
      </c>
      <c r="I150" s="53" t="s">
        <v>15</v>
      </c>
      <c r="J150" s="55" t="s">
        <v>230</v>
      </c>
      <c r="K150" s="54" t="s">
        <v>8</v>
      </c>
      <c r="L150" s="56" t="s">
        <v>239</v>
      </c>
    </row>
    <row r="151" spans="1:12" ht="15.75" customHeight="1" x14ac:dyDescent="0.25">
      <c r="A151" s="51" t="s">
        <v>225</v>
      </c>
      <c r="B151" s="52" t="s">
        <v>400</v>
      </c>
      <c r="C151" s="53">
        <v>346</v>
      </c>
      <c r="D151" s="54" t="s">
        <v>401</v>
      </c>
      <c r="E151" s="53">
        <v>346</v>
      </c>
      <c r="F151" s="54" t="s">
        <v>218</v>
      </c>
      <c r="G151" s="54" t="s">
        <v>3</v>
      </c>
      <c r="H151" s="53" t="s">
        <v>0</v>
      </c>
      <c r="I151" s="53" t="s">
        <v>15</v>
      </c>
      <c r="J151" s="55" t="s">
        <v>230</v>
      </c>
      <c r="K151" s="54" t="s">
        <v>9</v>
      </c>
      <c r="L151" s="56" t="s">
        <v>239</v>
      </c>
    </row>
    <row r="152" spans="1:12" ht="15.75" customHeight="1" x14ac:dyDescent="0.25">
      <c r="A152" s="51" t="s">
        <v>225</v>
      </c>
      <c r="B152" s="52" t="s">
        <v>402</v>
      </c>
      <c r="C152" s="53">
        <v>347</v>
      </c>
      <c r="D152" s="54" t="s">
        <v>403</v>
      </c>
      <c r="E152" s="53">
        <v>347</v>
      </c>
      <c r="F152" s="54" t="s">
        <v>218</v>
      </c>
      <c r="G152" s="54" t="s">
        <v>3</v>
      </c>
      <c r="H152" s="53" t="s">
        <v>0</v>
      </c>
      <c r="I152" s="53" t="s">
        <v>15</v>
      </c>
      <c r="J152" s="55" t="s">
        <v>230</v>
      </c>
      <c r="K152" s="54" t="s">
        <v>12</v>
      </c>
      <c r="L152" s="56" t="s">
        <v>239</v>
      </c>
    </row>
    <row r="153" spans="1:12" ht="15.75" customHeight="1" x14ac:dyDescent="0.25">
      <c r="A153" s="51" t="s">
        <v>225</v>
      </c>
      <c r="B153" s="52" t="s">
        <v>404</v>
      </c>
      <c r="C153" s="53">
        <v>348</v>
      </c>
      <c r="D153" s="54" t="s">
        <v>405</v>
      </c>
      <c r="E153" s="53">
        <v>348</v>
      </c>
      <c r="F153" s="54" t="s">
        <v>218</v>
      </c>
      <c r="G153" s="54" t="s">
        <v>3</v>
      </c>
      <c r="H153" s="53" t="s">
        <v>0</v>
      </c>
      <c r="I153" s="53" t="s">
        <v>15</v>
      </c>
      <c r="J153" s="55" t="s">
        <v>230</v>
      </c>
      <c r="K153" s="54" t="s">
        <v>11</v>
      </c>
      <c r="L153" s="56" t="s">
        <v>239</v>
      </c>
    </row>
    <row r="154" spans="1:12" ht="15.75" customHeight="1" x14ac:dyDescent="0.25">
      <c r="A154" s="51" t="s">
        <v>225</v>
      </c>
      <c r="B154" s="52" t="s">
        <v>406</v>
      </c>
      <c r="C154" s="53">
        <v>377</v>
      </c>
      <c r="D154" s="54" t="s">
        <v>407</v>
      </c>
      <c r="E154" s="53">
        <v>377</v>
      </c>
      <c r="F154" s="54" t="s">
        <v>218</v>
      </c>
      <c r="G154" s="54" t="s">
        <v>3</v>
      </c>
      <c r="H154" s="53" t="s">
        <v>0</v>
      </c>
      <c r="I154" s="53" t="s">
        <v>17</v>
      </c>
      <c r="J154" s="55" t="s">
        <v>230</v>
      </c>
      <c r="K154" s="54" t="s">
        <v>10</v>
      </c>
      <c r="L154" s="56" t="s">
        <v>239</v>
      </c>
    </row>
    <row r="155" spans="1:12" ht="15.75" customHeight="1" x14ac:dyDescent="0.25">
      <c r="A155" s="51" t="s">
        <v>225</v>
      </c>
      <c r="B155" s="52" t="s">
        <v>408</v>
      </c>
      <c r="C155" s="53">
        <v>378</v>
      </c>
      <c r="D155" s="54" t="s">
        <v>409</v>
      </c>
      <c r="E155" s="53">
        <v>378</v>
      </c>
      <c r="F155" s="54" t="s">
        <v>218</v>
      </c>
      <c r="G155" s="54" t="s">
        <v>3</v>
      </c>
      <c r="H155" s="53" t="s">
        <v>0</v>
      </c>
      <c r="I155" s="53" t="s">
        <v>17</v>
      </c>
      <c r="J155" s="55" t="s">
        <v>230</v>
      </c>
      <c r="K155" s="54" t="s">
        <v>7</v>
      </c>
      <c r="L155" s="56" t="s">
        <v>239</v>
      </c>
    </row>
    <row r="156" spans="1:12" ht="15.75" customHeight="1" x14ac:dyDescent="0.25">
      <c r="A156" s="51" t="s">
        <v>225</v>
      </c>
      <c r="B156" s="52" t="s">
        <v>410</v>
      </c>
      <c r="C156" s="53">
        <v>379</v>
      </c>
      <c r="D156" s="54" t="s">
        <v>411</v>
      </c>
      <c r="E156" s="53">
        <v>379</v>
      </c>
      <c r="F156" s="54" t="s">
        <v>218</v>
      </c>
      <c r="G156" s="54" t="s">
        <v>3</v>
      </c>
      <c r="H156" s="53" t="s">
        <v>0</v>
      </c>
      <c r="I156" s="53" t="s">
        <v>17</v>
      </c>
      <c r="J156" s="55" t="s">
        <v>230</v>
      </c>
      <c r="K156" s="54" t="s">
        <v>13</v>
      </c>
      <c r="L156" s="56" t="s">
        <v>239</v>
      </c>
    </row>
    <row r="157" spans="1:12" ht="15.75" customHeight="1" x14ac:dyDescent="0.25">
      <c r="A157" s="51" t="s">
        <v>225</v>
      </c>
      <c r="B157" s="52" t="s">
        <v>412</v>
      </c>
      <c r="C157" s="53">
        <v>380</v>
      </c>
      <c r="D157" s="54" t="s">
        <v>413</v>
      </c>
      <c r="E157" s="53">
        <v>380</v>
      </c>
      <c r="F157" s="54" t="s">
        <v>218</v>
      </c>
      <c r="G157" s="54" t="s">
        <v>3</v>
      </c>
      <c r="H157" s="53" t="s">
        <v>0</v>
      </c>
      <c r="I157" s="53" t="s">
        <v>17</v>
      </c>
      <c r="J157" s="55" t="s">
        <v>230</v>
      </c>
      <c r="K157" s="54" t="s">
        <v>8</v>
      </c>
      <c r="L157" s="56" t="s">
        <v>239</v>
      </c>
    </row>
    <row r="158" spans="1:12" ht="15.75" customHeight="1" x14ac:dyDescent="0.25">
      <c r="A158" s="51" t="s">
        <v>225</v>
      </c>
      <c r="B158" s="52" t="s">
        <v>414</v>
      </c>
      <c r="C158" s="53">
        <v>381</v>
      </c>
      <c r="D158" s="54" t="s">
        <v>415</v>
      </c>
      <c r="E158" s="53">
        <v>381</v>
      </c>
      <c r="F158" s="54" t="s">
        <v>218</v>
      </c>
      <c r="G158" s="54" t="s">
        <v>3</v>
      </c>
      <c r="H158" s="53" t="s">
        <v>0</v>
      </c>
      <c r="I158" s="53" t="s">
        <v>17</v>
      </c>
      <c r="J158" s="55" t="s">
        <v>230</v>
      </c>
      <c r="K158" s="54" t="s">
        <v>9</v>
      </c>
      <c r="L158" s="56" t="s">
        <v>239</v>
      </c>
    </row>
    <row r="159" spans="1:12" ht="15.75" customHeight="1" x14ac:dyDescent="0.25">
      <c r="A159" s="51" t="s">
        <v>225</v>
      </c>
      <c r="B159" s="52" t="s">
        <v>416</v>
      </c>
      <c r="C159" s="53">
        <v>382</v>
      </c>
      <c r="D159" s="54" t="s">
        <v>417</v>
      </c>
      <c r="E159" s="53">
        <v>382</v>
      </c>
      <c r="F159" s="54" t="s">
        <v>218</v>
      </c>
      <c r="G159" s="54" t="s">
        <v>3</v>
      </c>
      <c r="H159" s="53" t="s">
        <v>0</v>
      </c>
      <c r="I159" s="53" t="s">
        <v>17</v>
      </c>
      <c r="J159" s="55" t="s">
        <v>230</v>
      </c>
      <c r="K159" s="54" t="s">
        <v>12</v>
      </c>
      <c r="L159" s="56" t="s">
        <v>239</v>
      </c>
    </row>
    <row r="160" spans="1:12" ht="15.75" customHeight="1" x14ac:dyDescent="0.25">
      <c r="A160" s="51" t="s">
        <v>225</v>
      </c>
      <c r="B160" s="52" t="s">
        <v>418</v>
      </c>
      <c r="C160" s="53">
        <v>383</v>
      </c>
      <c r="D160" s="54" t="s">
        <v>419</v>
      </c>
      <c r="E160" s="53">
        <v>383</v>
      </c>
      <c r="F160" s="54" t="s">
        <v>218</v>
      </c>
      <c r="G160" s="54" t="s">
        <v>3</v>
      </c>
      <c r="H160" s="53" t="s">
        <v>0</v>
      </c>
      <c r="I160" s="53" t="s">
        <v>17</v>
      </c>
      <c r="J160" s="55" t="s">
        <v>230</v>
      </c>
      <c r="K160" s="54" t="s">
        <v>11</v>
      </c>
      <c r="L160" s="56" t="s">
        <v>239</v>
      </c>
    </row>
    <row r="161" spans="1:12" ht="15.75" customHeight="1" x14ac:dyDescent="0.25">
      <c r="A161" s="51" t="s">
        <v>225</v>
      </c>
      <c r="B161" s="52" t="s">
        <v>392</v>
      </c>
      <c r="C161" s="53">
        <v>412</v>
      </c>
      <c r="D161" s="54" t="s">
        <v>420</v>
      </c>
      <c r="E161" s="53">
        <v>412</v>
      </c>
      <c r="F161" s="54" t="s">
        <v>218</v>
      </c>
      <c r="G161" s="54" t="s">
        <v>3</v>
      </c>
      <c r="H161" s="53" t="s">
        <v>1</v>
      </c>
      <c r="I161" s="53" t="s">
        <v>15</v>
      </c>
      <c r="J161" s="55" t="s">
        <v>230</v>
      </c>
      <c r="K161" s="54" t="s">
        <v>10</v>
      </c>
      <c r="L161" s="56" t="s">
        <v>239</v>
      </c>
    </row>
    <row r="162" spans="1:12" ht="15.75" customHeight="1" x14ac:dyDescent="0.25">
      <c r="A162" s="51" t="s">
        <v>225</v>
      </c>
      <c r="B162" s="52" t="s">
        <v>394</v>
      </c>
      <c r="C162" s="53">
        <v>413</v>
      </c>
      <c r="D162" s="54" t="s">
        <v>421</v>
      </c>
      <c r="E162" s="53">
        <v>413</v>
      </c>
      <c r="F162" s="54" t="s">
        <v>218</v>
      </c>
      <c r="G162" s="54" t="s">
        <v>3</v>
      </c>
      <c r="H162" s="53" t="s">
        <v>1</v>
      </c>
      <c r="I162" s="53" t="s">
        <v>15</v>
      </c>
      <c r="J162" s="55" t="s">
        <v>230</v>
      </c>
      <c r="K162" s="54" t="s">
        <v>7</v>
      </c>
      <c r="L162" s="56" t="s">
        <v>239</v>
      </c>
    </row>
    <row r="163" spans="1:12" ht="15.75" customHeight="1" x14ac:dyDescent="0.25">
      <c r="A163" s="51" t="s">
        <v>225</v>
      </c>
      <c r="B163" s="52" t="s">
        <v>396</v>
      </c>
      <c r="C163" s="53">
        <v>414</v>
      </c>
      <c r="D163" s="54" t="s">
        <v>422</v>
      </c>
      <c r="E163" s="53">
        <v>414</v>
      </c>
      <c r="F163" s="54" t="s">
        <v>218</v>
      </c>
      <c r="G163" s="54" t="s">
        <v>3</v>
      </c>
      <c r="H163" s="53" t="s">
        <v>1</v>
      </c>
      <c r="I163" s="53" t="s">
        <v>15</v>
      </c>
      <c r="J163" s="55" t="s">
        <v>230</v>
      </c>
      <c r="K163" s="54" t="s">
        <v>13</v>
      </c>
      <c r="L163" s="56" t="s">
        <v>239</v>
      </c>
    </row>
    <row r="164" spans="1:12" ht="15.75" customHeight="1" x14ac:dyDescent="0.25">
      <c r="A164" s="51" t="s">
        <v>225</v>
      </c>
      <c r="B164" s="52" t="s">
        <v>398</v>
      </c>
      <c r="C164" s="53">
        <v>415</v>
      </c>
      <c r="D164" s="54" t="s">
        <v>423</v>
      </c>
      <c r="E164" s="53">
        <v>415</v>
      </c>
      <c r="F164" s="54" t="s">
        <v>218</v>
      </c>
      <c r="G164" s="54" t="s">
        <v>3</v>
      </c>
      <c r="H164" s="53" t="s">
        <v>1</v>
      </c>
      <c r="I164" s="53" t="s">
        <v>15</v>
      </c>
      <c r="J164" s="55" t="s">
        <v>230</v>
      </c>
      <c r="K164" s="54" t="s">
        <v>8</v>
      </c>
      <c r="L164" s="56" t="s">
        <v>239</v>
      </c>
    </row>
    <row r="165" spans="1:12" ht="15.75" customHeight="1" x14ac:dyDescent="0.25">
      <c r="A165" s="51" t="s">
        <v>225</v>
      </c>
      <c r="B165" s="52" t="s">
        <v>400</v>
      </c>
      <c r="C165" s="53">
        <v>416</v>
      </c>
      <c r="D165" s="54" t="s">
        <v>424</v>
      </c>
      <c r="E165" s="53">
        <v>416</v>
      </c>
      <c r="F165" s="54" t="s">
        <v>218</v>
      </c>
      <c r="G165" s="54" t="s">
        <v>3</v>
      </c>
      <c r="H165" s="53" t="s">
        <v>1</v>
      </c>
      <c r="I165" s="53" t="s">
        <v>15</v>
      </c>
      <c r="J165" s="55" t="s">
        <v>230</v>
      </c>
      <c r="K165" s="54" t="s">
        <v>9</v>
      </c>
      <c r="L165" s="56" t="s">
        <v>239</v>
      </c>
    </row>
    <row r="166" spans="1:12" ht="15.75" customHeight="1" x14ac:dyDescent="0.25">
      <c r="A166" s="51" t="s">
        <v>225</v>
      </c>
      <c r="B166" s="52" t="s">
        <v>402</v>
      </c>
      <c r="C166" s="53">
        <v>417</v>
      </c>
      <c r="D166" s="54" t="s">
        <v>425</v>
      </c>
      <c r="E166" s="53">
        <v>417</v>
      </c>
      <c r="F166" s="54" t="s">
        <v>218</v>
      </c>
      <c r="G166" s="54" t="s">
        <v>3</v>
      </c>
      <c r="H166" s="53" t="s">
        <v>1</v>
      </c>
      <c r="I166" s="53" t="s">
        <v>15</v>
      </c>
      <c r="J166" s="55" t="s">
        <v>230</v>
      </c>
      <c r="K166" s="54" t="s">
        <v>12</v>
      </c>
      <c r="L166" s="56" t="s">
        <v>239</v>
      </c>
    </row>
    <row r="167" spans="1:12" ht="15.75" customHeight="1" x14ac:dyDescent="0.25">
      <c r="A167" s="51" t="s">
        <v>225</v>
      </c>
      <c r="B167" s="52" t="s">
        <v>404</v>
      </c>
      <c r="C167" s="53">
        <v>418</v>
      </c>
      <c r="D167" s="54" t="s">
        <v>426</v>
      </c>
      <c r="E167" s="53">
        <v>418</v>
      </c>
      <c r="F167" s="54" t="s">
        <v>218</v>
      </c>
      <c r="G167" s="54" t="s">
        <v>3</v>
      </c>
      <c r="H167" s="53" t="s">
        <v>1</v>
      </c>
      <c r="I167" s="53" t="s">
        <v>15</v>
      </c>
      <c r="J167" s="55" t="s">
        <v>230</v>
      </c>
      <c r="K167" s="54" t="s">
        <v>11</v>
      </c>
      <c r="L167" s="56" t="s">
        <v>239</v>
      </c>
    </row>
    <row r="168" spans="1:12" ht="15.75" customHeight="1" x14ac:dyDescent="0.25">
      <c r="A168" s="51" t="s">
        <v>225</v>
      </c>
      <c r="B168" s="52" t="s">
        <v>406</v>
      </c>
      <c r="C168" s="53">
        <v>447</v>
      </c>
      <c r="D168" s="54" t="s">
        <v>427</v>
      </c>
      <c r="E168" s="53">
        <v>447</v>
      </c>
      <c r="F168" s="54" t="s">
        <v>218</v>
      </c>
      <c r="G168" s="54" t="s">
        <v>3</v>
      </c>
      <c r="H168" s="53" t="s">
        <v>1</v>
      </c>
      <c r="I168" s="53" t="s">
        <v>17</v>
      </c>
      <c r="J168" s="55" t="s">
        <v>230</v>
      </c>
      <c r="K168" s="54" t="s">
        <v>10</v>
      </c>
      <c r="L168" s="56" t="s">
        <v>239</v>
      </c>
    </row>
    <row r="169" spans="1:12" ht="15.75" customHeight="1" x14ac:dyDescent="0.25">
      <c r="A169" s="51" t="s">
        <v>225</v>
      </c>
      <c r="B169" s="52" t="s">
        <v>408</v>
      </c>
      <c r="C169" s="53">
        <v>448</v>
      </c>
      <c r="D169" s="54" t="s">
        <v>428</v>
      </c>
      <c r="E169" s="53">
        <v>448</v>
      </c>
      <c r="F169" s="54" t="s">
        <v>218</v>
      </c>
      <c r="G169" s="54" t="s">
        <v>3</v>
      </c>
      <c r="H169" s="53" t="s">
        <v>1</v>
      </c>
      <c r="I169" s="53" t="s">
        <v>17</v>
      </c>
      <c r="J169" s="55" t="s">
        <v>230</v>
      </c>
      <c r="K169" s="54" t="s">
        <v>7</v>
      </c>
      <c r="L169" s="56" t="s">
        <v>239</v>
      </c>
    </row>
    <row r="170" spans="1:12" ht="15.75" customHeight="1" x14ac:dyDescent="0.25">
      <c r="A170" s="51" t="s">
        <v>225</v>
      </c>
      <c r="B170" s="52" t="s">
        <v>410</v>
      </c>
      <c r="C170" s="53">
        <v>449</v>
      </c>
      <c r="D170" s="54" t="s">
        <v>429</v>
      </c>
      <c r="E170" s="53">
        <v>449</v>
      </c>
      <c r="F170" s="54" t="s">
        <v>218</v>
      </c>
      <c r="G170" s="54" t="s">
        <v>3</v>
      </c>
      <c r="H170" s="53" t="s">
        <v>1</v>
      </c>
      <c r="I170" s="53" t="s">
        <v>17</v>
      </c>
      <c r="J170" s="55" t="s">
        <v>230</v>
      </c>
      <c r="K170" s="54" t="s">
        <v>13</v>
      </c>
      <c r="L170" s="56" t="s">
        <v>239</v>
      </c>
    </row>
    <row r="171" spans="1:12" ht="15.75" customHeight="1" x14ac:dyDescent="0.25">
      <c r="A171" s="51" t="s">
        <v>225</v>
      </c>
      <c r="B171" s="52" t="s">
        <v>412</v>
      </c>
      <c r="C171" s="53">
        <v>450</v>
      </c>
      <c r="D171" s="54" t="s">
        <v>430</v>
      </c>
      <c r="E171" s="53">
        <v>450</v>
      </c>
      <c r="F171" s="54" t="s">
        <v>218</v>
      </c>
      <c r="G171" s="54" t="s">
        <v>3</v>
      </c>
      <c r="H171" s="53" t="s">
        <v>1</v>
      </c>
      <c r="I171" s="53" t="s">
        <v>17</v>
      </c>
      <c r="J171" s="55" t="s">
        <v>230</v>
      </c>
      <c r="K171" s="54" t="s">
        <v>8</v>
      </c>
      <c r="L171" s="56" t="s">
        <v>239</v>
      </c>
    </row>
    <row r="172" spans="1:12" ht="15.75" customHeight="1" x14ac:dyDescent="0.25">
      <c r="A172" s="51" t="s">
        <v>225</v>
      </c>
      <c r="B172" s="52" t="s">
        <v>414</v>
      </c>
      <c r="C172" s="53">
        <v>451</v>
      </c>
      <c r="D172" s="54" t="s">
        <v>431</v>
      </c>
      <c r="E172" s="53">
        <v>451</v>
      </c>
      <c r="F172" s="54" t="s">
        <v>218</v>
      </c>
      <c r="G172" s="54" t="s">
        <v>3</v>
      </c>
      <c r="H172" s="53" t="s">
        <v>1</v>
      </c>
      <c r="I172" s="53" t="s">
        <v>17</v>
      </c>
      <c r="J172" s="55" t="s">
        <v>230</v>
      </c>
      <c r="K172" s="54" t="s">
        <v>9</v>
      </c>
      <c r="L172" s="56" t="s">
        <v>239</v>
      </c>
    </row>
    <row r="173" spans="1:12" ht="15.75" customHeight="1" x14ac:dyDescent="0.25">
      <c r="A173" s="51" t="s">
        <v>225</v>
      </c>
      <c r="B173" s="52" t="s">
        <v>416</v>
      </c>
      <c r="C173" s="53">
        <v>452</v>
      </c>
      <c r="D173" s="54" t="s">
        <v>432</v>
      </c>
      <c r="E173" s="53">
        <v>452</v>
      </c>
      <c r="F173" s="54" t="s">
        <v>218</v>
      </c>
      <c r="G173" s="54" t="s">
        <v>3</v>
      </c>
      <c r="H173" s="53" t="s">
        <v>1</v>
      </c>
      <c r="I173" s="53" t="s">
        <v>17</v>
      </c>
      <c r="J173" s="55" t="s">
        <v>230</v>
      </c>
      <c r="K173" s="54" t="s">
        <v>12</v>
      </c>
      <c r="L173" s="56" t="s">
        <v>239</v>
      </c>
    </row>
    <row r="174" spans="1:12" ht="15.75" customHeight="1" x14ac:dyDescent="0.25">
      <c r="A174" s="51" t="s">
        <v>225</v>
      </c>
      <c r="B174" s="52" t="s">
        <v>418</v>
      </c>
      <c r="C174" s="53">
        <v>453</v>
      </c>
      <c r="D174" s="54" t="s">
        <v>433</v>
      </c>
      <c r="E174" s="53">
        <v>453</v>
      </c>
      <c r="F174" s="54" t="s">
        <v>218</v>
      </c>
      <c r="G174" s="54" t="s">
        <v>3</v>
      </c>
      <c r="H174" s="53" t="s">
        <v>1</v>
      </c>
      <c r="I174" s="53" t="s">
        <v>17</v>
      </c>
      <c r="J174" s="55" t="s">
        <v>230</v>
      </c>
      <c r="K174" s="54" t="s">
        <v>11</v>
      </c>
      <c r="L174" s="56" t="s">
        <v>239</v>
      </c>
    </row>
    <row r="175" spans="1:12" ht="15.75" customHeight="1" x14ac:dyDescent="0.25">
      <c r="A175" s="51" t="s">
        <v>225</v>
      </c>
      <c r="B175" s="52" t="s">
        <v>392</v>
      </c>
      <c r="C175" s="53">
        <v>349</v>
      </c>
      <c r="D175" s="54" t="s">
        <v>434</v>
      </c>
      <c r="E175" s="53">
        <v>349</v>
      </c>
      <c r="F175" s="54" t="s">
        <v>218</v>
      </c>
      <c r="G175" s="54" t="s">
        <v>3</v>
      </c>
      <c r="H175" s="53" t="s">
        <v>0</v>
      </c>
      <c r="I175" s="53" t="s">
        <v>15</v>
      </c>
      <c r="J175" s="55" t="s">
        <v>232</v>
      </c>
      <c r="K175" s="54" t="s">
        <v>10</v>
      </c>
      <c r="L175" s="56" t="s">
        <v>239</v>
      </c>
    </row>
    <row r="176" spans="1:12" ht="15.75" customHeight="1" x14ac:dyDescent="0.25">
      <c r="A176" s="51" t="s">
        <v>225</v>
      </c>
      <c r="B176" s="52" t="s">
        <v>394</v>
      </c>
      <c r="C176" s="53">
        <v>350</v>
      </c>
      <c r="D176" s="54" t="s">
        <v>435</v>
      </c>
      <c r="E176" s="53">
        <v>350</v>
      </c>
      <c r="F176" s="54" t="s">
        <v>218</v>
      </c>
      <c r="G176" s="54" t="s">
        <v>3</v>
      </c>
      <c r="H176" s="53" t="s">
        <v>0</v>
      </c>
      <c r="I176" s="53" t="s">
        <v>15</v>
      </c>
      <c r="J176" s="55" t="s">
        <v>232</v>
      </c>
      <c r="K176" s="54" t="s">
        <v>7</v>
      </c>
      <c r="L176" s="56" t="s">
        <v>239</v>
      </c>
    </row>
    <row r="177" spans="1:12" ht="15.75" customHeight="1" x14ac:dyDescent="0.25">
      <c r="A177" s="51" t="s">
        <v>225</v>
      </c>
      <c r="B177" s="52" t="s">
        <v>396</v>
      </c>
      <c r="C177" s="53">
        <v>351</v>
      </c>
      <c r="D177" s="54" t="s">
        <v>436</v>
      </c>
      <c r="E177" s="53">
        <v>351</v>
      </c>
      <c r="F177" s="54" t="s">
        <v>218</v>
      </c>
      <c r="G177" s="54" t="s">
        <v>3</v>
      </c>
      <c r="H177" s="53" t="s">
        <v>0</v>
      </c>
      <c r="I177" s="53" t="s">
        <v>15</v>
      </c>
      <c r="J177" s="55" t="s">
        <v>232</v>
      </c>
      <c r="K177" s="54" t="s">
        <v>13</v>
      </c>
      <c r="L177" s="56" t="s">
        <v>239</v>
      </c>
    </row>
    <row r="178" spans="1:12" ht="15.75" customHeight="1" x14ac:dyDescent="0.25">
      <c r="A178" s="51" t="s">
        <v>225</v>
      </c>
      <c r="B178" s="52" t="s">
        <v>398</v>
      </c>
      <c r="C178" s="53">
        <v>352</v>
      </c>
      <c r="D178" s="54" t="s">
        <v>437</v>
      </c>
      <c r="E178" s="53">
        <v>352</v>
      </c>
      <c r="F178" s="54" t="s">
        <v>218</v>
      </c>
      <c r="G178" s="54" t="s">
        <v>3</v>
      </c>
      <c r="H178" s="53" t="s">
        <v>0</v>
      </c>
      <c r="I178" s="53" t="s">
        <v>15</v>
      </c>
      <c r="J178" s="55" t="s">
        <v>232</v>
      </c>
      <c r="K178" s="54" t="s">
        <v>8</v>
      </c>
      <c r="L178" s="56" t="s">
        <v>239</v>
      </c>
    </row>
    <row r="179" spans="1:12" ht="15.75" customHeight="1" x14ac:dyDescent="0.25">
      <c r="A179" s="51" t="s">
        <v>225</v>
      </c>
      <c r="B179" s="52" t="s">
        <v>400</v>
      </c>
      <c r="C179" s="53">
        <v>353</v>
      </c>
      <c r="D179" s="54" t="s">
        <v>438</v>
      </c>
      <c r="E179" s="53">
        <v>353</v>
      </c>
      <c r="F179" s="54" t="s">
        <v>218</v>
      </c>
      <c r="G179" s="54" t="s">
        <v>3</v>
      </c>
      <c r="H179" s="53" t="s">
        <v>0</v>
      </c>
      <c r="I179" s="53" t="s">
        <v>15</v>
      </c>
      <c r="J179" s="55" t="s">
        <v>232</v>
      </c>
      <c r="K179" s="54" t="s">
        <v>9</v>
      </c>
      <c r="L179" s="56" t="s">
        <v>239</v>
      </c>
    </row>
    <row r="180" spans="1:12" ht="15.75" customHeight="1" x14ac:dyDescent="0.25">
      <c r="A180" s="51" t="s">
        <v>225</v>
      </c>
      <c r="B180" s="52" t="s">
        <v>402</v>
      </c>
      <c r="C180" s="53">
        <v>354</v>
      </c>
      <c r="D180" s="54" t="s">
        <v>439</v>
      </c>
      <c r="E180" s="53">
        <v>354</v>
      </c>
      <c r="F180" s="54" t="s">
        <v>218</v>
      </c>
      <c r="G180" s="54" t="s">
        <v>3</v>
      </c>
      <c r="H180" s="53" t="s">
        <v>0</v>
      </c>
      <c r="I180" s="53" t="s">
        <v>15</v>
      </c>
      <c r="J180" s="55" t="s">
        <v>232</v>
      </c>
      <c r="K180" s="54" t="s">
        <v>12</v>
      </c>
      <c r="L180" s="56" t="s">
        <v>239</v>
      </c>
    </row>
    <row r="181" spans="1:12" ht="15.75" customHeight="1" x14ac:dyDescent="0.25">
      <c r="A181" s="51" t="s">
        <v>225</v>
      </c>
      <c r="B181" s="52" t="s">
        <v>404</v>
      </c>
      <c r="C181" s="53">
        <v>355</v>
      </c>
      <c r="D181" s="54" t="s">
        <v>440</v>
      </c>
      <c r="E181" s="53">
        <v>355</v>
      </c>
      <c r="F181" s="54" t="s">
        <v>218</v>
      </c>
      <c r="G181" s="54" t="s">
        <v>3</v>
      </c>
      <c r="H181" s="53" t="s">
        <v>0</v>
      </c>
      <c r="I181" s="53" t="s">
        <v>15</v>
      </c>
      <c r="J181" s="55" t="s">
        <v>232</v>
      </c>
      <c r="K181" s="54" t="s">
        <v>11</v>
      </c>
      <c r="L181" s="56" t="s">
        <v>239</v>
      </c>
    </row>
    <row r="182" spans="1:12" ht="15.75" customHeight="1" x14ac:dyDescent="0.25">
      <c r="A182" s="51" t="s">
        <v>225</v>
      </c>
      <c r="B182" s="52" t="s">
        <v>406</v>
      </c>
      <c r="C182" s="53">
        <v>384</v>
      </c>
      <c r="D182" s="54" t="s">
        <v>441</v>
      </c>
      <c r="E182" s="53">
        <v>384</v>
      </c>
      <c r="F182" s="54" t="s">
        <v>218</v>
      </c>
      <c r="G182" s="54" t="s">
        <v>3</v>
      </c>
      <c r="H182" s="53" t="s">
        <v>0</v>
      </c>
      <c r="I182" s="53" t="s">
        <v>17</v>
      </c>
      <c r="J182" s="55" t="s">
        <v>232</v>
      </c>
      <c r="K182" s="54" t="s">
        <v>10</v>
      </c>
      <c r="L182" s="56" t="s">
        <v>239</v>
      </c>
    </row>
    <row r="183" spans="1:12" ht="15.75" customHeight="1" x14ac:dyDescent="0.25">
      <c r="A183" s="51" t="s">
        <v>225</v>
      </c>
      <c r="B183" s="52" t="s">
        <v>408</v>
      </c>
      <c r="C183" s="53">
        <v>385</v>
      </c>
      <c r="D183" s="54" t="s">
        <v>442</v>
      </c>
      <c r="E183" s="53">
        <v>385</v>
      </c>
      <c r="F183" s="54" t="s">
        <v>218</v>
      </c>
      <c r="G183" s="54" t="s">
        <v>3</v>
      </c>
      <c r="H183" s="53" t="s">
        <v>0</v>
      </c>
      <c r="I183" s="53" t="s">
        <v>17</v>
      </c>
      <c r="J183" s="55" t="s">
        <v>232</v>
      </c>
      <c r="K183" s="54" t="s">
        <v>7</v>
      </c>
      <c r="L183" s="56" t="s">
        <v>239</v>
      </c>
    </row>
    <row r="184" spans="1:12" ht="15.75" customHeight="1" x14ac:dyDescent="0.25">
      <c r="A184" s="51" t="s">
        <v>225</v>
      </c>
      <c r="B184" s="52" t="s">
        <v>410</v>
      </c>
      <c r="C184" s="53">
        <v>386</v>
      </c>
      <c r="D184" s="54" t="s">
        <v>443</v>
      </c>
      <c r="E184" s="53">
        <v>386</v>
      </c>
      <c r="F184" s="54" t="s">
        <v>218</v>
      </c>
      <c r="G184" s="54" t="s">
        <v>3</v>
      </c>
      <c r="H184" s="53" t="s">
        <v>0</v>
      </c>
      <c r="I184" s="53" t="s">
        <v>17</v>
      </c>
      <c r="J184" s="55" t="s">
        <v>232</v>
      </c>
      <c r="K184" s="54" t="s">
        <v>13</v>
      </c>
      <c r="L184" s="56" t="s">
        <v>239</v>
      </c>
    </row>
    <row r="185" spans="1:12" ht="15.75" customHeight="1" x14ac:dyDescent="0.25">
      <c r="A185" s="51" t="s">
        <v>225</v>
      </c>
      <c r="B185" s="52" t="s">
        <v>412</v>
      </c>
      <c r="C185" s="53">
        <v>387</v>
      </c>
      <c r="D185" s="54" t="s">
        <v>444</v>
      </c>
      <c r="E185" s="53">
        <v>387</v>
      </c>
      <c r="F185" s="54" t="s">
        <v>218</v>
      </c>
      <c r="G185" s="54" t="s">
        <v>3</v>
      </c>
      <c r="H185" s="53" t="s">
        <v>0</v>
      </c>
      <c r="I185" s="53" t="s">
        <v>17</v>
      </c>
      <c r="J185" s="55" t="s">
        <v>232</v>
      </c>
      <c r="K185" s="54" t="s">
        <v>8</v>
      </c>
      <c r="L185" s="56" t="s">
        <v>239</v>
      </c>
    </row>
    <row r="186" spans="1:12" ht="15.75" customHeight="1" x14ac:dyDescent="0.25">
      <c r="A186" s="51" t="s">
        <v>225</v>
      </c>
      <c r="B186" s="52" t="s">
        <v>414</v>
      </c>
      <c r="C186" s="53">
        <v>388</v>
      </c>
      <c r="D186" s="54" t="s">
        <v>445</v>
      </c>
      <c r="E186" s="53">
        <v>388</v>
      </c>
      <c r="F186" s="54" t="s">
        <v>218</v>
      </c>
      <c r="G186" s="54" t="s">
        <v>3</v>
      </c>
      <c r="H186" s="53" t="s">
        <v>0</v>
      </c>
      <c r="I186" s="53" t="s">
        <v>17</v>
      </c>
      <c r="J186" s="55" t="s">
        <v>232</v>
      </c>
      <c r="K186" s="54" t="s">
        <v>9</v>
      </c>
      <c r="L186" s="56" t="s">
        <v>239</v>
      </c>
    </row>
    <row r="187" spans="1:12" ht="15.75" customHeight="1" x14ac:dyDescent="0.25">
      <c r="A187" s="51" t="s">
        <v>225</v>
      </c>
      <c r="B187" s="52" t="s">
        <v>416</v>
      </c>
      <c r="C187" s="53">
        <v>389</v>
      </c>
      <c r="D187" s="54" t="s">
        <v>446</v>
      </c>
      <c r="E187" s="53">
        <v>389</v>
      </c>
      <c r="F187" s="54" t="s">
        <v>218</v>
      </c>
      <c r="G187" s="54" t="s">
        <v>3</v>
      </c>
      <c r="H187" s="53" t="s">
        <v>0</v>
      </c>
      <c r="I187" s="53" t="s">
        <v>17</v>
      </c>
      <c r="J187" s="55" t="s">
        <v>232</v>
      </c>
      <c r="K187" s="54" t="s">
        <v>12</v>
      </c>
      <c r="L187" s="56" t="s">
        <v>239</v>
      </c>
    </row>
    <row r="188" spans="1:12" ht="15.75" customHeight="1" x14ac:dyDescent="0.25">
      <c r="A188" s="51" t="s">
        <v>225</v>
      </c>
      <c r="B188" s="52" t="s">
        <v>418</v>
      </c>
      <c r="C188" s="53">
        <v>390</v>
      </c>
      <c r="D188" s="54" t="s">
        <v>447</v>
      </c>
      <c r="E188" s="53">
        <v>390</v>
      </c>
      <c r="F188" s="54" t="s">
        <v>218</v>
      </c>
      <c r="G188" s="54" t="s">
        <v>3</v>
      </c>
      <c r="H188" s="53" t="s">
        <v>0</v>
      </c>
      <c r="I188" s="53" t="s">
        <v>17</v>
      </c>
      <c r="J188" s="55" t="s">
        <v>232</v>
      </c>
      <c r="K188" s="54" t="s">
        <v>11</v>
      </c>
      <c r="L188" s="56" t="s">
        <v>239</v>
      </c>
    </row>
    <row r="189" spans="1:12" ht="15.75" customHeight="1" x14ac:dyDescent="0.25">
      <c r="A189" s="51" t="s">
        <v>225</v>
      </c>
      <c r="B189" s="52" t="s">
        <v>392</v>
      </c>
      <c r="C189" s="53">
        <v>419</v>
      </c>
      <c r="D189" s="54" t="s">
        <v>448</v>
      </c>
      <c r="E189" s="53">
        <v>419</v>
      </c>
      <c r="F189" s="54" t="s">
        <v>218</v>
      </c>
      <c r="G189" s="54" t="s">
        <v>3</v>
      </c>
      <c r="H189" s="53" t="s">
        <v>1</v>
      </c>
      <c r="I189" s="53" t="s">
        <v>15</v>
      </c>
      <c r="J189" s="55" t="s">
        <v>232</v>
      </c>
      <c r="K189" s="54" t="s">
        <v>10</v>
      </c>
      <c r="L189" s="56" t="s">
        <v>239</v>
      </c>
    </row>
    <row r="190" spans="1:12" ht="15.75" customHeight="1" x14ac:dyDescent="0.25">
      <c r="A190" s="51" t="s">
        <v>225</v>
      </c>
      <c r="B190" s="52" t="s">
        <v>394</v>
      </c>
      <c r="C190" s="53">
        <v>420</v>
      </c>
      <c r="D190" s="54" t="s">
        <v>449</v>
      </c>
      <c r="E190" s="53">
        <v>420</v>
      </c>
      <c r="F190" s="54" t="s">
        <v>218</v>
      </c>
      <c r="G190" s="54" t="s">
        <v>3</v>
      </c>
      <c r="H190" s="53" t="s">
        <v>1</v>
      </c>
      <c r="I190" s="53" t="s">
        <v>15</v>
      </c>
      <c r="J190" s="55" t="s">
        <v>232</v>
      </c>
      <c r="K190" s="54" t="s">
        <v>7</v>
      </c>
      <c r="L190" s="56" t="s">
        <v>239</v>
      </c>
    </row>
    <row r="191" spans="1:12" ht="15.75" customHeight="1" x14ac:dyDescent="0.25">
      <c r="A191" s="51" t="s">
        <v>225</v>
      </c>
      <c r="B191" s="52" t="s">
        <v>396</v>
      </c>
      <c r="C191" s="53">
        <v>421</v>
      </c>
      <c r="D191" s="54" t="s">
        <v>450</v>
      </c>
      <c r="E191" s="53">
        <v>421</v>
      </c>
      <c r="F191" s="54" t="s">
        <v>218</v>
      </c>
      <c r="G191" s="54" t="s">
        <v>3</v>
      </c>
      <c r="H191" s="53" t="s">
        <v>1</v>
      </c>
      <c r="I191" s="53" t="s">
        <v>15</v>
      </c>
      <c r="J191" s="55" t="s">
        <v>232</v>
      </c>
      <c r="K191" s="54" t="s">
        <v>13</v>
      </c>
      <c r="L191" s="56" t="s">
        <v>239</v>
      </c>
    </row>
    <row r="192" spans="1:12" ht="15.75" customHeight="1" x14ac:dyDescent="0.25">
      <c r="A192" s="51" t="s">
        <v>225</v>
      </c>
      <c r="B192" s="52" t="s">
        <v>398</v>
      </c>
      <c r="C192" s="53">
        <v>422</v>
      </c>
      <c r="D192" s="54" t="s">
        <v>451</v>
      </c>
      <c r="E192" s="53">
        <v>422</v>
      </c>
      <c r="F192" s="54" t="s">
        <v>218</v>
      </c>
      <c r="G192" s="54" t="s">
        <v>3</v>
      </c>
      <c r="H192" s="53" t="s">
        <v>1</v>
      </c>
      <c r="I192" s="53" t="s">
        <v>15</v>
      </c>
      <c r="J192" s="55" t="s">
        <v>232</v>
      </c>
      <c r="K192" s="54" t="s">
        <v>8</v>
      </c>
      <c r="L192" s="56" t="s">
        <v>239</v>
      </c>
    </row>
    <row r="193" spans="1:12" ht="15.75" customHeight="1" x14ac:dyDescent="0.25">
      <c r="A193" s="51" t="s">
        <v>225</v>
      </c>
      <c r="B193" s="52" t="s">
        <v>400</v>
      </c>
      <c r="C193" s="53">
        <v>423</v>
      </c>
      <c r="D193" s="54" t="s">
        <v>452</v>
      </c>
      <c r="E193" s="53">
        <v>423</v>
      </c>
      <c r="F193" s="54" t="s">
        <v>218</v>
      </c>
      <c r="G193" s="54" t="s">
        <v>3</v>
      </c>
      <c r="H193" s="53" t="s">
        <v>1</v>
      </c>
      <c r="I193" s="53" t="s">
        <v>15</v>
      </c>
      <c r="J193" s="55" t="s">
        <v>232</v>
      </c>
      <c r="K193" s="54" t="s">
        <v>9</v>
      </c>
      <c r="L193" s="56" t="s">
        <v>239</v>
      </c>
    </row>
    <row r="194" spans="1:12" ht="15.75" customHeight="1" x14ac:dyDescent="0.25">
      <c r="A194" s="51" t="s">
        <v>225</v>
      </c>
      <c r="B194" s="52" t="s">
        <v>402</v>
      </c>
      <c r="C194" s="53">
        <v>424</v>
      </c>
      <c r="D194" s="54" t="s">
        <v>453</v>
      </c>
      <c r="E194" s="53">
        <v>424</v>
      </c>
      <c r="F194" s="54" t="s">
        <v>218</v>
      </c>
      <c r="G194" s="54" t="s">
        <v>3</v>
      </c>
      <c r="H194" s="53" t="s">
        <v>1</v>
      </c>
      <c r="I194" s="53" t="s">
        <v>15</v>
      </c>
      <c r="J194" s="55" t="s">
        <v>232</v>
      </c>
      <c r="K194" s="54" t="s">
        <v>12</v>
      </c>
      <c r="L194" s="56" t="s">
        <v>239</v>
      </c>
    </row>
    <row r="195" spans="1:12" ht="15.75" customHeight="1" x14ac:dyDescent="0.25">
      <c r="A195" s="51" t="s">
        <v>225</v>
      </c>
      <c r="B195" s="52" t="s">
        <v>404</v>
      </c>
      <c r="C195" s="53">
        <v>425</v>
      </c>
      <c r="D195" s="54" t="s">
        <v>454</v>
      </c>
      <c r="E195" s="53">
        <v>425</v>
      </c>
      <c r="F195" s="54" t="s">
        <v>218</v>
      </c>
      <c r="G195" s="54" t="s">
        <v>3</v>
      </c>
      <c r="H195" s="53" t="s">
        <v>1</v>
      </c>
      <c r="I195" s="53" t="s">
        <v>15</v>
      </c>
      <c r="J195" s="55" t="s">
        <v>232</v>
      </c>
      <c r="K195" s="54" t="s">
        <v>11</v>
      </c>
      <c r="L195" s="56" t="s">
        <v>239</v>
      </c>
    </row>
    <row r="196" spans="1:12" ht="15.75" customHeight="1" x14ac:dyDescent="0.25">
      <c r="A196" s="51" t="s">
        <v>225</v>
      </c>
      <c r="B196" s="52" t="s">
        <v>406</v>
      </c>
      <c r="C196" s="53">
        <v>454</v>
      </c>
      <c r="D196" s="54" t="s">
        <v>455</v>
      </c>
      <c r="E196" s="53">
        <v>454</v>
      </c>
      <c r="F196" s="54" t="s">
        <v>218</v>
      </c>
      <c r="G196" s="54" t="s">
        <v>3</v>
      </c>
      <c r="H196" s="53" t="s">
        <v>1</v>
      </c>
      <c r="I196" s="53" t="s">
        <v>17</v>
      </c>
      <c r="J196" s="55" t="s">
        <v>232</v>
      </c>
      <c r="K196" s="54" t="s">
        <v>10</v>
      </c>
      <c r="L196" s="56" t="s">
        <v>239</v>
      </c>
    </row>
    <row r="197" spans="1:12" ht="15.75" customHeight="1" x14ac:dyDescent="0.25">
      <c r="A197" s="51" t="s">
        <v>225</v>
      </c>
      <c r="B197" s="52" t="s">
        <v>408</v>
      </c>
      <c r="C197" s="53">
        <v>455</v>
      </c>
      <c r="D197" s="54" t="s">
        <v>456</v>
      </c>
      <c r="E197" s="53">
        <v>455</v>
      </c>
      <c r="F197" s="54" t="s">
        <v>218</v>
      </c>
      <c r="G197" s="54" t="s">
        <v>3</v>
      </c>
      <c r="H197" s="53" t="s">
        <v>1</v>
      </c>
      <c r="I197" s="53" t="s">
        <v>17</v>
      </c>
      <c r="J197" s="55" t="s">
        <v>232</v>
      </c>
      <c r="K197" s="54" t="s">
        <v>7</v>
      </c>
      <c r="L197" s="56" t="s">
        <v>239</v>
      </c>
    </row>
    <row r="198" spans="1:12" ht="15.75" customHeight="1" x14ac:dyDescent="0.25">
      <c r="A198" s="51" t="s">
        <v>225</v>
      </c>
      <c r="B198" s="52" t="s">
        <v>410</v>
      </c>
      <c r="C198" s="53">
        <v>456</v>
      </c>
      <c r="D198" s="54" t="s">
        <v>457</v>
      </c>
      <c r="E198" s="53">
        <v>456</v>
      </c>
      <c r="F198" s="54" t="s">
        <v>218</v>
      </c>
      <c r="G198" s="54" t="s">
        <v>3</v>
      </c>
      <c r="H198" s="53" t="s">
        <v>1</v>
      </c>
      <c r="I198" s="53" t="s">
        <v>17</v>
      </c>
      <c r="J198" s="55" t="s">
        <v>232</v>
      </c>
      <c r="K198" s="54" t="s">
        <v>13</v>
      </c>
      <c r="L198" s="56" t="s">
        <v>239</v>
      </c>
    </row>
    <row r="199" spans="1:12" ht="15.75" customHeight="1" x14ac:dyDescent="0.25">
      <c r="A199" s="51" t="s">
        <v>225</v>
      </c>
      <c r="B199" s="52" t="s">
        <v>412</v>
      </c>
      <c r="C199" s="53">
        <v>457</v>
      </c>
      <c r="D199" s="54" t="s">
        <v>458</v>
      </c>
      <c r="E199" s="53">
        <v>457</v>
      </c>
      <c r="F199" s="54" t="s">
        <v>218</v>
      </c>
      <c r="G199" s="54" t="s">
        <v>3</v>
      </c>
      <c r="H199" s="53" t="s">
        <v>1</v>
      </c>
      <c r="I199" s="53" t="s">
        <v>17</v>
      </c>
      <c r="J199" s="55" t="s">
        <v>232</v>
      </c>
      <c r="K199" s="54" t="s">
        <v>8</v>
      </c>
      <c r="L199" s="56" t="s">
        <v>239</v>
      </c>
    </row>
    <row r="200" spans="1:12" ht="15.75" customHeight="1" x14ac:dyDescent="0.25">
      <c r="A200" s="51" t="s">
        <v>225</v>
      </c>
      <c r="B200" s="52" t="s">
        <v>414</v>
      </c>
      <c r="C200" s="53">
        <v>458</v>
      </c>
      <c r="D200" s="54" t="s">
        <v>459</v>
      </c>
      <c r="E200" s="53">
        <v>458</v>
      </c>
      <c r="F200" s="54" t="s">
        <v>218</v>
      </c>
      <c r="G200" s="54" t="s">
        <v>3</v>
      </c>
      <c r="H200" s="53" t="s">
        <v>1</v>
      </c>
      <c r="I200" s="53" t="s">
        <v>17</v>
      </c>
      <c r="J200" s="55" t="s">
        <v>232</v>
      </c>
      <c r="K200" s="54" t="s">
        <v>9</v>
      </c>
      <c r="L200" s="56" t="s">
        <v>239</v>
      </c>
    </row>
    <row r="201" spans="1:12" ht="15.75" customHeight="1" x14ac:dyDescent="0.25">
      <c r="A201" s="51" t="s">
        <v>225</v>
      </c>
      <c r="B201" s="52" t="s">
        <v>416</v>
      </c>
      <c r="C201" s="53">
        <v>459</v>
      </c>
      <c r="D201" s="54" t="s">
        <v>460</v>
      </c>
      <c r="E201" s="53">
        <v>459</v>
      </c>
      <c r="F201" s="54" t="s">
        <v>218</v>
      </c>
      <c r="G201" s="54" t="s">
        <v>3</v>
      </c>
      <c r="H201" s="53" t="s">
        <v>1</v>
      </c>
      <c r="I201" s="53" t="s">
        <v>17</v>
      </c>
      <c r="J201" s="55" t="s">
        <v>232</v>
      </c>
      <c r="K201" s="54" t="s">
        <v>12</v>
      </c>
      <c r="L201" s="56" t="s">
        <v>239</v>
      </c>
    </row>
    <row r="202" spans="1:12" ht="15.75" customHeight="1" x14ac:dyDescent="0.25">
      <c r="A202" s="51" t="s">
        <v>225</v>
      </c>
      <c r="B202" s="52" t="s">
        <v>418</v>
      </c>
      <c r="C202" s="53">
        <v>460</v>
      </c>
      <c r="D202" s="54" t="s">
        <v>461</v>
      </c>
      <c r="E202" s="53">
        <v>460</v>
      </c>
      <c r="F202" s="54" t="s">
        <v>218</v>
      </c>
      <c r="G202" s="54" t="s">
        <v>3</v>
      </c>
      <c r="H202" s="53" t="s">
        <v>1</v>
      </c>
      <c r="I202" s="53" t="s">
        <v>17</v>
      </c>
      <c r="J202" s="55" t="s">
        <v>232</v>
      </c>
      <c r="K202" s="54" t="s">
        <v>11</v>
      </c>
      <c r="L202" s="56" t="s">
        <v>239</v>
      </c>
    </row>
    <row r="203" spans="1:12" ht="15.75" customHeight="1" x14ac:dyDescent="0.25">
      <c r="A203" s="51" t="s">
        <v>225</v>
      </c>
      <c r="B203" s="52" t="s">
        <v>392</v>
      </c>
      <c r="C203" s="53">
        <v>335</v>
      </c>
      <c r="D203" s="54" t="s">
        <v>462</v>
      </c>
      <c r="E203" s="53">
        <v>335</v>
      </c>
      <c r="F203" s="54" t="s">
        <v>218</v>
      </c>
      <c r="G203" s="54" t="s">
        <v>3</v>
      </c>
      <c r="H203" s="53" t="s">
        <v>0</v>
      </c>
      <c r="I203" s="53" t="s">
        <v>15</v>
      </c>
      <c r="J203" s="55" t="s">
        <v>234</v>
      </c>
      <c r="K203" s="54" t="s">
        <v>10</v>
      </c>
      <c r="L203" s="56" t="s">
        <v>239</v>
      </c>
    </row>
    <row r="204" spans="1:12" ht="15.75" customHeight="1" x14ac:dyDescent="0.25">
      <c r="A204" s="51" t="s">
        <v>225</v>
      </c>
      <c r="B204" s="52" t="s">
        <v>394</v>
      </c>
      <c r="C204" s="53">
        <v>336</v>
      </c>
      <c r="D204" s="54" t="s">
        <v>463</v>
      </c>
      <c r="E204" s="53">
        <v>336</v>
      </c>
      <c r="F204" s="54" t="s">
        <v>218</v>
      </c>
      <c r="G204" s="54" t="s">
        <v>3</v>
      </c>
      <c r="H204" s="53" t="s">
        <v>0</v>
      </c>
      <c r="I204" s="53" t="s">
        <v>15</v>
      </c>
      <c r="J204" s="55" t="s">
        <v>234</v>
      </c>
      <c r="K204" s="54" t="s">
        <v>7</v>
      </c>
      <c r="L204" s="56" t="s">
        <v>239</v>
      </c>
    </row>
    <row r="205" spans="1:12" ht="15.75" customHeight="1" x14ac:dyDescent="0.25">
      <c r="A205" s="51" t="s">
        <v>225</v>
      </c>
      <c r="B205" s="52" t="s">
        <v>396</v>
      </c>
      <c r="C205" s="53">
        <v>337</v>
      </c>
      <c r="D205" s="54" t="s">
        <v>464</v>
      </c>
      <c r="E205" s="53">
        <v>337</v>
      </c>
      <c r="F205" s="54" t="s">
        <v>218</v>
      </c>
      <c r="G205" s="54" t="s">
        <v>3</v>
      </c>
      <c r="H205" s="53" t="s">
        <v>0</v>
      </c>
      <c r="I205" s="53" t="s">
        <v>15</v>
      </c>
      <c r="J205" s="55" t="s">
        <v>234</v>
      </c>
      <c r="K205" s="54" t="s">
        <v>13</v>
      </c>
      <c r="L205" s="56" t="s">
        <v>239</v>
      </c>
    </row>
    <row r="206" spans="1:12" ht="15.75" customHeight="1" x14ac:dyDescent="0.25">
      <c r="A206" s="51" t="s">
        <v>225</v>
      </c>
      <c r="B206" s="52" t="s">
        <v>398</v>
      </c>
      <c r="C206" s="53">
        <v>338</v>
      </c>
      <c r="D206" s="54" t="s">
        <v>465</v>
      </c>
      <c r="E206" s="53">
        <v>338</v>
      </c>
      <c r="F206" s="54" t="s">
        <v>218</v>
      </c>
      <c r="G206" s="54" t="s">
        <v>3</v>
      </c>
      <c r="H206" s="53" t="s">
        <v>0</v>
      </c>
      <c r="I206" s="53" t="s">
        <v>15</v>
      </c>
      <c r="J206" s="55" t="s">
        <v>234</v>
      </c>
      <c r="K206" s="54" t="s">
        <v>8</v>
      </c>
      <c r="L206" s="56" t="s">
        <v>239</v>
      </c>
    </row>
    <row r="207" spans="1:12" ht="15.75" customHeight="1" x14ac:dyDescent="0.25">
      <c r="A207" s="51" t="s">
        <v>225</v>
      </c>
      <c r="B207" s="52" t="s">
        <v>400</v>
      </c>
      <c r="C207" s="53">
        <v>339</v>
      </c>
      <c r="D207" s="54" t="s">
        <v>466</v>
      </c>
      <c r="E207" s="53">
        <v>339</v>
      </c>
      <c r="F207" s="54" t="s">
        <v>218</v>
      </c>
      <c r="G207" s="54" t="s">
        <v>3</v>
      </c>
      <c r="H207" s="53" t="s">
        <v>0</v>
      </c>
      <c r="I207" s="53" t="s">
        <v>15</v>
      </c>
      <c r="J207" s="55" t="s">
        <v>234</v>
      </c>
      <c r="K207" s="54" t="s">
        <v>9</v>
      </c>
      <c r="L207" s="56" t="s">
        <v>239</v>
      </c>
    </row>
    <row r="208" spans="1:12" ht="15.75" customHeight="1" x14ac:dyDescent="0.25">
      <c r="A208" s="51" t="s">
        <v>225</v>
      </c>
      <c r="B208" s="52" t="s">
        <v>402</v>
      </c>
      <c r="C208" s="53">
        <v>340</v>
      </c>
      <c r="D208" s="54" t="s">
        <v>467</v>
      </c>
      <c r="E208" s="53">
        <v>340</v>
      </c>
      <c r="F208" s="54" t="s">
        <v>218</v>
      </c>
      <c r="G208" s="54" t="s">
        <v>3</v>
      </c>
      <c r="H208" s="53" t="s">
        <v>0</v>
      </c>
      <c r="I208" s="53" t="s">
        <v>15</v>
      </c>
      <c r="J208" s="55" t="s">
        <v>234</v>
      </c>
      <c r="K208" s="54" t="s">
        <v>12</v>
      </c>
      <c r="L208" s="56" t="s">
        <v>239</v>
      </c>
    </row>
    <row r="209" spans="1:12" ht="15.75" customHeight="1" x14ac:dyDescent="0.25">
      <c r="A209" s="51" t="s">
        <v>225</v>
      </c>
      <c r="B209" s="52" t="s">
        <v>404</v>
      </c>
      <c r="C209" s="53">
        <v>341</v>
      </c>
      <c r="D209" s="54" t="s">
        <v>468</v>
      </c>
      <c r="E209" s="53">
        <v>341</v>
      </c>
      <c r="F209" s="54" t="s">
        <v>218</v>
      </c>
      <c r="G209" s="54" t="s">
        <v>3</v>
      </c>
      <c r="H209" s="53" t="s">
        <v>0</v>
      </c>
      <c r="I209" s="53" t="s">
        <v>15</v>
      </c>
      <c r="J209" s="55" t="s">
        <v>234</v>
      </c>
      <c r="K209" s="54" t="s">
        <v>11</v>
      </c>
      <c r="L209" s="56" t="s">
        <v>239</v>
      </c>
    </row>
    <row r="210" spans="1:12" ht="15.75" customHeight="1" x14ac:dyDescent="0.25">
      <c r="A210" s="51" t="s">
        <v>225</v>
      </c>
      <c r="B210" s="52" t="s">
        <v>406</v>
      </c>
      <c r="C210" s="53">
        <v>370</v>
      </c>
      <c r="D210" s="54" t="s">
        <v>469</v>
      </c>
      <c r="E210" s="53">
        <v>370</v>
      </c>
      <c r="F210" s="54" t="s">
        <v>218</v>
      </c>
      <c r="G210" s="54" t="s">
        <v>3</v>
      </c>
      <c r="H210" s="53" t="s">
        <v>0</v>
      </c>
      <c r="I210" s="53" t="s">
        <v>17</v>
      </c>
      <c r="J210" s="55" t="s">
        <v>234</v>
      </c>
      <c r="K210" s="54" t="s">
        <v>10</v>
      </c>
      <c r="L210" s="56" t="s">
        <v>239</v>
      </c>
    </row>
    <row r="211" spans="1:12" ht="15.75" customHeight="1" x14ac:dyDescent="0.25">
      <c r="A211" s="51" t="s">
        <v>225</v>
      </c>
      <c r="B211" s="52" t="s">
        <v>408</v>
      </c>
      <c r="C211" s="53">
        <v>371</v>
      </c>
      <c r="D211" s="54" t="s">
        <v>470</v>
      </c>
      <c r="E211" s="53">
        <v>371</v>
      </c>
      <c r="F211" s="54" t="s">
        <v>218</v>
      </c>
      <c r="G211" s="54" t="s">
        <v>3</v>
      </c>
      <c r="H211" s="53" t="s">
        <v>0</v>
      </c>
      <c r="I211" s="53" t="s">
        <v>17</v>
      </c>
      <c r="J211" s="55" t="s">
        <v>234</v>
      </c>
      <c r="K211" s="54" t="s">
        <v>7</v>
      </c>
      <c r="L211" s="56" t="s">
        <v>239</v>
      </c>
    </row>
    <row r="212" spans="1:12" ht="15.75" customHeight="1" x14ac:dyDescent="0.25">
      <c r="A212" s="51" t="s">
        <v>225</v>
      </c>
      <c r="B212" s="52" t="s">
        <v>410</v>
      </c>
      <c r="C212" s="53">
        <v>372</v>
      </c>
      <c r="D212" s="54" t="s">
        <v>471</v>
      </c>
      <c r="E212" s="53">
        <v>372</v>
      </c>
      <c r="F212" s="54" t="s">
        <v>218</v>
      </c>
      <c r="G212" s="54" t="s">
        <v>3</v>
      </c>
      <c r="H212" s="53" t="s">
        <v>0</v>
      </c>
      <c r="I212" s="53" t="s">
        <v>17</v>
      </c>
      <c r="J212" s="55" t="s">
        <v>234</v>
      </c>
      <c r="K212" s="54" t="s">
        <v>13</v>
      </c>
      <c r="L212" s="56" t="s">
        <v>239</v>
      </c>
    </row>
    <row r="213" spans="1:12" ht="15.75" customHeight="1" x14ac:dyDescent="0.25">
      <c r="A213" s="51" t="s">
        <v>225</v>
      </c>
      <c r="B213" s="52" t="s">
        <v>412</v>
      </c>
      <c r="C213" s="53">
        <v>373</v>
      </c>
      <c r="D213" s="54" t="s">
        <v>472</v>
      </c>
      <c r="E213" s="53">
        <v>373</v>
      </c>
      <c r="F213" s="54" t="s">
        <v>218</v>
      </c>
      <c r="G213" s="54" t="s">
        <v>3</v>
      </c>
      <c r="H213" s="53" t="s">
        <v>0</v>
      </c>
      <c r="I213" s="53" t="s">
        <v>17</v>
      </c>
      <c r="J213" s="55" t="s">
        <v>234</v>
      </c>
      <c r="K213" s="54" t="s">
        <v>8</v>
      </c>
      <c r="L213" s="56" t="s">
        <v>239</v>
      </c>
    </row>
    <row r="214" spans="1:12" ht="15.75" customHeight="1" x14ac:dyDescent="0.25">
      <c r="A214" s="51" t="s">
        <v>225</v>
      </c>
      <c r="B214" s="52" t="s">
        <v>414</v>
      </c>
      <c r="C214" s="53">
        <v>374</v>
      </c>
      <c r="D214" s="54" t="s">
        <v>473</v>
      </c>
      <c r="E214" s="53">
        <v>374</v>
      </c>
      <c r="F214" s="54" t="s">
        <v>218</v>
      </c>
      <c r="G214" s="54" t="s">
        <v>3</v>
      </c>
      <c r="H214" s="53" t="s">
        <v>0</v>
      </c>
      <c r="I214" s="53" t="s">
        <v>17</v>
      </c>
      <c r="J214" s="55" t="s">
        <v>234</v>
      </c>
      <c r="K214" s="54" t="s">
        <v>9</v>
      </c>
      <c r="L214" s="56" t="s">
        <v>239</v>
      </c>
    </row>
    <row r="215" spans="1:12" ht="15.75" customHeight="1" x14ac:dyDescent="0.25">
      <c r="A215" s="51" t="s">
        <v>225</v>
      </c>
      <c r="B215" s="52" t="s">
        <v>416</v>
      </c>
      <c r="C215" s="53">
        <v>375</v>
      </c>
      <c r="D215" s="54" t="s">
        <v>474</v>
      </c>
      <c r="E215" s="53">
        <v>375</v>
      </c>
      <c r="F215" s="54" t="s">
        <v>218</v>
      </c>
      <c r="G215" s="54" t="s">
        <v>3</v>
      </c>
      <c r="H215" s="53" t="s">
        <v>0</v>
      </c>
      <c r="I215" s="53" t="s">
        <v>17</v>
      </c>
      <c r="J215" s="55" t="s">
        <v>234</v>
      </c>
      <c r="K215" s="54" t="s">
        <v>12</v>
      </c>
      <c r="L215" s="56" t="s">
        <v>239</v>
      </c>
    </row>
    <row r="216" spans="1:12" ht="15.75" customHeight="1" x14ac:dyDescent="0.25">
      <c r="A216" s="51" t="s">
        <v>225</v>
      </c>
      <c r="B216" s="52" t="s">
        <v>418</v>
      </c>
      <c r="C216" s="53">
        <v>376</v>
      </c>
      <c r="D216" s="54" t="s">
        <v>475</v>
      </c>
      <c r="E216" s="53">
        <v>376</v>
      </c>
      <c r="F216" s="54" t="s">
        <v>218</v>
      </c>
      <c r="G216" s="54" t="s">
        <v>3</v>
      </c>
      <c r="H216" s="53" t="s">
        <v>0</v>
      </c>
      <c r="I216" s="53" t="s">
        <v>17</v>
      </c>
      <c r="J216" s="55" t="s">
        <v>234</v>
      </c>
      <c r="K216" s="54" t="s">
        <v>11</v>
      </c>
      <c r="L216" s="56" t="s">
        <v>239</v>
      </c>
    </row>
    <row r="217" spans="1:12" ht="15.75" customHeight="1" x14ac:dyDescent="0.25">
      <c r="A217" s="51" t="s">
        <v>225</v>
      </c>
      <c r="B217" s="52" t="s">
        <v>392</v>
      </c>
      <c r="C217" s="53">
        <v>405</v>
      </c>
      <c r="D217" s="54" t="s">
        <v>476</v>
      </c>
      <c r="E217" s="53">
        <v>405</v>
      </c>
      <c r="F217" s="54" t="s">
        <v>218</v>
      </c>
      <c r="G217" s="54" t="s">
        <v>3</v>
      </c>
      <c r="H217" s="53" t="s">
        <v>1</v>
      </c>
      <c r="I217" s="53" t="s">
        <v>15</v>
      </c>
      <c r="J217" s="55" t="s">
        <v>234</v>
      </c>
      <c r="K217" s="54" t="s">
        <v>10</v>
      </c>
      <c r="L217" s="56" t="s">
        <v>239</v>
      </c>
    </row>
    <row r="218" spans="1:12" ht="15.75" customHeight="1" x14ac:dyDescent="0.25">
      <c r="A218" s="51" t="s">
        <v>225</v>
      </c>
      <c r="B218" s="52" t="s">
        <v>394</v>
      </c>
      <c r="C218" s="53">
        <v>406</v>
      </c>
      <c r="D218" s="54" t="s">
        <v>477</v>
      </c>
      <c r="E218" s="53">
        <v>406</v>
      </c>
      <c r="F218" s="54" t="s">
        <v>218</v>
      </c>
      <c r="G218" s="54" t="s">
        <v>3</v>
      </c>
      <c r="H218" s="53" t="s">
        <v>1</v>
      </c>
      <c r="I218" s="53" t="s">
        <v>15</v>
      </c>
      <c r="J218" s="55" t="s">
        <v>234</v>
      </c>
      <c r="K218" s="54" t="s">
        <v>7</v>
      </c>
      <c r="L218" s="56" t="s">
        <v>239</v>
      </c>
    </row>
    <row r="219" spans="1:12" ht="15.75" customHeight="1" x14ac:dyDescent="0.25">
      <c r="A219" s="51" t="s">
        <v>225</v>
      </c>
      <c r="B219" s="52" t="s">
        <v>396</v>
      </c>
      <c r="C219" s="53">
        <v>407</v>
      </c>
      <c r="D219" s="54" t="s">
        <v>478</v>
      </c>
      <c r="E219" s="53">
        <v>407</v>
      </c>
      <c r="F219" s="54" t="s">
        <v>218</v>
      </c>
      <c r="G219" s="54" t="s">
        <v>3</v>
      </c>
      <c r="H219" s="53" t="s">
        <v>1</v>
      </c>
      <c r="I219" s="53" t="s">
        <v>15</v>
      </c>
      <c r="J219" s="55" t="s">
        <v>234</v>
      </c>
      <c r="K219" s="54" t="s">
        <v>13</v>
      </c>
      <c r="L219" s="56" t="s">
        <v>239</v>
      </c>
    </row>
    <row r="220" spans="1:12" ht="15.75" customHeight="1" x14ac:dyDescent="0.25">
      <c r="A220" s="51" t="s">
        <v>225</v>
      </c>
      <c r="B220" s="52" t="s">
        <v>398</v>
      </c>
      <c r="C220" s="53">
        <v>408</v>
      </c>
      <c r="D220" s="54" t="s">
        <v>479</v>
      </c>
      <c r="E220" s="53">
        <v>408</v>
      </c>
      <c r="F220" s="54" t="s">
        <v>218</v>
      </c>
      <c r="G220" s="54" t="s">
        <v>3</v>
      </c>
      <c r="H220" s="53" t="s">
        <v>1</v>
      </c>
      <c r="I220" s="53" t="s">
        <v>15</v>
      </c>
      <c r="J220" s="55" t="s">
        <v>234</v>
      </c>
      <c r="K220" s="54" t="s">
        <v>8</v>
      </c>
      <c r="L220" s="56" t="s">
        <v>239</v>
      </c>
    </row>
    <row r="221" spans="1:12" ht="15.75" customHeight="1" x14ac:dyDescent="0.25">
      <c r="A221" s="51" t="s">
        <v>225</v>
      </c>
      <c r="B221" s="52" t="s">
        <v>400</v>
      </c>
      <c r="C221" s="53">
        <v>409</v>
      </c>
      <c r="D221" s="54" t="s">
        <v>480</v>
      </c>
      <c r="E221" s="53">
        <v>409</v>
      </c>
      <c r="F221" s="54" t="s">
        <v>218</v>
      </c>
      <c r="G221" s="54" t="s">
        <v>3</v>
      </c>
      <c r="H221" s="53" t="s">
        <v>1</v>
      </c>
      <c r="I221" s="53" t="s">
        <v>15</v>
      </c>
      <c r="J221" s="55" t="s">
        <v>234</v>
      </c>
      <c r="K221" s="54" t="s">
        <v>9</v>
      </c>
      <c r="L221" s="56" t="s">
        <v>239</v>
      </c>
    </row>
    <row r="222" spans="1:12" ht="15.75" customHeight="1" x14ac:dyDescent="0.25">
      <c r="A222" s="51" t="s">
        <v>225</v>
      </c>
      <c r="B222" s="52" t="s">
        <v>402</v>
      </c>
      <c r="C222" s="53">
        <v>410</v>
      </c>
      <c r="D222" s="54" t="s">
        <v>481</v>
      </c>
      <c r="E222" s="53">
        <v>410</v>
      </c>
      <c r="F222" s="54" t="s">
        <v>218</v>
      </c>
      <c r="G222" s="54" t="s">
        <v>3</v>
      </c>
      <c r="H222" s="53" t="s">
        <v>1</v>
      </c>
      <c r="I222" s="53" t="s">
        <v>15</v>
      </c>
      <c r="J222" s="55" t="s">
        <v>234</v>
      </c>
      <c r="K222" s="54" t="s">
        <v>12</v>
      </c>
      <c r="L222" s="56" t="s">
        <v>239</v>
      </c>
    </row>
    <row r="223" spans="1:12" ht="15.75" customHeight="1" x14ac:dyDescent="0.25">
      <c r="A223" s="51" t="s">
        <v>225</v>
      </c>
      <c r="B223" s="52" t="s">
        <v>404</v>
      </c>
      <c r="C223" s="53">
        <v>411</v>
      </c>
      <c r="D223" s="54" t="s">
        <v>482</v>
      </c>
      <c r="E223" s="53">
        <v>411</v>
      </c>
      <c r="F223" s="54" t="s">
        <v>218</v>
      </c>
      <c r="G223" s="54" t="s">
        <v>3</v>
      </c>
      <c r="H223" s="53" t="s">
        <v>1</v>
      </c>
      <c r="I223" s="53" t="s">
        <v>15</v>
      </c>
      <c r="J223" s="55" t="s">
        <v>234</v>
      </c>
      <c r="K223" s="54" t="s">
        <v>11</v>
      </c>
      <c r="L223" s="56" t="s">
        <v>239</v>
      </c>
    </row>
    <row r="224" spans="1:12" ht="15.75" customHeight="1" x14ac:dyDescent="0.25">
      <c r="A224" s="51" t="s">
        <v>225</v>
      </c>
      <c r="B224" s="52" t="s">
        <v>406</v>
      </c>
      <c r="C224" s="53">
        <v>440</v>
      </c>
      <c r="D224" s="54" t="s">
        <v>483</v>
      </c>
      <c r="E224" s="53">
        <v>440</v>
      </c>
      <c r="F224" s="54" t="s">
        <v>218</v>
      </c>
      <c r="G224" s="54" t="s">
        <v>3</v>
      </c>
      <c r="H224" s="53" t="s">
        <v>1</v>
      </c>
      <c r="I224" s="53" t="s">
        <v>17</v>
      </c>
      <c r="J224" s="55" t="s">
        <v>234</v>
      </c>
      <c r="K224" s="54" t="s">
        <v>10</v>
      </c>
      <c r="L224" s="56" t="s">
        <v>239</v>
      </c>
    </row>
    <row r="225" spans="1:12" ht="15.75" customHeight="1" x14ac:dyDescent="0.25">
      <c r="A225" s="51" t="s">
        <v>225</v>
      </c>
      <c r="B225" s="52" t="s">
        <v>408</v>
      </c>
      <c r="C225" s="53">
        <v>441</v>
      </c>
      <c r="D225" s="54" t="s">
        <v>484</v>
      </c>
      <c r="E225" s="53">
        <v>441</v>
      </c>
      <c r="F225" s="54" t="s">
        <v>218</v>
      </c>
      <c r="G225" s="54" t="s">
        <v>3</v>
      </c>
      <c r="H225" s="53" t="s">
        <v>1</v>
      </c>
      <c r="I225" s="53" t="s">
        <v>17</v>
      </c>
      <c r="J225" s="55" t="s">
        <v>234</v>
      </c>
      <c r="K225" s="54" t="s">
        <v>7</v>
      </c>
      <c r="L225" s="56" t="s">
        <v>239</v>
      </c>
    </row>
    <row r="226" spans="1:12" ht="15.75" customHeight="1" x14ac:dyDescent="0.25">
      <c r="A226" s="51" t="s">
        <v>225</v>
      </c>
      <c r="B226" s="52" t="s">
        <v>410</v>
      </c>
      <c r="C226" s="53">
        <v>442</v>
      </c>
      <c r="D226" s="54" t="s">
        <v>485</v>
      </c>
      <c r="E226" s="53">
        <v>442</v>
      </c>
      <c r="F226" s="54" t="s">
        <v>218</v>
      </c>
      <c r="G226" s="54" t="s">
        <v>3</v>
      </c>
      <c r="H226" s="53" t="s">
        <v>1</v>
      </c>
      <c r="I226" s="53" t="s">
        <v>17</v>
      </c>
      <c r="J226" s="55" t="s">
        <v>234</v>
      </c>
      <c r="K226" s="54" t="s">
        <v>13</v>
      </c>
      <c r="L226" s="56" t="s">
        <v>239</v>
      </c>
    </row>
    <row r="227" spans="1:12" ht="15.75" customHeight="1" x14ac:dyDescent="0.25">
      <c r="A227" s="51" t="s">
        <v>225</v>
      </c>
      <c r="B227" s="52" t="s">
        <v>412</v>
      </c>
      <c r="C227" s="53">
        <v>443</v>
      </c>
      <c r="D227" s="54" t="s">
        <v>486</v>
      </c>
      <c r="E227" s="53">
        <v>443</v>
      </c>
      <c r="F227" s="54" t="s">
        <v>218</v>
      </c>
      <c r="G227" s="54" t="s">
        <v>3</v>
      </c>
      <c r="H227" s="53" t="s">
        <v>1</v>
      </c>
      <c r="I227" s="53" t="s">
        <v>17</v>
      </c>
      <c r="J227" s="55" t="s">
        <v>234</v>
      </c>
      <c r="K227" s="54" t="s">
        <v>8</v>
      </c>
      <c r="L227" s="56" t="s">
        <v>239</v>
      </c>
    </row>
    <row r="228" spans="1:12" ht="15.75" customHeight="1" x14ac:dyDescent="0.25">
      <c r="A228" s="51" t="s">
        <v>225</v>
      </c>
      <c r="B228" s="52" t="s">
        <v>414</v>
      </c>
      <c r="C228" s="53">
        <v>444</v>
      </c>
      <c r="D228" s="54" t="s">
        <v>487</v>
      </c>
      <c r="E228" s="53">
        <v>444</v>
      </c>
      <c r="F228" s="54" t="s">
        <v>218</v>
      </c>
      <c r="G228" s="54" t="s">
        <v>3</v>
      </c>
      <c r="H228" s="53" t="s">
        <v>1</v>
      </c>
      <c r="I228" s="53" t="s">
        <v>17</v>
      </c>
      <c r="J228" s="55" t="s">
        <v>234</v>
      </c>
      <c r="K228" s="54" t="s">
        <v>9</v>
      </c>
      <c r="L228" s="56" t="s">
        <v>239</v>
      </c>
    </row>
    <row r="229" spans="1:12" ht="15.75" customHeight="1" x14ac:dyDescent="0.25">
      <c r="A229" s="51" t="s">
        <v>225</v>
      </c>
      <c r="B229" s="52" t="s">
        <v>416</v>
      </c>
      <c r="C229" s="53">
        <v>445</v>
      </c>
      <c r="D229" s="54" t="s">
        <v>488</v>
      </c>
      <c r="E229" s="53">
        <v>445</v>
      </c>
      <c r="F229" s="54" t="s">
        <v>218</v>
      </c>
      <c r="G229" s="54" t="s">
        <v>3</v>
      </c>
      <c r="H229" s="53" t="s">
        <v>1</v>
      </c>
      <c r="I229" s="53" t="s">
        <v>17</v>
      </c>
      <c r="J229" s="55" t="s">
        <v>234</v>
      </c>
      <c r="K229" s="54" t="s">
        <v>12</v>
      </c>
      <c r="L229" s="56" t="s">
        <v>239</v>
      </c>
    </row>
    <row r="230" spans="1:12" ht="15.75" customHeight="1" x14ac:dyDescent="0.25">
      <c r="A230" s="51" t="s">
        <v>225</v>
      </c>
      <c r="B230" s="52" t="s">
        <v>418</v>
      </c>
      <c r="C230" s="53">
        <v>446</v>
      </c>
      <c r="D230" s="54" t="s">
        <v>489</v>
      </c>
      <c r="E230" s="53">
        <v>446</v>
      </c>
      <c r="F230" s="54" t="s">
        <v>218</v>
      </c>
      <c r="G230" s="54" t="s">
        <v>3</v>
      </c>
      <c r="H230" s="53" t="s">
        <v>1</v>
      </c>
      <c r="I230" s="53" t="s">
        <v>17</v>
      </c>
      <c r="J230" s="55" t="s">
        <v>234</v>
      </c>
      <c r="K230" s="54" t="s">
        <v>11</v>
      </c>
      <c r="L230" s="56" t="s">
        <v>239</v>
      </c>
    </row>
    <row r="231" spans="1:12" ht="15.75" customHeight="1" x14ac:dyDescent="0.25">
      <c r="A231" s="51" t="s">
        <v>225</v>
      </c>
      <c r="B231" s="52" t="s">
        <v>392</v>
      </c>
      <c r="C231" s="53">
        <v>328</v>
      </c>
      <c r="D231" s="54" t="s">
        <v>490</v>
      </c>
      <c r="E231" s="53">
        <v>328</v>
      </c>
      <c r="F231" s="54" t="s">
        <v>218</v>
      </c>
      <c r="G231" s="54" t="s">
        <v>3</v>
      </c>
      <c r="H231" s="53" t="s">
        <v>0</v>
      </c>
      <c r="I231" s="53" t="s">
        <v>15</v>
      </c>
      <c r="J231" s="55" t="s">
        <v>228</v>
      </c>
      <c r="K231" s="54" t="s">
        <v>10</v>
      </c>
      <c r="L231" s="56" t="s">
        <v>239</v>
      </c>
    </row>
    <row r="232" spans="1:12" ht="15.75" customHeight="1" x14ac:dyDescent="0.25">
      <c r="A232" s="51" t="s">
        <v>225</v>
      </c>
      <c r="B232" s="52" t="s">
        <v>394</v>
      </c>
      <c r="C232" s="53">
        <v>329</v>
      </c>
      <c r="D232" s="54" t="s">
        <v>491</v>
      </c>
      <c r="E232" s="53">
        <v>329</v>
      </c>
      <c r="F232" s="54" t="s">
        <v>218</v>
      </c>
      <c r="G232" s="54" t="s">
        <v>3</v>
      </c>
      <c r="H232" s="53" t="s">
        <v>0</v>
      </c>
      <c r="I232" s="53" t="s">
        <v>15</v>
      </c>
      <c r="J232" s="55" t="s">
        <v>228</v>
      </c>
      <c r="K232" s="54" t="s">
        <v>7</v>
      </c>
      <c r="L232" s="56" t="s">
        <v>239</v>
      </c>
    </row>
    <row r="233" spans="1:12" ht="15.75" customHeight="1" x14ac:dyDescent="0.25">
      <c r="A233" s="51" t="s">
        <v>225</v>
      </c>
      <c r="B233" s="52" t="s">
        <v>396</v>
      </c>
      <c r="C233" s="53">
        <v>330</v>
      </c>
      <c r="D233" s="54" t="s">
        <v>492</v>
      </c>
      <c r="E233" s="53">
        <v>330</v>
      </c>
      <c r="F233" s="54" t="s">
        <v>218</v>
      </c>
      <c r="G233" s="54" t="s">
        <v>3</v>
      </c>
      <c r="H233" s="53" t="s">
        <v>0</v>
      </c>
      <c r="I233" s="53" t="s">
        <v>15</v>
      </c>
      <c r="J233" s="55" t="s">
        <v>228</v>
      </c>
      <c r="K233" s="54" t="s">
        <v>13</v>
      </c>
      <c r="L233" s="56" t="s">
        <v>239</v>
      </c>
    </row>
    <row r="234" spans="1:12" ht="15.75" customHeight="1" x14ac:dyDescent="0.25">
      <c r="A234" s="51" t="s">
        <v>225</v>
      </c>
      <c r="B234" s="52" t="s">
        <v>398</v>
      </c>
      <c r="C234" s="53">
        <v>331</v>
      </c>
      <c r="D234" s="54" t="s">
        <v>493</v>
      </c>
      <c r="E234" s="53">
        <v>331</v>
      </c>
      <c r="F234" s="54" t="s">
        <v>218</v>
      </c>
      <c r="G234" s="54" t="s">
        <v>3</v>
      </c>
      <c r="H234" s="53" t="s">
        <v>0</v>
      </c>
      <c r="I234" s="53" t="s">
        <v>15</v>
      </c>
      <c r="J234" s="55" t="s">
        <v>228</v>
      </c>
      <c r="K234" s="54" t="s">
        <v>8</v>
      </c>
      <c r="L234" s="56" t="s">
        <v>239</v>
      </c>
    </row>
    <row r="235" spans="1:12" ht="15.75" customHeight="1" x14ac:dyDescent="0.25">
      <c r="A235" s="51" t="s">
        <v>225</v>
      </c>
      <c r="B235" s="52" t="s">
        <v>400</v>
      </c>
      <c r="C235" s="53">
        <v>332</v>
      </c>
      <c r="D235" s="54" t="s">
        <v>494</v>
      </c>
      <c r="E235" s="53">
        <v>332</v>
      </c>
      <c r="F235" s="54" t="s">
        <v>218</v>
      </c>
      <c r="G235" s="54" t="s">
        <v>3</v>
      </c>
      <c r="H235" s="53" t="s">
        <v>0</v>
      </c>
      <c r="I235" s="53" t="s">
        <v>15</v>
      </c>
      <c r="J235" s="55" t="s">
        <v>228</v>
      </c>
      <c r="K235" s="54" t="s">
        <v>9</v>
      </c>
      <c r="L235" s="56" t="s">
        <v>239</v>
      </c>
    </row>
    <row r="236" spans="1:12" ht="15.75" customHeight="1" x14ac:dyDescent="0.25">
      <c r="A236" s="51" t="s">
        <v>225</v>
      </c>
      <c r="B236" s="52" t="s">
        <v>402</v>
      </c>
      <c r="C236" s="53">
        <v>333</v>
      </c>
      <c r="D236" s="54" t="s">
        <v>495</v>
      </c>
      <c r="E236" s="53">
        <v>333</v>
      </c>
      <c r="F236" s="54" t="s">
        <v>218</v>
      </c>
      <c r="G236" s="54" t="s">
        <v>3</v>
      </c>
      <c r="H236" s="53" t="s">
        <v>0</v>
      </c>
      <c r="I236" s="53" t="s">
        <v>15</v>
      </c>
      <c r="J236" s="55" t="s">
        <v>228</v>
      </c>
      <c r="K236" s="54" t="s">
        <v>12</v>
      </c>
      <c r="L236" s="56" t="s">
        <v>239</v>
      </c>
    </row>
    <row r="237" spans="1:12" ht="15.75" customHeight="1" x14ac:dyDescent="0.25">
      <c r="A237" s="51" t="s">
        <v>225</v>
      </c>
      <c r="B237" s="52" t="s">
        <v>404</v>
      </c>
      <c r="C237" s="53">
        <v>334</v>
      </c>
      <c r="D237" s="54" t="s">
        <v>496</v>
      </c>
      <c r="E237" s="53">
        <v>334</v>
      </c>
      <c r="F237" s="54" t="s">
        <v>218</v>
      </c>
      <c r="G237" s="54" t="s">
        <v>3</v>
      </c>
      <c r="H237" s="53" t="s">
        <v>0</v>
      </c>
      <c r="I237" s="53" t="s">
        <v>15</v>
      </c>
      <c r="J237" s="55" t="s">
        <v>228</v>
      </c>
      <c r="K237" s="54" t="s">
        <v>11</v>
      </c>
      <c r="L237" s="56" t="s">
        <v>239</v>
      </c>
    </row>
    <row r="238" spans="1:12" ht="15.75" customHeight="1" x14ac:dyDescent="0.25">
      <c r="A238" s="51" t="s">
        <v>225</v>
      </c>
      <c r="B238" s="52" t="s">
        <v>406</v>
      </c>
      <c r="C238" s="53">
        <v>363</v>
      </c>
      <c r="D238" s="54" t="s">
        <v>497</v>
      </c>
      <c r="E238" s="53">
        <v>363</v>
      </c>
      <c r="F238" s="54" t="s">
        <v>218</v>
      </c>
      <c r="G238" s="54" t="s">
        <v>3</v>
      </c>
      <c r="H238" s="53" t="s">
        <v>0</v>
      </c>
      <c r="I238" s="53" t="s">
        <v>17</v>
      </c>
      <c r="J238" s="55" t="s">
        <v>228</v>
      </c>
      <c r="K238" s="54" t="s">
        <v>10</v>
      </c>
      <c r="L238" s="56" t="s">
        <v>239</v>
      </c>
    </row>
    <row r="239" spans="1:12" ht="15.75" customHeight="1" x14ac:dyDescent="0.25">
      <c r="A239" s="51" t="s">
        <v>225</v>
      </c>
      <c r="B239" s="52" t="s">
        <v>408</v>
      </c>
      <c r="C239" s="53">
        <v>364</v>
      </c>
      <c r="D239" s="54" t="s">
        <v>498</v>
      </c>
      <c r="E239" s="53">
        <v>364</v>
      </c>
      <c r="F239" s="54" t="s">
        <v>218</v>
      </c>
      <c r="G239" s="54" t="s">
        <v>3</v>
      </c>
      <c r="H239" s="53" t="s">
        <v>0</v>
      </c>
      <c r="I239" s="53" t="s">
        <v>17</v>
      </c>
      <c r="J239" s="55" t="s">
        <v>228</v>
      </c>
      <c r="K239" s="54" t="s">
        <v>7</v>
      </c>
      <c r="L239" s="56" t="s">
        <v>239</v>
      </c>
    </row>
    <row r="240" spans="1:12" ht="15.75" customHeight="1" x14ac:dyDescent="0.25">
      <c r="A240" s="51" t="s">
        <v>225</v>
      </c>
      <c r="B240" s="52" t="s">
        <v>410</v>
      </c>
      <c r="C240" s="53">
        <v>365</v>
      </c>
      <c r="D240" s="54" t="s">
        <v>499</v>
      </c>
      <c r="E240" s="53">
        <v>365</v>
      </c>
      <c r="F240" s="54" t="s">
        <v>218</v>
      </c>
      <c r="G240" s="54" t="s">
        <v>3</v>
      </c>
      <c r="H240" s="53" t="s">
        <v>0</v>
      </c>
      <c r="I240" s="53" t="s">
        <v>17</v>
      </c>
      <c r="J240" s="55" t="s">
        <v>228</v>
      </c>
      <c r="K240" s="54" t="s">
        <v>13</v>
      </c>
      <c r="L240" s="56" t="s">
        <v>239</v>
      </c>
    </row>
    <row r="241" spans="1:12" ht="15.75" customHeight="1" x14ac:dyDescent="0.25">
      <c r="A241" s="51" t="s">
        <v>225</v>
      </c>
      <c r="B241" s="52" t="s">
        <v>412</v>
      </c>
      <c r="C241" s="53">
        <v>366</v>
      </c>
      <c r="D241" s="54" t="s">
        <v>500</v>
      </c>
      <c r="E241" s="53">
        <v>366</v>
      </c>
      <c r="F241" s="54" t="s">
        <v>218</v>
      </c>
      <c r="G241" s="54" t="s">
        <v>3</v>
      </c>
      <c r="H241" s="53" t="s">
        <v>0</v>
      </c>
      <c r="I241" s="53" t="s">
        <v>17</v>
      </c>
      <c r="J241" s="55" t="s">
        <v>228</v>
      </c>
      <c r="K241" s="54" t="s">
        <v>8</v>
      </c>
      <c r="L241" s="56" t="s">
        <v>239</v>
      </c>
    </row>
    <row r="242" spans="1:12" ht="15.75" customHeight="1" x14ac:dyDescent="0.25">
      <c r="A242" s="51" t="s">
        <v>225</v>
      </c>
      <c r="B242" s="52" t="s">
        <v>414</v>
      </c>
      <c r="C242" s="53">
        <v>367</v>
      </c>
      <c r="D242" s="54" t="s">
        <v>501</v>
      </c>
      <c r="E242" s="53">
        <v>367</v>
      </c>
      <c r="F242" s="54" t="s">
        <v>218</v>
      </c>
      <c r="G242" s="54" t="s">
        <v>3</v>
      </c>
      <c r="H242" s="53" t="s">
        <v>0</v>
      </c>
      <c r="I242" s="53" t="s">
        <v>17</v>
      </c>
      <c r="J242" s="55" t="s">
        <v>228</v>
      </c>
      <c r="K242" s="54" t="s">
        <v>9</v>
      </c>
      <c r="L242" s="56" t="s">
        <v>239</v>
      </c>
    </row>
    <row r="243" spans="1:12" ht="15.75" customHeight="1" x14ac:dyDescent="0.25">
      <c r="A243" s="51" t="s">
        <v>225</v>
      </c>
      <c r="B243" s="52" t="s">
        <v>416</v>
      </c>
      <c r="C243" s="53">
        <v>368</v>
      </c>
      <c r="D243" s="54" t="s">
        <v>502</v>
      </c>
      <c r="E243" s="53">
        <v>368</v>
      </c>
      <c r="F243" s="54" t="s">
        <v>218</v>
      </c>
      <c r="G243" s="54" t="s">
        <v>3</v>
      </c>
      <c r="H243" s="53" t="s">
        <v>0</v>
      </c>
      <c r="I243" s="53" t="s">
        <v>17</v>
      </c>
      <c r="J243" s="55" t="s">
        <v>228</v>
      </c>
      <c r="K243" s="54" t="s">
        <v>12</v>
      </c>
      <c r="L243" s="56" t="s">
        <v>239</v>
      </c>
    </row>
    <row r="244" spans="1:12" ht="15.75" customHeight="1" x14ac:dyDescent="0.25">
      <c r="A244" s="51" t="s">
        <v>225</v>
      </c>
      <c r="B244" s="52" t="s">
        <v>418</v>
      </c>
      <c r="C244" s="53">
        <v>369</v>
      </c>
      <c r="D244" s="54" t="s">
        <v>503</v>
      </c>
      <c r="E244" s="53">
        <v>369</v>
      </c>
      <c r="F244" s="54" t="s">
        <v>218</v>
      </c>
      <c r="G244" s="54" t="s">
        <v>3</v>
      </c>
      <c r="H244" s="53" t="s">
        <v>0</v>
      </c>
      <c r="I244" s="53" t="s">
        <v>17</v>
      </c>
      <c r="J244" s="55" t="s">
        <v>228</v>
      </c>
      <c r="K244" s="54" t="s">
        <v>11</v>
      </c>
      <c r="L244" s="56" t="s">
        <v>239</v>
      </c>
    </row>
    <row r="245" spans="1:12" ht="15.75" customHeight="1" x14ac:dyDescent="0.25">
      <c r="A245" s="51" t="s">
        <v>225</v>
      </c>
      <c r="B245" s="52" t="s">
        <v>392</v>
      </c>
      <c r="C245" s="53">
        <v>398</v>
      </c>
      <c r="D245" s="54" t="s">
        <v>504</v>
      </c>
      <c r="E245" s="53">
        <v>398</v>
      </c>
      <c r="F245" s="54" t="s">
        <v>218</v>
      </c>
      <c r="G245" s="54" t="s">
        <v>3</v>
      </c>
      <c r="H245" s="53" t="s">
        <v>1</v>
      </c>
      <c r="I245" s="53" t="s">
        <v>15</v>
      </c>
      <c r="J245" s="55" t="s">
        <v>228</v>
      </c>
      <c r="K245" s="54" t="s">
        <v>10</v>
      </c>
      <c r="L245" s="56" t="s">
        <v>239</v>
      </c>
    </row>
    <row r="246" spans="1:12" ht="15.75" customHeight="1" x14ac:dyDescent="0.25">
      <c r="A246" s="51" t="s">
        <v>225</v>
      </c>
      <c r="B246" s="52" t="s">
        <v>394</v>
      </c>
      <c r="C246" s="53">
        <v>399</v>
      </c>
      <c r="D246" s="54" t="s">
        <v>505</v>
      </c>
      <c r="E246" s="53">
        <v>399</v>
      </c>
      <c r="F246" s="54" t="s">
        <v>218</v>
      </c>
      <c r="G246" s="54" t="s">
        <v>3</v>
      </c>
      <c r="H246" s="53" t="s">
        <v>1</v>
      </c>
      <c r="I246" s="53" t="s">
        <v>15</v>
      </c>
      <c r="J246" s="55" t="s">
        <v>228</v>
      </c>
      <c r="K246" s="54" t="s">
        <v>7</v>
      </c>
      <c r="L246" s="56" t="s">
        <v>239</v>
      </c>
    </row>
    <row r="247" spans="1:12" ht="15.75" customHeight="1" x14ac:dyDescent="0.25">
      <c r="A247" s="51" t="s">
        <v>225</v>
      </c>
      <c r="B247" s="52" t="s">
        <v>396</v>
      </c>
      <c r="C247" s="53">
        <v>400</v>
      </c>
      <c r="D247" s="54" t="s">
        <v>506</v>
      </c>
      <c r="E247" s="53">
        <v>400</v>
      </c>
      <c r="F247" s="54" t="s">
        <v>218</v>
      </c>
      <c r="G247" s="54" t="s">
        <v>3</v>
      </c>
      <c r="H247" s="53" t="s">
        <v>1</v>
      </c>
      <c r="I247" s="53" t="s">
        <v>15</v>
      </c>
      <c r="J247" s="55" t="s">
        <v>228</v>
      </c>
      <c r="K247" s="54" t="s">
        <v>13</v>
      </c>
      <c r="L247" s="56" t="s">
        <v>239</v>
      </c>
    </row>
    <row r="248" spans="1:12" ht="15.75" customHeight="1" x14ac:dyDescent="0.25">
      <c r="A248" s="51" t="s">
        <v>225</v>
      </c>
      <c r="B248" s="52" t="s">
        <v>398</v>
      </c>
      <c r="C248" s="53">
        <v>401</v>
      </c>
      <c r="D248" s="54" t="s">
        <v>507</v>
      </c>
      <c r="E248" s="53">
        <v>401</v>
      </c>
      <c r="F248" s="54" t="s">
        <v>218</v>
      </c>
      <c r="G248" s="54" t="s">
        <v>3</v>
      </c>
      <c r="H248" s="53" t="s">
        <v>1</v>
      </c>
      <c r="I248" s="53" t="s">
        <v>15</v>
      </c>
      <c r="J248" s="55" t="s">
        <v>228</v>
      </c>
      <c r="K248" s="54" t="s">
        <v>8</v>
      </c>
      <c r="L248" s="56" t="s">
        <v>239</v>
      </c>
    </row>
    <row r="249" spans="1:12" ht="15.75" customHeight="1" x14ac:dyDescent="0.25">
      <c r="A249" s="51" t="s">
        <v>225</v>
      </c>
      <c r="B249" s="52" t="s">
        <v>400</v>
      </c>
      <c r="C249" s="53">
        <v>402</v>
      </c>
      <c r="D249" s="54" t="s">
        <v>508</v>
      </c>
      <c r="E249" s="53">
        <v>402</v>
      </c>
      <c r="F249" s="54" t="s">
        <v>218</v>
      </c>
      <c r="G249" s="54" t="s">
        <v>3</v>
      </c>
      <c r="H249" s="53" t="s">
        <v>1</v>
      </c>
      <c r="I249" s="53" t="s">
        <v>15</v>
      </c>
      <c r="J249" s="55" t="s">
        <v>228</v>
      </c>
      <c r="K249" s="54" t="s">
        <v>9</v>
      </c>
      <c r="L249" s="56" t="s">
        <v>239</v>
      </c>
    </row>
    <row r="250" spans="1:12" ht="15.75" customHeight="1" x14ac:dyDescent="0.25">
      <c r="A250" s="51" t="s">
        <v>225</v>
      </c>
      <c r="B250" s="52" t="s">
        <v>402</v>
      </c>
      <c r="C250" s="53">
        <v>403</v>
      </c>
      <c r="D250" s="54" t="s">
        <v>509</v>
      </c>
      <c r="E250" s="53">
        <v>403</v>
      </c>
      <c r="F250" s="54" t="s">
        <v>218</v>
      </c>
      <c r="G250" s="54" t="s">
        <v>3</v>
      </c>
      <c r="H250" s="53" t="s">
        <v>1</v>
      </c>
      <c r="I250" s="53" t="s">
        <v>15</v>
      </c>
      <c r="J250" s="55" t="s">
        <v>228</v>
      </c>
      <c r="K250" s="54" t="s">
        <v>12</v>
      </c>
      <c r="L250" s="56" t="s">
        <v>239</v>
      </c>
    </row>
    <row r="251" spans="1:12" ht="15.75" customHeight="1" x14ac:dyDescent="0.25">
      <c r="A251" s="51" t="s">
        <v>225</v>
      </c>
      <c r="B251" s="52" t="s">
        <v>404</v>
      </c>
      <c r="C251" s="53">
        <v>404</v>
      </c>
      <c r="D251" s="54" t="s">
        <v>510</v>
      </c>
      <c r="E251" s="53">
        <v>404</v>
      </c>
      <c r="F251" s="54" t="s">
        <v>218</v>
      </c>
      <c r="G251" s="54" t="s">
        <v>3</v>
      </c>
      <c r="H251" s="53" t="s">
        <v>1</v>
      </c>
      <c r="I251" s="53" t="s">
        <v>15</v>
      </c>
      <c r="J251" s="55" t="s">
        <v>228</v>
      </c>
      <c r="K251" s="54" t="s">
        <v>11</v>
      </c>
      <c r="L251" s="56" t="s">
        <v>239</v>
      </c>
    </row>
    <row r="252" spans="1:12" ht="15.75" customHeight="1" x14ac:dyDescent="0.25">
      <c r="A252" s="51" t="s">
        <v>225</v>
      </c>
      <c r="B252" s="52" t="s">
        <v>406</v>
      </c>
      <c r="C252" s="53">
        <v>433</v>
      </c>
      <c r="D252" s="54" t="s">
        <v>511</v>
      </c>
      <c r="E252" s="53">
        <v>433</v>
      </c>
      <c r="F252" s="54" t="s">
        <v>218</v>
      </c>
      <c r="G252" s="54" t="s">
        <v>3</v>
      </c>
      <c r="H252" s="53" t="s">
        <v>1</v>
      </c>
      <c r="I252" s="53" t="s">
        <v>17</v>
      </c>
      <c r="J252" s="55" t="s">
        <v>228</v>
      </c>
      <c r="K252" s="54" t="s">
        <v>10</v>
      </c>
      <c r="L252" s="56" t="s">
        <v>239</v>
      </c>
    </row>
    <row r="253" spans="1:12" ht="15.75" customHeight="1" x14ac:dyDescent="0.25">
      <c r="A253" s="51" t="s">
        <v>225</v>
      </c>
      <c r="B253" s="52" t="s">
        <v>408</v>
      </c>
      <c r="C253" s="53">
        <v>434</v>
      </c>
      <c r="D253" s="54" t="s">
        <v>512</v>
      </c>
      <c r="E253" s="53">
        <v>434</v>
      </c>
      <c r="F253" s="54" t="s">
        <v>218</v>
      </c>
      <c r="G253" s="54" t="s">
        <v>3</v>
      </c>
      <c r="H253" s="53" t="s">
        <v>1</v>
      </c>
      <c r="I253" s="53" t="s">
        <v>17</v>
      </c>
      <c r="J253" s="55" t="s">
        <v>228</v>
      </c>
      <c r="K253" s="54" t="s">
        <v>7</v>
      </c>
      <c r="L253" s="56" t="s">
        <v>239</v>
      </c>
    </row>
    <row r="254" spans="1:12" ht="15.75" customHeight="1" x14ac:dyDescent="0.25">
      <c r="A254" s="51" t="s">
        <v>225</v>
      </c>
      <c r="B254" s="52" t="s">
        <v>410</v>
      </c>
      <c r="C254" s="53">
        <v>435</v>
      </c>
      <c r="D254" s="54" t="s">
        <v>513</v>
      </c>
      <c r="E254" s="53">
        <v>435</v>
      </c>
      <c r="F254" s="54" t="s">
        <v>218</v>
      </c>
      <c r="G254" s="54" t="s">
        <v>3</v>
      </c>
      <c r="H254" s="53" t="s">
        <v>1</v>
      </c>
      <c r="I254" s="53" t="s">
        <v>17</v>
      </c>
      <c r="J254" s="55" t="s">
        <v>228</v>
      </c>
      <c r="K254" s="54" t="s">
        <v>13</v>
      </c>
      <c r="L254" s="56" t="s">
        <v>239</v>
      </c>
    </row>
    <row r="255" spans="1:12" ht="15.75" customHeight="1" x14ac:dyDescent="0.25">
      <c r="A255" s="51" t="s">
        <v>225</v>
      </c>
      <c r="B255" s="52" t="s">
        <v>412</v>
      </c>
      <c r="C255" s="53">
        <v>436</v>
      </c>
      <c r="D255" s="54" t="s">
        <v>514</v>
      </c>
      <c r="E255" s="53">
        <v>436</v>
      </c>
      <c r="F255" s="54" t="s">
        <v>218</v>
      </c>
      <c r="G255" s="54" t="s">
        <v>3</v>
      </c>
      <c r="H255" s="53" t="s">
        <v>1</v>
      </c>
      <c r="I255" s="53" t="s">
        <v>17</v>
      </c>
      <c r="J255" s="55" t="s">
        <v>228</v>
      </c>
      <c r="K255" s="54" t="s">
        <v>8</v>
      </c>
      <c r="L255" s="56" t="s">
        <v>239</v>
      </c>
    </row>
    <row r="256" spans="1:12" ht="15.75" customHeight="1" x14ac:dyDescent="0.25">
      <c r="A256" s="51" t="s">
        <v>225</v>
      </c>
      <c r="B256" s="52" t="s">
        <v>414</v>
      </c>
      <c r="C256" s="53">
        <v>437</v>
      </c>
      <c r="D256" s="54" t="s">
        <v>515</v>
      </c>
      <c r="E256" s="53">
        <v>437</v>
      </c>
      <c r="F256" s="54" t="s">
        <v>218</v>
      </c>
      <c r="G256" s="54" t="s">
        <v>3</v>
      </c>
      <c r="H256" s="53" t="s">
        <v>1</v>
      </c>
      <c r="I256" s="53" t="s">
        <v>17</v>
      </c>
      <c r="J256" s="55" t="s">
        <v>228</v>
      </c>
      <c r="K256" s="54" t="s">
        <v>9</v>
      </c>
      <c r="L256" s="56" t="s">
        <v>239</v>
      </c>
    </row>
    <row r="257" spans="1:12" ht="15.75" customHeight="1" x14ac:dyDescent="0.25">
      <c r="A257" s="51" t="s">
        <v>225</v>
      </c>
      <c r="B257" s="52" t="s">
        <v>416</v>
      </c>
      <c r="C257" s="53">
        <v>438</v>
      </c>
      <c r="D257" s="54" t="s">
        <v>516</v>
      </c>
      <c r="E257" s="53">
        <v>438</v>
      </c>
      <c r="F257" s="54" t="s">
        <v>218</v>
      </c>
      <c r="G257" s="54" t="s">
        <v>3</v>
      </c>
      <c r="H257" s="53" t="s">
        <v>1</v>
      </c>
      <c r="I257" s="53" t="s">
        <v>17</v>
      </c>
      <c r="J257" s="55" t="s">
        <v>228</v>
      </c>
      <c r="K257" s="54" t="s">
        <v>12</v>
      </c>
      <c r="L257" s="56" t="s">
        <v>239</v>
      </c>
    </row>
    <row r="258" spans="1:12" ht="15.75" customHeight="1" x14ac:dyDescent="0.25">
      <c r="A258" s="51" t="s">
        <v>225</v>
      </c>
      <c r="B258" s="52" t="s">
        <v>418</v>
      </c>
      <c r="C258" s="53">
        <v>439</v>
      </c>
      <c r="D258" s="54" t="s">
        <v>517</v>
      </c>
      <c r="E258" s="53">
        <v>439</v>
      </c>
      <c r="F258" s="54" t="s">
        <v>218</v>
      </c>
      <c r="G258" s="54" t="s">
        <v>3</v>
      </c>
      <c r="H258" s="53" t="s">
        <v>1</v>
      </c>
      <c r="I258" s="53" t="s">
        <v>17</v>
      </c>
      <c r="J258" s="55" t="s">
        <v>228</v>
      </c>
      <c r="K258" s="54" t="s">
        <v>11</v>
      </c>
      <c r="L258" s="56" t="s">
        <v>239</v>
      </c>
    </row>
    <row r="259" spans="1:12" ht="15.75" customHeight="1" x14ac:dyDescent="0.25">
      <c r="A259" s="51" t="s">
        <v>225</v>
      </c>
      <c r="B259" s="52" t="s">
        <v>392</v>
      </c>
      <c r="C259" s="53">
        <v>321</v>
      </c>
      <c r="D259" s="54" t="s">
        <v>518</v>
      </c>
      <c r="E259" s="53">
        <v>321</v>
      </c>
      <c r="F259" s="54" t="s">
        <v>218</v>
      </c>
      <c r="G259" s="54" t="s">
        <v>3</v>
      </c>
      <c r="H259" s="53" t="s">
        <v>0</v>
      </c>
      <c r="I259" s="53" t="s">
        <v>15</v>
      </c>
      <c r="J259" s="55" t="s">
        <v>236</v>
      </c>
      <c r="K259" s="54" t="s">
        <v>10</v>
      </c>
      <c r="L259" s="56" t="s">
        <v>239</v>
      </c>
    </row>
    <row r="260" spans="1:12" ht="15.75" customHeight="1" x14ac:dyDescent="0.25">
      <c r="A260" s="51" t="s">
        <v>225</v>
      </c>
      <c r="B260" s="52" t="s">
        <v>394</v>
      </c>
      <c r="C260" s="53">
        <v>322</v>
      </c>
      <c r="D260" s="54" t="s">
        <v>519</v>
      </c>
      <c r="E260" s="53">
        <v>322</v>
      </c>
      <c r="F260" s="54" t="s">
        <v>218</v>
      </c>
      <c r="G260" s="54" t="s">
        <v>3</v>
      </c>
      <c r="H260" s="53" t="s">
        <v>0</v>
      </c>
      <c r="I260" s="53" t="s">
        <v>15</v>
      </c>
      <c r="J260" s="55" t="s">
        <v>236</v>
      </c>
      <c r="K260" s="54" t="s">
        <v>7</v>
      </c>
      <c r="L260" s="56" t="s">
        <v>239</v>
      </c>
    </row>
    <row r="261" spans="1:12" ht="15.75" customHeight="1" x14ac:dyDescent="0.25">
      <c r="A261" s="51" t="s">
        <v>225</v>
      </c>
      <c r="B261" s="52" t="s">
        <v>396</v>
      </c>
      <c r="C261" s="53">
        <v>323</v>
      </c>
      <c r="D261" s="54" t="s">
        <v>520</v>
      </c>
      <c r="E261" s="53">
        <v>323</v>
      </c>
      <c r="F261" s="54" t="s">
        <v>218</v>
      </c>
      <c r="G261" s="54" t="s">
        <v>3</v>
      </c>
      <c r="H261" s="53" t="s">
        <v>0</v>
      </c>
      <c r="I261" s="53" t="s">
        <v>15</v>
      </c>
      <c r="J261" s="55" t="s">
        <v>236</v>
      </c>
      <c r="K261" s="54" t="s">
        <v>13</v>
      </c>
      <c r="L261" s="56" t="s">
        <v>239</v>
      </c>
    </row>
    <row r="262" spans="1:12" ht="15.75" customHeight="1" x14ac:dyDescent="0.25">
      <c r="A262" s="51" t="s">
        <v>225</v>
      </c>
      <c r="B262" s="52" t="s">
        <v>398</v>
      </c>
      <c r="C262" s="53">
        <v>324</v>
      </c>
      <c r="D262" s="54" t="s">
        <v>521</v>
      </c>
      <c r="E262" s="53">
        <v>324</v>
      </c>
      <c r="F262" s="54" t="s">
        <v>218</v>
      </c>
      <c r="G262" s="54" t="s">
        <v>3</v>
      </c>
      <c r="H262" s="53" t="s">
        <v>0</v>
      </c>
      <c r="I262" s="53" t="s">
        <v>15</v>
      </c>
      <c r="J262" s="55" t="s">
        <v>236</v>
      </c>
      <c r="K262" s="54" t="s">
        <v>8</v>
      </c>
      <c r="L262" s="56" t="s">
        <v>239</v>
      </c>
    </row>
    <row r="263" spans="1:12" ht="15.75" customHeight="1" x14ac:dyDescent="0.25">
      <c r="A263" s="51" t="s">
        <v>225</v>
      </c>
      <c r="B263" s="52" t="s">
        <v>400</v>
      </c>
      <c r="C263" s="53">
        <v>325</v>
      </c>
      <c r="D263" s="54" t="s">
        <v>522</v>
      </c>
      <c r="E263" s="53">
        <v>325</v>
      </c>
      <c r="F263" s="54" t="s">
        <v>218</v>
      </c>
      <c r="G263" s="54" t="s">
        <v>3</v>
      </c>
      <c r="H263" s="53" t="s">
        <v>0</v>
      </c>
      <c r="I263" s="53" t="s">
        <v>15</v>
      </c>
      <c r="J263" s="55" t="s">
        <v>236</v>
      </c>
      <c r="K263" s="54" t="s">
        <v>9</v>
      </c>
      <c r="L263" s="56" t="s">
        <v>239</v>
      </c>
    </row>
    <row r="264" spans="1:12" ht="15.75" customHeight="1" x14ac:dyDescent="0.25">
      <c r="A264" s="51" t="s">
        <v>225</v>
      </c>
      <c r="B264" s="52" t="s">
        <v>402</v>
      </c>
      <c r="C264" s="53">
        <v>326</v>
      </c>
      <c r="D264" s="54" t="s">
        <v>523</v>
      </c>
      <c r="E264" s="53">
        <v>326</v>
      </c>
      <c r="F264" s="54" t="s">
        <v>218</v>
      </c>
      <c r="G264" s="54" t="s">
        <v>3</v>
      </c>
      <c r="H264" s="53" t="s">
        <v>0</v>
      </c>
      <c r="I264" s="53" t="s">
        <v>15</v>
      </c>
      <c r="J264" s="55" t="s">
        <v>236</v>
      </c>
      <c r="K264" s="54" t="s">
        <v>12</v>
      </c>
      <c r="L264" s="56" t="s">
        <v>239</v>
      </c>
    </row>
    <row r="265" spans="1:12" ht="15.75" customHeight="1" x14ac:dyDescent="0.25">
      <c r="A265" s="51" t="s">
        <v>225</v>
      </c>
      <c r="B265" s="52" t="s">
        <v>404</v>
      </c>
      <c r="C265" s="53">
        <v>327</v>
      </c>
      <c r="D265" s="54" t="s">
        <v>524</v>
      </c>
      <c r="E265" s="53">
        <v>327</v>
      </c>
      <c r="F265" s="54" t="s">
        <v>218</v>
      </c>
      <c r="G265" s="54" t="s">
        <v>3</v>
      </c>
      <c r="H265" s="53" t="s">
        <v>0</v>
      </c>
      <c r="I265" s="53" t="s">
        <v>15</v>
      </c>
      <c r="J265" s="55" t="s">
        <v>236</v>
      </c>
      <c r="K265" s="54" t="s">
        <v>11</v>
      </c>
      <c r="L265" s="56" t="s">
        <v>239</v>
      </c>
    </row>
    <row r="266" spans="1:12" ht="15.75" customHeight="1" x14ac:dyDescent="0.25">
      <c r="A266" s="51" t="s">
        <v>225</v>
      </c>
      <c r="B266" s="52" t="s">
        <v>406</v>
      </c>
      <c r="C266" s="53">
        <v>356</v>
      </c>
      <c r="D266" s="54" t="s">
        <v>525</v>
      </c>
      <c r="E266" s="53">
        <v>356</v>
      </c>
      <c r="F266" s="54" t="s">
        <v>218</v>
      </c>
      <c r="G266" s="54" t="s">
        <v>3</v>
      </c>
      <c r="H266" s="53" t="s">
        <v>0</v>
      </c>
      <c r="I266" s="53" t="s">
        <v>17</v>
      </c>
      <c r="J266" s="55" t="s">
        <v>236</v>
      </c>
      <c r="K266" s="54" t="s">
        <v>10</v>
      </c>
      <c r="L266" s="56" t="s">
        <v>239</v>
      </c>
    </row>
    <row r="267" spans="1:12" ht="15.75" customHeight="1" x14ac:dyDescent="0.25">
      <c r="A267" s="51" t="s">
        <v>225</v>
      </c>
      <c r="B267" s="52" t="s">
        <v>408</v>
      </c>
      <c r="C267" s="53">
        <v>357</v>
      </c>
      <c r="D267" s="54" t="s">
        <v>526</v>
      </c>
      <c r="E267" s="53">
        <v>357</v>
      </c>
      <c r="F267" s="54" t="s">
        <v>218</v>
      </c>
      <c r="G267" s="54" t="s">
        <v>3</v>
      </c>
      <c r="H267" s="53" t="s">
        <v>0</v>
      </c>
      <c r="I267" s="53" t="s">
        <v>17</v>
      </c>
      <c r="J267" s="55" t="s">
        <v>236</v>
      </c>
      <c r="K267" s="54" t="s">
        <v>7</v>
      </c>
      <c r="L267" s="56" t="s">
        <v>239</v>
      </c>
    </row>
    <row r="268" spans="1:12" ht="15.75" customHeight="1" x14ac:dyDescent="0.25">
      <c r="A268" s="51" t="s">
        <v>225</v>
      </c>
      <c r="B268" s="52" t="s">
        <v>410</v>
      </c>
      <c r="C268" s="53">
        <v>358</v>
      </c>
      <c r="D268" s="54" t="s">
        <v>527</v>
      </c>
      <c r="E268" s="53">
        <v>358</v>
      </c>
      <c r="F268" s="54" t="s">
        <v>218</v>
      </c>
      <c r="G268" s="54" t="s">
        <v>3</v>
      </c>
      <c r="H268" s="53" t="s">
        <v>0</v>
      </c>
      <c r="I268" s="53" t="s">
        <v>17</v>
      </c>
      <c r="J268" s="55" t="s">
        <v>236</v>
      </c>
      <c r="K268" s="54" t="s">
        <v>13</v>
      </c>
      <c r="L268" s="56" t="s">
        <v>239</v>
      </c>
    </row>
    <row r="269" spans="1:12" ht="15.75" customHeight="1" x14ac:dyDescent="0.25">
      <c r="A269" s="51" t="s">
        <v>225</v>
      </c>
      <c r="B269" s="52" t="s">
        <v>412</v>
      </c>
      <c r="C269" s="53">
        <v>359</v>
      </c>
      <c r="D269" s="54" t="s">
        <v>528</v>
      </c>
      <c r="E269" s="53">
        <v>359</v>
      </c>
      <c r="F269" s="54" t="s">
        <v>218</v>
      </c>
      <c r="G269" s="54" t="s">
        <v>3</v>
      </c>
      <c r="H269" s="53" t="s">
        <v>0</v>
      </c>
      <c r="I269" s="53" t="s">
        <v>17</v>
      </c>
      <c r="J269" s="55" t="s">
        <v>236</v>
      </c>
      <c r="K269" s="54" t="s">
        <v>8</v>
      </c>
      <c r="L269" s="56" t="s">
        <v>239</v>
      </c>
    </row>
    <row r="270" spans="1:12" ht="15.75" customHeight="1" x14ac:dyDescent="0.25">
      <c r="A270" s="51" t="s">
        <v>225</v>
      </c>
      <c r="B270" s="52" t="s">
        <v>414</v>
      </c>
      <c r="C270" s="53">
        <v>360</v>
      </c>
      <c r="D270" s="54" t="s">
        <v>529</v>
      </c>
      <c r="E270" s="53">
        <v>360</v>
      </c>
      <c r="F270" s="54" t="s">
        <v>218</v>
      </c>
      <c r="G270" s="54" t="s">
        <v>3</v>
      </c>
      <c r="H270" s="53" t="s">
        <v>0</v>
      </c>
      <c r="I270" s="53" t="s">
        <v>17</v>
      </c>
      <c r="J270" s="55" t="s">
        <v>236</v>
      </c>
      <c r="K270" s="54" t="s">
        <v>9</v>
      </c>
      <c r="L270" s="56" t="s">
        <v>239</v>
      </c>
    </row>
    <row r="271" spans="1:12" ht="15.75" customHeight="1" x14ac:dyDescent="0.25">
      <c r="A271" s="51" t="s">
        <v>225</v>
      </c>
      <c r="B271" s="52" t="s">
        <v>416</v>
      </c>
      <c r="C271" s="53">
        <v>361</v>
      </c>
      <c r="D271" s="54" t="s">
        <v>530</v>
      </c>
      <c r="E271" s="53">
        <v>361</v>
      </c>
      <c r="F271" s="54" t="s">
        <v>218</v>
      </c>
      <c r="G271" s="54" t="s">
        <v>3</v>
      </c>
      <c r="H271" s="53" t="s">
        <v>0</v>
      </c>
      <c r="I271" s="53" t="s">
        <v>17</v>
      </c>
      <c r="J271" s="55" t="s">
        <v>236</v>
      </c>
      <c r="K271" s="54" t="s">
        <v>12</v>
      </c>
      <c r="L271" s="56" t="s">
        <v>239</v>
      </c>
    </row>
    <row r="272" spans="1:12" ht="15.75" customHeight="1" x14ac:dyDescent="0.25">
      <c r="A272" s="51" t="s">
        <v>225</v>
      </c>
      <c r="B272" s="52" t="s">
        <v>418</v>
      </c>
      <c r="C272" s="53">
        <v>362</v>
      </c>
      <c r="D272" s="54" t="s">
        <v>531</v>
      </c>
      <c r="E272" s="53">
        <v>362</v>
      </c>
      <c r="F272" s="54" t="s">
        <v>218</v>
      </c>
      <c r="G272" s="54" t="s">
        <v>3</v>
      </c>
      <c r="H272" s="53" t="s">
        <v>0</v>
      </c>
      <c r="I272" s="53" t="s">
        <v>17</v>
      </c>
      <c r="J272" s="55" t="s">
        <v>236</v>
      </c>
      <c r="K272" s="54" t="s">
        <v>11</v>
      </c>
      <c r="L272" s="56" t="s">
        <v>239</v>
      </c>
    </row>
    <row r="273" spans="1:12" ht="15.75" customHeight="1" x14ac:dyDescent="0.25">
      <c r="A273" s="51" t="s">
        <v>225</v>
      </c>
      <c r="B273" s="52" t="s">
        <v>392</v>
      </c>
      <c r="C273" s="53">
        <v>391</v>
      </c>
      <c r="D273" s="54" t="s">
        <v>532</v>
      </c>
      <c r="E273" s="53">
        <v>391</v>
      </c>
      <c r="F273" s="54" t="s">
        <v>218</v>
      </c>
      <c r="G273" s="54" t="s">
        <v>3</v>
      </c>
      <c r="H273" s="53" t="s">
        <v>1</v>
      </c>
      <c r="I273" s="53" t="s">
        <v>15</v>
      </c>
      <c r="J273" s="55" t="s">
        <v>236</v>
      </c>
      <c r="K273" s="54" t="s">
        <v>10</v>
      </c>
      <c r="L273" s="56" t="s">
        <v>239</v>
      </c>
    </row>
    <row r="274" spans="1:12" ht="15.75" customHeight="1" x14ac:dyDescent="0.25">
      <c r="A274" s="51" t="s">
        <v>225</v>
      </c>
      <c r="B274" s="52" t="s">
        <v>394</v>
      </c>
      <c r="C274" s="53">
        <v>392</v>
      </c>
      <c r="D274" s="54" t="s">
        <v>533</v>
      </c>
      <c r="E274" s="53">
        <v>392</v>
      </c>
      <c r="F274" s="54" t="s">
        <v>218</v>
      </c>
      <c r="G274" s="54" t="s">
        <v>3</v>
      </c>
      <c r="H274" s="53" t="s">
        <v>1</v>
      </c>
      <c r="I274" s="53" t="s">
        <v>15</v>
      </c>
      <c r="J274" s="55" t="s">
        <v>236</v>
      </c>
      <c r="K274" s="54" t="s">
        <v>7</v>
      </c>
      <c r="L274" s="56" t="s">
        <v>239</v>
      </c>
    </row>
    <row r="275" spans="1:12" ht="15.75" customHeight="1" x14ac:dyDescent="0.25">
      <c r="A275" s="51" t="s">
        <v>225</v>
      </c>
      <c r="B275" s="52" t="s">
        <v>396</v>
      </c>
      <c r="C275" s="53">
        <v>393</v>
      </c>
      <c r="D275" s="54" t="s">
        <v>534</v>
      </c>
      <c r="E275" s="53">
        <v>393</v>
      </c>
      <c r="F275" s="54" t="s">
        <v>218</v>
      </c>
      <c r="G275" s="54" t="s">
        <v>3</v>
      </c>
      <c r="H275" s="53" t="s">
        <v>1</v>
      </c>
      <c r="I275" s="53" t="s">
        <v>15</v>
      </c>
      <c r="J275" s="55" t="s">
        <v>236</v>
      </c>
      <c r="K275" s="54" t="s">
        <v>13</v>
      </c>
      <c r="L275" s="56" t="s">
        <v>239</v>
      </c>
    </row>
    <row r="276" spans="1:12" ht="15.75" customHeight="1" x14ac:dyDescent="0.25">
      <c r="A276" s="51" t="s">
        <v>225</v>
      </c>
      <c r="B276" s="52" t="s">
        <v>398</v>
      </c>
      <c r="C276" s="53">
        <v>394</v>
      </c>
      <c r="D276" s="54" t="s">
        <v>535</v>
      </c>
      <c r="E276" s="53">
        <v>394</v>
      </c>
      <c r="F276" s="54" t="s">
        <v>218</v>
      </c>
      <c r="G276" s="54" t="s">
        <v>3</v>
      </c>
      <c r="H276" s="53" t="s">
        <v>1</v>
      </c>
      <c r="I276" s="53" t="s">
        <v>15</v>
      </c>
      <c r="J276" s="55" t="s">
        <v>236</v>
      </c>
      <c r="K276" s="54" t="s">
        <v>8</v>
      </c>
      <c r="L276" s="56" t="s">
        <v>239</v>
      </c>
    </row>
    <row r="277" spans="1:12" ht="15.75" customHeight="1" x14ac:dyDescent="0.25">
      <c r="A277" s="51" t="s">
        <v>225</v>
      </c>
      <c r="B277" s="52" t="s">
        <v>400</v>
      </c>
      <c r="C277" s="53">
        <v>395</v>
      </c>
      <c r="D277" s="54" t="s">
        <v>536</v>
      </c>
      <c r="E277" s="53">
        <v>395</v>
      </c>
      <c r="F277" s="54" t="s">
        <v>218</v>
      </c>
      <c r="G277" s="54" t="s">
        <v>3</v>
      </c>
      <c r="H277" s="53" t="s">
        <v>1</v>
      </c>
      <c r="I277" s="53" t="s">
        <v>15</v>
      </c>
      <c r="J277" s="55" t="s">
        <v>236</v>
      </c>
      <c r="K277" s="54" t="s">
        <v>9</v>
      </c>
      <c r="L277" s="56" t="s">
        <v>239</v>
      </c>
    </row>
    <row r="278" spans="1:12" ht="15.75" customHeight="1" x14ac:dyDescent="0.25">
      <c r="A278" s="51" t="s">
        <v>225</v>
      </c>
      <c r="B278" s="52" t="s">
        <v>402</v>
      </c>
      <c r="C278" s="53">
        <v>396</v>
      </c>
      <c r="D278" s="54" t="s">
        <v>537</v>
      </c>
      <c r="E278" s="53">
        <v>396</v>
      </c>
      <c r="F278" s="54" t="s">
        <v>218</v>
      </c>
      <c r="G278" s="54" t="s">
        <v>3</v>
      </c>
      <c r="H278" s="53" t="s">
        <v>1</v>
      </c>
      <c r="I278" s="53" t="s">
        <v>15</v>
      </c>
      <c r="J278" s="55" t="s">
        <v>236</v>
      </c>
      <c r="K278" s="54" t="s">
        <v>12</v>
      </c>
      <c r="L278" s="56" t="s">
        <v>239</v>
      </c>
    </row>
    <row r="279" spans="1:12" ht="15.75" customHeight="1" x14ac:dyDescent="0.25">
      <c r="A279" s="51" t="s">
        <v>225</v>
      </c>
      <c r="B279" s="52" t="s">
        <v>404</v>
      </c>
      <c r="C279" s="53">
        <v>397</v>
      </c>
      <c r="D279" s="54" t="s">
        <v>538</v>
      </c>
      <c r="E279" s="53">
        <v>397</v>
      </c>
      <c r="F279" s="54" t="s">
        <v>218</v>
      </c>
      <c r="G279" s="54" t="s">
        <v>3</v>
      </c>
      <c r="H279" s="53" t="s">
        <v>1</v>
      </c>
      <c r="I279" s="53" t="s">
        <v>15</v>
      </c>
      <c r="J279" s="55" t="s">
        <v>236</v>
      </c>
      <c r="K279" s="54" t="s">
        <v>11</v>
      </c>
      <c r="L279" s="56" t="s">
        <v>239</v>
      </c>
    </row>
    <row r="280" spans="1:12" ht="15.75" customHeight="1" x14ac:dyDescent="0.25">
      <c r="A280" s="51" t="s">
        <v>225</v>
      </c>
      <c r="B280" s="52" t="s">
        <v>406</v>
      </c>
      <c r="C280" s="53">
        <v>426</v>
      </c>
      <c r="D280" s="54" t="s">
        <v>539</v>
      </c>
      <c r="E280" s="53">
        <v>426</v>
      </c>
      <c r="F280" s="54" t="s">
        <v>218</v>
      </c>
      <c r="G280" s="54" t="s">
        <v>3</v>
      </c>
      <c r="H280" s="53" t="s">
        <v>1</v>
      </c>
      <c r="I280" s="53" t="s">
        <v>17</v>
      </c>
      <c r="J280" s="55" t="s">
        <v>236</v>
      </c>
      <c r="K280" s="54" t="s">
        <v>10</v>
      </c>
      <c r="L280" s="56" t="s">
        <v>239</v>
      </c>
    </row>
    <row r="281" spans="1:12" ht="15.75" customHeight="1" x14ac:dyDescent="0.25">
      <c r="A281" s="51" t="s">
        <v>225</v>
      </c>
      <c r="B281" s="52" t="s">
        <v>408</v>
      </c>
      <c r="C281" s="53">
        <v>427</v>
      </c>
      <c r="D281" s="54" t="s">
        <v>540</v>
      </c>
      <c r="E281" s="53">
        <v>427</v>
      </c>
      <c r="F281" s="54" t="s">
        <v>218</v>
      </c>
      <c r="G281" s="54" t="s">
        <v>3</v>
      </c>
      <c r="H281" s="53" t="s">
        <v>1</v>
      </c>
      <c r="I281" s="53" t="s">
        <v>17</v>
      </c>
      <c r="J281" s="55" t="s">
        <v>236</v>
      </c>
      <c r="K281" s="54" t="s">
        <v>7</v>
      </c>
      <c r="L281" s="56" t="s">
        <v>239</v>
      </c>
    </row>
    <row r="282" spans="1:12" ht="15.75" customHeight="1" x14ac:dyDescent="0.25">
      <c r="A282" s="51" t="s">
        <v>225</v>
      </c>
      <c r="B282" s="52" t="s">
        <v>410</v>
      </c>
      <c r="C282" s="53">
        <v>428</v>
      </c>
      <c r="D282" s="54" t="s">
        <v>541</v>
      </c>
      <c r="E282" s="53">
        <v>428</v>
      </c>
      <c r="F282" s="54" t="s">
        <v>218</v>
      </c>
      <c r="G282" s="54" t="s">
        <v>3</v>
      </c>
      <c r="H282" s="53" t="s">
        <v>1</v>
      </c>
      <c r="I282" s="53" t="s">
        <v>17</v>
      </c>
      <c r="J282" s="55" t="s">
        <v>236</v>
      </c>
      <c r="K282" s="54" t="s">
        <v>13</v>
      </c>
      <c r="L282" s="56" t="s">
        <v>239</v>
      </c>
    </row>
    <row r="283" spans="1:12" ht="15.75" customHeight="1" x14ac:dyDescent="0.25">
      <c r="A283" s="51" t="s">
        <v>225</v>
      </c>
      <c r="B283" s="52" t="s">
        <v>412</v>
      </c>
      <c r="C283" s="53">
        <v>429</v>
      </c>
      <c r="D283" s="54" t="s">
        <v>542</v>
      </c>
      <c r="E283" s="53">
        <v>429</v>
      </c>
      <c r="F283" s="54" t="s">
        <v>218</v>
      </c>
      <c r="G283" s="54" t="s">
        <v>3</v>
      </c>
      <c r="H283" s="53" t="s">
        <v>1</v>
      </c>
      <c r="I283" s="53" t="s">
        <v>17</v>
      </c>
      <c r="J283" s="55" t="s">
        <v>236</v>
      </c>
      <c r="K283" s="54" t="s">
        <v>8</v>
      </c>
      <c r="L283" s="56" t="s">
        <v>239</v>
      </c>
    </row>
    <row r="284" spans="1:12" ht="15.75" customHeight="1" x14ac:dyDescent="0.25">
      <c r="A284" s="51" t="s">
        <v>225</v>
      </c>
      <c r="B284" s="52" t="s">
        <v>414</v>
      </c>
      <c r="C284" s="53">
        <v>430</v>
      </c>
      <c r="D284" s="54" t="s">
        <v>543</v>
      </c>
      <c r="E284" s="53">
        <v>430</v>
      </c>
      <c r="F284" s="54" t="s">
        <v>218</v>
      </c>
      <c r="G284" s="54" t="s">
        <v>3</v>
      </c>
      <c r="H284" s="53" t="s">
        <v>1</v>
      </c>
      <c r="I284" s="53" t="s">
        <v>17</v>
      </c>
      <c r="J284" s="55" t="s">
        <v>236</v>
      </c>
      <c r="K284" s="54" t="s">
        <v>9</v>
      </c>
      <c r="L284" s="56" t="s">
        <v>239</v>
      </c>
    </row>
    <row r="285" spans="1:12" ht="15.75" customHeight="1" x14ac:dyDescent="0.25">
      <c r="A285" s="51" t="s">
        <v>225</v>
      </c>
      <c r="B285" s="52" t="s">
        <v>416</v>
      </c>
      <c r="C285" s="53">
        <v>431</v>
      </c>
      <c r="D285" s="54" t="s">
        <v>544</v>
      </c>
      <c r="E285" s="53">
        <v>431</v>
      </c>
      <c r="F285" s="54" t="s">
        <v>218</v>
      </c>
      <c r="G285" s="54" t="s">
        <v>3</v>
      </c>
      <c r="H285" s="53" t="s">
        <v>1</v>
      </c>
      <c r="I285" s="53" t="s">
        <v>17</v>
      </c>
      <c r="J285" s="55" t="s">
        <v>236</v>
      </c>
      <c r="K285" s="54" t="s">
        <v>12</v>
      </c>
      <c r="L285" s="56" t="s">
        <v>239</v>
      </c>
    </row>
    <row r="286" spans="1:12" ht="15.75" customHeight="1" x14ac:dyDescent="0.25">
      <c r="A286" s="51" t="s">
        <v>225</v>
      </c>
      <c r="B286" s="52" t="s">
        <v>418</v>
      </c>
      <c r="C286" s="53">
        <v>432</v>
      </c>
      <c r="D286" s="54" t="s">
        <v>545</v>
      </c>
      <c r="E286" s="53">
        <v>432</v>
      </c>
      <c r="F286" s="54" t="s">
        <v>218</v>
      </c>
      <c r="G286" s="54" t="s">
        <v>3</v>
      </c>
      <c r="H286" s="53" t="s">
        <v>1</v>
      </c>
      <c r="I286" s="53" t="s">
        <v>17</v>
      </c>
      <c r="J286" s="55" t="s">
        <v>236</v>
      </c>
      <c r="K286" s="54" t="s">
        <v>11</v>
      </c>
      <c r="L286" s="56" t="s">
        <v>239</v>
      </c>
    </row>
    <row r="287" spans="1:12" ht="15.75" customHeight="1" x14ac:dyDescent="0.25">
      <c r="A287" s="51" t="s">
        <v>225</v>
      </c>
      <c r="B287" s="52" t="s">
        <v>546</v>
      </c>
      <c r="C287" s="53">
        <v>482</v>
      </c>
      <c r="D287" s="54" t="s">
        <v>547</v>
      </c>
      <c r="E287" s="53">
        <v>482</v>
      </c>
      <c r="F287" s="54" t="s">
        <v>218</v>
      </c>
      <c r="G287" s="54" t="s">
        <v>4</v>
      </c>
      <c r="H287" s="53" t="s">
        <v>0</v>
      </c>
      <c r="I287" s="53" t="s">
        <v>15</v>
      </c>
      <c r="J287" s="55" t="s">
        <v>230</v>
      </c>
      <c r="K287" s="54" t="s">
        <v>10</v>
      </c>
      <c r="L287" s="56" t="s">
        <v>239</v>
      </c>
    </row>
    <row r="288" spans="1:12" ht="15.75" customHeight="1" x14ac:dyDescent="0.25">
      <c r="A288" s="51" t="s">
        <v>225</v>
      </c>
      <c r="B288" s="52" t="s">
        <v>548</v>
      </c>
      <c r="C288" s="53">
        <v>483</v>
      </c>
      <c r="D288" s="54" t="s">
        <v>549</v>
      </c>
      <c r="E288" s="53">
        <v>483</v>
      </c>
      <c r="F288" s="54" t="s">
        <v>218</v>
      </c>
      <c r="G288" s="54" t="s">
        <v>4</v>
      </c>
      <c r="H288" s="53" t="s">
        <v>0</v>
      </c>
      <c r="I288" s="53" t="s">
        <v>15</v>
      </c>
      <c r="J288" s="55" t="s">
        <v>230</v>
      </c>
      <c r="K288" s="54" t="s">
        <v>7</v>
      </c>
      <c r="L288" s="56" t="s">
        <v>239</v>
      </c>
    </row>
    <row r="289" spans="1:12" ht="15.75" customHeight="1" x14ac:dyDescent="0.25">
      <c r="A289" s="51" t="s">
        <v>225</v>
      </c>
      <c r="B289" s="52" t="s">
        <v>550</v>
      </c>
      <c r="C289" s="53">
        <v>484</v>
      </c>
      <c r="D289" s="54" t="s">
        <v>551</v>
      </c>
      <c r="E289" s="53">
        <v>484</v>
      </c>
      <c r="F289" s="54" t="s">
        <v>218</v>
      </c>
      <c r="G289" s="54" t="s">
        <v>4</v>
      </c>
      <c r="H289" s="53" t="s">
        <v>0</v>
      </c>
      <c r="I289" s="53" t="s">
        <v>15</v>
      </c>
      <c r="J289" s="55" t="s">
        <v>230</v>
      </c>
      <c r="K289" s="54" t="s">
        <v>13</v>
      </c>
      <c r="L289" s="56" t="s">
        <v>239</v>
      </c>
    </row>
    <row r="290" spans="1:12" ht="15.75" customHeight="1" x14ac:dyDescent="0.25">
      <c r="A290" s="51" t="s">
        <v>225</v>
      </c>
      <c r="B290" s="52" t="s">
        <v>552</v>
      </c>
      <c r="C290" s="53">
        <v>485</v>
      </c>
      <c r="D290" s="54" t="s">
        <v>553</v>
      </c>
      <c r="E290" s="53">
        <v>485</v>
      </c>
      <c r="F290" s="54" t="s">
        <v>218</v>
      </c>
      <c r="G290" s="54" t="s">
        <v>4</v>
      </c>
      <c r="H290" s="53" t="s">
        <v>0</v>
      </c>
      <c r="I290" s="53" t="s">
        <v>15</v>
      </c>
      <c r="J290" s="55" t="s">
        <v>230</v>
      </c>
      <c r="K290" s="54" t="s">
        <v>8</v>
      </c>
      <c r="L290" s="56" t="s">
        <v>239</v>
      </c>
    </row>
    <row r="291" spans="1:12" ht="15.75" customHeight="1" x14ac:dyDescent="0.25">
      <c r="A291" s="51" t="s">
        <v>225</v>
      </c>
      <c r="B291" s="52" t="s">
        <v>554</v>
      </c>
      <c r="C291" s="53">
        <v>486</v>
      </c>
      <c r="D291" s="54" t="s">
        <v>555</v>
      </c>
      <c r="E291" s="53">
        <v>486</v>
      </c>
      <c r="F291" s="54" t="s">
        <v>218</v>
      </c>
      <c r="G291" s="54" t="s">
        <v>4</v>
      </c>
      <c r="H291" s="53" t="s">
        <v>0</v>
      </c>
      <c r="I291" s="53" t="s">
        <v>15</v>
      </c>
      <c r="J291" s="55" t="s">
        <v>230</v>
      </c>
      <c r="K291" s="54" t="s">
        <v>9</v>
      </c>
      <c r="L291" s="56" t="s">
        <v>239</v>
      </c>
    </row>
    <row r="292" spans="1:12" ht="15.75" customHeight="1" x14ac:dyDescent="0.25">
      <c r="A292" s="51" t="s">
        <v>225</v>
      </c>
      <c r="B292" s="52" t="s">
        <v>556</v>
      </c>
      <c r="C292" s="53">
        <v>487</v>
      </c>
      <c r="D292" s="54" t="s">
        <v>557</v>
      </c>
      <c r="E292" s="53">
        <v>487</v>
      </c>
      <c r="F292" s="54" t="s">
        <v>218</v>
      </c>
      <c r="G292" s="54" t="s">
        <v>4</v>
      </c>
      <c r="H292" s="53" t="s">
        <v>0</v>
      </c>
      <c r="I292" s="53" t="s">
        <v>15</v>
      </c>
      <c r="J292" s="55" t="s">
        <v>230</v>
      </c>
      <c r="K292" s="54" t="s">
        <v>12</v>
      </c>
      <c r="L292" s="56" t="s">
        <v>239</v>
      </c>
    </row>
    <row r="293" spans="1:12" ht="15.75" customHeight="1" x14ac:dyDescent="0.25">
      <c r="A293" s="51" t="s">
        <v>225</v>
      </c>
      <c r="B293" s="52" t="s">
        <v>558</v>
      </c>
      <c r="C293" s="53">
        <v>488</v>
      </c>
      <c r="D293" s="54" t="s">
        <v>559</v>
      </c>
      <c r="E293" s="53">
        <v>488</v>
      </c>
      <c r="F293" s="54" t="s">
        <v>218</v>
      </c>
      <c r="G293" s="54" t="s">
        <v>4</v>
      </c>
      <c r="H293" s="53" t="s">
        <v>0</v>
      </c>
      <c r="I293" s="53" t="s">
        <v>15</v>
      </c>
      <c r="J293" s="55" t="s">
        <v>230</v>
      </c>
      <c r="K293" s="54" t="s">
        <v>11</v>
      </c>
      <c r="L293" s="56" t="s">
        <v>239</v>
      </c>
    </row>
    <row r="294" spans="1:12" ht="15.75" customHeight="1" x14ac:dyDescent="0.25">
      <c r="A294" s="51" t="s">
        <v>225</v>
      </c>
      <c r="B294" s="52" t="s">
        <v>560</v>
      </c>
      <c r="C294" s="53">
        <v>517</v>
      </c>
      <c r="D294" s="54" t="s">
        <v>561</v>
      </c>
      <c r="E294" s="53">
        <v>517</v>
      </c>
      <c r="F294" s="54" t="s">
        <v>218</v>
      </c>
      <c r="G294" s="54" t="s">
        <v>4</v>
      </c>
      <c r="H294" s="53" t="s">
        <v>0</v>
      </c>
      <c r="I294" s="53" t="s">
        <v>17</v>
      </c>
      <c r="J294" s="55" t="s">
        <v>230</v>
      </c>
      <c r="K294" s="54" t="s">
        <v>10</v>
      </c>
      <c r="L294" s="56" t="s">
        <v>239</v>
      </c>
    </row>
    <row r="295" spans="1:12" ht="15.75" customHeight="1" x14ac:dyDescent="0.25">
      <c r="A295" s="51" t="s">
        <v>225</v>
      </c>
      <c r="B295" s="52" t="s">
        <v>562</v>
      </c>
      <c r="C295" s="53">
        <v>518</v>
      </c>
      <c r="D295" s="54" t="s">
        <v>563</v>
      </c>
      <c r="E295" s="53">
        <v>518</v>
      </c>
      <c r="F295" s="54" t="s">
        <v>218</v>
      </c>
      <c r="G295" s="54" t="s">
        <v>4</v>
      </c>
      <c r="H295" s="53" t="s">
        <v>0</v>
      </c>
      <c r="I295" s="53" t="s">
        <v>17</v>
      </c>
      <c r="J295" s="55" t="s">
        <v>230</v>
      </c>
      <c r="K295" s="54" t="s">
        <v>7</v>
      </c>
      <c r="L295" s="56" t="s">
        <v>239</v>
      </c>
    </row>
    <row r="296" spans="1:12" ht="15.75" customHeight="1" x14ac:dyDescent="0.25">
      <c r="A296" s="51" t="s">
        <v>225</v>
      </c>
      <c r="B296" s="52" t="s">
        <v>564</v>
      </c>
      <c r="C296" s="53">
        <v>519</v>
      </c>
      <c r="D296" s="54" t="s">
        <v>565</v>
      </c>
      <c r="E296" s="53">
        <v>519</v>
      </c>
      <c r="F296" s="54" t="s">
        <v>218</v>
      </c>
      <c r="G296" s="54" t="s">
        <v>4</v>
      </c>
      <c r="H296" s="53" t="s">
        <v>0</v>
      </c>
      <c r="I296" s="53" t="s">
        <v>17</v>
      </c>
      <c r="J296" s="55" t="s">
        <v>230</v>
      </c>
      <c r="K296" s="54" t="s">
        <v>13</v>
      </c>
      <c r="L296" s="56" t="s">
        <v>239</v>
      </c>
    </row>
    <row r="297" spans="1:12" ht="15.75" customHeight="1" x14ac:dyDescent="0.25">
      <c r="A297" s="51" t="s">
        <v>225</v>
      </c>
      <c r="B297" s="52" t="s">
        <v>566</v>
      </c>
      <c r="C297" s="53">
        <v>520</v>
      </c>
      <c r="D297" s="54" t="s">
        <v>567</v>
      </c>
      <c r="E297" s="53">
        <v>520</v>
      </c>
      <c r="F297" s="54" t="s">
        <v>218</v>
      </c>
      <c r="G297" s="54" t="s">
        <v>4</v>
      </c>
      <c r="H297" s="53" t="s">
        <v>0</v>
      </c>
      <c r="I297" s="53" t="s">
        <v>17</v>
      </c>
      <c r="J297" s="55" t="s">
        <v>230</v>
      </c>
      <c r="K297" s="54" t="s">
        <v>8</v>
      </c>
      <c r="L297" s="56" t="s">
        <v>239</v>
      </c>
    </row>
    <row r="298" spans="1:12" ht="15.75" customHeight="1" x14ac:dyDescent="0.25">
      <c r="A298" s="51" t="s">
        <v>225</v>
      </c>
      <c r="B298" s="52" t="s">
        <v>568</v>
      </c>
      <c r="C298" s="53">
        <v>521</v>
      </c>
      <c r="D298" s="54" t="s">
        <v>569</v>
      </c>
      <c r="E298" s="53">
        <v>521</v>
      </c>
      <c r="F298" s="54" t="s">
        <v>218</v>
      </c>
      <c r="G298" s="54" t="s">
        <v>4</v>
      </c>
      <c r="H298" s="53" t="s">
        <v>0</v>
      </c>
      <c r="I298" s="53" t="s">
        <v>17</v>
      </c>
      <c r="J298" s="55" t="s">
        <v>230</v>
      </c>
      <c r="K298" s="54" t="s">
        <v>9</v>
      </c>
      <c r="L298" s="56" t="s">
        <v>239</v>
      </c>
    </row>
    <row r="299" spans="1:12" ht="15.75" customHeight="1" x14ac:dyDescent="0.25">
      <c r="A299" s="51" t="s">
        <v>225</v>
      </c>
      <c r="B299" s="52" t="s">
        <v>570</v>
      </c>
      <c r="C299" s="53">
        <v>522</v>
      </c>
      <c r="D299" s="54" t="s">
        <v>571</v>
      </c>
      <c r="E299" s="53">
        <v>522</v>
      </c>
      <c r="F299" s="54" t="s">
        <v>218</v>
      </c>
      <c r="G299" s="54" t="s">
        <v>4</v>
      </c>
      <c r="H299" s="53" t="s">
        <v>0</v>
      </c>
      <c r="I299" s="53" t="s">
        <v>17</v>
      </c>
      <c r="J299" s="55" t="s">
        <v>230</v>
      </c>
      <c r="K299" s="54" t="s">
        <v>12</v>
      </c>
      <c r="L299" s="56" t="s">
        <v>239</v>
      </c>
    </row>
    <row r="300" spans="1:12" ht="15.75" customHeight="1" x14ac:dyDescent="0.25">
      <c r="A300" s="51" t="s">
        <v>225</v>
      </c>
      <c r="B300" s="52" t="s">
        <v>572</v>
      </c>
      <c r="C300" s="53">
        <v>523</v>
      </c>
      <c r="D300" s="54" t="s">
        <v>573</v>
      </c>
      <c r="E300" s="53">
        <v>523</v>
      </c>
      <c r="F300" s="54" t="s">
        <v>218</v>
      </c>
      <c r="G300" s="54" t="s">
        <v>4</v>
      </c>
      <c r="H300" s="53" t="s">
        <v>0</v>
      </c>
      <c r="I300" s="53" t="s">
        <v>17</v>
      </c>
      <c r="J300" s="55" t="s">
        <v>230</v>
      </c>
      <c r="K300" s="54" t="s">
        <v>11</v>
      </c>
      <c r="L300" s="56" t="s">
        <v>239</v>
      </c>
    </row>
    <row r="301" spans="1:12" ht="15.75" customHeight="1" x14ac:dyDescent="0.25">
      <c r="A301" s="51" t="s">
        <v>225</v>
      </c>
      <c r="B301" s="52" t="s">
        <v>546</v>
      </c>
      <c r="C301" s="53">
        <v>552</v>
      </c>
      <c r="D301" s="54" t="s">
        <v>574</v>
      </c>
      <c r="E301" s="53">
        <v>552</v>
      </c>
      <c r="F301" s="54" t="s">
        <v>218</v>
      </c>
      <c r="G301" s="54" t="s">
        <v>4</v>
      </c>
      <c r="H301" s="53" t="s">
        <v>1</v>
      </c>
      <c r="I301" s="53" t="s">
        <v>15</v>
      </c>
      <c r="J301" s="55" t="s">
        <v>230</v>
      </c>
      <c r="K301" s="54" t="s">
        <v>10</v>
      </c>
      <c r="L301" s="56" t="s">
        <v>239</v>
      </c>
    </row>
    <row r="302" spans="1:12" ht="15.75" customHeight="1" x14ac:dyDescent="0.25">
      <c r="A302" s="51" t="s">
        <v>225</v>
      </c>
      <c r="B302" s="52" t="s">
        <v>548</v>
      </c>
      <c r="C302" s="53">
        <v>553</v>
      </c>
      <c r="D302" s="54" t="s">
        <v>575</v>
      </c>
      <c r="E302" s="53">
        <v>553</v>
      </c>
      <c r="F302" s="54" t="s">
        <v>218</v>
      </c>
      <c r="G302" s="54" t="s">
        <v>4</v>
      </c>
      <c r="H302" s="53" t="s">
        <v>1</v>
      </c>
      <c r="I302" s="53" t="s">
        <v>15</v>
      </c>
      <c r="J302" s="55" t="s">
        <v>230</v>
      </c>
      <c r="K302" s="54" t="s">
        <v>7</v>
      </c>
      <c r="L302" s="56" t="s">
        <v>239</v>
      </c>
    </row>
    <row r="303" spans="1:12" ht="15.75" customHeight="1" x14ac:dyDescent="0.25">
      <c r="A303" s="51" t="s">
        <v>225</v>
      </c>
      <c r="B303" s="52" t="s">
        <v>550</v>
      </c>
      <c r="C303" s="53">
        <v>554</v>
      </c>
      <c r="D303" s="54" t="s">
        <v>576</v>
      </c>
      <c r="E303" s="53">
        <v>554</v>
      </c>
      <c r="F303" s="54" t="s">
        <v>218</v>
      </c>
      <c r="G303" s="54" t="s">
        <v>4</v>
      </c>
      <c r="H303" s="53" t="s">
        <v>1</v>
      </c>
      <c r="I303" s="53" t="s">
        <v>15</v>
      </c>
      <c r="J303" s="55" t="s">
        <v>230</v>
      </c>
      <c r="K303" s="54" t="s">
        <v>13</v>
      </c>
      <c r="L303" s="56" t="s">
        <v>239</v>
      </c>
    </row>
    <row r="304" spans="1:12" ht="15.75" customHeight="1" x14ac:dyDescent="0.25">
      <c r="A304" s="51" t="s">
        <v>225</v>
      </c>
      <c r="B304" s="52" t="s">
        <v>552</v>
      </c>
      <c r="C304" s="53">
        <v>555</v>
      </c>
      <c r="D304" s="54" t="s">
        <v>577</v>
      </c>
      <c r="E304" s="53">
        <v>555</v>
      </c>
      <c r="F304" s="54" t="s">
        <v>218</v>
      </c>
      <c r="G304" s="54" t="s">
        <v>4</v>
      </c>
      <c r="H304" s="53" t="s">
        <v>1</v>
      </c>
      <c r="I304" s="53" t="s">
        <v>15</v>
      </c>
      <c r="J304" s="55" t="s">
        <v>230</v>
      </c>
      <c r="K304" s="54" t="s">
        <v>8</v>
      </c>
      <c r="L304" s="56" t="s">
        <v>239</v>
      </c>
    </row>
    <row r="305" spans="1:12" ht="15.75" customHeight="1" x14ac:dyDescent="0.25">
      <c r="A305" s="51" t="s">
        <v>225</v>
      </c>
      <c r="B305" s="52" t="s">
        <v>554</v>
      </c>
      <c r="C305" s="53">
        <v>556</v>
      </c>
      <c r="D305" s="54" t="s">
        <v>578</v>
      </c>
      <c r="E305" s="53">
        <v>556</v>
      </c>
      <c r="F305" s="54" t="s">
        <v>218</v>
      </c>
      <c r="G305" s="54" t="s">
        <v>4</v>
      </c>
      <c r="H305" s="53" t="s">
        <v>1</v>
      </c>
      <c r="I305" s="53" t="s">
        <v>15</v>
      </c>
      <c r="J305" s="55" t="s">
        <v>230</v>
      </c>
      <c r="K305" s="54" t="s">
        <v>9</v>
      </c>
      <c r="L305" s="56" t="s">
        <v>239</v>
      </c>
    </row>
    <row r="306" spans="1:12" ht="15.75" customHeight="1" x14ac:dyDescent="0.25">
      <c r="A306" s="51" t="s">
        <v>225</v>
      </c>
      <c r="B306" s="52" t="s">
        <v>556</v>
      </c>
      <c r="C306" s="53">
        <v>557</v>
      </c>
      <c r="D306" s="54" t="s">
        <v>579</v>
      </c>
      <c r="E306" s="53">
        <v>557</v>
      </c>
      <c r="F306" s="54" t="s">
        <v>218</v>
      </c>
      <c r="G306" s="54" t="s">
        <v>4</v>
      </c>
      <c r="H306" s="53" t="s">
        <v>1</v>
      </c>
      <c r="I306" s="53" t="s">
        <v>15</v>
      </c>
      <c r="J306" s="55" t="s">
        <v>230</v>
      </c>
      <c r="K306" s="54" t="s">
        <v>12</v>
      </c>
      <c r="L306" s="56" t="s">
        <v>239</v>
      </c>
    </row>
    <row r="307" spans="1:12" ht="15.75" customHeight="1" x14ac:dyDescent="0.25">
      <c r="A307" s="51" t="s">
        <v>225</v>
      </c>
      <c r="B307" s="52" t="s">
        <v>558</v>
      </c>
      <c r="C307" s="53">
        <v>558</v>
      </c>
      <c r="D307" s="54" t="s">
        <v>580</v>
      </c>
      <c r="E307" s="53">
        <v>558</v>
      </c>
      <c r="F307" s="54" t="s">
        <v>218</v>
      </c>
      <c r="G307" s="54" t="s">
        <v>4</v>
      </c>
      <c r="H307" s="53" t="s">
        <v>1</v>
      </c>
      <c r="I307" s="53" t="s">
        <v>15</v>
      </c>
      <c r="J307" s="55" t="s">
        <v>230</v>
      </c>
      <c r="K307" s="54" t="s">
        <v>11</v>
      </c>
      <c r="L307" s="56" t="s">
        <v>239</v>
      </c>
    </row>
    <row r="308" spans="1:12" ht="15.75" customHeight="1" x14ac:dyDescent="0.25">
      <c r="A308" s="51" t="s">
        <v>225</v>
      </c>
      <c r="B308" s="52" t="s">
        <v>560</v>
      </c>
      <c r="C308" s="53">
        <v>587</v>
      </c>
      <c r="D308" s="54" t="s">
        <v>581</v>
      </c>
      <c r="E308" s="53">
        <v>587</v>
      </c>
      <c r="F308" s="54" t="s">
        <v>218</v>
      </c>
      <c r="G308" s="54" t="s">
        <v>4</v>
      </c>
      <c r="H308" s="53" t="s">
        <v>1</v>
      </c>
      <c r="I308" s="53" t="s">
        <v>17</v>
      </c>
      <c r="J308" s="55" t="s">
        <v>230</v>
      </c>
      <c r="K308" s="54" t="s">
        <v>10</v>
      </c>
      <c r="L308" s="56" t="s">
        <v>239</v>
      </c>
    </row>
    <row r="309" spans="1:12" ht="15.75" customHeight="1" x14ac:dyDescent="0.25">
      <c r="A309" s="51" t="s">
        <v>225</v>
      </c>
      <c r="B309" s="52" t="s">
        <v>562</v>
      </c>
      <c r="C309" s="53">
        <v>588</v>
      </c>
      <c r="D309" s="54" t="s">
        <v>582</v>
      </c>
      <c r="E309" s="53">
        <v>588</v>
      </c>
      <c r="F309" s="54" t="s">
        <v>218</v>
      </c>
      <c r="G309" s="54" t="s">
        <v>4</v>
      </c>
      <c r="H309" s="53" t="s">
        <v>1</v>
      </c>
      <c r="I309" s="53" t="s">
        <v>17</v>
      </c>
      <c r="J309" s="55" t="s">
        <v>230</v>
      </c>
      <c r="K309" s="54" t="s">
        <v>7</v>
      </c>
      <c r="L309" s="56" t="s">
        <v>239</v>
      </c>
    </row>
    <row r="310" spans="1:12" ht="15.75" customHeight="1" x14ac:dyDescent="0.25">
      <c r="A310" s="51" t="s">
        <v>225</v>
      </c>
      <c r="B310" s="52" t="s">
        <v>564</v>
      </c>
      <c r="C310" s="53">
        <v>589</v>
      </c>
      <c r="D310" s="54" t="s">
        <v>583</v>
      </c>
      <c r="E310" s="53">
        <v>589</v>
      </c>
      <c r="F310" s="54" t="s">
        <v>218</v>
      </c>
      <c r="G310" s="54" t="s">
        <v>4</v>
      </c>
      <c r="H310" s="53" t="s">
        <v>1</v>
      </c>
      <c r="I310" s="53" t="s">
        <v>17</v>
      </c>
      <c r="J310" s="55" t="s">
        <v>230</v>
      </c>
      <c r="K310" s="54" t="s">
        <v>13</v>
      </c>
      <c r="L310" s="56" t="s">
        <v>239</v>
      </c>
    </row>
    <row r="311" spans="1:12" ht="15.75" customHeight="1" x14ac:dyDescent="0.25">
      <c r="A311" s="51" t="s">
        <v>225</v>
      </c>
      <c r="B311" s="52" t="s">
        <v>566</v>
      </c>
      <c r="C311" s="53">
        <v>590</v>
      </c>
      <c r="D311" s="54" t="s">
        <v>584</v>
      </c>
      <c r="E311" s="53">
        <v>590</v>
      </c>
      <c r="F311" s="54" t="s">
        <v>218</v>
      </c>
      <c r="G311" s="54" t="s">
        <v>4</v>
      </c>
      <c r="H311" s="53" t="s">
        <v>1</v>
      </c>
      <c r="I311" s="53" t="s">
        <v>17</v>
      </c>
      <c r="J311" s="55" t="s">
        <v>230</v>
      </c>
      <c r="K311" s="54" t="s">
        <v>8</v>
      </c>
      <c r="L311" s="56" t="s">
        <v>239</v>
      </c>
    </row>
    <row r="312" spans="1:12" ht="15.75" customHeight="1" x14ac:dyDescent="0.25">
      <c r="A312" s="51" t="s">
        <v>225</v>
      </c>
      <c r="B312" s="52" t="s">
        <v>568</v>
      </c>
      <c r="C312" s="53">
        <v>591</v>
      </c>
      <c r="D312" s="54" t="s">
        <v>585</v>
      </c>
      <c r="E312" s="53">
        <v>591</v>
      </c>
      <c r="F312" s="54" t="s">
        <v>218</v>
      </c>
      <c r="G312" s="54" t="s">
        <v>4</v>
      </c>
      <c r="H312" s="53" t="s">
        <v>1</v>
      </c>
      <c r="I312" s="53" t="s">
        <v>17</v>
      </c>
      <c r="J312" s="55" t="s">
        <v>230</v>
      </c>
      <c r="K312" s="54" t="s">
        <v>9</v>
      </c>
      <c r="L312" s="56" t="s">
        <v>239</v>
      </c>
    </row>
    <row r="313" spans="1:12" ht="15.75" customHeight="1" x14ac:dyDescent="0.25">
      <c r="A313" s="51" t="s">
        <v>225</v>
      </c>
      <c r="B313" s="52" t="s">
        <v>570</v>
      </c>
      <c r="C313" s="53">
        <v>592</v>
      </c>
      <c r="D313" s="54" t="s">
        <v>586</v>
      </c>
      <c r="E313" s="53">
        <v>592</v>
      </c>
      <c r="F313" s="54" t="s">
        <v>218</v>
      </c>
      <c r="G313" s="54" t="s">
        <v>4</v>
      </c>
      <c r="H313" s="53" t="s">
        <v>1</v>
      </c>
      <c r="I313" s="53" t="s">
        <v>17</v>
      </c>
      <c r="J313" s="55" t="s">
        <v>230</v>
      </c>
      <c r="K313" s="54" t="s">
        <v>12</v>
      </c>
      <c r="L313" s="56" t="s">
        <v>239</v>
      </c>
    </row>
    <row r="314" spans="1:12" ht="15.75" customHeight="1" x14ac:dyDescent="0.25">
      <c r="A314" s="51" t="s">
        <v>225</v>
      </c>
      <c r="B314" s="52" t="s">
        <v>572</v>
      </c>
      <c r="C314" s="53">
        <v>593</v>
      </c>
      <c r="D314" s="54" t="s">
        <v>587</v>
      </c>
      <c r="E314" s="53">
        <v>593</v>
      </c>
      <c r="F314" s="54" t="s">
        <v>218</v>
      </c>
      <c r="G314" s="54" t="s">
        <v>4</v>
      </c>
      <c r="H314" s="53" t="s">
        <v>1</v>
      </c>
      <c r="I314" s="53" t="s">
        <v>17</v>
      </c>
      <c r="J314" s="55" t="s">
        <v>230</v>
      </c>
      <c r="K314" s="54" t="s">
        <v>11</v>
      </c>
      <c r="L314" s="56" t="s">
        <v>239</v>
      </c>
    </row>
    <row r="315" spans="1:12" ht="15.75" customHeight="1" x14ac:dyDescent="0.25">
      <c r="A315" s="51" t="s">
        <v>225</v>
      </c>
      <c r="B315" s="52" t="s">
        <v>546</v>
      </c>
      <c r="C315" s="53">
        <v>489</v>
      </c>
      <c r="D315" s="54" t="s">
        <v>588</v>
      </c>
      <c r="E315" s="53">
        <v>489</v>
      </c>
      <c r="F315" s="54" t="s">
        <v>218</v>
      </c>
      <c r="G315" s="54" t="s">
        <v>4</v>
      </c>
      <c r="H315" s="53" t="s">
        <v>0</v>
      </c>
      <c r="I315" s="53" t="s">
        <v>15</v>
      </c>
      <c r="J315" s="55" t="s">
        <v>232</v>
      </c>
      <c r="K315" s="54" t="s">
        <v>10</v>
      </c>
      <c r="L315" s="56" t="s">
        <v>239</v>
      </c>
    </row>
    <row r="316" spans="1:12" ht="15.75" customHeight="1" x14ac:dyDescent="0.25">
      <c r="A316" s="51" t="s">
        <v>225</v>
      </c>
      <c r="B316" s="52" t="s">
        <v>548</v>
      </c>
      <c r="C316" s="53">
        <v>490</v>
      </c>
      <c r="D316" s="54" t="s">
        <v>589</v>
      </c>
      <c r="E316" s="53">
        <v>490</v>
      </c>
      <c r="F316" s="54" t="s">
        <v>218</v>
      </c>
      <c r="G316" s="54" t="s">
        <v>4</v>
      </c>
      <c r="H316" s="53" t="s">
        <v>0</v>
      </c>
      <c r="I316" s="53" t="s">
        <v>15</v>
      </c>
      <c r="J316" s="55" t="s">
        <v>232</v>
      </c>
      <c r="K316" s="54" t="s">
        <v>7</v>
      </c>
      <c r="L316" s="56" t="s">
        <v>239</v>
      </c>
    </row>
    <row r="317" spans="1:12" ht="15.75" customHeight="1" x14ac:dyDescent="0.25">
      <c r="A317" s="51" t="s">
        <v>225</v>
      </c>
      <c r="B317" s="52" t="s">
        <v>550</v>
      </c>
      <c r="C317" s="53">
        <v>491</v>
      </c>
      <c r="D317" s="54" t="s">
        <v>590</v>
      </c>
      <c r="E317" s="53">
        <v>491</v>
      </c>
      <c r="F317" s="54" t="s">
        <v>218</v>
      </c>
      <c r="G317" s="54" t="s">
        <v>4</v>
      </c>
      <c r="H317" s="53" t="s">
        <v>0</v>
      </c>
      <c r="I317" s="53" t="s">
        <v>15</v>
      </c>
      <c r="J317" s="55" t="s">
        <v>232</v>
      </c>
      <c r="K317" s="54" t="s">
        <v>13</v>
      </c>
      <c r="L317" s="56" t="s">
        <v>239</v>
      </c>
    </row>
    <row r="318" spans="1:12" ht="15.75" customHeight="1" x14ac:dyDescent="0.25">
      <c r="A318" s="51" t="s">
        <v>225</v>
      </c>
      <c r="B318" s="52" t="s">
        <v>552</v>
      </c>
      <c r="C318" s="53">
        <v>492</v>
      </c>
      <c r="D318" s="54" t="s">
        <v>591</v>
      </c>
      <c r="E318" s="53">
        <v>492</v>
      </c>
      <c r="F318" s="54" t="s">
        <v>218</v>
      </c>
      <c r="G318" s="54" t="s">
        <v>4</v>
      </c>
      <c r="H318" s="53" t="s">
        <v>0</v>
      </c>
      <c r="I318" s="53" t="s">
        <v>15</v>
      </c>
      <c r="J318" s="55" t="s">
        <v>232</v>
      </c>
      <c r="K318" s="54" t="s">
        <v>8</v>
      </c>
      <c r="L318" s="56" t="s">
        <v>239</v>
      </c>
    </row>
    <row r="319" spans="1:12" ht="15.75" customHeight="1" x14ac:dyDescent="0.25">
      <c r="A319" s="51" t="s">
        <v>225</v>
      </c>
      <c r="B319" s="52" t="s">
        <v>554</v>
      </c>
      <c r="C319" s="53">
        <v>493</v>
      </c>
      <c r="D319" s="54" t="s">
        <v>592</v>
      </c>
      <c r="E319" s="53">
        <v>493</v>
      </c>
      <c r="F319" s="54" t="s">
        <v>218</v>
      </c>
      <c r="G319" s="54" t="s">
        <v>4</v>
      </c>
      <c r="H319" s="53" t="s">
        <v>0</v>
      </c>
      <c r="I319" s="53" t="s">
        <v>15</v>
      </c>
      <c r="J319" s="55" t="s">
        <v>232</v>
      </c>
      <c r="K319" s="54" t="s">
        <v>9</v>
      </c>
      <c r="L319" s="56" t="s">
        <v>239</v>
      </c>
    </row>
    <row r="320" spans="1:12" ht="15.75" customHeight="1" x14ac:dyDescent="0.25">
      <c r="A320" s="51" t="s">
        <v>225</v>
      </c>
      <c r="B320" s="52" t="s">
        <v>556</v>
      </c>
      <c r="C320" s="53">
        <v>494</v>
      </c>
      <c r="D320" s="54" t="s">
        <v>593</v>
      </c>
      <c r="E320" s="53">
        <v>494</v>
      </c>
      <c r="F320" s="54" t="s">
        <v>218</v>
      </c>
      <c r="G320" s="54" t="s">
        <v>4</v>
      </c>
      <c r="H320" s="53" t="s">
        <v>0</v>
      </c>
      <c r="I320" s="53" t="s">
        <v>15</v>
      </c>
      <c r="J320" s="55" t="s">
        <v>232</v>
      </c>
      <c r="K320" s="54" t="s">
        <v>12</v>
      </c>
      <c r="L320" s="56" t="s">
        <v>239</v>
      </c>
    </row>
    <row r="321" spans="1:12" ht="15.75" customHeight="1" x14ac:dyDescent="0.25">
      <c r="A321" s="51" t="s">
        <v>225</v>
      </c>
      <c r="B321" s="52" t="s">
        <v>558</v>
      </c>
      <c r="C321" s="53">
        <v>495</v>
      </c>
      <c r="D321" s="54" t="s">
        <v>594</v>
      </c>
      <c r="E321" s="53">
        <v>495</v>
      </c>
      <c r="F321" s="54" t="s">
        <v>218</v>
      </c>
      <c r="G321" s="54" t="s">
        <v>4</v>
      </c>
      <c r="H321" s="53" t="s">
        <v>0</v>
      </c>
      <c r="I321" s="53" t="s">
        <v>15</v>
      </c>
      <c r="J321" s="55" t="s">
        <v>232</v>
      </c>
      <c r="K321" s="54" t="s">
        <v>11</v>
      </c>
      <c r="L321" s="56" t="s">
        <v>239</v>
      </c>
    </row>
    <row r="322" spans="1:12" ht="15.75" customHeight="1" x14ac:dyDescent="0.25">
      <c r="A322" s="51" t="s">
        <v>225</v>
      </c>
      <c r="B322" s="52" t="s">
        <v>560</v>
      </c>
      <c r="C322" s="53">
        <v>524</v>
      </c>
      <c r="D322" s="54" t="s">
        <v>595</v>
      </c>
      <c r="E322" s="53">
        <v>524</v>
      </c>
      <c r="F322" s="54" t="s">
        <v>218</v>
      </c>
      <c r="G322" s="54" t="s">
        <v>4</v>
      </c>
      <c r="H322" s="53" t="s">
        <v>0</v>
      </c>
      <c r="I322" s="53" t="s">
        <v>17</v>
      </c>
      <c r="J322" s="55" t="s">
        <v>232</v>
      </c>
      <c r="K322" s="54" t="s">
        <v>10</v>
      </c>
      <c r="L322" s="56" t="s">
        <v>239</v>
      </c>
    </row>
    <row r="323" spans="1:12" ht="15.75" customHeight="1" x14ac:dyDescent="0.25">
      <c r="A323" s="51" t="s">
        <v>225</v>
      </c>
      <c r="B323" s="52" t="s">
        <v>562</v>
      </c>
      <c r="C323" s="53">
        <v>525</v>
      </c>
      <c r="D323" s="54" t="s">
        <v>596</v>
      </c>
      <c r="E323" s="53">
        <v>525</v>
      </c>
      <c r="F323" s="54" t="s">
        <v>218</v>
      </c>
      <c r="G323" s="54" t="s">
        <v>4</v>
      </c>
      <c r="H323" s="53" t="s">
        <v>0</v>
      </c>
      <c r="I323" s="53" t="s">
        <v>17</v>
      </c>
      <c r="J323" s="55" t="s">
        <v>232</v>
      </c>
      <c r="K323" s="54" t="s">
        <v>7</v>
      </c>
      <c r="L323" s="56" t="s">
        <v>239</v>
      </c>
    </row>
    <row r="324" spans="1:12" ht="15.75" customHeight="1" x14ac:dyDescent="0.25">
      <c r="A324" s="51" t="s">
        <v>225</v>
      </c>
      <c r="B324" s="52" t="s">
        <v>564</v>
      </c>
      <c r="C324" s="53">
        <v>526</v>
      </c>
      <c r="D324" s="54" t="s">
        <v>597</v>
      </c>
      <c r="E324" s="53">
        <v>526</v>
      </c>
      <c r="F324" s="54" t="s">
        <v>218</v>
      </c>
      <c r="G324" s="54" t="s">
        <v>4</v>
      </c>
      <c r="H324" s="53" t="s">
        <v>0</v>
      </c>
      <c r="I324" s="53" t="s">
        <v>17</v>
      </c>
      <c r="J324" s="55" t="s">
        <v>232</v>
      </c>
      <c r="K324" s="54" t="s">
        <v>13</v>
      </c>
      <c r="L324" s="56" t="s">
        <v>239</v>
      </c>
    </row>
    <row r="325" spans="1:12" ht="15.75" customHeight="1" x14ac:dyDescent="0.25">
      <c r="A325" s="51" t="s">
        <v>225</v>
      </c>
      <c r="B325" s="52" t="s">
        <v>566</v>
      </c>
      <c r="C325" s="53">
        <v>527</v>
      </c>
      <c r="D325" s="54" t="s">
        <v>598</v>
      </c>
      <c r="E325" s="53">
        <v>527</v>
      </c>
      <c r="F325" s="54" t="s">
        <v>218</v>
      </c>
      <c r="G325" s="54" t="s">
        <v>4</v>
      </c>
      <c r="H325" s="53" t="s">
        <v>0</v>
      </c>
      <c r="I325" s="53" t="s">
        <v>17</v>
      </c>
      <c r="J325" s="55" t="s">
        <v>232</v>
      </c>
      <c r="K325" s="54" t="s">
        <v>8</v>
      </c>
      <c r="L325" s="56" t="s">
        <v>239</v>
      </c>
    </row>
    <row r="326" spans="1:12" ht="15.75" customHeight="1" x14ac:dyDescent="0.25">
      <c r="A326" s="51" t="s">
        <v>225</v>
      </c>
      <c r="B326" s="52" t="s">
        <v>568</v>
      </c>
      <c r="C326" s="53">
        <v>528</v>
      </c>
      <c r="D326" s="54" t="s">
        <v>599</v>
      </c>
      <c r="E326" s="53">
        <v>528</v>
      </c>
      <c r="F326" s="54" t="s">
        <v>218</v>
      </c>
      <c r="G326" s="54" t="s">
        <v>4</v>
      </c>
      <c r="H326" s="53" t="s">
        <v>0</v>
      </c>
      <c r="I326" s="53" t="s">
        <v>17</v>
      </c>
      <c r="J326" s="55" t="s">
        <v>232</v>
      </c>
      <c r="K326" s="54" t="s">
        <v>9</v>
      </c>
      <c r="L326" s="56" t="s">
        <v>239</v>
      </c>
    </row>
    <row r="327" spans="1:12" ht="15.75" customHeight="1" x14ac:dyDescent="0.25">
      <c r="A327" s="51" t="s">
        <v>225</v>
      </c>
      <c r="B327" s="52" t="s">
        <v>570</v>
      </c>
      <c r="C327" s="53">
        <v>529</v>
      </c>
      <c r="D327" s="54" t="s">
        <v>600</v>
      </c>
      <c r="E327" s="53">
        <v>529</v>
      </c>
      <c r="F327" s="54" t="s">
        <v>218</v>
      </c>
      <c r="G327" s="54" t="s">
        <v>4</v>
      </c>
      <c r="H327" s="53" t="s">
        <v>0</v>
      </c>
      <c r="I327" s="53" t="s">
        <v>17</v>
      </c>
      <c r="J327" s="55" t="s">
        <v>232</v>
      </c>
      <c r="K327" s="54" t="s">
        <v>12</v>
      </c>
      <c r="L327" s="56" t="s">
        <v>239</v>
      </c>
    </row>
    <row r="328" spans="1:12" ht="15.75" customHeight="1" x14ac:dyDescent="0.25">
      <c r="A328" s="51" t="s">
        <v>225</v>
      </c>
      <c r="B328" s="52" t="s">
        <v>572</v>
      </c>
      <c r="C328" s="53">
        <v>530</v>
      </c>
      <c r="D328" s="54" t="s">
        <v>601</v>
      </c>
      <c r="E328" s="53">
        <v>530</v>
      </c>
      <c r="F328" s="54" t="s">
        <v>218</v>
      </c>
      <c r="G328" s="54" t="s">
        <v>4</v>
      </c>
      <c r="H328" s="53" t="s">
        <v>0</v>
      </c>
      <c r="I328" s="53" t="s">
        <v>17</v>
      </c>
      <c r="J328" s="55" t="s">
        <v>232</v>
      </c>
      <c r="K328" s="54" t="s">
        <v>11</v>
      </c>
      <c r="L328" s="56" t="s">
        <v>239</v>
      </c>
    </row>
    <row r="329" spans="1:12" ht="15.75" customHeight="1" x14ac:dyDescent="0.25">
      <c r="A329" s="51" t="s">
        <v>225</v>
      </c>
      <c r="B329" s="52" t="s">
        <v>546</v>
      </c>
      <c r="C329" s="53">
        <v>559</v>
      </c>
      <c r="D329" s="54" t="s">
        <v>602</v>
      </c>
      <c r="E329" s="53">
        <v>559</v>
      </c>
      <c r="F329" s="54" t="s">
        <v>218</v>
      </c>
      <c r="G329" s="54" t="s">
        <v>4</v>
      </c>
      <c r="H329" s="53" t="s">
        <v>1</v>
      </c>
      <c r="I329" s="53" t="s">
        <v>15</v>
      </c>
      <c r="J329" s="55" t="s">
        <v>232</v>
      </c>
      <c r="K329" s="54" t="s">
        <v>10</v>
      </c>
      <c r="L329" s="56" t="s">
        <v>239</v>
      </c>
    </row>
    <row r="330" spans="1:12" ht="15.75" customHeight="1" x14ac:dyDescent="0.25">
      <c r="A330" s="51" t="s">
        <v>225</v>
      </c>
      <c r="B330" s="52" t="s">
        <v>548</v>
      </c>
      <c r="C330" s="53">
        <v>560</v>
      </c>
      <c r="D330" s="54" t="s">
        <v>603</v>
      </c>
      <c r="E330" s="53">
        <v>560</v>
      </c>
      <c r="F330" s="54" t="s">
        <v>218</v>
      </c>
      <c r="G330" s="54" t="s">
        <v>4</v>
      </c>
      <c r="H330" s="53" t="s">
        <v>1</v>
      </c>
      <c r="I330" s="53" t="s">
        <v>15</v>
      </c>
      <c r="J330" s="55" t="s">
        <v>232</v>
      </c>
      <c r="K330" s="54" t="s">
        <v>7</v>
      </c>
      <c r="L330" s="56" t="s">
        <v>239</v>
      </c>
    </row>
    <row r="331" spans="1:12" ht="15.75" customHeight="1" x14ac:dyDescent="0.25">
      <c r="A331" s="51" t="s">
        <v>225</v>
      </c>
      <c r="B331" s="52" t="s">
        <v>550</v>
      </c>
      <c r="C331" s="53">
        <v>561</v>
      </c>
      <c r="D331" s="54" t="s">
        <v>604</v>
      </c>
      <c r="E331" s="53">
        <v>561</v>
      </c>
      <c r="F331" s="54" t="s">
        <v>218</v>
      </c>
      <c r="G331" s="54" t="s">
        <v>4</v>
      </c>
      <c r="H331" s="53" t="s">
        <v>1</v>
      </c>
      <c r="I331" s="53" t="s">
        <v>15</v>
      </c>
      <c r="J331" s="55" t="s">
        <v>232</v>
      </c>
      <c r="K331" s="54" t="s">
        <v>13</v>
      </c>
      <c r="L331" s="56" t="s">
        <v>239</v>
      </c>
    </row>
    <row r="332" spans="1:12" ht="15.75" customHeight="1" x14ac:dyDescent="0.25">
      <c r="A332" s="51" t="s">
        <v>225</v>
      </c>
      <c r="B332" s="52" t="s">
        <v>552</v>
      </c>
      <c r="C332" s="53">
        <v>562</v>
      </c>
      <c r="D332" s="54" t="s">
        <v>605</v>
      </c>
      <c r="E332" s="53">
        <v>562</v>
      </c>
      <c r="F332" s="54" t="s">
        <v>218</v>
      </c>
      <c r="G332" s="54" t="s">
        <v>4</v>
      </c>
      <c r="H332" s="53" t="s">
        <v>1</v>
      </c>
      <c r="I332" s="53" t="s">
        <v>15</v>
      </c>
      <c r="J332" s="55" t="s">
        <v>232</v>
      </c>
      <c r="K332" s="54" t="s">
        <v>8</v>
      </c>
      <c r="L332" s="56" t="s">
        <v>239</v>
      </c>
    </row>
    <row r="333" spans="1:12" ht="15.75" customHeight="1" x14ac:dyDescent="0.25">
      <c r="A333" s="51" t="s">
        <v>225</v>
      </c>
      <c r="B333" s="52" t="s">
        <v>554</v>
      </c>
      <c r="C333" s="53">
        <v>563</v>
      </c>
      <c r="D333" s="54" t="s">
        <v>606</v>
      </c>
      <c r="E333" s="53">
        <v>563</v>
      </c>
      <c r="F333" s="54" t="s">
        <v>218</v>
      </c>
      <c r="G333" s="54" t="s">
        <v>4</v>
      </c>
      <c r="H333" s="53" t="s">
        <v>1</v>
      </c>
      <c r="I333" s="53" t="s">
        <v>15</v>
      </c>
      <c r="J333" s="55" t="s">
        <v>232</v>
      </c>
      <c r="K333" s="54" t="s">
        <v>9</v>
      </c>
      <c r="L333" s="56" t="s">
        <v>239</v>
      </c>
    </row>
    <row r="334" spans="1:12" ht="15.75" customHeight="1" x14ac:dyDescent="0.25">
      <c r="A334" s="51" t="s">
        <v>225</v>
      </c>
      <c r="B334" s="52" t="s">
        <v>556</v>
      </c>
      <c r="C334" s="53">
        <v>564</v>
      </c>
      <c r="D334" s="54" t="s">
        <v>607</v>
      </c>
      <c r="E334" s="53">
        <v>564</v>
      </c>
      <c r="F334" s="54" t="s">
        <v>218</v>
      </c>
      <c r="G334" s="54" t="s">
        <v>4</v>
      </c>
      <c r="H334" s="53" t="s">
        <v>1</v>
      </c>
      <c r="I334" s="53" t="s">
        <v>15</v>
      </c>
      <c r="J334" s="55" t="s">
        <v>232</v>
      </c>
      <c r="K334" s="54" t="s">
        <v>12</v>
      </c>
      <c r="L334" s="56" t="s">
        <v>239</v>
      </c>
    </row>
    <row r="335" spans="1:12" ht="15.75" customHeight="1" x14ac:dyDescent="0.25">
      <c r="A335" s="51" t="s">
        <v>225</v>
      </c>
      <c r="B335" s="52" t="s">
        <v>558</v>
      </c>
      <c r="C335" s="53">
        <v>565</v>
      </c>
      <c r="D335" s="54" t="s">
        <v>608</v>
      </c>
      <c r="E335" s="53">
        <v>565</v>
      </c>
      <c r="F335" s="54" t="s">
        <v>218</v>
      </c>
      <c r="G335" s="54" t="s">
        <v>4</v>
      </c>
      <c r="H335" s="53" t="s">
        <v>1</v>
      </c>
      <c r="I335" s="53" t="s">
        <v>15</v>
      </c>
      <c r="J335" s="55" t="s">
        <v>232</v>
      </c>
      <c r="K335" s="54" t="s">
        <v>11</v>
      </c>
      <c r="L335" s="56" t="s">
        <v>239</v>
      </c>
    </row>
    <row r="336" spans="1:12" ht="15.75" customHeight="1" x14ac:dyDescent="0.25">
      <c r="A336" s="51" t="s">
        <v>225</v>
      </c>
      <c r="B336" s="52" t="s">
        <v>560</v>
      </c>
      <c r="C336" s="53">
        <v>594</v>
      </c>
      <c r="D336" s="54" t="s">
        <v>609</v>
      </c>
      <c r="E336" s="53">
        <v>594</v>
      </c>
      <c r="F336" s="54" t="s">
        <v>218</v>
      </c>
      <c r="G336" s="54" t="s">
        <v>4</v>
      </c>
      <c r="H336" s="53" t="s">
        <v>1</v>
      </c>
      <c r="I336" s="53" t="s">
        <v>17</v>
      </c>
      <c r="J336" s="55" t="s">
        <v>232</v>
      </c>
      <c r="K336" s="54" t="s">
        <v>10</v>
      </c>
      <c r="L336" s="56" t="s">
        <v>239</v>
      </c>
    </row>
    <row r="337" spans="1:12" ht="15.75" customHeight="1" x14ac:dyDescent="0.25">
      <c r="A337" s="51" t="s">
        <v>225</v>
      </c>
      <c r="B337" s="52" t="s">
        <v>562</v>
      </c>
      <c r="C337" s="53">
        <v>595</v>
      </c>
      <c r="D337" s="54" t="s">
        <v>610</v>
      </c>
      <c r="E337" s="53">
        <v>595</v>
      </c>
      <c r="F337" s="54" t="s">
        <v>218</v>
      </c>
      <c r="G337" s="54" t="s">
        <v>4</v>
      </c>
      <c r="H337" s="53" t="s">
        <v>1</v>
      </c>
      <c r="I337" s="53" t="s">
        <v>17</v>
      </c>
      <c r="J337" s="55" t="s">
        <v>232</v>
      </c>
      <c r="K337" s="54" t="s">
        <v>7</v>
      </c>
      <c r="L337" s="56" t="s">
        <v>239</v>
      </c>
    </row>
    <row r="338" spans="1:12" ht="15.75" customHeight="1" x14ac:dyDescent="0.25">
      <c r="A338" s="51" t="s">
        <v>225</v>
      </c>
      <c r="B338" s="52" t="s">
        <v>564</v>
      </c>
      <c r="C338" s="53">
        <v>596</v>
      </c>
      <c r="D338" s="54" t="s">
        <v>611</v>
      </c>
      <c r="E338" s="53">
        <v>596</v>
      </c>
      <c r="F338" s="54" t="s">
        <v>218</v>
      </c>
      <c r="G338" s="54" t="s">
        <v>4</v>
      </c>
      <c r="H338" s="53" t="s">
        <v>1</v>
      </c>
      <c r="I338" s="53" t="s">
        <v>17</v>
      </c>
      <c r="J338" s="55" t="s">
        <v>232</v>
      </c>
      <c r="K338" s="54" t="s">
        <v>13</v>
      </c>
      <c r="L338" s="56" t="s">
        <v>239</v>
      </c>
    </row>
    <row r="339" spans="1:12" ht="15.75" customHeight="1" x14ac:dyDescent="0.25">
      <c r="A339" s="51" t="s">
        <v>225</v>
      </c>
      <c r="B339" s="52" t="s">
        <v>566</v>
      </c>
      <c r="C339" s="53">
        <v>597</v>
      </c>
      <c r="D339" s="54" t="s">
        <v>612</v>
      </c>
      <c r="E339" s="53">
        <v>597</v>
      </c>
      <c r="F339" s="54" t="s">
        <v>218</v>
      </c>
      <c r="G339" s="54" t="s">
        <v>4</v>
      </c>
      <c r="H339" s="53" t="s">
        <v>1</v>
      </c>
      <c r="I339" s="53" t="s">
        <v>17</v>
      </c>
      <c r="J339" s="55" t="s">
        <v>232</v>
      </c>
      <c r="K339" s="54" t="s">
        <v>8</v>
      </c>
      <c r="L339" s="56" t="s">
        <v>239</v>
      </c>
    </row>
    <row r="340" spans="1:12" ht="15.75" customHeight="1" x14ac:dyDescent="0.25">
      <c r="A340" s="51" t="s">
        <v>225</v>
      </c>
      <c r="B340" s="52" t="s">
        <v>568</v>
      </c>
      <c r="C340" s="53">
        <v>598</v>
      </c>
      <c r="D340" s="54" t="s">
        <v>613</v>
      </c>
      <c r="E340" s="53">
        <v>598</v>
      </c>
      <c r="F340" s="54" t="s">
        <v>218</v>
      </c>
      <c r="G340" s="54" t="s">
        <v>4</v>
      </c>
      <c r="H340" s="53" t="s">
        <v>1</v>
      </c>
      <c r="I340" s="53" t="s">
        <v>17</v>
      </c>
      <c r="J340" s="55" t="s">
        <v>232</v>
      </c>
      <c r="K340" s="54" t="s">
        <v>9</v>
      </c>
      <c r="L340" s="56" t="s">
        <v>239</v>
      </c>
    </row>
    <row r="341" spans="1:12" ht="15.75" customHeight="1" x14ac:dyDescent="0.25">
      <c r="A341" s="51" t="s">
        <v>225</v>
      </c>
      <c r="B341" s="52" t="s">
        <v>570</v>
      </c>
      <c r="C341" s="53">
        <v>599</v>
      </c>
      <c r="D341" s="54" t="s">
        <v>614</v>
      </c>
      <c r="E341" s="53">
        <v>599</v>
      </c>
      <c r="F341" s="54" t="s">
        <v>218</v>
      </c>
      <c r="G341" s="54" t="s">
        <v>4</v>
      </c>
      <c r="H341" s="53" t="s">
        <v>1</v>
      </c>
      <c r="I341" s="53" t="s">
        <v>17</v>
      </c>
      <c r="J341" s="55" t="s">
        <v>232</v>
      </c>
      <c r="K341" s="54" t="s">
        <v>12</v>
      </c>
      <c r="L341" s="56" t="s">
        <v>239</v>
      </c>
    </row>
    <row r="342" spans="1:12" ht="15.75" customHeight="1" x14ac:dyDescent="0.25">
      <c r="A342" s="51" t="s">
        <v>225</v>
      </c>
      <c r="B342" s="52" t="s">
        <v>572</v>
      </c>
      <c r="C342" s="53">
        <v>600</v>
      </c>
      <c r="D342" s="54" t="s">
        <v>615</v>
      </c>
      <c r="E342" s="53">
        <v>600</v>
      </c>
      <c r="F342" s="54" t="s">
        <v>218</v>
      </c>
      <c r="G342" s="54" t="s">
        <v>4</v>
      </c>
      <c r="H342" s="53" t="s">
        <v>1</v>
      </c>
      <c r="I342" s="53" t="s">
        <v>17</v>
      </c>
      <c r="J342" s="55" t="s">
        <v>232</v>
      </c>
      <c r="K342" s="54" t="s">
        <v>11</v>
      </c>
      <c r="L342" s="56" t="s">
        <v>239</v>
      </c>
    </row>
    <row r="343" spans="1:12" ht="15.75" customHeight="1" x14ac:dyDescent="0.25">
      <c r="A343" s="51" t="s">
        <v>225</v>
      </c>
      <c r="B343" s="52" t="s">
        <v>546</v>
      </c>
      <c r="C343" s="53">
        <v>475</v>
      </c>
      <c r="D343" s="54" t="s">
        <v>616</v>
      </c>
      <c r="E343" s="53">
        <v>475</v>
      </c>
      <c r="F343" s="54" t="s">
        <v>218</v>
      </c>
      <c r="G343" s="54" t="s">
        <v>4</v>
      </c>
      <c r="H343" s="53" t="s">
        <v>0</v>
      </c>
      <c r="I343" s="53" t="s">
        <v>15</v>
      </c>
      <c r="J343" s="55" t="s">
        <v>234</v>
      </c>
      <c r="K343" s="54" t="s">
        <v>10</v>
      </c>
      <c r="L343" s="56" t="s">
        <v>239</v>
      </c>
    </row>
    <row r="344" spans="1:12" ht="15.75" customHeight="1" x14ac:dyDescent="0.25">
      <c r="A344" s="51" t="s">
        <v>225</v>
      </c>
      <c r="B344" s="52" t="s">
        <v>548</v>
      </c>
      <c r="C344" s="53">
        <v>476</v>
      </c>
      <c r="D344" s="54" t="s">
        <v>617</v>
      </c>
      <c r="E344" s="53">
        <v>476</v>
      </c>
      <c r="F344" s="54" t="s">
        <v>218</v>
      </c>
      <c r="G344" s="54" t="s">
        <v>4</v>
      </c>
      <c r="H344" s="53" t="s">
        <v>0</v>
      </c>
      <c r="I344" s="53" t="s">
        <v>15</v>
      </c>
      <c r="J344" s="55" t="s">
        <v>234</v>
      </c>
      <c r="K344" s="54" t="s">
        <v>7</v>
      </c>
      <c r="L344" s="56" t="s">
        <v>239</v>
      </c>
    </row>
    <row r="345" spans="1:12" ht="15.75" customHeight="1" x14ac:dyDescent="0.25">
      <c r="A345" s="51" t="s">
        <v>225</v>
      </c>
      <c r="B345" s="52" t="s">
        <v>550</v>
      </c>
      <c r="C345" s="53">
        <v>477</v>
      </c>
      <c r="D345" s="54" t="s">
        <v>618</v>
      </c>
      <c r="E345" s="53">
        <v>477</v>
      </c>
      <c r="F345" s="54" t="s">
        <v>218</v>
      </c>
      <c r="G345" s="54" t="s">
        <v>4</v>
      </c>
      <c r="H345" s="53" t="s">
        <v>0</v>
      </c>
      <c r="I345" s="53" t="s">
        <v>15</v>
      </c>
      <c r="J345" s="55" t="s">
        <v>234</v>
      </c>
      <c r="K345" s="54" t="s">
        <v>13</v>
      </c>
      <c r="L345" s="56" t="s">
        <v>239</v>
      </c>
    </row>
    <row r="346" spans="1:12" ht="15.75" customHeight="1" x14ac:dyDescent="0.25">
      <c r="A346" s="51" t="s">
        <v>225</v>
      </c>
      <c r="B346" s="52" t="s">
        <v>552</v>
      </c>
      <c r="C346" s="53">
        <v>478</v>
      </c>
      <c r="D346" s="54" t="s">
        <v>619</v>
      </c>
      <c r="E346" s="53">
        <v>478</v>
      </c>
      <c r="F346" s="54" t="s">
        <v>218</v>
      </c>
      <c r="G346" s="54" t="s">
        <v>4</v>
      </c>
      <c r="H346" s="53" t="s">
        <v>0</v>
      </c>
      <c r="I346" s="53" t="s">
        <v>15</v>
      </c>
      <c r="J346" s="55" t="s">
        <v>234</v>
      </c>
      <c r="K346" s="54" t="s">
        <v>8</v>
      </c>
      <c r="L346" s="56" t="s">
        <v>239</v>
      </c>
    </row>
    <row r="347" spans="1:12" ht="15.75" customHeight="1" x14ac:dyDescent="0.25">
      <c r="A347" s="51" t="s">
        <v>225</v>
      </c>
      <c r="B347" s="52" t="s">
        <v>554</v>
      </c>
      <c r="C347" s="53">
        <v>479</v>
      </c>
      <c r="D347" s="54" t="s">
        <v>620</v>
      </c>
      <c r="E347" s="53">
        <v>479</v>
      </c>
      <c r="F347" s="54" t="s">
        <v>218</v>
      </c>
      <c r="G347" s="54" t="s">
        <v>4</v>
      </c>
      <c r="H347" s="53" t="s">
        <v>0</v>
      </c>
      <c r="I347" s="53" t="s">
        <v>15</v>
      </c>
      <c r="J347" s="55" t="s">
        <v>234</v>
      </c>
      <c r="K347" s="54" t="s">
        <v>9</v>
      </c>
      <c r="L347" s="56" t="s">
        <v>239</v>
      </c>
    </row>
    <row r="348" spans="1:12" ht="15.75" customHeight="1" x14ac:dyDescent="0.25">
      <c r="A348" s="51" t="s">
        <v>225</v>
      </c>
      <c r="B348" s="52" t="s">
        <v>556</v>
      </c>
      <c r="C348" s="53">
        <v>480</v>
      </c>
      <c r="D348" s="54" t="s">
        <v>621</v>
      </c>
      <c r="E348" s="53">
        <v>480</v>
      </c>
      <c r="F348" s="54" t="s">
        <v>218</v>
      </c>
      <c r="G348" s="54" t="s">
        <v>4</v>
      </c>
      <c r="H348" s="53" t="s">
        <v>0</v>
      </c>
      <c r="I348" s="53" t="s">
        <v>15</v>
      </c>
      <c r="J348" s="55" t="s">
        <v>234</v>
      </c>
      <c r="K348" s="54" t="s">
        <v>12</v>
      </c>
      <c r="L348" s="56" t="s">
        <v>239</v>
      </c>
    </row>
    <row r="349" spans="1:12" ht="15.75" customHeight="1" x14ac:dyDescent="0.25">
      <c r="A349" s="51" t="s">
        <v>225</v>
      </c>
      <c r="B349" s="52" t="s">
        <v>558</v>
      </c>
      <c r="C349" s="53">
        <v>481</v>
      </c>
      <c r="D349" s="54" t="s">
        <v>622</v>
      </c>
      <c r="E349" s="53">
        <v>481</v>
      </c>
      <c r="F349" s="54" t="s">
        <v>218</v>
      </c>
      <c r="G349" s="54" t="s">
        <v>4</v>
      </c>
      <c r="H349" s="53" t="s">
        <v>0</v>
      </c>
      <c r="I349" s="53" t="s">
        <v>15</v>
      </c>
      <c r="J349" s="55" t="s">
        <v>234</v>
      </c>
      <c r="K349" s="54" t="s">
        <v>11</v>
      </c>
      <c r="L349" s="56" t="s">
        <v>239</v>
      </c>
    </row>
    <row r="350" spans="1:12" ht="15.75" customHeight="1" x14ac:dyDescent="0.25">
      <c r="A350" s="51" t="s">
        <v>225</v>
      </c>
      <c r="B350" s="52" t="s">
        <v>560</v>
      </c>
      <c r="C350" s="53">
        <v>510</v>
      </c>
      <c r="D350" s="54" t="s">
        <v>623</v>
      </c>
      <c r="E350" s="53">
        <v>510</v>
      </c>
      <c r="F350" s="54" t="s">
        <v>218</v>
      </c>
      <c r="G350" s="54" t="s">
        <v>4</v>
      </c>
      <c r="H350" s="53" t="s">
        <v>0</v>
      </c>
      <c r="I350" s="53" t="s">
        <v>17</v>
      </c>
      <c r="J350" s="55" t="s">
        <v>234</v>
      </c>
      <c r="K350" s="54" t="s">
        <v>10</v>
      </c>
      <c r="L350" s="56" t="s">
        <v>239</v>
      </c>
    </row>
    <row r="351" spans="1:12" ht="15.75" customHeight="1" x14ac:dyDescent="0.25">
      <c r="A351" s="51" t="s">
        <v>225</v>
      </c>
      <c r="B351" s="52" t="s">
        <v>562</v>
      </c>
      <c r="C351" s="53">
        <v>511</v>
      </c>
      <c r="D351" s="54" t="s">
        <v>624</v>
      </c>
      <c r="E351" s="53">
        <v>511</v>
      </c>
      <c r="F351" s="54" t="s">
        <v>218</v>
      </c>
      <c r="G351" s="54" t="s">
        <v>4</v>
      </c>
      <c r="H351" s="53" t="s">
        <v>0</v>
      </c>
      <c r="I351" s="53" t="s">
        <v>17</v>
      </c>
      <c r="J351" s="55" t="s">
        <v>234</v>
      </c>
      <c r="K351" s="54" t="s">
        <v>7</v>
      </c>
      <c r="L351" s="56" t="s">
        <v>239</v>
      </c>
    </row>
    <row r="352" spans="1:12" ht="15.75" customHeight="1" x14ac:dyDescent="0.25">
      <c r="A352" s="51" t="s">
        <v>225</v>
      </c>
      <c r="B352" s="52" t="s">
        <v>564</v>
      </c>
      <c r="C352" s="53">
        <v>512</v>
      </c>
      <c r="D352" s="54" t="s">
        <v>625</v>
      </c>
      <c r="E352" s="53">
        <v>512</v>
      </c>
      <c r="F352" s="54" t="s">
        <v>218</v>
      </c>
      <c r="G352" s="54" t="s">
        <v>4</v>
      </c>
      <c r="H352" s="53" t="s">
        <v>0</v>
      </c>
      <c r="I352" s="53" t="s">
        <v>17</v>
      </c>
      <c r="J352" s="55" t="s">
        <v>234</v>
      </c>
      <c r="K352" s="54" t="s">
        <v>13</v>
      </c>
      <c r="L352" s="56" t="s">
        <v>239</v>
      </c>
    </row>
    <row r="353" spans="1:12" ht="15.75" customHeight="1" x14ac:dyDescent="0.25">
      <c r="A353" s="51" t="s">
        <v>225</v>
      </c>
      <c r="B353" s="52" t="s">
        <v>566</v>
      </c>
      <c r="C353" s="53">
        <v>513</v>
      </c>
      <c r="D353" s="54" t="s">
        <v>626</v>
      </c>
      <c r="E353" s="53">
        <v>513</v>
      </c>
      <c r="F353" s="54" t="s">
        <v>218</v>
      </c>
      <c r="G353" s="54" t="s">
        <v>4</v>
      </c>
      <c r="H353" s="53" t="s">
        <v>0</v>
      </c>
      <c r="I353" s="53" t="s">
        <v>17</v>
      </c>
      <c r="J353" s="55" t="s">
        <v>234</v>
      </c>
      <c r="K353" s="54" t="s">
        <v>8</v>
      </c>
      <c r="L353" s="56" t="s">
        <v>239</v>
      </c>
    </row>
    <row r="354" spans="1:12" ht="15.75" customHeight="1" x14ac:dyDescent="0.25">
      <c r="A354" s="51" t="s">
        <v>225</v>
      </c>
      <c r="B354" s="52" t="s">
        <v>568</v>
      </c>
      <c r="C354" s="53">
        <v>514</v>
      </c>
      <c r="D354" s="54" t="s">
        <v>627</v>
      </c>
      <c r="E354" s="53">
        <v>514</v>
      </c>
      <c r="F354" s="54" t="s">
        <v>218</v>
      </c>
      <c r="G354" s="54" t="s">
        <v>4</v>
      </c>
      <c r="H354" s="53" t="s">
        <v>0</v>
      </c>
      <c r="I354" s="53" t="s">
        <v>17</v>
      </c>
      <c r="J354" s="55" t="s">
        <v>234</v>
      </c>
      <c r="K354" s="54" t="s">
        <v>9</v>
      </c>
      <c r="L354" s="56" t="s">
        <v>239</v>
      </c>
    </row>
    <row r="355" spans="1:12" ht="15.75" customHeight="1" x14ac:dyDescent="0.25">
      <c r="A355" s="51" t="s">
        <v>225</v>
      </c>
      <c r="B355" s="52" t="s">
        <v>570</v>
      </c>
      <c r="C355" s="53">
        <v>515</v>
      </c>
      <c r="D355" s="54" t="s">
        <v>628</v>
      </c>
      <c r="E355" s="53">
        <v>515</v>
      </c>
      <c r="F355" s="54" t="s">
        <v>218</v>
      </c>
      <c r="G355" s="54" t="s">
        <v>4</v>
      </c>
      <c r="H355" s="53" t="s">
        <v>0</v>
      </c>
      <c r="I355" s="53" t="s">
        <v>17</v>
      </c>
      <c r="J355" s="55" t="s">
        <v>234</v>
      </c>
      <c r="K355" s="54" t="s">
        <v>12</v>
      </c>
      <c r="L355" s="56" t="s">
        <v>239</v>
      </c>
    </row>
    <row r="356" spans="1:12" ht="15.75" customHeight="1" x14ac:dyDescent="0.25">
      <c r="A356" s="51" t="s">
        <v>225</v>
      </c>
      <c r="B356" s="52" t="s">
        <v>572</v>
      </c>
      <c r="C356" s="53">
        <v>516</v>
      </c>
      <c r="D356" s="54" t="s">
        <v>629</v>
      </c>
      <c r="E356" s="53">
        <v>516</v>
      </c>
      <c r="F356" s="54" t="s">
        <v>218</v>
      </c>
      <c r="G356" s="54" t="s">
        <v>4</v>
      </c>
      <c r="H356" s="53" t="s">
        <v>0</v>
      </c>
      <c r="I356" s="53" t="s">
        <v>17</v>
      </c>
      <c r="J356" s="55" t="s">
        <v>234</v>
      </c>
      <c r="K356" s="54" t="s">
        <v>11</v>
      </c>
      <c r="L356" s="56" t="s">
        <v>239</v>
      </c>
    </row>
    <row r="357" spans="1:12" ht="15.75" customHeight="1" x14ac:dyDescent="0.25">
      <c r="A357" s="51" t="s">
        <v>225</v>
      </c>
      <c r="B357" s="52" t="s">
        <v>546</v>
      </c>
      <c r="C357" s="53">
        <v>545</v>
      </c>
      <c r="D357" s="54" t="s">
        <v>630</v>
      </c>
      <c r="E357" s="53">
        <v>545</v>
      </c>
      <c r="F357" s="54" t="s">
        <v>218</v>
      </c>
      <c r="G357" s="54" t="s">
        <v>4</v>
      </c>
      <c r="H357" s="53" t="s">
        <v>1</v>
      </c>
      <c r="I357" s="53" t="s">
        <v>15</v>
      </c>
      <c r="J357" s="55" t="s">
        <v>234</v>
      </c>
      <c r="K357" s="54" t="s">
        <v>10</v>
      </c>
      <c r="L357" s="56" t="s">
        <v>239</v>
      </c>
    </row>
    <row r="358" spans="1:12" ht="15.75" customHeight="1" x14ac:dyDescent="0.25">
      <c r="A358" s="51" t="s">
        <v>225</v>
      </c>
      <c r="B358" s="52" t="s">
        <v>548</v>
      </c>
      <c r="C358" s="53">
        <v>546</v>
      </c>
      <c r="D358" s="54" t="s">
        <v>631</v>
      </c>
      <c r="E358" s="53">
        <v>546</v>
      </c>
      <c r="F358" s="54" t="s">
        <v>218</v>
      </c>
      <c r="G358" s="54" t="s">
        <v>4</v>
      </c>
      <c r="H358" s="53" t="s">
        <v>1</v>
      </c>
      <c r="I358" s="53" t="s">
        <v>15</v>
      </c>
      <c r="J358" s="55" t="s">
        <v>234</v>
      </c>
      <c r="K358" s="54" t="s">
        <v>7</v>
      </c>
      <c r="L358" s="56" t="s">
        <v>239</v>
      </c>
    </row>
    <row r="359" spans="1:12" ht="15.75" customHeight="1" x14ac:dyDescent="0.25">
      <c r="A359" s="51" t="s">
        <v>225</v>
      </c>
      <c r="B359" s="52" t="s">
        <v>550</v>
      </c>
      <c r="C359" s="53">
        <v>547</v>
      </c>
      <c r="D359" s="54" t="s">
        <v>632</v>
      </c>
      <c r="E359" s="53">
        <v>547</v>
      </c>
      <c r="F359" s="54" t="s">
        <v>218</v>
      </c>
      <c r="G359" s="54" t="s">
        <v>4</v>
      </c>
      <c r="H359" s="53" t="s">
        <v>1</v>
      </c>
      <c r="I359" s="53" t="s">
        <v>15</v>
      </c>
      <c r="J359" s="55" t="s">
        <v>234</v>
      </c>
      <c r="K359" s="54" t="s">
        <v>13</v>
      </c>
      <c r="L359" s="56" t="s">
        <v>239</v>
      </c>
    </row>
    <row r="360" spans="1:12" ht="15.75" customHeight="1" x14ac:dyDescent="0.25">
      <c r="A360" s="51" t="s">
        <v>225</v>
      </c>
      <c r="B360" s="52" t="s">
        <v>552</v>
      </c>
      <c r="C360" s="53">
        <v>548</v>
      </c>
      <c r="D360" s="54" t="s">
        <v>633</v>
      </c>
      <c r="E360" s="53">
        <v>548</v>
      </c>
      <c r="F360" s="54" t="s">
        <v>218</v>
      </c>
      <c r="G360" s="54" t="s">
        <v>4</v>
      </c>
      <c r="H360" s="53" t="s">
        <v>1</v>
      </c>
      <c r="I360" s="53" t="s">
        <v>15</v>
      </c>
      <c r="J360" s="55" t="s">
        <v>234</v>
      </c>
      <c r="K360" s="54" t="s">
        <v>8</v>
      </c>
      <c r="L360" s="56" t="s">
        <v>239</v>
      </c>
    </row>
    <row r="361" spans="1:12" ht="15.75" customHeight="1" x14ac:dyDescent="0.25">
      <c r="A361" s="51" t="s">
        <v>225</v>
      </c>
      <c r="B361" s="52" t="s">
        <v>554</v>
      </c>
      <c r="C361" s="53">
        <v>549</v>
      </c>
      <c r="D361" s="54" t="s">
        <v>634</v>
      </c>
      <c r="E361" s="53">
        <v>549</v>
      </c>
      <c r="F361" s="54" t="s">
        <v>218</v>
      </c>
      <c r="G361" s="54" t="s">
        <v>4</v>
      </c>
      <c r="H361" s="53" t="s">
        <v>1</v>
      </c>
      <c r="I361" s="53" t="s">
        <v>15</v>
      </c>
      <c r="J361" s="55" t="s">
        <v>234</v>
      </c>
      <c r="K361" s="54" t="s">
        <v>9</v>
      </c>
      <c r="L361" s="56" t="s">
        <v>239</v>
      </c>
    </row>
    <row r="362" spans="1:12" ht="15.75" customHeight="1" x14ac:dyDescent="0.25">
      <c r="A362" s="51" t="s">
        <v>225</v>
      </c>
      <c r="B362" s="52" t="s">
        <v>556</v>
      </c>
      <c r="C362" s="53">
        <v>550</v>
      </c>
      <c r="D362" s="54" t="s">
        <v>635</v>
      </c>
      <c r="E362" s="53">
        <v>550</v>
      </c>
      <c r="F362" s="54" t="s">
        <v>218</v>
      </c>
      <c r="G362" s="54" t="s">
        <v>4</v>
      </c>
      <c r="H362" s="53" t="s">
        <v>1</v>
      </c>
      <c r="I362" s="53" t="s">
        <v>15</v>
      </c>
      <c r="J362" s="55" t="s">
        <v>234</v>
      </c>
      <c r="K362" s="54" t="s">
        <v>12</v>
      </c>
      <c r="L362" s="56" t="s">
        <v>239</v>
      </c>
    </row>
    <row r="363" spans="1:12" ht="15.75" customHeight="1" x14ac:dyDescent="0.25">
      <c r="A363" s="51" t="s">
        <v>225</v>
      </c>
      <c r="B363" s="52" t="s">
        <v>558</v>
      </c>
      <c r="C363" s="53">
        <v>551</v>
      </c>
      <c r="D363" s="54" t="s">
        <v>636</v>
      </c>
      <c r="E363" s="53">
        <v>551</v>
      </c>
      <c r="F363" s="54" t="s">
        <v>218</v>
      </c>
      <c r="G363" s="54" t="s">
        <v>4</v>
      </c>
      <c r="H363" s="53" t="s">
        <v>1</v>
      </c>
      <c r="I363" s="53" t="s">
        <v>15</v>
      </c>
      <c r="J363" s="55" t="s">
        <v>234</v>
      </c>
      <c r="K363" s="54" t="s">
        <v>11</v>
      </c>
      <c r="L363" s="56" t="s">
        <v>239</v>
      </c>
    </row>
    <row r="364" spans="1:12" ht="15.75" customHeight="1" x14ac:dyDescent="0.25">
      <c r="A364" s="51" t="s">
        <v>225</v>
      </c>
      <c r="B364" s="52" t="s">
        <v>560</v>
      </c>
      <c r="C364" s="53">
        <v>580</v>
      </c>
      <c r="D364" s="54" t="s">
        <v>637</v>
      </c>
      <c r="E364" s="53">
        <v>580</v>
      </c>
      <c r="F364" s="54" t="s">
        <v>218</v>
      </c>
      <c r="G364" s="54" t="s">
        <v>4</v>
      </c>
      <c r="H364" s="53" t="s">
        <v>1</v>
      </c>
      <c r="I364" s="53" t="s">
        <v>17</v>
      </c>
      <c r="J364" s="55" t="s">
        <v>234</v>
      </c>
      <c r="K364" s="54" t="s">
        <v>10</v>
      </c>
      <c r="L364" s="56" t="s">
        <v>239</v>
      </c>
    </row>
    <row r="365" spans="1:12" ht="15.75" customHeight="1" x14ac:dyDescent="0.25">
      <c r="A365" s="51" t="s">
        <v>225</v>
      </c>
      <c r="B365" s="52" t="s">
        <v>562</v>
      </c>
      <c r="C365" s="53">
        <v>581</v>
      </c>
      <c r="D365" s="54" t="s">
        <v>638</v>
      </c>
      <c r="E365" s="53">
        <v>581</v>
      </c>
      <c r="F365" s="54" t="s">
        <v>218</v>
      </c>
      <c r="G365" s="54" t="s">
        <v>4</v>
      </c>
      <c r="H365" s="53" t="s">
        <v>1</v>
      </c>
      <c r="I365" s="53" t="s">
        <v>17</v>
      </c>
      <c r="J365" s="55" t="s">
        <v>234</v>
      </c>
      <c r="K365" s="54" t="s">
        <v>7</v>
      </c>
      <c r="L365" s="56" t="s">
        <v>239</v>
      </c>
    </row>
    <row r="366" spans="1:12" ht="15.75" customHeight="1" x14ac:dyDescent="0.25">
      <c r="A366" s="51" t="s">
        <v>225</v>
      </c>
      <c r="B366" s="52" t="s">
        <v>564</v>
      </c>
      <c r="C366" s="53">
        <v>582</v>
      </c>
      <c r="D366" s="54" t="s">
        <v>639</v>
      </c>
      <c r="E366" s="53">
        <v>582</v>
      </c>
      <c r="F366" s="54" t="s">
        <v>218</v>
      </c>
      <c r="G366" s="54" t="s">
        <v>4</v>
      </c>
      <c r="H366" s="53" t="s">
        <v>1</v>
      </c>
      <c r="I366" s="53" t="s">
        <v>17</v>
      </c>
      <c r="J366" s="55" t="s">
        <v>234</v>
      </c>
      <c r="K366" s="54" t="s">
        <v>13</v>
      </c>
      <c r="L366" s="56" t="s">
        <v>239</v>
      </c>
    </row>
    <row r="367" spans="1:12" ht="15.75" customHeight="1" x14ac:dyDescent="0.25">
      <c r="A367" s="51" t="s">
        <v>225</v>
      </c>
      <c r="B367" s="52" t="s">
        <v>566</v>
      </c>
      <c r="C367" s="53">
        <v>583</v>
      </c>
      <c r="D367" s="54" t="s">
        <v>640</v>
      </c>
      <c r="E367" s="53">
        <v>583</v>
      </c>
      <c r="F367" s="54" t="s">
        <v>218</v>
      </c>
      <c r="G367" s="54" t="s">
        <v>4</v>
      </c>
      <c r="H367" s="53" t="s">
        <v>1</v>
      </c>
      <c r="I367" s="53" t="s">
        <v>17</v>
      </c>
      <c r="J367" s="55" t="s">
        <v>234</v>
      </c>
      <c r="K367" s="54" t="s">
        <v>8</v>
      </c>
      <c r="L367" s="56" t="s">
        <v>239</v>
      </c>
    </row>
    <row r="368" spans="1:12" ht="15.75" customHeight="1" x14ac:dyDescent="0.25">
      <c r="A368" s="51" t="s">
        <v>225</v>
      </c>
      <c r="B368" s="52" t="s">
        <v>568</v>
      </c>
      <c r="C368" s="53">
        <v>584</v>
      </c>
      <c r="D368" s="54" t="s">
        <v>641</v>
      </c>
      <c r="E368" s="53">
        <v>584</v>
      </c>
      <c r="F368" s="54" t="s">
        <v>218</v>
      </c>
      <c r="G368" s="54" t="s">
        <v>4</v>
      </c>
      <c r="H368" s="53" t="s">
        <v>1</v>
      </c>
      <c r="I368" s="53" t="s">
        <v>17</v>
      </c>
      <c r="J368" s="55" t="s">
        <v>234</v>
      </c>
      <c r="K368" s="54" t="s">
        <v>9</v>
      </c>
      <c r="L368" s="56" t="s">
        <v>239</v>
      </c>
    </row>
    <row r="369" spans="1:12" ht="15.75" customHeight="1" x14ac:dyDescent="0.25">
      <c r="A369" s="51" t="s">
        <v>225</v>
      </c>
      <c r="B369" s="52" t="s">
        <v>570</v>
      </c>
      <c r="C369" s="53">
        <v>585</v>
      </c>
      <c r="D369" s="54" t="s">
        <v>642</v>
      </c>
      <c r="E369" s="53">
        <v>585</v>
      </c>
      <c r="F369" s="54" t="s">
        <v>218</v>
      </c>
      <c r="G369" s="54" t="s">
        <v>4</v>
      </c>
      <c r="H369" s="53" t="s">
        <v>1</v>
      </c>
      <c r="I369" s="53" t="s">
        <v>17</v>
      </c>
      <c r="J369" s="55" t="s">
        <v>234</v>
      </c>
      <c r="K369" s="54" t="s">
        <v>12</v>
      </c>
      <c r="L369" s="56" t="s">
        <v>239</v>
      </c>
    </row>
    <row r="370" spans="1:12" ht="15.75" customHeight="1" x14ac:dyDescent="0.25">
      <c r="A370" s="51" t="s">
        <v>225</v>
      </c>
      <c r="B370" s="52" t="s">
        <v>572</v>
      </c>
      <c r="C370" s="53">
        <v>586</v>
      </c>
      <c r="D370" s="54" t="s">
        <v>643</v>
      </c>
      <c r="E370" s="53">
        <v>586</v>
      </c>
      <c r="F370" s="54" t="s">
        <v>218</v>
      </c>
      <c r="G370" s="54" t="s">
        <v>4</v>
      </c>
      <c r="H370" s="53" t="s">
        <v>1</v>
      </c>
      <c r="I370" s="53" t="s">
        <v>17</v>
      </c>
      <c r="J370" s="55" t="s">
        <v>234</v>
      </c>
      <c r="K370" s="54" t="s">
        <v>11</v>
      </c>
      <c r="L370" s="56" t="s">
        <v>239</v>
      </c>
    </row>
    <row r="371" spans="1:12" ht="15.75" customHeight="1" x14ac:dyDescent="0.25">
      <c r="A371" s="51" t="s">
        <v>225</v>
      </c>
      <c r="B371" s="52" t="s">
        <v>546</v>
      </c>
      <c r="C371" s="53">
        <v>468</v>
      </c>
      <c r="D371" s="54" t="s">
        <v>644</v>
      </c>
      <c r="E371" s="53">
        <v>468</v>
      </c>
      <c r="F371" s="54" t="s">
        <v>218</v>
      </c>
      <c r="G371" s="54" t="s">
        <v>4</v>
      </c>
      <c r="H371" s="53" t="s">
        <v>0</v>
      </c>
      <c r="I371" s="53" t="s">
        <v>15</v>
      </c>
      <c r="J371" s="55" t="s">
        <v>228</v>
      </c>
      <c r="K371" s="54" t="s">
        <v>10</v>
      </c>
      <c r="L371" s="56" t="s">
        <v>239</v>
      </c>
    </row>
    <row r="372" spans="1:12" ht="15.75" customHeight="1" x14ac:dyDescent="0.25">
      <c r="A372" s="51" t="s">
        <v>225</v>
      </c>
      <c r="B372" s="52" t="s">
        <v>548</v>
      </c>
      <c r="C372" s="53">
        <v>469</v>
      </c>
      <c r="D372" s="54" t="s">
        <v>645</v>
      </c>
      <c r="E372" s="53">
        <v>469</v>
      </c>
      <c r="F372" s="54" t="s">
        <v>218</v>
      </c>
      <c r="G372" s="54" t="s">
        <v>4</v>
      </c>
      <c r="H372" s="53" t="s">
        <v>0</v>
      </c>
      <c r="I372" s="53" t="s">
        <v>15</v>
      </c>
      <c r="J372" s="55" t="s">
        <v>228</v>
      </c>
      <c r="K372" s="54" t="s">
        <v>7</v>
      </c>
      <c r="L372" s="56" t="s">
        <v>239</v>
      </c>
    </row>
    <row r="373" spans="1:12" ht="15.75" customHeight="1" x14ac:dyDescent="0.25">
      <c r="A373" s="51" t="s">
        <v>225</v>
      </c>
      <c r="B373" s="52" t="s">
        <v>550</v>
      </c>
      <c r="C373" s="53">
        <v>470</v>
      </c>
      <c r="D373" s="54" t="s">
        <v>646</v>
      </c>
      <c r="E373" s="53">
        <v>470</v>
      </c>
      <c r="F373" s="54" t="s">
        <v>218</v>
      </c>
      <c r="G373" s="54" t="s">
        <v>4</v>
      </c>
      <c r="H373" s="53" t="s">
        <v>0</v>
      </c>
      <c r="I373" s="53" t="s">
        <v>15</v>
      </c>
      <c r="J373" s="55" t="s">
        <v>228</v>
      </c>
      <c r="K373" s="54" t="s">
        <v>13</v>
      </c>
      <c r="L373" s="56" t="s">
        <v>239</v>
      </c>
    </row>
    <row r="374" spans="1:12" ht="15.75" customHeight="1" x14ac:dyDescent="0.25">
      <c r="A374" s="51" t="s">
        <v>225</v>
      </c>
      <c r="B374" s="52" t="s">
        <v>552</v>
      </c>
      <c r="C374" s="53">
        <v>471</v>
      </c>
      <c r="D374" s="54" t="s">
        <v>647</v>
      </c>
      <c r="E374" s="53">
        <v>471</v>
      </c>
      <c r="F374" s="54" t="s">
        <v>218</v>
      </c>
      <c r="G374" s="54" t="s">
        <v>4</v>
      </c>
      <c r="H374" s="53" t="s">
        <v>0</v>
      </c>
      <c r="I374" s="53" t="s">
        <v>15</v>
      </c>
      <c r="J374" s="55" t="s">
        <v>228</v>
      </c>
      <c r="K374" s="54" t="s">
        <v>8</v>
      </c>
      <c r="L374" s="56" t="s">
        <v>239</v>
      </c>
    </row>
    <row r="375" spans="1:12" ht="15.75" customHeight="1" x14ac:dyDescent="0.25">
      <c r="A375" s="51" t="s">
        <v>225</v>
      </c>
      <c r="B375" s="52" t="s">
        <v>554</v>
      </c>
      <c r="C375" s="53">
        <v>472</v>
      </c>
      <c r="D375" s="54" t="s">
        <v>648</v>
      </c>
      <c r="E375" s="53">
        <v>472</v>
      </c>
      <c r="F375" s="54" t="s">
        <v>218</v>
      </c>
      <c r="G375" s="54" t="s">
        <v>4</v>
      </c>
      <c r="H375" s="53" t="s">
        <v>0</v>
      </c>
      <c r="I375" s="53" t="s">
        <v>15</v>
      </c>
      <c r="J375" s="55" t="s">
        <v>228</v>
      </c>
      <c r="K375" s="54" t="s">
        <v>9</v>
      </c>
      <c r="L375" s="56" t="s">
        <v>239</v>
      </c>
    </row>
    <row r="376" spans="1:12" ht="15.75" customHeight="1" x14ac:dyDescent="0.25">
      <c r="A376" s="51" t="s">
        <v>225</v>
      </c>
      <c r="B376" s="52" t="s">
        <v>556</v>
      </c>
      <c r="C376" s="53">
        <v>473</v>
      </c>
      <c r="D376" s="54" t="s">
        <v>649</v>
      </c>
      <c r="E376" s="53">
        <v>473</v>
      </c>
      <c r="F376" s="54" t="s">
        <v>218</v>
      </c>
      <c r="G376" s="54" t="s">
        <v>4</v>
      </c>
      <c r="H376" s="53" t="s">
        <v>0</v>
      </c>
      <c r="I376" s="53" t="s">
        <v>15</v>
      </c>
      <c r="J376" s="55" t="s">
        <v>228</v>
      </c>
      <c r="K376" s="54" t="s">
        <v>12</v>
      </c>
      <c r="L376" s="56" t="s">
        <v>239</v>
      </c>
    </row>
    <row r="377" spans="1:12" ht="15.75" customHeight="1" x14ac:dyDescent="0.25">
      <c r="A377" s="51" t="s">
        <v>225</v>
      </c>
      <c r="B377" s="52" t="s">
        <v>558</v>
      </c>
      <c r="C377" s="53">
        <v>474</v>
      </c>
      <c r="D377" s="54" t="s">
        <v>650</v>
      </c>
      <c r="E377" s="53">
        <v>474</v>
      </c>
      <c r="F377" s="54" t="s">
        <v>218</v>
      </c>
      <c r="G377" s="54" t="s">
        <v>4</v>
      </c>
      <c r="H377" s="53" t="s">
        <v>0</v>
      </c>
      <c r="I377" s="53" t="s">
        <v>15</v>
      </c>
      <c r="J377" s="55" t="s">
        <v>228</v>
      </c>
      <c r="K377" s="54" t="s">
        <v>11</v>
      </c>
      <c r="L377" s="56" t="s">
        <v>239</v>
      </c>
    </row>
    <row r="378" spans="1:12" ht="15.75" customHeight="1" x14ac:dyDescent="0.25">
      <c r="A378" s="51" t="s">
        <v>225</v>
      </c>
      <c r="B378" s="52" t="s">
        <v>560</v>
      </c>
      <c r="C378" s="53">
        <v>503</v>
      </c>
      <c r="D378" s="54" t="s">
        <v>651</v>
      </c>
      <c r="E378" s="53">
        <v>503</v>
      </c>
      <c r="F378" s="54" t="s">
        <v>218</v>
      </c>
      <c r="G378" s="54" t="s">
        <v>4</v>
      </c>
      <c r="H378" s="53" t="s">
        <v>0</v>
      </c>
      <c r="I378" s="53" t="s">
        <v>17</v>
      </c>
      <c r="J378" s="55" t="s">
        <v>228</v>
      </c>
      <c r="K378" s="54" t="s">
        <v>10</v>
      </c>
      <c r="L378" s="56" t="s">
        <v>239</v>
      </c>
    </row>
    <row r="379" spans="1:12" ht="15.75" customHeight="1" x14ac:dyDescent="0.25">
      <c r="A379" s="51" t="s">
        <v>225</v>
      </c>
      <c r="B379" s="52" t="s">
        <v>562</v>
      </c>
      <c r="C379" s="53">
        <v>504</v>
      </c>
      <c r="D379" s="54" t="s">
        <v>652</v>
      </c>
      <c r="E379" s="53">
        <v>504</v>
      </c>
      <c r="F379" s="54" t="s">
        <v>218</v>
      </c>
      <c r="G379" s="54" t="s">
        <v>4</v>
      </c>
      <c r="H379" s="53" t="s">
        <v>0</v>
      </c>
      <c r="I379" s="53" t="s">
        <v>17</v>
      </c>
      <c r="J379" s="55" t="s">
        <v>228</v>
      </c>
      <c r="K379" s="54" t="s">
        <v>7</v>
      </c>
      <c r="L379" s="56" t="s">
        <v>239</v>
      </c>
    </row>
    <row r="380" spans="1:12" ht="15.75" customHeight="1" x14ac:dyDescent="0.25">
      <c r="A380" s="51" t="s">
        <v>225</v>
      </c>
      <c r="B380" s="52" t="s">
        <v>564</v>
      </c>
      <c r="C380" s="53">
        <v>505</v>
      </c>
      <c r="D380" s="54" t="s">
        <v>653</v>
      </c>
      <c r="E380" s="53">
        <v>505</v>
      </c>
      <c r="F380" s="54" t="s">
        <v>218</v>
      </c>
      <c r="G380" s="54" t="s">
        <v>4</v>
      </c>
      <c r="H380" s="53" t="s">
        <v>0</v>
      </c>
      <c r="I380" s="53" t="s">
        <v>17</v>
      </c>
      <c r="J380" s="55" t="s">
        <v>228</v>
      </c>
      <c r="K380" s="54" t="s">
        <v>13</v>
      </c>
      <c r="L380" s="56" t="s">
        <v>239</v>
      </c>
    </row>
    <row r="381" spans="1:12" ht="15.75" customHeight="1" x14ac:dyDescent="0.25">
      <c r="A381" s="51" t="s">
        <v>225</v>
      </c>
      <c r="B381" s="52" t="s">
        <v>566</v>
      </c>
      <c r="C381" s="53">
        <v>506</v>
      </c>
      <c r="D381" s="54" t="s">
        <v>654</v>
      </c>
      <c r="E381" s="53">
        <v>506</v>
      </c>
      <c r="F381" s="54" t="s">
        <v>218</v>
      </c>
      <c r="G381" s="54" t="s">
        <v>4</v>
      </c>
      <c r="H381" s="53" t="s">
        <v>0</v>
      </c>
      <c r="I381" s="53" t="s">
        <v>17</v>
      </c>
      <c r="J381" s="55" t="s">
        <v>228</v>
      </c>
      <c r="K381" s="54" t="s">
        <v>8</v>
      </c>
      <c r="L381" s="56" t="s">
        <v>239</v>
      </c>
    </row>
    <row r="382" spans="1:12" ht="15.75" customHeight="1" x14ac:dyDescent="0.25">
      <c r="A382" s="51" t="s">
        <v>225</v>
      </c>
      <c r="B382" s="52" t="s">
        <v>568</v>
      </c>
      <c r="C382" s="53">
        <v>507</v>
      </c>
      <c r="D382" s="54" t="s">
        <v>655</v>
      </c>
      <c r="E382" s="53">
        <v>507</v>
      </c>
      <c r="F382" s="54" t="s">
        <v>218</v>
      </c>
      <c r="G382" s="54" t="s">
        <v>4</v>
      </c>
      <c r="H382" s="53" t="s">
        <v>0</v>
      </c>
      <c r="I382" s="53" t="s">
        <v>17</v>
      </c>
      <c r="J382" s="55" t="s">
        <v>228</v>
      </c>
      <c r="K382" s="54" t="s">
        <v>9</v>
      </c>
      <c r="L382" s="56" t="s">
        <v>239</v>
      </c>
    </row>
    <row r="383" spans="1:12" ht="15.75" customHeight="1" x14ac:dyDescent="0.25">
      <c r="A383" s="51" t="s">
        <v>225</v>
      </c>
      <c r="B383" s="52" t="s">
        <v>570</v>
      </c>
      <c r="C383" s="53">
        <v>508</v>
      </c>
      <c r="D383" s="54" t="s">
        <v>656</v>
      </c>
      <c r="E383" s="53">
        <v>508</v>
      </c>
      <c r="F383" s="54" t="s">
        <v>218</v>
      </c>
      <c r="G383" s="54" t="s">
        <v>4</v>
      </c>
      <c r="H383" s="53" t="s">
        <v>0</v>
      </c>
      <c r="I383" s="53" t="s">
        <v>17</v>
      </c>
      <c r="J383" s="55" t="s">
        <v>228</v>
      </c>
      <c r="K383" s="54" t="s">
        <v>12</v>
      </c>
      <c r="L383" s="56" t="s">
        <v>239</v>
      </c>
    </row>
    <row r="384" spans="1:12" ht="15.75" customHeight="1" x14ac:dyDescent="0.25">
      <c r="A384" s="51" t="s">
        <v>225</v>
      </c>
      <c r="B384" s="52" t="s">
        <v>572</v>
      </c>
      <c r="C384" s="53">
        <v>509</v>
      </c>
      <c r="D384" s="54" t="s">
        <v>657</v>
      </c>
      <c r="E384" s="53">
        <v>509</v>
      </c>
      <c r="F384" s="54" t="s">
        <v>218</v>
      </c>
      <c r="G384" s="54" t="s">
        <v>4</v>
      </c>
      <c r="H384" s="53" t="s">
        <v>0</v>
      </c>
      <c r="I384" s="53" t="s">
        <v>17</v>
      </c>
      <c r="J384" s="55" t="s">
        <v>228</v>
      </c>
      <c r="K384" s="54" t="s">
        <v>11</v>
      </c>
      <c r="L384" s="56" t="s">
        <v>239</v>
      </c>
    </row>
    <row r="385" spans="1:12" ht="15.75" customHeight="1" x14ac:dyDescent="0.25">
      <c r="A385" s="51" t="s">
        <v>225</v>
      </c>
      <c r="B385" s="52" t="s">
        <v>546</v>
      </c>
      <c r="C385" s="53">
        <v>538</v>
      </c>
      <c r="D385" s="54" t="s">
        <v>658</v>
      </c>
      <c r="E385" s="53">
        <v>538</v>
      </c>
      <c r="F385" s="54" t="s">
        <v>218</v>
      </c>
      <c r="G385" s="54" t="s">
        <v>4</v>
      </c>
      <c r="H385" s="53" t="s">
        <v>1</v>
      </c>
      <c r="I385" s="53" t="s">
        <v>15</v>
      </c>
      <c r="J385" s="55" t="s">
        <v>228</v>
      </c>
      <c r="K385" s="54" t="s">
        <v>10</v>
      </c>
      <c r="L385" s="56" t="s">
        <v>239</v>
      </c>
    </row>
    <row r="386" spans="1:12" ht="15.75" customHeight="1" x14ac:dyDescent="0.25">
      <c r="A386" s="51" t="s">
        <v>225</v>
      </c>
      <c r="B386" s="52" t="s">
        <v>548</v>
      </c>
      <c r="C386" s="53">
        <v>539</v>
      </c>
      <c r="D386" s="54" t="s">
        <v>659</v>
      </c>
      <c r="E386" s="53">
        <v>539</v>
      </c>
      <c r="F386" s="54" t="s">
        <v>218</v>
      </c>
      <c r="G386" s="54" t="s">
        <v>4</v>
      </c>
      <c r="H386" s="53" t="s">
        <v>1</v>
      </c>
      <c r="I386" s="53" t="s">
        <v>15</v>
      </c>
      <c r="J386" s="55" t="s">
        <v>228</v>
      </c>
      <c r="K386" s="54" t="s">
        <v>7</v>
      </c>
      <c r="L386" s="56" t="s">
        <v>239</v>
      </c>
    </row>
    <row r="387" spans="1:12" ht="15.75" customHeight="1" x14ac:dyDescent="0.25">
      <c r="A387" s="51" t="s">
        <v>225</v>
      </c>
      <c r="B387" s="52" t="s">
        <v>550</v>
      </c>
      <c r="C387" s="53">
        <v>540</v>
      </c>
      <c r="D387" s="54" t="s">
        <v>660</v>
      </c>
      <c r="E387" s="53">
        <v>540</v>
      </c>
      <c r="F387" s="54" t="s">
        <v>218</v>
      </c>
      <c r="G387" s="54" t="s">
        <v>4</v>
      </c>
      <c r="H387" s="53" t="s">
        <v>1</v>
      </c>
      <c r="I387" s="53" t="s">
        <v>15</v>
      </c>
      <c r="J387" s="55" t="s">
        <v>228</v>
      </c>
      <c r="K387" s="54" t="s">
        <v>13</v>
      </c>
      <c r="L387" s="56" t="s">
        <v>239</v>
      </c>
    </row>
    <row r="388" spans="1:12" ht="15.75" customHeight="1" x14ac:dyDescent="0.25">
      <c r="A388" s="51" t="s">
        <v>225</v>
      </c>
      <c r="B388" s="52" t="s">
        <v>552</v>
      </c>
      <c r="C388" s="53">
        <v>541</v>
      </c>
      <c r="D388" s="54" t="s">
        <v>661</v>
      </c>
      <c r="E388" s="53">
        <v>541</v>
      </c>
      <c r="F388" s="54" t="s">
        <v>218</v>
      </c>
      <c r="G388" s="54" t="s">
        <v>4</v>
      </c>
      <c r="H388" s="53" t="s">
        <v>1</v>
      </c>
      <c r="I388" s="53" t="s">
        <v>15</v>
      </c>
      <c r="J388" s="55" t="s">
        <v>228</v>
      </c>
      <c r="K388" s="54" t="s">
        <v>8</v>
      </c>
      <c r="L388" s="56" t="s">
        <v>239</v>
      </c>
    </row>
    <row r="389" spans="1:12" ht="15.75" customHeight="1" x14ac:dyDescent="0.25">
      <c r="A389" s="51" t="s">
        <v>225</v>
      </c>
      <c r="B389" s="52" t="s">
        <v>554</v>
      </c>
      <c r="C389" s="53">
        <v>542</v>
      </c>
      <c r="D389" s="54" t="s">
        <v>662</v>
      </c>
      <c r="E389" s="53">
        <v>542</v>
      </c>
      <c r="F389" s="54" t="s">
        <v>218</v>
      </c>
      <c r="G389" s="54" t="s">
        <v>4</v>
      </c>
      <c r="H389" s="53" t="s">
        <v>1</v>
      </c>
      <c r="I389" s="53" t="s">
        <v>15</v>
      </c>
      <c r="J389" s="55" t="s">
        <v>228</v>
      </c>
      <c r="K389" s="54" t="s">
        <v>9</v>
      </c>
      <c r="L389" s="56" t="s">
        <v>239</v>
      </c>
    </row>
    <row r="390" spans="1:12" ht="15.75" customHeight="1" x14ac:dyDescent="0.25">
      <c r="A390" s="51" t="s">
        <v>225</v>
      </c>
      <c r="B390" s="52" t="s">
        <v>556</v>
      </c>
      <c r="C390" s="53">
        <v>543</v>
      </c>
      <c r="D390" s="54" t="s">
        <v>663</v>
      </c>
      <c r="E390" s="53">
        <v>543</v>
      </c>
      <c r="F390" s="54" t="s">
        <v>218</v>
      </c>
      <c r="G390" s="54" t="s">
        <v>4</v>
      </c>
      <c r="H390" s="53" t="s">
        <v>1</v>
      </c>
      <c r="I390" s="53" t="s">
        <v>15</v>
      </c>
      <c r="J390" s="55" t="s">
        <v>228</v>
      </c>
      <c r="K390" s="54" t="s">
        <v>12</v>
      </c>
      <c r="L390" s="56" t="s">
        <v>239</v>
      </c>
    </row>
    <row r="391" spans="1:12" ht="15.75" customHeight="1" x14ac:dyDescent="0.25">
      <c r="A391" s="51" t="s">
        <v>225</v>
      </c>
      <c r="B391" s="52" t="s">
        <v>558</v>
      </c>
      <c r="C391" s="53">
        <v>544</v>
      </c>
      <c r="D391" s="54" t="s">
        <v>664</v>
      </c>
      <c r="E391" s="53">
        <v>544</v>
      </c>
      <c r="F391" s="54" t="s">
        <v>218</v>
      </c>
      <c r="G391" s="54" t="s">
        <v>4</v>
      </c>
      <c r="H391" s="53" t="s">
        <v>1</v>
      </c>
      <c r="I391" s="53" t="s">
        <v>15</v>
      </c>
      <c r="J391" s="55" t="s">
        <v>228</v>
      </c>
      <c r="K391" s="54" t="s">
        <v>11</v>
      </c>
      <c r="L391" s="56" t="s">
        <v>239</v>
      </c>
    </row>
    <row r="392" spans="1:12" ht="15.75" customHeight="1" x14ac:dyDescent="0.25">
      <c r="A392" s="51" t="s">
        <v>225</v>
      </c>
      <c r="B392" s="52" t="s">
        <v>560</v>
      </c>
      <c r="C392" s="53">
        <v>573</v>
      </c>
      <c r="D392" s="54" t="s">
        <v>665</v>
      </c>
      <c r="E392" s="53">
        <v>573</v>
      </c>
      <c r="F392" s="54" t="s">
        <v>218</v>
      </c>
      <c r="G392" s="54" t="s">
        <v>4</v>
      </c>
      <c r="H392" s="53" t="s">
        <v>1</v>
      </c>
      <c r="I392" s="53" t="s">
        <v>17</v>
      </c>
      <c r="J392" s="55" t="s">
        <v>228</v>
      </c>
      <c r="K392" s="54" t="s">
        <v>10</v>
      </c>
      <c r="L392" s="56" t="s">
        <v>239</v>
      </c>
    </row>
    <row r="393" spans="1:12" ht="15.75" customHeight="1" x14ac:dyDescent="0.25">
      <c r="A393" s="51" t="s">
        <v>225</v>
      </c>
      <c r="B393" s="52" t="s">
        <v>562</v>
      </c>
      <c r="C393" s="53">
        <v>574</v>
      </c>
      <c r="D393" s="54" t="s">
        <v>666</v>
      </c>
      <c r="E393" s="53">
        <v>574</v>
      </c>
      <c r="F393" s="54" t="s">
        <v>218</v>
      </c>
      <c r="G393" s="54" t="s">
        <v>4</v>
      </c>
      <c r="H393" s="53" t="s">
        <v>1</v>
      </c>
      <c r="I393" s="53" t="s">
        <v>17</v>
      </c>
      <c r="J393" s="55" t="s">
        <v>228</v>
      </c>
      <c r="K393" s="54" t="s">
        <v>7</v>
      </c>
      <c r="L393" s="56" t="s">
        <v>239</v>
      </c>
    </row>
    <row r="394" spans="1:12" ht="15.75" customHeight="1" x14ac:dyDescent="0.25">
      <c r="A394" s="51" t="s">
        <v>225</v>
      </c>
      <c r="B394" s="52" t="s">
        <v>564</v>
      </c>
      <c r="C394" s="53">
        <v>575</v>
      </c>
      <c r="D394" s="54" t="s">
        <v>667</v>
      </c>
      <c r="E394" s="53">
        <v>575</v>
      </c>
      <c r="F394" s="54" t="s">
        <v>218</v>
      </c>
      <c r="G394" s="54" t="s">
        <v>4</v>
      </c>
      <c r="H394" s="53" t="s">
        <v>1</v>
      </c>
      <c r="I394" s="53" t="s">
        <v>17</v>
      </c>
      <c r="J394" s="55" t="s">
        <v>228</v>
      </c>
      <c r="K394" s="54" t="s">
        <v>13</v>
      </c>
      <c r="L394" s="56" t="s">
        <v>239</v>
      </c>
    </row>
    <row r="395" spans="1:12" ht="15.75" customHeight="1" x14ac:dyDescent="0.25">
      <c r="A395" s="51" t="s">
        <v>225</v>
      </c>
      <c r="B395" s="52" t="s">
        <v>566</v>
      </c>
      <c r="C395" s="53">
        <v>576</v>
      </c>
      <c r="D395" s="54" t="s">
        <v>668</v>
      </c>
      <c r="E395" s="53">
        <v>576</v>
      </c>
      <c r="F395" s="54" t="s">
        <v>218</v>
      </c>
      <c r="G395" s="54" t="s">
        <v>4</v>
      </c>
      <c r="H395" s="53" t="s">
        <v>1</v>
      </c>
      <c r="I395" s="53" t="s">
        <v>17</v>
      </c>
      <c r="J395" s="55" t="s">
        <v>228</v>
      </c>
      <c r="K395" s="54" t="s">
        <v>8</v>
      </c>
      <c r="L395" s="56" t="s">
        <v>239</v>
      </c>
    </row>
    <row r="396" spans="1:12" ht="15.75" customHeight="1" x14ac:dyDescent="0.25">
      <c r="A396" s="51" t="s">
        <v>225</v>
      </c>
      <c r="B396" s="52" t="s">
        <v>568</v>
      </c>
      <c r="C396" s="53">
        <v>577</v>
      </c>
      <c r="D396" s="54" t="s">
        <v>669</v>
      </c>
      <c r="E396" s="53">
        <v>577</v>
      </c>
      <c r="F396" s="54" t="s">
        <v>218</v>
      </c>
      <c r="G396" s="54" t="s">
        <v>4</v>
      </c>
      <c r="H396" s="53" t="s">
        <v>1</v>
      </c>
      <c r="I396" s="53" t="s">
        <v>17</v>
      </c>
      <c r="J396" s="55" t="s">
        <v>228</v>
      </c>
      <c r="K396" s="54" t="s">
        <v>9</v>
      </c>
      <c r="L396" s="56" t="s">
        <v>239</v>
      </c>
    </row>
    <row r="397" spans="1:12" ht="15.75" customHeight="1" x14ac:dyDescent="0.25">
      <c r="A397" s="51" t="s">
        <v>225</v>
      </c>
      <c r="B397" s="52" t="s">
        <v>570</v>
      </c>
      <c r="C397" s="53">
        <v>578</v>
      </c>
      <c r="D397" s="54" t="s">
        <v>670</v>
      </c>
      <c r="E397" s="53">
        <v>578</v>
      </c>
      <c r="F397" s="54" t="s">
        <v>218</v>
      </c>
      <c r="G397" s="54" t="s">
        <v>4</v>
      </c>
      <c r="H397" s="53" t="s">
        <v>1</v>
      </c>
      <c r="I397" s="53" t="s">
        <v>17</v>
      </c>
      <c r="J397" s="55" t="s">
        <v>228</v>
      </c>
      <c r="K397" s="54" t="s">
        <v>12</v>
      </c>
      <c r="L397" s="56" t="s">
        <v>239</v>
      </c>
    </row>
    <row r="398" spans="1:12" ht="15.75" customHeight="1" x14ac:dyDescent="0.25">
      <c r="A398" s="51" t="s">
        <v>225</v>
      </c>
      <c r="B398" s="52" t="s">
        <v>572</v>
      </c>
      <c r="C398" s="53">
        <v>579</v>
      </c>
      <c r="D398" s="54" t="s">
        <v>671</v>
      </c>
      <c r="E398" s="53">
        <v>579</v>
      </c>
      <c r="F398" s="54" t="s">
        <v>218</v>
      </c>
      <c r="G398" s="54" t="s">
        <v>4</v>
      </c>
      <c r="H398" s="53" t="s">
        <v>1</v>
      </c>
      <c r="I398" s="53" t="s">
        <v>17</v>
      </c>
      <c r="J398" s="55" t="s">
        <v>228</v>
      </c>
      <c r="K398" s="54" t="s">
        <v>11</v>
      </c>
      <c r="L398" s="56" t="s">
        <v>239</v>
      </c>
    </row>
    <row r="399" spans="1:12" ht="15.75" customHeight="1" x14ac:dyDescent="0.25">
      <c r="A399" s="51" t="s">
        <v>225</v>
      </c>
      <c r="B399" s="52" t="s">
        <v>546</v>
      </c>
      <c r="C399" s="53">
        <v>461</v>
      </c>
      <c r="D399" s="54" t="s">
        <v>672</v>
      </c>
      <c r="E399" s="53">
        <v>461</v>
      </c>
      <c r="F399" s="54" t="s">
        <v>218</v>
      </c>
      <c r="G399" s="54" t="s">
        <v>4</v>
      </c>
      <c r="H399" s="53" t="s">
        <v>0</v>
      </c>
      <c r="I399" s="53" t="s">
        <v>15</v>
      </c>
      <c r="J399" s="55" t="s">
        <v>236</v>
      </c>
      <c r="K399" s="54" t="s">
        <v>10</v>
      </c>
      <c r="L399" s="56" t="s">
        <v>239</v>
      </c>
    </row>
    <row r="400" spans="1:12" ht="15.75" customHeight="1" x14ac:dyDescent="0.25">
      <c r="A400" s="51" t="s">
        <v>225</v>
      </c>
      <c r="B400" s="52" t="s">
        <v>548</v>
      </c>
      <c r="C400" s="53">
        <v>462</v>
      </c>
      <c r="D400" s="54" t="s">
        <v>673</v>
      </c>
      <c r="E400" s="53">
        <v>462</v>
      </c>
      <c r="F400" s="54" t="s">
        <v>218</v>
      </c>
      <c r="G400" s="54" t="s">
        <v>4</v>
      </c>
      <c r="H400" s="53" t="s">
        <v>0</v>
      </c>
      <c r="I400" s="53" t="s">
        <v>15</v>
      </c>
      <c r="J400" s="55" t="s">
        <v>236</v>
      </c>
      <c r="K400" s="54" t="s">
        <v>7</v>
      </c>
      <c r="L400" s="56" t="s">
        <v>239</v>
      </c>
    </row>
    <row r="401" spans="1:12" ht="15.75" customHeight="1" x14ac:dyDescent="0.25">
      <c r="A401" s="51" t="s">
        <v>225</v>
      </c>
      <c r="B401" s="52" t="s">
        <v>550</v>
      </c>
      <c r="C401" s="53">
        <v>463</v>
      </c>
      <c r="D401" s="54" t="s">
        <v>674</v>
      </c>
      <c r="E401" s="53">
        <v>463</v>
      </c>
      <c r="F401" s="54" t="s">
        <v>218</v>
      </c>
      <c r="G401" s="54" t="s">
        <v>4</v>
      </c>
      <c r="H401" s="53" t="s">
        <v>0</v>
      </c>
      <c r="I401" s="53" t="s">
        <v>15</v>
      </c>
      <c r="J401" s="55" t="s">
        <v>236</v>
      </c>
      <c r="K401" s="54" t="s">
        <v>13</v>
      </c>
      <c r="L401" s="56" t="s">
        <v>239</v>
      </c>
    </row>
    <row r="402" spans="1:12" ht="15.75" customHeight="1" x14ac:dyDescent="0.25">
      <c r="A402" s="51" t="s">
        <v>225</v>
      </c>
      <c r="B402" s="52" t="s">
        <v>552</v>
      </c>
      <c r="C402" s="53">
        <v>464</v>
      </c>
      <c r="D402" s="54" t="s">
        <v>675</v>
      </c>
      <c r="E402" s="53">
        <v>464</v>
      </c>
      <c r="F402" s="54" t="s">
        <v>218</v>
      </c>
      <c r="G402" s="54" t="s">
        <v>4</v>
      </c>
      <c r="H402" s="53" t="s">
        <v>0</v>
      </c>
      <c r="I402" s="53" t="s">
        <v>15</v>
      </c>
      <c r="J402" s="55" t="s">
        <v>236</v>
      </c>
      <c r="K402" s="54" t="s">
        <v>8</v>
      </c>
      <c r="L402" s="56" t="s">
        <v>239</v>
      </c>
    </row>
    <row r="403" spans="1:12" ht="15.75" customHeight="1" x14ac:dyDescent="0.25">
      <c r="A403" s="51" t="s">
        <v>225</v>
      </c>
      <c r="B403" s="52" t="s">
        <v>554</v>
      </c>
      <c r="C403" s="53">
        <v>465</v>
      </c>
      <c r="D403" s="54" t="s">
        <v>676</v>
      </c>
      <c r="E403" s="53">
        <v>465</v>
      </c>
      <c r="F403" s="54" t="s">
        <v>218</v>
      </c>
      <c r="G403" s="54" t="s">
        <v>4</v>
      </c>
      <c r="H403" s="53" t="s">
        <v>0</v>
      </c>
      <c r="I403" s="53" t="s">
        <v>15</v>
      </c>
      <c r="J403" s="55" t="s">
        <v>236</v>
      </c>
      <c r="K403" s="54" t="s">
        <v>9</v>
      </c>
      <c r="L403" s="56" t="s">
        <v>239</v>
      </c>
    </row>
    <row r="404" spans="1:12" ht="15.75" customHeight="1" x14ac:dyDescent="0.25">
      <c r="A404" s="51" t="s">
        <v>225</v>
      </c>
      <c r="B404" s="52" t="s">
        <v>556</v>
      </c>
      <c r="C404" s="53">
        <v>466</v>
      </c>
      <c r="D404" s="54" t="s">
        <v>677</v>
      </c>
      <c r="E404" s="53">
        <v>466</v>
      </c>
      <c r="F404" s="54" t="s">
        <v>218</v>
      </c>
      <c r="G404" s="54" t="s">
        <v>4</v>
      </c>
      <c r="H404" s="53" t="s">
        <v>0</v>
      </c>
      <c r="I404" s="53" t="s">
        <v>15</v>
      </c>
      <c r="J404" s="55" t="s">
        <v>236</v>
      </c>
      <c r="K404" s="54" t="s">
        <v>12</v>
      </c>
      <c r="L404" s="56" t="s">
        <v>239</v>
      </c>
    </row>
    <row r="405" spans="1:12" ht="15.75" customHeight="1" x14ac:dyDescent="0.25">
      <c r="A405" s="51" t="s">
        <v>225</v>
      </c>
      <c r="B405" s="52" t="s">
        <v>558</v>
      </c>
      <c r="C405" s="53">
        <v>467</v>
      </c>
      <c r="D405" s="54" t="s">
        <v>678</v>
      </c>
      <c r="E405" s="53">
        <v>467</v>
      </c>
      <c r="F405" s="54" t="s">
        <v>218</v>
      </c>
      <c r="G405" s="54" t="s">
        <v>4</v>
      </c>
      <c r="H405" s="53" t="s">
        <v>0</v>
      </c>
      <c r="I405" s="53" t="s">
        <v>15</v>
      </c>
      <c r="J405" s="55" t="s">
        <v>236</v>
      </c>
      <c r="K405" s="54" t="s">
        <v>11</v>
      </c>
      <c r="L405" s="56" t="s">
        <v>239</v>
      </c>
    </row>
    <row r="406" spans="1:12" ht="15.75" customHeight="1" x14ac:dyDescent="0.25">
      <c r="A406" s="51" t="s">
        <v>225</v>
      </c>
      <c r="B406" s="52" t="s">
        <v>560</v>
      </c>
      <c r="C406" s="53">
        <v>496</v>
      </c>
      <c r="D406" s="54" t="s">
        <v>679</v>
      </c>
      <c r="E406" s="53">
        <v>496</v>
      </c>
      <c r="F406" s="54" t="s">
        <v>218</v>
      </c>
      <c r="G406" s="54" t="s">
        <v>4</v>
      </c>
      <c r="H406" s="53" t="s">
        <v>0</v>
      </c>
      <c r="I406" s="53" t="s">
        <v>17</v>
      </c>
      <c r="J406" s="55" t="s">
        <v>236</v>
      </c>
      <c r="K406" s="54" t="s">
        <v>10</v>
      </c>
      <c r="L406" s="56" t="s">
        <v>239</v>
      </c>
    </row>
    <row r="407" spans="1:12" ht="15.75" customHeight="1" x14ac:dyDescent="0.25">
      <c r="A407" s="51" t="s">
        <v>225</v>
      </c>
      <c r="B407" s="52" t="s">
        <v>562</v>
      </c>
      <c r="C407" s="53">
        <v>497</v>
      </c>
      <c r="D407" s="54" t="s">
        <v>680</v>
      </c>
      <c r="E407" s="53">
        <v>497</v>
      </c>
      <c r="F407" s="54" t="s">
        <v>218</v>
      </c>
      <c r="G407" s="54" t="s">
        <v>4</v>
      </c>
      <c r="H407" s="53" t="s">
        <v>0</v>
      </c>
      <c r="I407" s="53" t="s">
        <v>17</v>
      </c>
      <c r="J407" s="55" t="s">
        <v>236</v>
      </c>
      <c r="K407" s="54" t="s">
        <v>7</v>
      </c>
      <c r="L407" s="56" t="s">
        <v>239</v>
      </c>
    </row>
    <row r="408" spans="1:12" ht="15.75" customHeight="1" x14ac:dyDescent="0.25">
      <c r="A408" s="51" t="s">
        <v>225</v>
      </c>
      <c r="B408" s="52" t="s">
        <v>564</v>
      </c>
      <c r="C408" s="53">
        <v>498</v>
      </c>
      <c r="D408" s="54" t="s">
        <v>681</v>
      </c>
      <c r="E408" s="53">
        <v>498</v>
      </c>
      <c r="F408" s="54" t="s">
        <v>218</v>
      </c>
      <c r="G408" s="54" t="s">
        <v>4</v>
      </c>
      <c r="H408" s="53" t="s">
        <v>0</v>
      </c>
      <c r="I408" s="53" t="s">
        <v>17</v>
      </c>
      <c r="J408" s="55" t="s">
        <v>236</v>
      </c>
      <c r="K408" s="54" t="s">
        <v>13</v>
      </c>
      <c r="L408" s="56" t="s">
        <v>239</v>
      </c>
    </row>
    <row r="409" spans="1:12" ht="15.75" customHeight="1" x14ac:dyDescent="0.25">
      <c r="A409" s="51" t="s">
        <v>225</v>
      </c>
      <c r="B409" s="52" t="s">
        <v>566</v>
      </c>
      <c r="C409" s="53">
        <v>499</v>
      </c>
      <c r="D409" s="54" t="s">
        <v>682</v>
      </c>
      <c r="E409" s="53">
        <v>499</v>
      </c>
      <c r="F409" s="54" t="s">
        <v>218</v>
      </c>
      <c r="G409" s="54" t="s">
        <v>4</v>
      </c>
      <c r="H409" s="53" t="s">
        <v>0</v>
      </c>
      <c r="I409" s="53" t="s">
        <v>17</v>
      </c>
      <c r="J409" s="55" t="s">
        <v>236</v>
      </c>
      <c r="K409" s="54" t="s">
        <v>8</v>
      </c>
      <c r="L409" s="56" t="s">
        <v>239</v>
      </c>
    </row>
    <row r="410" spans="1:12" ht="15.75" customHeight="1" x14ac:dyDescent="0.25">
      <c r="A410" s="51" t="s">
        <v>225</v>
      </c>
      <c r="B410" s="52" t="s">
        <v>568</v>
      </c>
      <c r="C410" s="53">
        <v>500</v>
      </c>
      <c r="D410" s="54" t="s">
        <v>683</v>
      </c>
      <c r="E410" s="53">
        <v>500</v>
      </c>
      <c r="F410" s="54" t="s">
        <v>218</v>
      </c>
      <c r="G410" s="54" t="s">
        <v>4</v>
      </c>
      <c r="H410" s="53" t="s">
        <v>0</v>
      </c>
      <c r="I410" s="53" t="s">
        <v>17</v>
      </c>
      <c r="J410" s="55" t="s">
        <v>236</v>
      </c>
      <c r="K410" s="54" t="s">
        <v>9</v>
      </c>
      <c r="L410" s="56" t="s">
        <v>239</v>
      </c>
    </row>
    <row r="411" spans="1:12" ht="15.75" customHeight="1" x14ac:dyDescent="0.25">
      <c r="A411" s="51" t="s">
        <v>225</v>
      </c>
      <c r="B411" s="52" t="s">
        <v>570</v>
      </c>
      <c r="C411" s="53">
        <v>501</v>
      </c>
      <c r="D411" s="54" t="s">
        <v>684</v>
      </c>
      <c r="E411" s="53">
        <v>501</v>
      </c>
      <c r="F411" s="54" t="s">
        <v>218</v>
      </c>
      <c r="G411" s="54" t="s">
        <v>4</v>
      </c>
      <c r="H411" s="53" t="s">
        <v>0</v>
      </c>
      <c r="I411" s="53" t="s">
        <v>17</v>
      </c>
      <c r="J411" s="55" t="s">
        <v>236</v>
      </c>
      <c r="K411" s="54" t="s">
        <v>12</v>
      </c>
      <c r="L411" s="56" t="s">
        <v>239</v>
      </c>
    </row>
    <row r="412" spans="1:12" ht="15.75" customHeight="1" x14ac:dyDescent="0.25">
      <c r="A412" s="51" t="s">
        <v>225</v>
      </c>
      <c r="B412" s="52" t="s">
        <v>572</v>
      </c>
      <c r="C412" s="53">
        <v>502</v>
      </c>
      <c r="D412" s="54" t="s">
        <v>685</v>
      </c>
      <c r="E412" s="53">
        <v>502</v>
      </c>
      <c r="F412" s="54" t="s">
        <v>218</v>
      </c>
      <c r="G412" s="54" t="s">
        <v>4</v>
      </c>
      <c r="H412" s="53" t="s">
        <v>0</v>
      </c>
      <c r="I412" s="53" t="s">
        <v>17</v>
      </c>
      <c r="J412" s="55" t="s">
        <v>236</v>
      </c>
      <c r="K412" s="54" t="s">
        <v>11</v>
      </c>
      <c r="L412" s="56" t="s">
        <v>239</v>
      </c>
    </row>
    <row r="413" spans="1:12" ht="15.75" customHeight="1" x14ac:dyDescent="0.25">
      <c r="A413" s="51" t="s">
        <v>225</v>
      </c>
      <c r="B413" s="52" t="s">
        <v>546</v>
      </c>
      <c r="C413" s="53">
        <v>531</v>
      </c>
      <c r="D413" s="54" t="s">
        <v>686</v>
      </c>
      <c r="E413" s="53">
        <v>531</v>
      </c>
      <c r="F413" s="54" t="s">
        <v>218</v>
      </c>
      <c r="G413" s="54" t="s">
        <v>4</v>
      </c>
      <c r="H413" s="53" t="s">
        <v>1</v>
      </c>
      <c r="I413" s="53" t="s">
        <v>15</v>
      </c>
      <c r="J413" s="55" t="s">
        <v>236</v>
      </c>
      <c r="K413" s="54" t="s">
        <v>10</v>
      </c>
      <c r="L413" s="56" t="s">
        <v>239</v>
      </c>
    </row>
    <row r="414" spans="1:12" ht="15.75" customHeight="1" x14ac:dyDescent="0.25">
      <c r="A414" s="51" t="s">
        <v>225</v>
      </c>
      <c r="B414" s="52" t="s">
        <v>548</v>
      </c>
      <c r="C414" s="53">
        <v>532</v>
      </c>
      <c r="D414" s="54" t="s">
        <v>687</v>
      </c>
      <c r="E414" s="53">
        <v>532</v>
      </c>
      <c r="F414" s="54" t="s">
        <v>218</v>
      </c>
      <c r="G414" s="54" t="s">
        <v>4</v>
      </c>
      <c r="H414" s="53" t="s">
        <v>1</v>
      </c>
      <c r="I414" s="53" t="s">
        <v>15</v>
      </c>
      <c r="J414" s="55" t="s">
        <v>236</v>
      </c>
      <c r="K414" s="54" t="s">
        <v>7</v>
      </c>
      <c r="L414" s="56" t="s">
        <v>239</v>
      </c>
    </row>
    <row r="415" spans="1:12" ht="15.75" customHeight="1" x14ac:dyDescent="0.25">
      <c r="A415" s="51" t="s">
        <v>225</v>
      </c>
      <c r="B415" s="52" t="s">
        <v>550</v>
      </c>
      <c r="C415" s="53">
        <v>533</v>
      </c>
      <c r="D415" s="54" t="s">
        <v>688</v>
      </c>
      <c r="E415" s="53">
        <v>533</v>
      </c>
      <c r="F415" s="54" t="s">
        <v>218</v>
      </c>
      <c r="G415" s="54" t="s">
        <v>4</v>
      </c>
      <c r="H415" s="53" t="s">
        <v>1</v>
      </c>
      <c r="I415" s="53" t="s">
        <v>15</v>
      </c>
      <c r="J415" s="55" t="s">
        <v>236</v>
      </c>
      <c r="K415" s="54" t="s">
        <v>13</v>
      </c>
      <c r="L415" s="56" t="s">
        <v>239</v>
      </c>
    </row>
    <row r="416" spans="1:12" ht="15.75" customHeight="1" x14ac:dyDescent="0.25">
      <c r="A416" s="51" t="s">
        <v>225</v>
      </c>
      <c r="B416" s="52" t="s">
        <v>552</v>
      </c>
      <c r="C416" s="53">
        <v>534</v>
      </c>
      <c r="D416" s="54" t="s">
        <v>689</v>
      </c>
      <c r="E416" s="53">
        <v>534</v>
      </c>
      <c r="F416" s="54" t="s">
        <v>218</v>
      </c>
      <c r="G416" s="54" t="s">
        <v>4</v>
      </c>
      <c r="H416" s="53" t="s">
        <v>1</v>
      </c>
      <c r="I416" s="53" t="s">
        <v>15</v>
      </c>
      <c r="J416" s="55" t="s">
        <v>236</v>
      </c>
      <c r="K416" s="54" t="s">
        <v>8</v>
      </c>
      <c r="L416" s="56" t="s">
        <v>239</v>
      </c>
    </row>
    <row r="417" spans="1:12" ht="15.75" customHeight="1" x14ac:dyDescent="0.25">
      <c r="A417" s="51" t="s">
        <v>225</v>
      </c>
      <c r="B417" s="52" t="s">
        <v>554</v>
      </c>
      <c r="C417" s="53">
        <v>535</v>
      </c>
      <c r="D417" s="54" t="s">
        <v>690</v>
      </c>
      <c r="E417" s="53">
        <v>535</v>
      </c>
      <c r="F417" s="54" t="s">
        <v>218</v>
      </c>
      <c r="G417" s="54" t="s">
        <v>4</v>
      </c>
      <c r="H417" s="53" t="s">
        <v>1</v>
      </c>
      <c r="I417" s="53" t="s">
        <v>15</v>
      </c>
      <c r="J417" s="55" t="s">
        <v>236</v>
      </c>
      <c r="K417" s="54" t="s">
        <v>9</v>
      </c>
      <c r="L417" s="56" t="s">
        <v>239</v>
      </c>
    </row>
    <row r="418" spans="1:12" ht="15.75" customHeight="1" x14ac:dyDescent="0.25">
      <c r="A418" s="51" t="s">
        <v>225</v>
      </c>
      <c r="B418" s="52" t="s">
        <v>556</v>
      </c>
      <c r="C418" s="53">
        <v>536</v>
      </c>
      <c r="D418" s="54" t="s">
        <v>691</v>
      </c>
      <c r="E418" s="53">
        <v>536</v>
      </c>
      <c r="F418" s="54" t="s">
        <v>218</v>
      </c>
      <c r="G418" s="54" t="s">
        <v>4</v>
      </c>
      <c r="H418" s="53" t="s">
        <v>1</v>
      </c>
      <c r="I418" s="53" t="s">
        <v>15</v>
      </c>
      <c r="J418" s="55" t="s">
        <v>236</v>
      </c>
      <c r="K418" s="54" t="s">
        <v>12</v>
      </c>
      <c r="L418" s="56" t="s">
        <v>239</v>
      </c>
    </row>
    <row r="419" spans="1:12" ht="15.75" customHeight="1" x14ac:dyDescent="0.25">
      <c r="A419" s="51" t="s">
        <v>225</v>
      </c>
      <c r="B419" s="52" t="s">
        <v>558</v>
      </c>
      <c r="C419" s="53">
        <v>537</v>
      </c>
      <c r="D419" s="54" t="s">
        <v>692</v>
      </c>
      <c r="E419" s="53">
        <v>537</v>
      </c>
      <c r="F419" s="54" t="s">
        <v>218</v>
      </c>
      <c r="G419" s="54" t="s">
        <v>4</v>
      </c>
      <c r="H419" s="53" t="s">
        <v>1</v>
      </c>
      <c r="I419" s="53" t="s">
        <v>15</v>
      </c>
      <c r="J419" s="55" t="s">
        <v>236</v>
      </c>
      <c r="K419" s="54" t="s">
        <v>11</v>
      </c>
      <c r="L419" s="56" t="s">
        <v>239</v>
      </c>
    </row>
    <row r="420" spans="1:12" ht="15.75" customHeight="1" x14ac:dyDescent="0.25">
      <c r="A420" s="51" t="s">
        <v>225</v>
      </c>
      <c r="B420" s="52" t="s">
        <v>560</v>
      </c>
      <c r="C420" s="53">
        <v>566</v>
      </c>
      <c r="D420" s="54" t="s">
        <v>693</v>
      </c>
      <c r="E420" s="53">
        <v>566</v>
      </c>
      <c r="F420" s="54" t="s">
        <v>218</v>
      </c>
      <c r="G420" s="54" t="s">
        <v>4</v>
      </c>
      <c r="H420" s="53" t="s">
        <v>1</v>
      </c>
      <c r="I420" s="53" t="s">
        <v>17</v>
      </c>
      <c r="J420" s="55" t="s">
        <v>236</v>
      </c>
      <c r="K420" s="54" t="s">
        <v>10</v>
      </c>
      <c r="L420" s="56" t="s">
        <v>239</v>
      </c>
    </row>
    <row r="421" spans="1:12" ht="15.75" customHeight="1" x14ac:dyDescent="0.25">
      <c r="A421" s="51" t="s">
        <v>225</v>
      </c>
      <c r="B421" s="52" t="s">
        <v>562</v>
      </c>
      <c r="C421" s="53">
        <v>567</v>
      </c>
      <c r="D421" s="54" t="s">
        <v>694</v>
      </c>
      <c r="E421" s="53">
        <v>567</v>
      </c>
      <c r="F421" s="54" t="s">
        <v>218</v>
      </c>
      <c r="G421" s="54" t="s">
        <v>4</v>
      </c>
      <c r="H421" s="53" t="s">
        <v>1</v>
      </c>
      <c r="I421" s="53" t="s">
        <v>17</v>
      </c>
      <c r="J421" s="55" t="s">
        <v>236</v>
      </c>
      <c r="K421" s="54" t="s">
        <v>7</v>
      </c>
      <c r="L421" s="56" t="s">
        <v>239</v>
      </c>
    </row>
    <row r="422" spans="1:12" ht="15.75" customHeight="1" x14ac:dyDescent="0.25">
      <c r="A422" s="51" t="s">
        <v>225</v>
      </c>
      <c r="B422" s="52" t="s">
        <v>564</v>
      </c>
      <c r="C422" s="53">
        <v>568</v>
      </c>
      <c r="D422" s="54" t="s">
        <v>695</v>
      </c>
      <c r="E422" s="53">
        <v>568</v>
      </c>
      <c r="F422" s="54" t="s">
        <v>218</v>
      </c>
      <c r="G422" s="54" t="s">
        <v>4</v>
      </c>
      <c r="H422" s="53" t="s">
        <v>1</v>
      </c>
      <c r="I422" s="53" t="s">
        <v>17</v>
      </c>
      <c r="J422" s="55" t="s">
        <v>236</v>
      </c>
      <c r="K422" s="54" t="s">
        <v>13</v>
      </c>
      <c r="L422" s="56" t="s">
        <v>239</v>
      </c>
    </row>
    <row r="423" spans="1:12" ht="15.75" customHeight="1" x14ac:dyDescent="0.25">
      <c r="A423" s="51" t="s">
        <v>225</v>
      </c>
      <c r="B423" s="52" t="s">
        <v>566</v>
      </c>
      <c r="C423" s="53">
        <v>569</v>
      </c>
      <c r="D423" s="54" t="s">
        <v>696</v>
      </c>
      <c r="E423" s="53">
        <v>569</v>
      </c>
      <c r="F423" s="54" t="s">
        <v>218</v>
      </c>
      <c r="G423" s="54" t="s">
        <v>4</v>
      </c>
      <c r="H423" s="53" t="s">
        <v>1</v>
      </c>
      <c r="I423" s="53" t="s">
        <v>17</v>
      </c>
      <c r="J423" s="55" t="s">
        <v>236</v>
      </c>
      <c r="K423" s="54" t="s">
        <v>8</v>
      </c>
      <c r="L423" s="56" t="s">
        <v>239</v>
      </c>
    </row>
    <row r="424" spans="1:12" ht="15.75" customHeight="1" x14ac:dyDescent="0.25">
      <c r="A424" s="51" t="s">
        <v>225</v>
      </c>
      <c r="B424" s="52" t="s">
        <v>568</v>
      </c>
      <c r="C424" s="53">
        <v>570</v>
      </c>
      <c r="D424" s="54" t="s">
        <v>697</v>
      </c>
      <c r="E424" s="53">
        <v>570</v>
      </c>
      <c r="F424" s="54" t="s">
        <v>218</v>
      </c>
      <c r="G424" s="54" t="s">
        <v>4</v>
      </c>
      <c r="H424" s="53" t="s">
        <v>1</v>
      </c>
      <c r="I424" s="53" t="s">
        <v>17</v>
      </c>
      <c r="J424" s="55" t="s">
        <v>236</v>
      </c>
      <c r="K424" s="54" t="s">
        <v>9</v>
      </c>
      <c r="L424" s="56" t="s">
        <v>239</v>
      </c>
    </row>
    <row r="425" spans="1:12" ht="15.75" customHeight="1" x14ac:dyDescent="0.25">
      <c r="A425" s="51" t="s">
        <v>225</v>
      </c>
      <c r="B425" s="52" t="s">
        <v>570</v>
      </c>
      <c r="C425" s="53">
        <v>571</v>
      </c>
      <c r="D425" s="54" t="s">
        <v>698</v>
      </c>
      <c r="E425" s="53">
        <v>571</v>
      </c>
      <c r="F425" s="54" t="s">
        <v>218</v>
      </c>
      <c r="G425" s="54" t="s">
        <v>4</v>
      </c>
      <c r="H425" s="53" t="s">
        <v>1</v>
      </c>
      <c r="I425" s="53" t="s">
        <v>17</v>
      </c>
      <c r="J425" s="55" t="s">
        <v>236</v>
      </c>
      <c r="K425" s="54" t="s">
        <v>12</v>
      </c>
      <c r="L425" s="56" t="s">
        <v>239</v>
      </c>
    </row>
    <row r="426" spans="1:12" ht="15.75" customHeight="1" x14ac:dyDescent="0.25">
      <c r="A426" s="51" t="s">
        <v>225</v>
      </c>
      <c r="B426" s="52" t="s">
        <v>572</v>
      </c>
      <c r="C426" s="53">
        <v>572</v>
      </c>
      <c r="D426" s="54" t="s">
        <v>699</v>
      </c>
      <c r="E426" s="53">
        <v>572</v>
      </c>
      <c r="F426" s="54" t="s">
        <v>218</v>
      </c>
      <c r="G426" s="54" t="s">
        <v>4</v>
      </c>
      <c r="H426" s="53" t="s">
        <v>1</v>
      </c>
      <c r="I426" s="53" t="s">
        <v>17</v>
      </c>
      <c r="J426" s="55" t="s">
        <v>236</v>
      </c>
      <c r="K426" s="54" t="s">
        <v>11</v>
      </c>
      <c r="L426" s="56" t="s">
        <v>239</v>
      </c>
    </row>
    <row r="427" spans="1:12" ht="15.75" customHeight="1" x14ac:dyDescent="0.25">
      <c r="A427" s="51" t="s">
        <v>225</v>
      </c>
      <c r="B427" s="52" t="s">
        <v>700</v>
      </c>
      <c r="C427" s="53">
        <v>622</v>
      </c>
      <c r="D427" s="54" t="s">
        <v>701</v>
      </c>
      <c r="E427" s="53">
        <v>622</v>
      </c>
      <c r="F427" s="54" t="s">
        <v>218</v>
      </c>
      <c r="G427" s="54" t="s">
        <v>5</v>
      </c>
      <c r="H427" s="53" t="s">
        <v>0</v>
      </c>
      <c r="I427" s="53" t="s">
        <v>15</v>
      </c>
      <c r="J427" s="55" t="s">
        <v>230</v>
      </c>
      <c r="K427" s="54" t="s">
        <v>10</v>
      </c>
      <c r="L427" s="56" t="s">
        <v>239</v>
      </c>
    </row>
    <row r="428" spans="1:12" ht="15.75" customHeight="1" x14ac:dyDescent="0.25">
      <c r="A428" s="51" t="s">
        <v>225</v>
      </c>
      <c r="B428" s="52" t="s">
        <v>702</v>
      </c>
      <c r="C428" s="53">
        <v>623</v>
      </c>
      <c r="D428" s="54" t="s">
        <v>703</v>
      </c>
      <c r="E428" s="53">
        <v>623</v>
      </c>
      <c r="F428" s="54" t="s">
        <v>218</v>
      </c>
      <c r="G428" s="54" t="s">
        <v>5</v>
      </c>
      <c r="H428" s="53" t="s">
        <v>0</v>
      </c>
      <c r="I428" s="53" t="s">
        <v>15</v>
      </c>
      <c r="J428" s="55" t="s">
        <v>230</v>
      </c>
      <c r="K428" s="54" t="s">
        <v>7</v>
      </c>
      <c r="L428" s="56" t="s">
        <v>239</v>
      </c>
    </row>
    <row r="429" spans="1:12" ht="15.75" customHeight="1" x14ac:dyDescent="0.25">
      <c r="A429" s="51" t="s">
        <v>225</v>
      </c>
      <c r="B429" s="52" t="s">
        <v>704</v>
      </c>
      <c r="C429" s="53">
        <v>624</v>
      </c>
      <c r="D429" s="54" t="s">
        <v>705</v>
      </c>
      <c r="E429" s="53">
        <v>624</v>
      </c>
      <c r="F429" s="54" t="s">
        <v>218</v>
      </c>
      <c r="G429" s="54" t="s">
        <v>5</v>
      </c>
      <c r="H429" s="53" t="s">
        <v>0</v>
      </c>
      <c r="I429" s="53" t="s">
        <v>15</v>
      </c>
      <c r="J429" s="55" t="s">
        <v>230</v>
      </c>
      <c r="K429" s="54" t="s">
        <v>13</v>
      </c>
      <c r="L429" s="56" t="s">
        <v>239</v>
      </c>
    </row>
    <row r="430" spans="1:12" ht="15.75" customHeight="1" x14ac:dyDescent="0.25">
      <c r="A430" s="51" t="s">
        <v>225</v>
      </c>
      <c r="B430" s="52" t="s">
        <v>706</v>
      </c>
      <c r="C430" s="53">
        <v>625</v>
      </c>
      <c r="D430" s="54" t="s">
        <v>707</v>
      </c>
      <c r="E430" s="53">
        <v>625</v>
      </c>
      <c r="F430" s="54" t="s">
        <v>218</v>
      </c>
      <c r="G430" s="54" t="s">
        <v>5</v>
      </c>
      <c r="H430" s="53" t="s">
        <v>0</v>
      </c>
      <c r="I430" s="53" t="s">
        <v>15</v>
      </c>
      <c r="J430" s="55" t="s">
        <v>230</v>
      </c>
      <c r="K430" s="54" t="s">
        <v>8</v>
      </c>
      <c r="L430" s="56" t="s">
        <v>239</v>
      </c>
    </row>
    <row r="431" spans="1:12" ht="15.75" customHeight="1" x14ac:dyDescent="0.25">
      <c r="A431" s="51" t="s">
        <v>225</v>
      </c>
      <c r="B431" s="52" t="s">
        <v>708</v>
      </c>
      <c r="C431" s="53">
        <v>626</v>
      </c>
      <c r="D431" s="54" t="s">
        <v>709</v>
      </c>
      <c r="E431" s="53">
        <v>626</v>
      </c>
      <c r="F431" s="54" t="s">
        <v>218</v>
      </c>
      <c r="G431" s="54" t="s">
        <v>5</v>
      </c>
      <c r="H431" s="53" t="s">
        <v>0</v>
      </c>
      <c r="I431" s="53" t="s">
        <v>15</v>
      </c>
      <c r="J431" s="55" t="s">
        <v>230</v>
      </c>
      <c r="K431" s="54" t="s">
        <v>9</v>
      </c>
      <c r="L431" s="56" t="s">
        <v>239</v>
      </c>
    </row>
    <row r="432" spans="1:12" ht="15.75" customHeight="1" x14ac:dyDescent="0.25">
      <c r="A432" s="51" t="s">
        <v>225</v>
      </c>
      <c r="B432" s="52" t="s">
        <v>710</v>
      </c>
      <c r="C432" s="53">
        <v>627</v>
      </c>
      <c r="D432" s="54" t="s">
        <v>711</v>
      </c>
      <c r="E432" s="53">
        <v>627</v>
      </c>
      <c r="F432" s="54" t="s">
        <v>218</v>
      </c>
      <c r="G432" s="54" t="s">
        <v>5</v>
      </c>
      <c r="H432" s="53" t="s">
        <v>0</v>
      </c>
      <c r="I432" s="53" t="s">
        <v>15</v>
      </c>
      <c r="J432" s="55" t="s">
        <v>230</v>
      </c>
      <c r="K432" s="54" t="s">
        <v>12</v>
      </c>
      <c r="L432" s="56" t="s">
        <v>239</v>
      </c>
    </row>
    <row r="433" spans="1:12" ht="15.75" customHeight="1" x14ac:dyDescent="0.25">
      <c r="A433" s="51" t="s">
        <v>225</v>
      </c>
      <c r="B433" s="52" t="s">
        <v>712</v>
      </c>
      <c r="C433" s="53">
        <v>628</v>
      </c>
      <c r="D433" s="54" t="s">
        <v>713</v>
      </c>
      <c r="E433" s="53">
        <v>628</v>
      </c>
      <c r="F433" s="54" t="s">
        <v>218</v>
      </c>
      <c r="G433" s="54" t="s">
        <v>5</v>
      </c>
      <c r="H433" s="53" t="s">
        <v>0</v>
      </c>
      <c r="I433" s="53" t="s">
        <v>15</v>
      </c>
      <c r="J433" s="55" t="s">
        <v>230</v>
      </c>
      <c r="K433" s="54" t="s">
        <v>11</v>
      </c>
      <c r="L433" s="56" t="s">
        <v>239</v>
      </c>
    </row>
    <row r="434" spans="1:12" ht="15.75" customHeight="1" x14ac:dyDescent="0.25">
      <c r="A434" s="51" t="s">
        <v>225</v>
      </c>
      <c r="B434" s="52" t="s">
        <v>714</v>
      </c>
      <c r="C434" s="53">
        <v>657</v>
      </c>
      <c r="D434" s="54" t="s">
        <v>715</v>
      </c>
      <c r="E434" s="53">
        <v>657</v>
      </c>
      <c r="F434" s="54" t="s">
        <v>218</v>
      </c>
      <c r="G434" s="54" t="s">
        <v>5</v>
      </c>
      <c r="H434" s="53" t="s">
        <v>0</v>
      </c>
      <c r="I434" s="53" t="s">
        <v>17</v>
      </c>
      <c r="J434" s="55" t="s">
        <v>230</v>
      </c>
      <c r="K434" s="54" t="s">
        <v>10</v>
      </c>
      <c r="L434" s="56" t="s">
        <v>239</v>
      </c>
    </row>
    <row r="435" spans="1:12" ht="15.75" customHeight="1" x14ac:dyDescent="0.25">
      <c r="A435" s="51" t="s">
        <v>225</v>
      </c>
      <c r="B435" s="52" t="s">
        <v>716</v>
      </c>
      <c r="C435" s="53">
        <v>658</v>
      </c>
      <c r="D435" s="54" t="s">
        <v>717</v>
      </c>
      <c r="E435" s="53">
        <v>658</v>
      </c>
      <c r="F435" s="54" t="s">
        <v>218</v>
      </c>
      <c r="G435" s="54" t="s">
        <v>5</v>
      </c>
      <c r="H435" s="53" t="s">
        <v>0</v>
      </c>
      <c r="I435" s="53" t="s">
        <v>17</v>
      </c>
      <c r="J435" s="55" t="s">
        <v>230</v>
      </c>
      <c r="K435" s="54" t="s">
        <v>7</v>
      </c>
      <c r="L435" s="56" t="s">
        <v>239</v>
      </c>
    </row>
    <row r="436" spans="1:12" ht="15.75" customHeight="1" x14ac:dyDescent="0.25">
      <c r="A436" s="51" t="s">
        <v>225</v>
      </c>
      <c r="B436" s="52" t="s">
        <v>718</v>
      </c>
      <c r="C436" s="53">
        <v>659</v>
      </c>
      <c r="D436" s="54" t="s">
        <v>719</v>
      </c>
      <c r="E436" s="53">
        <v>659</v>
      </c>
      <c r="F436" s="54" t="s">
        <v>218</v>
      </c>
      <c r="G436" s="54" t="s">
        <v>5</v>
      </c>
      <c r="H436" s="53" t="s">
        <v>0</v>
      </c>
      <c r="I436" s="53" t="s">
        <v>17</v>
      </c>
      <c r="J436" s="55" t="s">
        <v>230</v>
      </c>
      <c r="K436" s="54" t="s">
        <v>13</v>
      </c>
      <c r="L436" s="56" t="s">
        <v>239</v>
      </c>
    </row>
    <row r="437" spans="1:12" ht="15.75" customHeight="1" x14ac:dyDescent="0.25">
      <c r="A437" s="51" t="s">
        <v>225</v>
      </c>
      <c r="B437" s="52" t="s">
        <v>720</v>
      </c>
      <c r="C437" s="53">
        <v>660</v>
      </c>
      <c r="D437" s="54" t="s">
        <v>721</v>
      </c>
      <c r="E437" s="53">
        <v>660</v>
      </c>
      <c r="F437" s="54" t="s">
        <v>218</v>
      </c>
      <c r="G437" s="54" t="s">
        <v>5</v>
      </c>
      <c r="H437" s="53" t="s">
        <v>0</v>
      </c>
      <c r="I437" s="53" t="s">
        <v>17</v>
      </c>
      <c r="J437" s="55" t="s">
        <v>230</v>
      </c>
      <c r="K437" s="54" t="s">
        <v>8</v>
      </c>
      <c r="L437" s="56" t="s">
        <v>239</v>
      </c>
    </row>
    <row r="438" spans="1:12" ht="15.75" customHeight="1" x14ac:dyDescent="0.25">
      <c r="A438" s="51" t="s">
        <v>225</v>
      </c>
      <c r="B438" s="52" t="s">
        <v>722</v>
      </c>
      <c r="C438" s="53">
        <v>661</v>
      </c>
      <c r="D438" s="54" t="s">
        <v>723</v>
      </c>
      <c r="E438" s="53">
        <v>661</v>
      </c>
      <c r="F438" s="54" t="s">
        <v>218</v>
      </c>
      <c r="G438" s="54" t="s">
        <v>5</v>
      </c>
      <c r="H438" s="53" t="s">
        <v>0</v>
      </c>
      <c r="I438" s="53" t="s">
        <v>17</v>
      </c>
      <c r="J438" s="55" t="s">
        <v>230</v>
      </c>
      <c r="K438" s="54" t="s">
        <v>9</v>
      </c>
      <c r="L438" s="56" t="s">
        <v>239</v>
      </c>
    </row>
    <row r="439" spans="1:12" ht="15.75" customHeight="1" x14ac:dyDescent="0.25">
      <c r="A439" s="51" t="s">
        <v>225</v>
      </c>
      <c r="B439" s="52" t="s">
        <v>724</v>
      </c>
      <c r="C439" s="53">
        <v>662</v>
      </c>
      <c r="D439" s="54" t="s">
        <v>725</v>
      </c>
      <c r="E439" s="53">
        <v>662</v>
      </c>
      <c r="F439" s="54" t="s">
        <v>218</v>
      </c>
      <c r="G439" s="54" t="s">
        <v>5</v>
      </c>
      <c r="H439" s="53" t="s">
        <v>0</v>
      </c>
      <c r="I439" s="53" t="s">
        <v>17</v>
      </c>
      <c r="J439" s="55" t="s">
        <v>230</v>
      </c>
      <c r="K439" s="54" t="s">
        <v>12</v>
      </c>
      <c r="L439" s="56" t="s">
        <v>239</v>
      </c>
    </row>
    <row r="440" spans="1:12" ht="15.75" customHeight="1" x14ac:dyDescent="0.25">
      <c r="A440" s="51" t="s">
        <v>225</v>
      </c>
      <c r="B440" s="52" t="s">
        <v>726</v>
      </c>
      <c r="C440" s="53">
        <v>663</v>
      </c>
      <c r="D440" s="54" t="s">
        <v>727</v>
      </c>
      <c r="E440" s="53">
        <v>663</v>
      </c>
      <c r="F440" s="54" t="s">
        <v>218</v>
      </c>
      <c r="G440" s="54" t="s">
        <v>5</v>
      </c>
      <c r="H440" s="53" t="s">
        <v>0</v>
      </c>
      <c r="I440" s="53" t="s">
        <v>17</v>
      </c>
      <c r="J440" s="55" t="s">
        <v>230</v>
      </c>
      <c r="K440" s="54" t="s">
        <v>11</v>
      </c>
      <c r="L440" s="56" t="s">
        <v>239</v>
      </c>
    </row>
    <row r="441" spans="1:12" ht="15.75" customHeight="1" x14ac:dyDescent="0.25">
      <c r="A441" s="51" t="s">
        <v>225</v>
      </c>
      <c r="B441" s="52" t="s">
        <v>700</v>
      </c>
      <c r="C441" s="53">
        <v>692</v>
      </c>
      <c r="D441" s="54" t="s">
        <v>728</v>
      </c>
      <c r="E441" s="53">
        <v>692</v>
      </c>
      <c r="F441" s="54" t="s">
        <v>218</v>
      </c>
      <c r="G441" s="54" t="s">
        <v>5</v>
      </c>
      <c r="H441" s="53" t="s">
        <v>1</v>
      </c>
      <c r="I441" s="53" t="s">
        <v>15</v>
      </c>
      <c r="J441" s="55" t="s">
        <v>230</v>
      </c>
      <c r="K441" s="54" t="s">
        <v>10</v>
      </c>
      <c r="L441" s="56" t="s">
        <v>239</v>
      </c>
    </row>
    <row r="442" spans="1:12" ht="15.75" customHeight="1" x14ac:dyDescent="0.25">
      <c r="A442" s="51" t="s">
        <v>225</v>
      </c>
      <c r="B442" s="52" t="s">
        <v>702</v>
      </c>
      <c r="C442" s="53">
        <v>693</v>
      </c>
      <c r="D442" s="54" t="s">
        <v>729</v>
      </c>
      <c r="E442" s="53">
        <v>693</v>
      </c>
      <c r="F442" s="54" t="s">
        <v>218</v>
      </c>
      <c r="G442" s="54" t="s">
        <v>5</v>
      </c>
      <c r="H442" s="53" t="s">
        <v>1</v>
      </c>
      <c r="I442" s="53" t="s">
        <v>15</v>
      </c>
      <c r="J442" s="55" t="s">
        <v>230</v>
      </c>
      <c r="K442" s="54" t="s">
        <v>7</v>
      </c>
      <c r="L442" s="56" t="s">
        <v>239</v>
      </c>
    </row>
    <row r="443" spans="1:12" ht="15.75" customHeight="1" x14ac:dyDescent="0.25">
      <c r="A443" s="51" t="s">
        <v>225</v>
      </c>
      <c r="B443" s="52" t="s">
        <v>704</v>
      </c>
      <c r="C443" s="53">
        <v>694</v>
      </c>
      <c r="D443" s="54" t="s">
        <v>730</v>
      </c>
      <c r="E443" s="53">
        <v>694</v>
      </c>
      <c r="F443" s="54" t="s">
        <v>218</v>
      </c>
      <c r="G443" s="54" t="s">
        <v>5</v>
      </c>
      <c r="H443" s="53" t="s">
        <v>1</v>
      </c>
      <c r="I443" s="53" t="s">
        <v>15</v>
      </c>
      <c r="J443" s="55" t="s">
        <v>230</v>
      </c>
      <c r="K443" s="54" t="s">
        <v>13</v>
      </c>
      <c r="L443" s="56" t="s">
        <v>239</v>
      </c>
    </row>
    <row r="444" spans="1:12" ht="15.75" customHeight="1" x14ac:dyDescent="0.25">
      <c r="A444" s="51" t="s">
        <v>225</v>
      </c>
      <c r="B444" s="52" t="s">
        <v>706</v>
      </c>
      <c r="C444" s="53">
        <v>695</v>
      </c>
      <c r="D444" s="54" t="s">
        <v>731</v>
      </c>
      <c r="E444" s="53">
        <v>695</v>
      </c>
      <c r="F444" s="54" t="s">
        <v>218</v>
      </c>
      <c r="G444" s="54" t="s">
        <v>5</v>
      </c>
      <c r="H444" s="53" t="s">
        <v>1</v>
      </c>
      <c r="I444" s="53" t="s">
        <v>15</v>
      </c>
      <c r="J444" s="55" t="s">
        <v>230</v>
      </c>
      <c r="K444" s="54" t="s">
        <v>8</v>
      </c>
      <c r="L444" s="56" t="s">
        <v>239</v>
      </c>
    </row>
    <row r="445" spans="1:12" ht="15.75" customHeight="1" x14ac:dyDescent="0.25">
      <c r="A445" s="51" t="s">
        <v>225</v>
      </c>
      <c r="B445" s="52" t="s">
        <v>708</v>
      </c>
      <c r="C445" s="53">
        <v>696</v>
      </c>
      <c r="D445" s="54" t="s">
        <v>732</v>
      </c>
      <c r="E445" s="53">
        <v>696</v>
      </c>
      <c r="F445" s="54" t="s">
        <v>218</v>
      </c>
      <c r="G445" s="54" t="s">
        <v>5</v>
      </c>
      <c r="H445" s="53" t="s">
        <v>1</v>
      </c>
      <c r="I445" s="53" t="s">
        <v>15</v>
      </c>
      <c r="J445" s="55" t="s">
        <v>230</v>
      </c>
      <c r="K445" s="54" t="s">
        <v>9</v>
      </c>
      <c r="L445" s="56" t="s">
        <v>239</v>
      </c>
    </row>
    <row r="446" spans="1:12" ht="15.75" customHeight="1" x14ac:dyDescent="0.25">
      <c r="A446" s="51" t="s">
        <v>225</v>
      </c>
      <c r="B446" s="52" t="s">
        <v>710</v>
      </c>
      <c r="C446" s="53">
        <v>697</v>
      </c>
      <c r="D446" s="54" t="s">
        <v>733</v>
      </c>
      <c r="E446" s="53">
        <v>697</v>
      </c>
      <c r="F446" s="54" t="s">
        <v>218</v>
      </c>
      <c r="G446" s="54" t="s">
        <v>5</v>
      </c>
      <c r="H446" s="53" t="s">
        <v>1</v>
      </c>
      <c r="I446" s="53" t="s">
        <v>15</v>
      </c>
      <c r="J446" s="55" t="s">
        <v>230</v>
      </c>
      <c r="K446" s="54" t="s">
        <v>12</v>
      </c>
      <c r="L446" s="56" t="s">
        <v>239</v>
      </c>
    </row>
    <row r="447" spans="1:12" ht="15.75" customHeight="1" x14ac:dyDescent="0.25">
      <c r="A447" s="51" t="s">
        <v>225</v>
      </c>
      <c r="B447" s="52" t="s">
        <v>712</v>
      </c>
      <c r="C447" s="53">
        <v>698</v>
      </c>
      <c r="D447" s="54" t="s">
        <v>734</v>
      </c>
      <c r="E447" s="53">
        <v>698</v>
      </c>
      <c r="F447" s="54" t="s">
        <v>218</v>
      </c>
      <c r="G447" s="54" t="s">
        <v>5</v>
      </c>
      <c r="H447" s="53" t="s">
        <v>1</v>
      </c>
      <c r="I447" s="53" t="s">
        <v>15</v>
      </c>
      <c r="J447" s="55" t="s">
        <v>230</v>
      </c>
      <c r="K447" s="54" t="s">
        <v>11</v>
      </c>
      <c r="L447" s="56" t="s">
        <v>239</v>
      </c>
    </row>
    <row r="448" spans="1:12" ht="15.75" customHeight="1" x14ac:dyDescent="0.25">
      <c r="A448" s="51" t="s">
        <v>225</v>
      </c>
      <c r="B448" s="52" t="s">
        <v>714</v>
      </c>
      <c r="C448" s="53">
        <v>727</v>
      </c>
      <c r="D448" s="54" t="s">
        <v>735</v>
      </c>
      <c r="E448" s="53">
        <v>727</v>
      </c>
      <c r="F448" s="54" t="s">
        <v>218</v>
      </c>
      <c r="G448" s="54" t="s">
        <v>5</v>
      </c>
      <c r="H448" s="53" t="s">
        <v>1</v>
      </c>
      <c r="I448" s="53" t="s">
        <v>17</v>
      </c>
      <c r="J448" s="55" t="s">
        <v>230</v>
      </c>
      <c r="K448" s="54" t="s">
        <v>10</v>
      </c>
      <c r="L448" s="56" t="s">
        <v>239</v>
      </c>
    </row>
    <row r="449" spans="1:12" ht="15.75" customHeight="1" x14ac:dyDescent="0.25">
      <c r="A449" s="51" t="s">
        <v>225</v>
      </c>
      <c r="B449" s="52" t="s">
        <v>716</v>
      </c>
      <c r="C449" s="53">
        <v>728</v>
      </c>
      <c r="D449" s="54" t="s">
        <v>736</v>
      </c>
      <c r="E449" s="53">
        <v>728</v>
      </c>
      <c r="F449" s="54" t="s">
        <v>218</v>
      </c>
      <c r="G449" s="54" t="s">
        <v>5</v>
      </c>
      <c r="H449" s="53" t="s">
        <v>1</v>
      </c>
      <c r="I449" s="53" t="s">
        <v>17</v>
      </c>
      <c r="J449" s="55" t="s">
        <v>230</v>
      </c>
      <c r="K449" s="54" t="s">
        <v>7</v>
      </c>
      <c r="L449" s="56" t="s">
        <v>239</v>
      </c>
    </row>
    <row r="450" spans="1:12" ht="15.75" customHeight="1" x14ac:dyDescent="0.25">
      <c r="A450" s="51" t="s">
        <v>225</v>
      </c>
      <c r="B450" s="52" t="s">
        <v>718</v>
      </c>
      <c r="C450" s="53">
        <v>729</v>
      </c>
      <c r="D450" s="54" t="s">
        <v>737</v>
      </c>
      <c r="E450" s="53">
        <v>729</v>
      </c>
      <c r="F450" s="54" t="s">
        <v>218</v>
      </c>
      <c r="G450" s="54" t="s">
        <v>5</v>
      </c>
      <c r="H450" s="53" t="s">
        <v>1</v>
      </c>
      <c r="I450" s="53" t="s">
        <v>17</v>
      </c>
      <c r="J450" s="55" t="s">
        <v>230</v>
      </c>
      <c r="K450" s="54" t="s">
        <v>13</v>
      </c>
      <c r="L450" s="56" t="s">
        <v>239</v>
      </c>
    </row>
    <row r="451" spans="1:12" ht="15.75" customHeight="1" x14ac:dyDescent="0.25">
      <c r="A451" s="51" t="s">
        <v>225</v>
      </c>
      <c r="B451" s="52" t="s">
        <v>720</v>
      </c>
      <c r="C451" s="53">
        <v>730</v>
      </c>
      <c r="D451" s="54" t="s">
        <v>738</v>
      </c>
      <c r="E451" s="53">
        <v>730</v>
      </c>
      <c r="F451" s="54" t="s">
        <v>218</v>
      </c>
      <c r="G451" s="54" t="s">
        <v>5</v>
      </c>
      <c r="H451" s="53" t="s">
        <v>1</v>
      </c>
      <c r="I451" s="53" t="s">
        <v>17</v>
      </c>
      <c r="J451" s="55" t="s">
        <v>230</v>
      </c>
      <c r="K451" s="54" t="s">
        <v>8</v>
      </c>
      <c r="L451" s="56" t="s">
        <v>239</v>
      </c>
    </row>
    <row r="452" spans="1:12" ht="15.75" customHeight="1" x14ac:dyDescent="0.25">
      <c r="A452" s="51" t="s">
        <v>225</v>
      </c>
      <c r="B452" s="52" t="s">
        <v>722</v>
      </c>
      <c r="C452" s="53">
        <v>731</v>
      </c>
      <c r="D452" s="54" t="s">
        <v>739</v>
      </c>
      <c r="E452" s="53">
        <v>731</v>
      </c>
      <c r="F452" s="54" t="s">
        <v>218</v>
      </c>
      <c r="G452" s="54" t="s">
        <v>5</v>
      </c>
      <c r="H452" s="53" t="s">
        <v>1</v>
      </c>
      <c r="I452" s="53" t="s">
        <v>17</v>
      </c>
      <c r="J452" s="55" t="s">
        <v>230</v>
      </c>
      <c r="K452" s="54" t="s">
        <v>9</v>
      </c>
      <c r="L452" s="56" t="s">
        <v>239</v>
      </c>
    </row>
    <row r="453" spans="1:12" ht="15.75" customHeight="1" x14ac:dyDescent="0.25">
      <c r="A453" s="51" t="s">
        <v>225</v>
      </c>
      <c r="B453" s="52" t="s">
        <v>724</v>
      </c>
      <c r="C453" s="53">
        <v>732</v>
      </c>
      <c r="D453" s="54" t="s">
        <v>740</v>
      </c>
      <c r="E453" s="53">
        <v>732</v>
      </c>
      <c r="F453" s="54" t="s">
        <v>218</v>
      </c>
      <c r="G453" s="54" t="s">
        <v>5</v>
      </c>
      <c r="H453" s="53" t="s">
        <v>1</v>
      </c>
      <c r="I453" s="53" t="s">
        <v>17</v>
      </c>
      <c r="J453" s="55" t="s">
        <v>230</v>
      </c>
      <c r="K453" s="54" t="s">
        <v>12</v>
      </c>
      <c r="L453" s="56" t="s">
        <v>239</v>
      </c>
    </row>
    <row r="454" spans="1:12" ht="15.75" customHeight="1" x14ac:dyDescent="0.25">
      <c r="A454" s="51" t="s">
        <v>225</v>
      </c>
      <c r="B454" s="52" t="s">
        <v>726</v>
      </c>
      <c r="C454" s="53">
        <v>733</v>
      </c>
      <c r="D454" s="54" t="s">
        <v>741</v>
      </c>
      <c r="E454" s="53">
        <v>733</v>
      </c>
      <c r="F454" s="54" t="s">
        <v>218</v>
      </c>
      <c r="G454" s="54" t="s">
        <v>5</v>
      </c>
      <c r="H454" s="53" t="s">
        <v>1</v>
      </c>
      <c r="I454" s="53" t="s">
        <v>17</v>
      </c>
      <c r="J454" s="55" t="s">
        <v>230</v>
      </c>
      <c r="K454" s="54" t="s">
        <v>11</v>
      </c>
      <c r="L454" s="56" t="s">
        <v>239</v>
      </c>
    </row>
    <row r="455" spans="1:12" ht="15.75" customHeight="1" x14ac:dyDescent="0.25">
      <c r="A455" s="51" t="s">
        <v>225</v>
      </c>
      <c r="B455" s="52" t="s">
        <v>700</v>
      </c>
      <c r="C455" s="53">
        <v>629</v>
      </c>
      <c r="D455" s="54" t="s">
        <v>742</v>
      </c>
      <c r="E455" s="53">
        <v>629</v>
      </c>
      <c r="F455" s="54" t="s">
        <v>218</v>
      </c>
      <c r="G455" s="54" t="s">
        <v>5</v>
      </c>
      <c r="H455" s="53" t="s">
        <v>0</v>
      </c>
      <c r="I455" s="53" t="s">
        <v>15</v>
      </c>
      <c r="J455" s="55" t="s">
        <v>232</v>
      </c>
      <c r="K455" s="54" t="s">
        <v>10</v>
      </c>
      <c r="L455" s="56" t="s">
        <v>239</v>
      </c>
    </row>
    <row r="456" spans="1:12" ht="15.75" customHeight="1" x14ac:dyDescent="0.25">
      <c r="A456" s="51" t="s">
        <v>225</v>
      </c>
      <c r="B456" s="52" t="s">
        <v>702</v>
      </c>
      <c r="C456" s="53">
        <v>630</v>
      </c>
      <c r="D456" s="54" t="s">
        <v>743</v>
      </c>
      <c r="E456" s="53">
        <v>630</v>
      </c>
      <c r="F456" s="54" t="s">
        <v>218</v>
      </c>
      <c r="G456" s="54" t="s">
        <v>5</v>
      </c>
      <c r="H456" s="53" t="s">
        <v>0</v>
      </c>
      <c r="I456" s="53" t="s">
        <v>15</v>
      </c>
      <c r="J456" s="55" t="s">
        <v>232</v>
      </c>
      <c r="K456" s="54" t="s">
        <v>7</v>
      </c>
      <c r="L456" s="56" t="s">
        <v>239</v>
      </c>
    </row>
    <row r="457" spans="1:12" ht="15.75" customHeight="1" x14ac:dyDescent="0.25">
      <c r="A457" s="51" t="s">
        <v>225</v>
      </c>
      <c r="B457" s="52" t="s">
        <v>704</v>
      </c>
      <c r="C457" s="53">
        <v>631</v>
      </c>
      <c r="D457" s="54" t="s">
        <v>744</v>
      </c>
      <c r="E457" s="53">
        <v>631</v>
      </c>
      <c r="F457" s="54" t="s">
        <v>218</v>
      </c>
      <c r="G457" s="54" t="s">
        <v>5</v>
      </c>
      <c r="H457" s="53" t="s">
        <v>0</v>
      </c>
      <c r="I457" s="53" t="s">
        <v>15</v>
      </c>
      <c r="J457" s="55" t="s">
        <v>232</v>
      </c>
      <c r="K457" s="54" t="s">
        <v>13</v>
      </c>
      <c r="L457" s="56" t="s">
        <v>239</v>
      </c>
    </row>
    <row r="458" spans="1:12" ht="15.75" customHeight="1" x14ac:dyDescent="0.25">
      <c r="A458" s="51" t="s">
        <v>225</v>
      </c>
      <c r="B458" s="52" t="s">
        <v>706</v>
      </c>
      <c r="C458" s="53">
        <v>632</v>
      </c>
      <c r="D458" s="54" t="s">
        <v>745</v>
      </c>
      <c r="E458" s="53">
        <v>632</v>
      </c>
      <c r="F458" s="54" t="s">
        <v>218</v>
      </c>
      <c r="G458" s="54" t="s">
        <v>5</v>
      </c>
      <c r="H458" s="53" t="s">
        <v>0</v>
      </c>
      <c r="I458" s="53" t="s">
        <v>15</v>
      </c>
      <c r="J458" s="55" t="s">
        <v>232</v>
      </c>
      <c r="K458" s="54" t="s">
        <v>8</v>
      </c>
      <c r="L458" s="56" t="s">
        <v>239</v>
      </c>
    </row>
    <row r="459" spans="1:12" ht="15.75" customHeight="1" x14ac:dyDescent="0.25">
      <c r="A459" s="51" t="s">
        <v>225</v>
      </c>
      <c r="B459" s="52" t="s">
        <v>708</v>
      </c>
      <c r="C459" s="53">
        <v>633</v>
      </c>
      <c r="D459" s="54" t="s">
        <v>746</v>
      </c>
      <c r="E459" s="53">
        <v>633</v>
      </c>
      <c r="F459" s="54" t="s">
        <v>218</v>
      </c>
      <c r="G459" s="54" t="s">
        <v>5</v>
      </c>
      <c r="H459" s="53" t="s">
        <v>0</v>
      </c>
      <c r="I459" s="53" t="s">
        <v>15</v>
      </c>
      <c r="J459" s="55" t="s">
        <v>232</v>
      </c>
      <c r="K459" s="54" t="s">
        <v>9</v>
      </c>
      <c r="L459" s="56" t="s">
        <v>239</v>
      </c>
    </row>
    <row r="460" spans="1:12" ht="15.75" customHeight="1" x14ac:dyDescent="0.25">
      <c r="A460" s="51" t="s">
        <v>225</v>
      </c>
      <c r="B460" s="52" t="s">
        <v>710</v>
      </c>
      <c r="C460" s="53">
        <v>634</v>
      </c>
      <c r="D460" s="54" t="s">
        <v>747</v>
      </c>
      <c r="E460" s="53">
        <v>634</v>
      </c>
      <c r="F460" s="54" t="s">
        <v>218</v>
      </c>
      <c r="G460" s="54" t="s">
        <v>5</v>
      </c>
      <c r="H460" s="53" t="s">
        <v>0</v>
      </c>
      <c r="I460" s="53" t="s">
        <v>15</v>
      </c>
      <c r="J460" s="55" t="s">
        <v>232</v>
      </c>
      <c r="K460" s="54" t="s">
        <v>12</v>
      </c>
      <c r="L460" s="56" t="s">
        <v>239</v>
      </c>
    </row>
    <row r="461" spans="1:12" ht="15.75" customHeight="1" x14ac:dyDescent="0.25">
      <c r="A461" s="51" t="s">
        <v>225</v>
      </c>
      <c r="B461" s="52" t="s">
        <v>712</v>
      </c>
      <c r="C461" s="53">
        <v>635</v>
      </c>
      <c r="D461" s="54" t="s">
        <v>748</v>
      </c>
      <c r="E461" s="53">
        <v>635</v>
      </c>
      <c r="F461" s="54" t="s">
        <v>218</v>
      </c>
      <c r="G461" s="54" t="s">
        <v>5</v>
      </c>
      <c r="H461" s="53" t="s">
        <v>0</v>
      </c>
      <c r="I461" s="53" t="s">
        <v>15</v>
      </c>
      <c r="J461" s="55" t="s">
        <v>232</v>
      </c>
      <c r="K461" s="54" t="s">
        <v>11</v>
      </c>
      <c r="L461" s="56" t="s">
        <v>239</v>
      </c>
    </row>
    <row r="462" spans="1:12" ht="15.75" customHeight="1" x14ac:dyDescent="0.25">
      <c r="A462" s="51" t="s">
        <v>225</v>
      </c>
      <c r="B462" s="52" t="s">
        <v>714</v>
      </c>
      <c r="C462" s="53">
        <v>664</v>
      </c>
      <c r="D462" s="54" t="s">
        <v>749</v>
      </c>
      <c r="E462" s="53">
        <v>664</v>
      </c>
      <c r="F462" s="54" t="s">
        <v>218</v>
      </c>
      <c r="G462" s="54" t="s">
        <v>5</v>
      </c>
      <c r="H462" s="53" t="s">
        <v>0</v>
      </c>
      <c r="I462" s="53" t="s">
        <v>17</v>
      </c>
      <c r="J462" s="55" t="s">
        <v>232</v>
      </c>
      <c r="K462" s="54" t="s">
        <v>10</v>
      </c>
      <c r="L462" s="56" t="s">
        <v>239</v>
      </c>
    </row>
    <row r="463" spans="1:12" ht="15.75" customHeight="1" x14ac:dyDescent="0.25">
      <c r="A463" s="51" t="s">
        <v>225</v>
      </c>
      <c r="B463" s="52" t="s">
        <v>716</v>
      </c>
      <c r="C463" s="53">
        <v>665</v>
      </c>
      <c r="D463" s="54" t="s">
        <v>750</v>
      </c>
      <c r="E463" s="53">
        <v>665</v>
      </c>
      <c r="F463" s="54" t="s">
        <v>218</v>
      </c>
      <c r="G463" s="54" t="s">
        <v>5</v>
      </c>
      <c r="H463" s="53" t="s">
        <v>0</v>
      </c>
      <c r="I463" s="53" t="s">
        <v>17</v>
      </c>
      <c r="J463" s="55" t="s">
        <v>232</v>
      </c>
      <c r="K463" s="54" t="s">
        <v>7</v>
      </c>
      <c r="L463" s="56" t="s">
        <v>239</v>
      </c>
    </row>
    <row r="464" spans="1:12" ht="15.75" customHeight="1" x14ac:dyDescent="0.25">
      <c r="A464" s="51" t="s">
        <v>225</v>
      </c>
      <c r="B464" s="52" t="s">
        <v>718</v>
      </c>
      <c r="C464" s="53">
        <v>666</v>
      </c>
      <c r="D464" s="54" t="s">
        <v>751</v>
      </c>
      <c r="E464" s="53">
        <v>666</v>
      </c>
      <c r="F464" s="54" t="s">
        <v>218</v>
      </c>
      <c r="G464" s="54" t="s">
        <v>5</v>
      </c>
      <c r="H464" s="53" t="s">
        <v>0</v>
      </c>
      <c r="I464" s="53" t="s">
        <v>17</v>
      </c>
      <c r="J464" s="55" t="s">
        <v>232</v>
      </c>
      <c r="K464" s="54" t="s">
        <v>13</v>
      </c>
      <c r="L464" s="56" t="s">
        <v>239</v>
      </c>
    </row>
    <row r="465" spans="1:12" ht="15.75" customHeight="1" x14ac:dyDescent="0.25">
      <c r="A465" s="51" t="s">
        <v>225</v>
      </c>
      <c r="B465" s="52" t="s">
        <v>720</v>
      </c>
      <c r="C465" s="53">
        <v>667</v>
      </c>
      <c r="D465" s="54" t="s">
        <v>752</v>
      </c>
      <c r="E465" s="53">
        <v>667</v>
      </c>
      <c r="F465" s="54" t="s">
        <v>218</v>
      </c>
      <c r="G465" s="54" t="s">
        <v>5</v>
      </c>
      <c r="H465" s="53" t="s">
        <v>0</v>
      </c>
      <c r="I465" s="53" t="s">
        <v>17</v>
      </c>
      <c r="J465" s="55" t="s">
        <v>232</v>
      </c>
      <c r="K465" s="54" t="s">
        <v>8</v>
      </c>
      <c r="L465" s="56" t="s">
        <v>239</v>
      </c>
    </row>
    <row r="466" spans="1:12" ht="15.75" customHeight="1" x14ac:dyDescent="0.25">
      <c r="A466" s="51" t="s">
        <v>225</v>
      </c>
      <c r="B466" s="52" t="s">
        <v>722</v>
      </c>
      <c r="C466" s="53">
        <v>668</v>
      </c>
      <c r="D466" s="54" t="s">
        <v>753</v>
      </c>
      <c r="E466" s="53">
        <v>668</v>
      </c>
      <c r="F466" s="54" t="s">
        <v>218</v>
      </c>
      <c r="G466" s="54" t="s">
        <v>5</v>
      </c>
      <c r="H466" s="53" t="s">
        <v>0</v>
      </c>
      <c r="I466" s="53" t="s">
        <v>17</v>
      </c>
      <c r="J466" s="55" t="s">
        <v>232</v>
      </c>
      <c r="K466" s="54" t="s">
        <v>9</v>
      </c>
      <c r="L466" s="56" t="s">
        <v>239</v>
      </c>
    </row>
    <row r="467" spans="1:12" ht="15.75" customHeight="1" x14ac:dyDescent="0.25">
      <c r="A467" s="51" t="s">
        <v>225</v>
      </c>
      <c r="B467" s="52" t="s">
        <v>724</v>
      </c>
      <c r="C467" s="53">
        <v>669</v>
      </c>
      <c r="D467" s="54" t="s">
        <v>754</v>
      </c>
      <c r="E467" s="53">
        <v>669</v>
      </c>
      <c r="F467" s="54" t="s">
        <v>218</v>
      </c>
      <c r="G467" s="54" t="s">
        <v>5</v>
      </c>
      <c r="H467" s="53" t="s">
        <v>0</v>
      </c>
      <c r="I467" s="53" t="s">
        <v>17</v>
      </c>
      <c r="J467" s="55" t="s">
        <v>232</v>
      </c>
      <c r="K467" s="54" t="s">
        <v>12</v>
      </c>
      <c r="L467" s="56" t="s">
        <v>239</v>
      </c>
    </row>
    <row r="468" spans="1:12" ht="15.75" customHeight="1" x14ac:dyDescent="0.25">
      <c r="A468" s="51" t="s">
        <v>225</v>
      </c>
      <c r="B468" s="52" t="s">
        <v>726</v>
      </c>
      <c r="C468" s="53">
        <v>670</v>
      </c>
      <c r="D468" s="54" t="s">
        <v>755</v>
      </c>
      <c r="E468" s="53">
        <v>670</v>
      </c>
      <c r="F468" s="54" t="s">
        <v>218</v>
      </c>
      <c r="G468" s="54" t="s">
        <v>5</v>
      </c>
      <c r="H468" s="53" t="s">
        <v>0</v>
      </c>
      <c r="I468" s="53" t="s">
        <v>17</v>
      </c>
      <c r="J468" s="55" t="s">
        <v>232</v>
      </c>
      <c r="K468" s="54" t="s">
        <v>11</v>
      </c>
      <c r="L468" s="56" t="s">
        <v>239</v>
      </c>
    </row>
    <row r="469" spans="1:12" ht="15.75" customHeight="1" x14ac:dyDescent="0.25">
      <c r="A469" s="51" t="s">
        <v>225</v>
      </c>
      <c r="B469" s="52" t="s">
        <v>700</v>
      </c>
      <c r="C469" s="53">
        <v>699</v>
      </c>
      <c r="D469" s="54" t="s">
        <v>756</v>
      </c>
      <c r="E469" s="53">
        <v>699</v>
      </c>
      <c r="F469" s="54" t="s">
        <v>218</v>
      </c>
      <c r="G469" s="54" t="s">
        <v>5</v>
      </c>
      <c r="H469" s="53" t="s">
        <v>1</v>
      </c>
      <c r="I469" s="53" t="s">
        <v>15</v>
      </c>
      <c r="J469" s="55" t="s">
        <v>232</v>
      </c>
      <c r="K469" s="54" t="s">
        <v>10</v>
      </c>
      <c r="L469" s="56" t="s">
        <v>239</v>
      </c>
    </row>
    <row r="470" spans="1:12" ht="15.75" customHeight="1" x14ac:dyDescent="0.25">
      <c r="A470" s="51" t="s">
        <v>225</v>
      </c>
      <c r="B470" s="52" t="s">
        <v>702</v>
      </c>
      <c r="C470" s="53">
        <v>700</v>
      </c>
      <c r="D470" s="54" t="s">
        <v>757</v>
      </c>
      <c r="E470" s="53">
        <v>700</v>
      </c>
      <c r="F470" s="54" t="s">
        <v>218</v>
      </c>
      <c r="G470" s="54" t="s">
        <v>5</v>
      </c>
      <c r="H470" s="53" t="s">
        <v>1</v>
      </c>
      <c r="I470" s="53" t="s">
        <v>15</v>
      </c>
      <c r="J470" s="55" t="s">
        <v>232</v>
      </c>
      <c r="K470" s="54" t="s">
        <v>7</v>
      </c>
      <c r="L470" s="56" t="s">
        <v>239</v>
      </c>
    </row>
    <row r="471" spans="1:12" ht="15.75" customHeight="1" x14ac:dyDescent="0.25">
      <c r="A471" s="51" t="s">
        <v>225</v>
      </c>
      <c r="B471" s="52" t="s">
        <v>704</v>
      </c>
      <c r="C471" s="53">
        <v>701</v>
      </c>
      <c r="D471" s="54" t="s">
        <v>758</v>
      </c>
      <c r="E471" s="53">
        <v>701</v>
      </c>
      <c r="F471" s="54" t="s">
        <v>218</v>
      </c>
      <c r="G471" s="54" t="s">
        <v>5</v>
      </c>
      <c r="H471" s="53" t="s">
        <v>1</v>
      </c>
      <c r="I471" s="53" t="s">
        <v>15</v>
      </c>
      <c r="J471" s="55" t="s">
        <v>232</v>
      </c>
      <c r="K471" s="54" t="s">
        <v>13</v>
      </c>
      <c r="L471" s="56" t="s">
        <v>239</v>
      </c>
    </row>
    <row r="472" spans="1:12" ht="15.75" customHeight="1" x14ac:dyDescent="0.25">
      <c r="A472" s="51" t="s">
        <v>225</v>
      </c>
      <c r="B472" s="52" t="s">
        <v>706</v>
      </c>
      <c r="C472" s="53">
        <v>702</v>
      </c>
      <c r="D472" s="54" t="s">
        <v>759</v>
      </c>
      <c r="E472" s="53">
        <v>702</v>
      </c>
      <c r="F472" s="54" t="s">
        <v>218</v>
      </c>
      <c r="G472" s="54" t="s">
        <v>5</v>
      </c>
      <c r="H472" s="53" t="s">
        <v>1</v>
      </c>
      <c r="I472" s="53" t="s">
        <v>15</v>
      </c>
      <c r="J472" s="55" t="s">
        <v>232</v>
      </c>
      <c r="K472" s="54" t="s">
        <v>8</v>
      </c>
      <c r="L472" s="56" t="s">
        <v>239</v>
      </c>
    </row>
    <row r="473" spans="1:12" ht="15.75" customHeight="1" x14ac:dyDescent="0.25">
      <c r="A473" s="51" t="s">
        <v>225</v>
      </c>
      <c r="B473" s="52" t="s">
        <v>708</v>
      </c>
      <c r="C473" s="53">
        <v>703</v>
      </c>
      <c r="D473" s="54" t="s">
        <v>760</v>
      </c>
      <c r="E473" s="53">
        <v>703</v>
      </c>
      <c r="F473" s="54" t="s">
        <v>218</v>
      </c>
      <c r="G473" s="54" t="s">
        <v>5</v>
      </c>
      <c r="H473" s="53" t="s">
        <v>1</v>
      </c>
      <c r="I473" s="53" t="s">
        <v>15</v>
      </c>
      <c r="J473" s="55" t="s">
        <v>232</v>
      </c>
      <c r="K473" s="54" t="s">
        <v>9</v>
      </c>
      <c r="L473" s="56" t="s">
        <v>239</v>
      </c>
    </row>
    <row r="474" spans="1:12" ht="15.75" customHeight="1" x14ac:dyDescent="0.25">
      <c r="A474" s="51" t="s">
        <v>225</v>
      </c>
      <c r="B474" s="52" t="s">
        <v>710</v>
      </c>
      <c r="C474" s="53">
        <v>704</v>
      </c>
      <c r="D474" s="54" t="s">
        <v>761</v>
      </c>
      <c r="E474" s="53">
        <v>704</v>
      </c>
      <c r="F474" s="54" t="s">
        <v>218</v>
      </c>
      <c r="G474" s="54" t="s">
        <v>5</v>
      </c>
      <c r="H474" s="53" t="s">
        <v>1</v>
      </c>
      <c r="I474" s="53" t="s">
        <v>15</v>
      </c>
      <c r="J474" s="55" t="s">
        <v>232</v>
      </c>
      <c r="K474" s="54" t="s">
        <v>12</v>
      </c>
      <c r="L474" s="56" t="s">
        <v>239</v>
      </c>
    </row>
    <row r="475" spans="1:12" ht="15.75" customHeight="1" x14ac:dyDescent="0.25">
      <c r="A475" s="51" t="s">
        <v>225</v>
      </c>
      <c r="B475" s="52" t="s">
        <v>712</v>
      </c>
      <c r="C475" s="53">
        <v>705</v>
      </c>
      <c r="D475" s="54" t="s">
        <v>762</v>
      </c>
      <c r="E475" s="53">
        <v>705</v>
      </c>
      <c r="F475" s="54" t="s">
        <v>218</v>
      </c>
      <c r="G475" s="54" t="s">
        <v>5</v>
      </c>
      <c r="H475" s="53" t="s">
        <v>1</v>
      </c>
      <c r="I475" s="53" t="s">
        <v>15</v>
      </c>
      <c r="J475" s="55" t="s">
        <v>232</v>
      </c>
      <c r="K475" s="54" t="s">
        <v>11</v>
      </c>
      <c r="L475" s="56" t="s">
        <v>239</v>
      </c>
    </row>
    <row r="476" spans="1:12" ht="15.75" customHeight="1" x14ac:dyDescent="0.25">
      <c r="A476" s="51" t="s">
        <v>225</v>
      </c>
      <c r="B476" s="52" t="s">
        <v>714</v>
      </c>
      <c r="C476" s="53">
        <v>734</v>
      </c>
      <c r="D476" s="54" t="s">
        <v>763</v>
      </c>
      <c r="E476" s="53">
        <v>734</v>
      </c>
      <c r="F476" s="54" t="s">
        <v>218</v>
      </c>
      <c r="G476" s="54" t="s">
        <v>5</v>
      </c>
      <c r="H476" s="53" t="s">
        <v>1</v>
      </c>
      <c r="I476" s="53" t="s">
        <v>17</v>
      </c>
      <c r="J476" s="55" t="s">
        <v>232</v>
      </c>
      <c r="K476" s="54" t="s">
        <v>10</v>
      </c>
      <c r="L476" s="56" t="s">
        <v>239</v>
      </c>
    </row>
    <row r="477" spans="1:12" ht="15.75" customHeight="1" x14ac:dyDescent="0.25">
      <c r="A477" s="51" t="s">
        <v>225</v>
      </c>
      <c r="B477" s="52" t="s">
        <v>716</v>
      </c>
      <c r="C477" s="53">
        <v>735</v>
      </c>
      <c r="D477" s="54" t="s">
        <v>764</v>
      </c>
      <c r="E477" s="53">
        <v>735</v>
      </c>
      <c r="F477" s="54" t="s">
        <v>218</v>
      </c>
      <c r="G477" s="54" t="s">
        <v>5</v>
      </c>
      <c r="H477" s="53" t="s">
        <v>1</v>
      </c>
      <c r="I477" s="53" t="s">
        <v>17</v>
      </c>
      <c r="J477" s="55" t="s">
        <v>232</v>
      </c>
      <c r="K477" s="54" t="s">
        <v>7</v>
      </c>
      <c r="L477" s="56" t="s">
        <v>239</v>
      </c>
    </row>
    <row r="478" spans="1:12" ht="15.75" customHeight="1" x14ac:dyDescent="0.25">
      <c r="A478" s="51" t="s">
        <v>225</v>
      </c>
      <c r="B478" s="52" t="s">
        <v>718</v>
      </c>
      <c r="C478" s="53">
        <v>736</v>
      </c>
      <c r="D478" s="54" t="s">
        <v>765</v>
      </c>
      <c r="E478" s="53">
        <v>736</v>
      </c>
      <c r="F478" s="54" t="s">
        <v>218</v>
      </c>
      <c r="G478" s="54" t="s">
        <v>5</v>
      </c>
      <c r="H478" s="53" t="s">
        <v>1</v>
      </c>
      <c r="I478" s="53" t="s">
        <v>17</v>
      </c>
      <c r="J478" s="55" t="s">
        <v>232</v>
      </c>
      <c r="K478" s="54" t="s">
        <v>13</v>
      </c>
      <c r="L478" s="56" t="s">
        <v>239</v>
      </c>
    </row>
    <row r="479" spans="1:12" ht="15.75" customHeight="1" x14ac:dyDescent="0.25">
      <c r="A479" s="51" t="s">
        <v>225</v>
      </c>
      <c r="B479" s="52" t="s">
        <v>720</v>
      </c>
      <c r="C479" s="53">
        <v>737</v>
      </c>
      <c r="D479" s="54" t="s">
        <v>766</v>
      </c>
      <c r="E479" s="53">
        <v>737</v>
      </c>
      <c r="F479" s="54" t="s">
        <v>218</v>
      </c>
      <c r="G479" s="54" t="s">
        <v>5</v>
      </c>
      <c r="H479" s="53" t="s">
        <v>1</v>
      </c>
      <c r="I479" s="53" t="s">
        <v>17</v>
      </c>
      <c r="J479" s="55" t="s">
        <v>232</v>
      </c>
      <c r="K479" s="54" t="s">
        <v>8</v>
      </c>
      <c r="L479" s="56" t="s">
        <v>239</v>
      </c>
    </row>
    <row r="480" spans="1:12" ht="15.75" customHeight="1" x14ac:dyDescent="0.25">
      <c r="A480" s="51" t="s">
        <v>225</v>
      </c>
      <c r="B480" s="52" t="s">
        <v>722</v>
      </c>
      <c r="C480" s="53">
        <v>738</v>
      </c>
      <c r="D480" s="54" t="s">
        <v>767</v>
      </c>
      <c r="E480" s="53">
        <v>738</v>
      </c>
      <c r="F480" s="54" t="s">
        <v>218</v>
      </c>
      <c r="G480" s="54" t="s">
        <v>5</v>
      </c>
      <c r="H480" s="53" t="s">
        <v>1</v>
      </c>
      <c r="I480" s="53" t="s">
        <v>17</v>
      </c>
      <c r="J480" s="55" t="s">
        <v>232</v>
      </c>
      <c r="K480" s="54" t="s">
        <v>9</v>
      </c>
      <c r="L480" s="56" t="s">
        <v>239</v>
      </c>
    </row>
    <row r="481" spans="1:12" ht="15.75" customHeight="1" x14ac:dyDescent="0.25">
      <c r="A481" s="51" t="s">
        <v>225</v>
      </c>
      <c r="B481" s="52" t="s">
        <v>724</v>
      </c>
      <c r="C481" s="53">
        <v>739</v>
      </c>
      <c r="D481" s="54" t="s">
        <v>768</v>
      </c>
      <c r="E481" s="53">
        <v>739</v>
      </c>
      <c r="F481" s="54" t="s">
        <v>218</v>
      </c>
      <c r="G481" s="54" t="s">
        <v>5</v>
      </c>
      <c r="H481" s="53" t="s">
        <v>1</v>
      </c>
      <c r="I481" s="53" t="s">
        <v>17</v>
      </c>
      <c r="J481" s="55" t="s">
        <v>232</v>
      </c>
      <c r="K481" s="54" t="s">
        <v>12</v>
      </c>
      <c r="L481" s="56" t="s">
        <v>239</v>
      </c>
    </row>
    <row r="482" spans="1:12" ht="15.75" customHeight="1" x14ac:dyDescent="0.25">
      <c r="A482" s="51" t="s">
        <v>225</v>
      </c>
      <c r="B482" s="52" t="s">
        <v>726</v>
      </c>
      <c r="C482" s="53">
        <v>740</v>
      </c>
      <c r="D482" s="54" t="s">
        <v>769</v>
      </c>
      <c r="E482" s="53">
        <v>740</v>
      </c>
      <c r="F482" s="54" t="s">
        <v>218</v>
      </c>
      <c r="G482" s="54" t="s">
        <v>5</v>
      </c>
      <c r="H482" s="53" t="s">
        <v>1</v>
      </c>
      <c r="I482" s="53" t="s">
        <v>17</v>
      </c>
      <c r="J482" s="55" t="s">
        <v>232</v>
      </c>
      <c r="K482" s="54" t="s">
        <v>11</v>
      </c>
      <c r="L482" s="56" t="s">
        <v>239</v>
      </c>
    </row>
    <row r="483" spans="1:12" ht="15.75" customHeight="1" x14ac:dyDescent="0.25">
      <c r="A483" s="51" t="s">
        <v>225</v>
      </c>
      <c r="B483" s="52" t="s">
        <v>700</v>
      </c>
      <c r="C483" s="53">
        <v>615</v>
      </c>
      <c r="D483" s="54" t="s">
        <v>770</v>
      </c>
      <c r="E483" s="53">
        <v>615</v>
      </c>
      <c r="F483" s="54" t="s">
        <v>218</v>
      </c>
      <c r="G483" s="54" t="s">
        <v>5</v>
      </c>
      <c r="H483" s="53" t="s">
        <v>0</v>
      </c>
      <c r="I483" s="53" t="s">
        <v>15</v>
      </c>
      <c r="J483" s="55" t="s">
        <v>234</v>
      </c>
      <c r="K483" s="54" t="s">
        <v>10</v>
      </c>
      <c r="L483" s="56" t="s">
        <v>239</v>
      </c>
    </row>
    <row r="484" spans="1:12" ht="15.75" customHeight="1" x14ac:dyDescent="0.25">
      <c r="A484" s="51" t="s">
        <v>225</v>
      </c>
      <c r="B484" s="52" t="s">
        <v>702</v>
      </c>
      <c r="C484" s="53">
        <v>616</v>
      </c>
      <c r="D484" s="54" t="s">
        <v>771</v>
      </c>
      <c r="E484" s="53">
        <v>616</v>
      </c>
      <c r="F484" s="54" t="s">
        <v>218</v>
      </c>
      <c r="G484" s="54" t="s">
        <v>5</v>
      </c>
      <c r="H484" s="53" t="s">
        <v>0</v>
      </c>
      <c r="I484" s="53" t="s">
        <v>15</v>
      </c>
      <c r="J484" s="55" t="s">
        <v>234</v>
      </c>
      <c r="K484" s="54" t="s">
        <v>7</v>
      </c>
      <c r="L484" s="56" t="s">
        <v>239</v>
      </c>
    </row>
    <row r="485" spans="1:12" ht="15.75" customHeight="1" x14ac:dyDescent="0.25">
      <c r="A485" s="51" t="s">
        <v>225</v>
      </c>
      <c r="B485" s="52" t="s">
        <v>704</v>
      </c>
      <c r="C485" s="53">
        <v>617</v>
      </c>
      <c r="D485" s="54" t="s">
        <v>772</v>
      </c>
      <c r="E485" s="53">
        <v>617</v>
      </c>
      <c r="F485" s="54" t="s">
        <v>218</v>
      </c>
      <c r="G485" s="54" t="s">
        <v>5</v>
      </c>
      <c r="H485" s="53" t="s">
        <v>0</v>
      </c>
      <c r="I485" s="53" t="s">
        <v>15</v>
      </c>
      <c r="J485" s="55" t="s">
        <v>234</v>
      </c>
      <c r="K485" s="54" t="s">
        <v>13</v>
      </c>
      <c r="L485" s="56" t="s">
        <v>239</v>
      </c>
    </row>
    <row r="486" spans="1:12" ht="15.75" customHeight="1" x14ac:dyDescent="0.25">
      <c r="A486" s="51" t="s">
        <v>225</v>
      </c>
      <c r="B486" s="52" t="s">
        <v>706</v>
      </c>
      <c r="C486" s="53">
        <v>618</v>
      </c>
      <c r="D486" s="54" t="s">
        <v>773</v>
      </c>
      <c r="E486" s="53">
        <v>618</v>
      </c>
      <c r="F486" s="54" t="s">
        <v>218</v>
      </c>
      <c r="G486" s="54" t="s">
        <v>5</v>
      </c>
      <c r="H486" s="53" t="s">
        <v>0</v>
      </c>
      <c r="I486" s="53" t="s">
        <v>15</v>
      </c>
      <c r="J486" s="55" t="s">
        <v>234</v>
      </c>
      <c r="K486" s="54" t="s">
        <v>8</v>
      </c>
      <c r="L486" s="56" t="s">
        <v>239</v>
      </c>
    </row>
    <row r="487" spans="1:12" ht="15.75" customHeight="1" x14ac:dyDescent="0.25">
      <c r="A487" s="51" t="s">
        <v>225</v>
      </c>
      <c r="B487" s="52" t="s">
        <v>708</v>
      </c>
      <c r="C487" s="53">
        <v>619</v>
      </c>
      <c r="D487" s="54" t="s">
        <v>774</v>
      </c>
      <c r="E487" s="53">
        <v>619</v>
      </c>
      <c r="F487" s="54" t="s">
        <v>218</v>
      </c>
      <c r="G487" s="54" t="s">
        <v>5</v>
      </c>
      <c r="H487" s="53" t="s">
        <v>0</v>
      </c>
      <c r="I487" s="53" t="s">
        <v>15</v>
      </c>
      <c r="J487" s="55" t="s">
        <v>234</v>
      </c>
      <c r="K487" s="54" t="s">
        <v>9</v>
      </c>
      <c r="L487" s="56" t="s">
        <v>239</v>
      </c>
    </row>
    <row r="488" spans="1:12" ht="15.75" customHeight="1" x14ac:dyDescent="0.25">
      <c r="A488" s="51" t="s">
        <v>225</v>
      </c>
      <c r="B488" s="52" t="s">
        <v>710</v>
      </c>
      <c r="C488" s="53">
        <v>620</v>
      </c>
      <c r="D488" s="54" t="s">
        <v>775</v>
      </c>
      <c r="E488" s="53">
        <v>620</v>
      </c>
      <c r="F488" s="54" t="s">
        <v>218</v>
      </c>
      <c r="G488" s="54" t="s">
        <v>5</v>
      </c>
      <c r="H488" s="53" t="s">
        <v>0</v>
      </c>
      <c r="I488" s="53" t="s">
        <v>15</v>
      </c>
      <c r="J488" s="55" t="s">
        <v>234</v>
      </c>
      <c r="K488" s="54" t="s">
        <v>12</v>
      </c>
      <c r="L488" s="56" t="s">
        <v>239</v>
      </c>
    </row>
    <row r="489" spans="1:12" ht="15.75" customHeight="1" x14ac:dyDescent="0.25">
      <c r="A489" s="51" t="s">
        <v>225</v>
      </c>
      <c r="B489" s="52" t="s">
        <v>712</v>
      </c>
      <c r="C489" s="53">
        <v>621</v>
      </c>
      <c r="D489" s="54" t="s">
        <v>776</v>
      </c>
      <c r="E489" s="53">
        <v>621</v>
      </c>
      <c r="F489" s="54" t="s">
        <v>218</v>
      </c>
      <c r="G489" s="54" t="s">
        <v>5</v>
      </c>
      <c r="H489" s="53" t="s">
        <v>0</v>
      </c>
      <c r="I489" s="53" t="s">
        <v>15</v>
      </c>
      <c r="J489" s="55" t="s">
        <v>234</v>
      </c>
      <c r="K489" s="54" t="s">
        <v>11</v>
      </c>
      <c r="L489" s="56" t="s">
        <v>239</v>
      </c>
    </row>
    <row r="490" spans="1:12" ht="15.75" customHeight="1" x14ac:dyDescent="0.25">
      <c r="A490" s="51" t="s">
        <v>225</v>
      </c>
      <c r="B490" s="52" t="s">
        <v>714</v>
      </c>
      <c r="C490" s="53">
        <v>650</v>
      </c>
      <c r="D490" s="54" t="s">
        <v>777</v>
      </c>
      <c r="E490" s="53">
        <v>650</v>
      </c>
      <c r="F490" s="54" t="s">
        <v>218</v>
      </c>
      <c r="G490" s="54" t="s">
        <v>5</v>
      </c>
      <c r="H490" s="53" t="s">
        <v>0</v>
      </c>
      <c r="I490" s="53" t="s">
        <v>17</v>
      </c>
      <c r="J490" s="55" t="s">
        <v>234</v>
      </c>
      <c r="K490" s="54" t="s">
        <v>10</v>
      </c>
      <c r="L490" s="56" t="s">
        <v>239</v>
      </c>
    </row>
    <row r="491" spans="1:12" ht="15.75" customHeight="1" x14ac:dyDescent="0.25">
      <c r="A491" s="51" t="s">
        <v>225</v>
      </c>
      <c r="B491" s="52" t="s">
        <v>716</v>
      </c>
      <c r="C491" s="53">
        <v>651</v>
      </c>
      <c r="D491" s="54" t="s">
        <v>778</v>
      </c>
      <c r="E491" s="53">
        <v>651</v>
      </c>
      <c r="F491" s="54" t="s">
        <v>218</v>
      </c>
      <c r="G491" s="54" t="s">
        <v>5</v>
      </c>
      <c r="H491" s="53" t="s">
        <v>0</v>
      </c>
      <c r="I491" s="53" t="s">
        <v>17</v>
      </c>
      <c r="J491" s="55" t="s">
        <v>234</v>
      </c>
      <c r="K491" s="54" t="s">
        <v>7</v>
      </c>
      <c r="L491" s="56" t="s">
        <v>239</v>
      </c>
    </row>
    <row r="492" spans="1:12" ht="15.75" customHeight="1" x14ac:dyDescent="0.25">
      <c r="A492" s="51" t="s">
        <v>225</v>
      </c>
      <c r="B492" s="52" t="s">
        <v>718</v>
      </c>
      <c r="C492" s="53">
        <v>652</v>
      </c>
      <c r="D492" s="54" t="s">
        <v>779</v>
      </c>
      <c r="E492" s="53">
        <v>652</v>
      </c>
      <c r="F492" s="54" t="s">
        <v>218</v>
      </c>
      <c r="G492" s="54" t="s">
        <v>5</v>
      </c>
      <c r="H492" s="53" t="s">
        <v>0</v>
      </c>
      <c r="I492" s="53" t="s">
        <v>17</v>
      </c>
      <c r="J492" s="55" t="s">
        <v>234</v>
      </c>
      <c r="K492" s="54" t="s">
        <v>13</v>
      </c>
      <c r="L492" s="56" t="s">
        <v>239</v>
      </c>
    </row>
    <row r="493" spans="1:12" ht="15.75" customHeight="1" x14ac:dyDescent="0.25">
      <c r="A493" s="51" t="s">
        <v>225</v>
      </c>
      <c r="B493" s="52" t="s">
        <v>720</v>
      </c>
      <c r="C493" s="53">
        <v>653</v>
      </c>
      <c r="D493" s="54" t="s">
        <v>780</v>
      </c>
      <c r="E493" s="53">
        <v>653</v>
      </c>
      <c r="F493" s="54" t="s">
        <v>218</v>
      </c>
      <c r="G493" s="54" t="s">
        <v>5</v>
      </c>
      <c r="H493" s="53" t="s">
        <v>0</v>
      </c>
      <c r="I493" s="53" t="s">
        <v>17</v>
      </c>
      <c r="J493" s="55" t="s">
        <v>234</v>
      </c>
      <c r="K493" s="54" t="s">
        <v>8</v>
      </c>
      <c r="L493" s="56" t="s">
        <v>239</v>
      </c>
    </row>
    <row r="494" spans="1:12" ht="15.75" customHeight="1" x14ac:dyDescent="0.25">
      <c r="A494" s="51" t="s">
        <v>225</v>
      </c>
      <c r="B494" s="52" t="s">
        <v>722</v>
      </c>
      <c r="C494" s="53">
        <v>654</v>
      </c>
      <c r="D494" s="54" t="s">
        <v>781</v>
      </c>
      <c r="E494" s="53">
        <v>654</v>
      </c>
      <c r="F494" s="54" t="s">
        <v>218</v>
      </c>
      <c r="G494" s="54" t="s">
        <v>5</v>
      </c>
      <c r="H494" s="53" t="s">
        <v>0</v>
      </c>
      <c r="I494" s="53" t="s">
        <v>17</v>
      </c>
      <c r="J494" s="55" t="s">
        <v>234</v>
      </c>
      <c r="K494" s="54" t="s">
        <v>9</v>
      </c>
      <c r="L494" s="56" t="s">
        <v>239</v>
      </c>
    </row>
    <row r="495" spans="1:12" ht="15.75" customHeight="1" x14ac:dyDescent="0.25">
      <c r="A495" s="51" t="s">
        <v>225</v>
      </c>
      <c r="B495" s="52" t="s">
        <v>724</v>
      </c>
      <c r="C495" s="53">
        <v>655</v>
      </c>
      <c r="D495" s="54" t="s">
        <v>782</v>
      </c>
      <c r="E495" s="53">
        <v>655</v>
      </c>
      <c r="F495" s="54" t="s">
        <v>218</v>
      </c>
      <c r="G495" s="54" t="s">
        <v>5</v>
      </c>
      <c r="H495" s="53" t="s">
        <v>0</v>
      </c>
      <c r="I495" s="53" t="s">
        <v>17</v>
      </c>
      <c r="J495" s="55" t="s">
        <v>234</v>
      </c>
      <c r="K495" s="54" t="s">
        <v>12</v>
      </c>
      <c r="L495" s="56" t="s">
        <v>239</v>
      </c>
    </row>
    <row r="496" spans="1:12" ht="15.75" customHeight="1" x14ac:dyDescent="0.25">
      <c r="A496" s="51" t="s">
        <v>225</v>
      </c>
      <c r="B496" s="52" t="s">
        <v>726</v>
      </c>
      <c r="C496" s="53">
        <v>656</v>
      </c>
      <c r="D496" s="54" t="s">
        <v>783</v>
      </c>
      <c r="E496" s="53">
        <v>656</v>
      </c>
      <c r="F496" s="54" t="s">
        <v>218</v>
      </c>
      <c r="G496" s="54" t="s">
        <v>5</v>
      </c>
      <c r="H496" s="53" t="s">
        <v>0</v>
      </c>
      <c r="I496" s="53" t="s">
        <v>17</v>
      </c>
      <c r="J496" s="55" t="s">
        <v>234</v>
      </c>
      <c r="K496" s="54" t="s">
        <v>11</v>
      </c>
      <c r="L496" s="56" t="s">
        <v>239</v>
      </c>
    </row>
    <row r="497" spans="1:12" ht="15.75" customHeight="1" x14ac:dyDescent="0.25">
      <c r="A497" s="51" t="s">
        <v>225</v>
      </c>
      <c r="B497" s="52" t="s">
        <v>700</v>
      </c>
      <c r="C497" s="53">
        <v>685</v>
      </c>
      <c r="D497" s="54" t="s">
        <v>784</v>
      </c>
      <c r="E497" s="53">
        <v>685</v>
      </c>
      <c r="F497" s="54" t="s">
        <v>218</v>
      </c>
      <c r="G497" s="54" t="s">
        <v>5</v>
      </c>
      <c r="H497" s="53" t="s">
        <v>1</v>
      </c>
      <c r="I497" s="53" t="s">
        <v>15</v>
      </c>
      <c r="J497" s="55" t="s">
        <v>234</v>
      </c>
      <c r="K497" s="54" t="s">
        <v>10</v>
      </c>
      <c r="L497" s="56" t="s">
        <v>239</v>
      </c>
    </row>
    <row r="498" spans="1:12" ht="15.75" customHeight="1" x14ac:dyDescent="0.25">
      <c r="A498" s="51" t="s">
        <v>225</v>
      </c>
      <c r="B498" s="52" t="s">
        <v>702</v>
      </c>
      <c r="C498" s="53">
        <v>686</v>
      </c>
      <c r="D498" s="54" t="s">
        <v>785</v>
      </c>
      <c r="E498" s="53">
        <v>686</v>
      </c>
      <c r="F498" s="54" t="s">
        <v>218</v>
      </c>
      <c r="G498" s="54" t="s">
        <v>5</v>
      </c>
      <c r="H498" s="53" t="s">
        <v>1</v>
      </c>
      <c r="I498" s="53" t="s">
        <v>15</v>
      </c>
      <c r="J498" s="55" t="s">
        <v>234</v>
      </c>
      <c r="K498" s="54" t="s">
        <v>7</v>
      </c>
      <c r="L498" s="56" t="s">
        <v>239</v>
      </c>
    </row>
    <row r="499" spans="1:12" ht="15.75" customHeight="1" x14ac:dyDescent="0.25">
      <c r="A499" s="51" t="s">
        <v>225</v>
      </c>
      <c r="B499" s="52" t="s">
        <v>704</v>
      </c>
      <c r="C499" s="53">
        <v>687</v>
      </c>
      <c r="D499" s="54" t="s">
        <v>786</v>
      </c>
      <c r="E499" s="53">
        <v>687</v>
      </c>
      <c r="F499" s="54" t="s">
        <v>218</v>
      </c>
      <c r="G499" s="54" t="s">
        <v>5</v>
      </c>
      <c r="H499" s="53" t="s">
        <v>1</v>
      </c>
      <c r="I499" s="53" t="s">
        <v>15</v>
      </c>
      <c r="J499" s="55" t="s">
        <v>234</v>
      </c>
      <c r="K499" s="54" t="s">
        <v>13</v>
      </c>
      <c r="L499" s="56" t="s">
        <v>239</v>
      </c>
    </row>
    <row r="500" spans="1:12" ht="15.75" customHeight="1" x14ac:dyDescent="0.25">
      <c r="A500" s="51" t="s">
        <v>225</v>
      </c>
      <c r="B500" s="52" t="s">
        <v>706</v>
      </c>
      <c r="C500" s="53">
        <v>688</v>
      </c>
      <c r="D500" s="54" t="s">
        <v>787</v>
      </c>
      <c r="E500" s="53">
        <v>688</v>
      </c>
      <c r="F500" s="54" t="s">
        <v>218</v>
      </c>
      <c r="G500" s="54" t="s">
        <v>5</v>
      </c>
      <c r="H500" s="53" t="s">
        <v>1</v>
      </c>
      <c r="I500" s="53" t="s">
        <v>15</v>
      </c>
      <c r="J500" s="55" t="s">
        <v>234</v>
      </c>
      <c r="K500" s="54" t="s">
        <v>8</v>
      </c>
      <c r="L500" s="56" t="s">
        <v>239</v>
      </c>
    </row>
    <row r="501" spans="1:12" ht="15.75" customHeight="1" x14ac:dyDescent="0.25">
      <c r="A501" s="51" t="s">
        <v>225</v>
      </c>
      <c r="B501" s="52" t="s">
        <v>708</v>
      </c>
      <c r="C501" s="53">
        <v>689</v>
      </c>
      <c r="D501" s="54" t="s">
        <v>788</v>
      </c>
      <c r="E501" s="53">
        <v>689</v>
      </c>
      <c r="F501" s="54" t="s">
        <v>218</v>
      </c>
      <c r="G501" s="54" t="s">
        <v>5</v>
      </c>
      <c r="H501" s="53" t="s">
        <v>1</v>
      </c>
      <c r="I501" s="53" t="s">
        <v>15</v>
      </c>
      <c r="J501" s="55" t="s">
        <v>234</v>
      </c>
      <c r="K501" s="54" t="s">
        <v>9</v>
      </c>
      <c r="L501" s="56" t="s">
        <v>239</v>
      </c>
    </row>
    <row r="502" spans="1:12" ht="15.75" customHeight="1" x14ac:dyDescent="0.25">
      <c r="A502" s="51" t="s">
        <v>225</v>
      </c>
      <c r="B502" s="52" t="s">
        <v>710</v>
      </c>
      <c r="C502" s="53">
        <v>690</v>
      </c>
      <c r="D502" s="54" t="s">
        <v>789</v>
      </c>
      <c r="E502" s="53">
        <v>690</v>
      </c>
      <c r="F502" s="54" t="s">
        <v>218</v>
      </c>
      <c r="G502" s="54" t="s">
        <v>5</v>
      </c>
      <c r="H502" s="53" t="s">
        <v>1</v>
      </c>
      <c r="I502" s="53" t="s">
        <v>15</v>
      </c>
      <c r="J502" s="55" t="s">
        <v>234</v>
      </c>
      <c r="K502" s="54" t="s">
        <v>12</v>
      </c>
      <c r="L502" s="56" t="s">
        <v>239</v>
      </c>
    </row>
    <row r="503" spans="1:12" ht="15.75" customHeight="1" x14ac:dyDescent="0.25">
      <c r="A503" s="51" t="s">
        <v>225</v>
      </c>
      <c r="B503" s="52" t="s">
        <v>712</v>
      </c>
      <c r="C503" s="53">
        <v>691</v>
      </c>
      <c r="D503" s="54" t="s">
        <v>790</v>
      </c>
      <c r="E503" s="53">
        <v>691</v>
      </c>
      <c r="F503" s="54" t="s">
        <v>218</v>
      </c>
      <c r="G503" s="54" t="s">
        <v>5</v>
      </c>
      <c r="H503" s="53" t="s">
        <v>1</v>
      </c>
      <c r="I503" s="53" t="s">
        <v>15</v>
      </c>
      <c r="J503" s="55" t="s">
        <v>234</v>
      </c>
      <c r="K503" s="54" t="s">
        <v>11</v>
      </c>
      <c r="L503" s="56" t="s">
        <v>239</v>
      </c>
    </row>
    <row r="504" spans="1:12" ht="15.75" customHeight="1" x14ac:dyDescent="0.25">
      <c r="A504" s="51" t="s">
        <v>225</v>
      </c>
      <c r="B504" s="52" t="s">
        <v>714</v>
      </c>
      <c r="C504" s="53">
        <v>720</v>
      </c>
      <c r="D504" s="54" t="s">
        <v>791</v>
      </c>
      <c r="E504" s="53">
        <v>720</v>
      </c>
      <c r="F504" s="54" t="s">
        <v>218</v>
      </c>
      <c r="G504" s="54" t="s">
        <v>5</v>
      </c>
      <c r="H504" s="53" t="s">
        <v>1</v>
      </c>
      <c r="I504" s="53" t="s">
        <v>17</v>
      </c>
      <c r="J504" s="55" t="s">
        <v>234</v>
      </c>
      <c r="K504" s="54" t="s">
        <v>10</v>
      </c>
      <c r="L504" s="56" t="s">
        <v>239</v>
      </c>
    </row>
    <row r="505" spans="1:12" ht="15.75" customHeight="1" x14ac:dyDescent="0.25">
      <c r="A505" s="51" t="s">
        <v>225</v>
      </c>
      <c r="B505" s="52" t="s">
        <v>716</v>
      </c>
      <c r="C505" s="53">
        <v>721</v>
      </c>
      <c r="D505" s="54" t="s">
        <v>792</v>
      </c>
      <c r="E505" s="53">
        <v>721</v>
      </c>
      <c r="F505" s="54" t="s">
        <v>218</v>
      </c>
      <c r="G505" s="54" t="s">
        <v>5</v>
      </c>
      <c r="H505" s="53" t="s">
        <v>1</v>
      </c>
      <c r="I505" s="53" t="s">
        <v>17</v>
      </c>
      <c r="J505" s="55" t="s">
        <v>234</v>
      </c>
      <c r="K505" s="54" t="s">
        <v>7</v>
      </c>
      <c r="L505" s="56" t="s">
        <v>239</v>
      </c>
    </row>
    <row r="506" spans="1:12" ht="15.75" customHeight="1" x14ac:dyDescent="0.25">
      <c r="A506" s="51" t="s">
        <v>225</v>
      </c>
      <c r="B506" s="52" t="s">
        <v>718</v>
      </c>
      <c r="C506" s="53">
        <v>722</v>
      </c>
      <c r="D506" s="54" t="s">
        <v>793</v>
      </c>
      <c r="E506" s="53">
        <v>722</v>
      </c>
      <c r="F506" s="54" t="s">
        <v>218</v>
      </c>
      <c r="G506" s="54" t="s">
        <v>5</v>
      </c>
      <c r="H506" s="53" t="s">
        <v>1</v>
      </c>
      <c r="I506" s="53" t="s">
        <v>17</v>
      </c>
      <c r="J506" s="55" t="s">
        <v>234</v>
      </c>
      <c r="K506" s="54" t="s">
        <v>13</v>
      </c>
      <c r="L506" s="56" t="s">
        <v>239</v>
      </c>
    </row>
    <row r="507" spans="1:12" ht="15.75" customHeight="1" x14ac:dyDescent="0.25">
      <c r="A507" s="51" t="s">
        <v>225</v>
      </c>
      <c r="B507" s="52" t="s">
        <v>720</v>
      </c>
      <c r="C507" s="53">
        <v>723</v>
      </c>
      <c r="D507" s="54" t="s">
        <v>794</v>
      </c>
      <c r="E507" s="53">
        <v>723</v>
      </c>
      <c r="F507" s="54" t="s">
        <v>218</v>
      </c>
      <c r="G507" s="54" t="s">
        <v>5</v>
      </c>
      <c r="H507" s="53" t="s">
        <v>1</v>
      </c>
      <c r="I507" s="53" t="s">
        <v>17</v>
      </c>
      <c r="J507" s="55" t="s">
        <v>234</v>
      </c>
      <c r="K507" s="54" t="s">
        <v>8</v>
      </c>
      <c r="L507" s="56" t="s">
        <v>239</v>
      </c>
    </row>
    <row r="508" spans="1:12" ht="15.75" customHeight="1" x14ac:dyDescent="0.25">
      <c r="A508" s="51" t="s">
        <v>225</v>
      </c>
      <c r="B508" s="52" t="s">
        <v>722</v>
      </c>
      <c r="C508" s="53">
        <v>724</v>
      </c>
      <c r="D508" s="54" t="s">
        <v>795</v>
      </c>
      <c r="E508" s="53">
        <v>724</v>
      </c>
      <c r="F508" s="54" t="s">
        <v>218</v>
      </c>
      <c r="G508" s="54" t="s">
        <v>5</v>
      </c>
      <c r="H508" s="53" t="s">
        <v>1</v>
      </c>
      <c r="I508" s="53" t="s">
        <v>17</v>
      </c>
      <c r="J508" s="55" t="s">
        <v>234</v>
      </c>
      <c r="K508" s="54" t="s">
        <v>9</v>
      </c>
      <c r="L508" s="56" t="s">
        <v>239</v>
      </c>
    </row>
    <row r="509" spans="1:12" ht="15.75" customHeight="1" x14ac:dyDescent="0.25">
      <c r="A509" s="51" t="s">
        <v>225</v>
      </c>
      <c r="B509" s="52" t="s">
        <v>724</v>
      </c>
      <c r="C509" s="53">
        <v>725</v>
      </c>
      <c r="D509" s="54" t="s">
        <v>796</v>
      </c>
      <c r="E509" s="53">
        <v>725</v>
      </c>
      <c r="F509" s="54" t="s">
        <v>218</v>
      </c>
      <c r="G509" s="54" t="s">
        <v>5</v>
      </c>
      <c r="H509" s="53" t="s">
        <v>1</v>
      </c>
      <c r="I509" s="53" t="s">
        <v>17</v>
      </c>
      <c r="J509" s="55" t="s">
        <v>234</v>
      </c>
      <c r="K509" s="54" t="s">
        <v>12</v>
      </c>
      <c r="L509" s="56" t="s">
        <v>239</v>
      </c>
    </row>
    <row r="510" spans="1:12" ht="15.75" customHeight="1" x14ac:dyDescent="0.25">
      <c r="A510" s="51" t="s">
        <v>225</v>
      </c>
      <c r="B510" s="52" t="s">
        <v>726</v>
      </c>
      <c r="C510" s="53">
        <v>726</v>
      </c>
      <c r="D510" s="54" t="s">
        <v>797</v>
      </c>
      <c r="E510" s="53">
        <v>726</v>
      </c>
      <c r="F510" s="54" t="s">
        <v>218</v>
      </c>
      <c r="G510" s="54" t="s">
        <v>5</v>
      </c>
      <c r="H510" s="53" t="s">
        <v>1</v>
      </c>
      <c r="I510" s="53" t="s">
        <v>17</v>
      </c>
      <c r="J510" s="55" t="s">
        <v>234</v>
      </c>
      <c r="K510" s="54" t="s">
        <v>11</v>
      </c>
      <c r="L510" s="56" t="s">
        <v>239</v>
      </c>
    </row>
    <row r="511" spans="1:12" ht="15.75" customHeight="1" x14ac:dyDescent="0.25">
      <c r="A511" s="51" t="s">
        <v>225</v>
      </c>
      <c r="B511" s="52" t="s">
        <v>700</v>
      </c>
      <c r="C511" s="53">
        <v>608</v>
      </c>
      <c r="D511" s="54" t="s">
        <v>798</v>
      </c>
      <c r="E511" s="53">
        <v>608</v>
      </c>
      <c r="F511" s="54" t="s">
        <v>218</v>
      </c>
      <c r="G511" s="54" t="s">
        <v>5</v>
      </c>
      <c r="H511" s="53" t="s">
        <v>0</v>
      </c>
      <c r="I511" s="53" t="s">
        <v>15</v>
      </c>
      <c r="J511" s="55" t="s">
        <v>228</v>
      </c>
      <c r="K511" s="54" t="s">
        <v>10</v>
      </c>
      <c r="L511" s="56" t="s">
        <v>239</v>
      </c>
    </row>
    <row r="512" spans="1:12" ht="15.75" customHeight="1" x14ac:dyDescent="0.25">
      <c r="A512" s="51" t="s">
        <v>225</v>
      </c>
      <c r="B512" s="52" t="s">
        <v>702</v>
      </c>
      <c r="C512" s="53">
        <v>609</v>
      </c>
      <c r="D512" s="54" t="s">
        <v>799</v>
      </c>
      <c r="E512" s="53">
        <v>609</v>
      </c>
      <c r="F512" s="54" t="s">
        <v>218</v>
      </c>
      <c r="G512" s="54" t="s">
        <v>5</v>
      </c>
      <c r="H512" s="53" t="s">
        <v>0</v>
      </c>
      <c r="I512" s="53" t="s">
        <v>15</v>
      </c>
      <c r="J512" s="55" t="s">
        <v>228</v>
      </c>
      <c r="K512" s="54" t="s">
        <v>7</v>
      </c>
      <c r="L512" s="56" t="s">
        <v>239</v>
      </c>
    </row>
    <row r="513" spans="1:12" ht="15.75" customHeight="1" x14ac:dyDescent="0.25">
      <c r="A513" s="51" t="s">
        <v>225</v>
      </c>
      <c r="B513" s="52" t="s">
        <v>704</v>
      </c>
      <c r="C513" s="53">
        <v>610</v>
      </c>
      <c r="D513" s="54" t="s">
        <v>800</v>
      </c>
      <c r="E513" s="53">
        <v>610</v>
      </c>
      <c r="F513" s="54" t="s">
        <v>218</v>
      </c>
      <c r="G513" s="54" t="s">
        <v>5</v>
      </c>
      <c r="H513" s="53" t="s">
        <v>0</v>
      </c>
      <c r="I513" s="53" t="s">
        <v>15</v>
      </c>
      <c r="J513" s="55" t="s">
        <v>228</v>
      </c>
      <c r="K513" s="54" t="s">
        <v>13</v>
      </c>
      <c r="L513" s="56" t="s">
        <v>239</v>
      </c>
    </row>
    <row r="514" spans="1:12" ht="15.75" customHeight="1" x14ac:dyDescent="0.25">
      <c r="A514" s="51" t="s">
        <v>225</v>
      </c>
      <c r="B514" s="52" t="s">
        <v>706</v>
      </c>
      <c r="C514" s="53">
        <v>611</v>
      </c>
      <c r="D514" s="54" t="s">
        <v>801</v>
      </c>
      <c r="E514" s="53">
        <v>611</v>
      </c>
      <c r="F514" s="54" t="s">
        <v>218</v>
      </c>
      <c r="G514" s="54" t="s">
        <v>5</v>
      </c>
      <c r="H514" s="53" t="s">
        <v>0</v>
      </c>
      <c r="I514" s="53" t="s">
        <v>15</v>
      </c>
      <c r="J514" s="55" t="s">
        <v>228</v>
      </c>
      <c r="K514" s="54" t="s">
        <v>8</v>
      </c>
      <c r="L514" s="56" t="s">
        <v>239</v>
      </c>
    </row>
    <row r="515" spans="1:12" ht="15.75" customHeight="1" x14ac:dyDescent="0.25">
      <c r="A515" s="51" t="s">
        <v>225</v>
      </c>
      <c r="B515" s="52" t="s">
        <v>708</v>
      </c>
      <c r="C515" s="53">
        <v>612</v>
      </c>
      <c r="D515" s="54" t="s">
        <v>802</v>
      </c>
      <c r="E515" s="53">
        <v>612</v>
      </c>
      <c r="F515" s="54" t="s">
        <v>218</v>
      </c>
      <c r="G515" s="54" t="s">
        <v>5</v>
      </c>
      <c r="H515" s="53" t="s">
        <v>0</v>
      </c>
      <c r="I515" s="53" t="s">
        <v>15</v>
      </c>
      <c r="J515" s="55" t="s">
        <v>228</v>
      </c>
      <c r="K515" s="54" t="s">
        <v>9</v>
      </c>
      <c r="L515" s="56" t="s">
        <v>239</v>
      </c>
    </row>
    <row r="516" spans="1:12" ht="15.75" customHeight="1" x14ac:dyDescent="0.25">
      <c r="A516" s="51" t="s">
        <v>225</v>
      </c>
      <c r="B516" s="52" t="s">
        <v>710</v>
      </c>
      <c r="C516" s="53">
        <v>613</v>
      </c>
      <c r="D516" s="54" t="s">
        <v>803</v>
      </c>
      <c r="E516" s="53">
        <v>613</v>
      </c>
      <c r="F516" s="54" t="s">
        <v>218</v>
      </c>
      <c r="G516" s="54" t="s">
        <v>5</v>
      </c>
      <c r="H516" s="53" t="s">
        <v>0</v>
      </c>
      <c r="I516" s="53" t="s">
        <v>15</v>
      </c>
      <c r="J516" s="55" t="s">
        <v>228</v>
      </c>
      <c r="K516" s="54" t="s">
        <v>12</v>
      </c>
      <c r="L516" s="56" t="s">
        <v>239</v>
      </c>
    </row>
    <row r="517" spans="1:12" ht="15.75" customHeight="1" x14ac:dyDescent="0.25">
      <c r="A517" s="51" t="s">
        <v>225</v>
      </c>
      <c r="B517" s="52" t="s">
        <v>712</v>
      </c>
      <c r="C517" s="53">
        <v>614</v>
      </c>
      <c r="D517" s="54" t="s">
        <v>804</v>
      </c>
      <c r="E517" s="53">
        <v>614</v>
      </c>
      <c r="F517" s="54" t="s">
        <v>218</v>
      </c>
      <c r="G517" s="54" t="s">
        <v>5</v>
      </c>
      <c r="H517" s="53" t="s">
        <v>0</v>
      </c>
      <c r="I517" s="53" t="s">
        <v>15</v>
      </c>
      <c r="J517" s="55" t="s">
        <v>228</v>
      </c>
      <c r="K517" s="54" t="s">
        <v>11</v>
      </c>
      <c r="L517" s="56" t="s">
        <v>239</v>
      </c>
    </row>
    <row r="518" spans="1:12" ht="15.75" customHeight="1" x14ac:dyDescent="0.25">
      <c r="A518" s="51" t="s">
        <v>225</v>
      </c>
      <c r="B518" s="52" t="s">
        <v>714</v>
      </c>
      <c r="C518" s="53">
        <v>643</v>
      </c>
      <c r="D518" s="54" t="s">
        <v>805</v>
      </c>
      <c r="E518" s="53">
        <v>643</v>
      </c>
      <c r="F518" s="54" t="s">
        <v>218</v>
      </c>
      <c r="G518" s="54" t="s">
        <v>5</v>
      </c>
      <c r="H518" s="53" t="s">
        <v>0</v>
      </c>
      <c r="I518" s="53" t="s">
        <v>17</v>
      </c>
      <c r="J518" s="55" t="s">
        <v>228</v>
      </c>
      <c r="K518" s="54" t="s">
        <v>10</v>
      </c>
      <c r="L518" s="56" t="s">
        <v>239</v>
      </c>
    </row>
    <row r="519" spans="1:12" ht="15.75" customHeight="1" x14ac:dyDescent="0.25">
      <c r="A519" s="51" t="s">
        <v>225</v>
      </c>
      <c r="B519" s="52" t="s">
        <v>716</v>
      </c>
      <c r="C519" s="53">
        <v>644</v>
      </c>
      <c r="D519" s="54" t="s">
        <v>806</v>
      </c>
      <c r="E519" s="53">
        <v>644</v>
      </c>
      <c r="F519" s="54" t="s">
        <v>218</v>
      </c>
      <c r="G519" s="54" t="s">
        <v>5</v>
      </c>
      <c r="H519" s="53" t="s">
        <v>0</v>
      </c>
      <c r="I519" s="53" t="s">
        <v>17</v>
      </c>
      <c r="J519" s="55" t="s">
        <v>228</v>
      </c>
      <c r="K519" s="54" t="s">
        <v>7</v>
      </c>
      <c r="L519" s="56" t="s">
        <v>239</v>
      </c>
    </row>
    <row r="520" spans="1:12" ht="15.75" customHeight="1" x14ac:dyDescent="0.25">
      <c r="A520" s="51" t="s">
        <v>225</v>
      </c>
      <c r="B520" s="52" t="s">
        <v>718</v>
      </c>
      <c r="C520" s="53">
        <v>645</v>
      </c>
      <c r="D520" s="54" t="s">
        <v>807</v>
      </c>
      <c r="E520" s="53">
        <v>645</v>
      </c>
      <c r="F520" s="54" t="s">
        <v>218</v>
      </c>
      <c r="G520" s="54" t="s">
        <v>5</v>
      </c>
      <c r="H520" s="53" t="s">
        <v>0</v>
      </c>
      <c r="I520" s="53" t="s">
        <v>17</v>
      </c>
      <c r="J520" s="55" t="s">
        <v>228</v>
      </c>
      <c r="K520" s="54" t="s">
        <v>13</v>
      </c>
      <c r="L520" s="56" t="s">
        <v>239</v>
      </c>
    </row>
    <row r="521" spans="1:12" ht="15.75" customHeight="1" x14ac:dyDescent="0.25">
      <c r="A521" s="51" t="s">
        <v>225</v>
      </c>
      <c r="B521" s="52" t="s">
        <v>720</v>
      </c>
      <c r="C521" s="53">
        <v>646</v>
      </c>
      <c r="D521" s="54" t="s">
        <v>808</v>
      </c>
      <c r="E521" s="53">
        <v>646</v>
      </c>
      <c r="F521" s="54" t="s">
        <v>218</v>
      </c>
      <c r="G521" s="54" t="s">
        <v>5</v>
      </c>
      <c r="H521" s="53" t="s">
        <v>0</v>
      </c>
      <c r="I521" s="53" t="s">
        <v>17</v>
      </c>
      <c r="J521" s="55" t="s">
        <v>228</v>
      </c>
      <c r="K521" s="54" t="s">
        <v>8</v>
      </c>
      <c r="L521" s="56" t="s">
        <v>239</v>
      </c>
    </row>
    <row r="522" spans="1:12" ht="15.75" customHeight="1" x14ac:dyDescent="0.25">
      <c r="A522" s="51" t="s">
        <v>225</v>
      </c>
      <c r="B522" s="52" t="s">
        <v>722</v>
      </c>
      <c r="C522" s="53">
        <v>647</v>
      </c>
      <c r="D522" s="54" t="s">
        <v>809</v>
      </c>
      <c r="E522" s="53">
        <v>647</v>
      </c>
      <c r="F522" s="54" t="s">
        <v>218</v>
      </c>
      <c r="G522" s="54" t="s">
        <v>5</v>
      </c>
      <c r="H522" s="53" t="s">
        <v>0</v>
      </c>
      <c r="I522" s="53" t="s">
        <v>17</v>
      </c>
      <c r="J522" s="55" t="s">
        <v>228</v>
      </c>
      <c r="K522" s="54" t="s">
        <v>9</v>
      </c>
      <c r="L522" s="56" t="s">
        <v>239</v>
      </c>
    </row>
    <row r="523" spans="1:12" ht="15.75" customHeight="1" x14ac:dyDescent="0.25">
      <c r="A523" s="51" t="s">
        <v>225</v>
      </c>
      <c r="B523" s="52" t="s">
        <v>724</v>
      </c>
      <c r="C523" s="53">
        <v>648</v>
      </c>
      <c r="D523" s="54" t="s">
        <v>810</v>
      </c>
      <c r="E523" s="53">
        <v>648</v>
      </c>
      <c r="F523" s="54" t="s">
        <v>218</v>
      </c>
      <c r="G523" s="54" t="s">
        <v>5</v>
      </c>
      <c r="H523" s="53" t="s">
        <v>0</v>
      </c>
      <c r="I523" s="53" t="s">
        <v>17</v>
      </c>
      <c r="J523" s="55" t="s">
        <v>228</v>
      </c>
      <c r="K523" s="54" t="s">
        <v>12</v>
      </c>
      <c r="L523" s="56" t="s">
        <v>239</v>
      </c>
    </row>
    <row r="524" spans="1:12" ht="15.75" customHeight="1" x14ac:dyDescent="0.25">
      <c r="A524" s="51" t="s">
        <v>225</v>
      </c>
      <c r="B524" s="52" t="s">
        <v>726</v>
      </c>
      <c r="C524" s="53">
        <v>649</v>
      </c>
      <c r="D524" s="54" t="s">
        <v>811</v>
      </c>
      <c r="E524" s="53">
        <v>649</v>
      </c>
      <c r="F524" s="54" t="s">
        <v>218</v>
      </c>
      <c r="G524" s="54" t="s">
        <v>5</v>
      </c>
      <c r="H524" s="53" t="s">
        <v>0</v>
      </c>
      <c r="I524" s="53" t="s">
        <v>17</v>
      </c>
      <c r="J524" s="55" t="s">
        <v>228</v>
      </c>
      <c r="K524" s="54" t="s">
        <v>11</v>
      </c>
      <c r="L524" s="56" t="s">
        <v>239</v>
      </c>
    </row>
    <row r="525" spans="1:12" ht="15.75" customHeight="1" x14ac:dyDescent="0.25">
      <c r="A525" s="51" t="s">
        <v>225</v>
      </c>
      <c r="B525" s="52" t="s">
        <v>700</v>
      </c>
      <c r="C525" s="53">
        <v>678</v>
      </c>
      <c r="D525" s="54" t="s">
        <v>812</v>
      </c>
      <c r="E525" s="53">
        <v>678</v>
      </c>
      <c r="F525" s="54" t="s">
        <v>218</v>
      </c>
      <c r="G525" s="54" t="s">
        <v>5</v>
      </c>
      <c r="H525" s="53" t="s">
        <v>1</v>
      </c>
      <c r="I525" s="53" t="s">
        <v>15</v>
      </c>
      <c r="J525" s="55" t="s">
        <v>228</v>
      </c>
      <c r="K525" s="54" t="s">
        <v>10</v>
      </c>
      <c r="L525" s="56" t="s">
        <v>239</v>
      </c>
    </row>
    <row r="526" spans="1:12" ht="15.75" customHeight="1" x14ac:dyDescent="0.25">
      <c r="A526" s="51" t="s">
        <v>225</v>
      </c>
      <c r="B526" s="52" t="s">
        <v>702</v>
      </c>
      <c r="C526" s="53">
        <v>679</v>
      </c>
      <c r="D526" s="54" t="s">
        <v>813</v>
      </c>
      <c r="E526" s="53">
        <v>679</v>
      </c>
      <c r="F526" s="54" t="s">
        <v>218</v>
      </c>
      <c r="G526" s="54" t="s">
        <v>5</v>
      </c>
      <c r="H526" s="53" t="s">
        <v>1</v>
      </c>
      <c r="I526" s="53" t="s">
        <v>15</v>
      </c>
      <c r="J526" s="55" t="s">
        <v>228</v>
      </c>
      <c r="K526" s="54" t="s">
        <v>7</v>
      </c>
      <c r="L526" s="56" t="s">
        <v>239</v>
      </c>
    </row>
    <row r="527" spans="1:12" ht="15.75" customHeight="1" x14ac:dyDescent="0.25">
      <c r="A527" s="51" t="s">
        <v>225</v>
      </c>
      <c r="B527" s="52" t="s">
        <v>704</v>
      </c>
      <c r="C527" s="53">
        <v>680</v>
      </c>
      <c r="D527" s="54" t="s">
        <v>814</v>
      </c>
      <c r="E527" s="53">
        <v>680</v>
      </c>
      <c r="F527" s="54" t="s">
        <v>218</v>
      </c>
      <c r="G527" s="54" t="s">
        <v>5</v>
      </c>
      <c r="H527" s="53" t="s">
        <v>1</v>
      </c>
      <c r="I527" s="53" t="s">
        <v>15</v>
      </c>
      <c r="J527" s="55" t="s">
        <v>228</v>
      </c>
      <c r="K527" s="54" t="s">
        <v>13</v>
      </c>
      <c r="L527" s="56" t="s">
        <v>239</v>
      </c>
    </row>
    <row r="528" spans="1:12" ht="15.75" customHeight="1" x14ac:dyDescent="0.25">
      <c r="A528" s="51" t="s">
        <v>225</v>
      </c>
      <c r="B528" s="52" t="s">
        <v>706</v>
      </c>
      <c r="C528" s="53">
        <v>681</v>
      </c>
      <c r="D528" s="54" t="s">
        <v>815</v>
      </c>
      <c r="E528" s="53">
        <v>681</v>
      </c>
      <c r="F528" s="54" t="s">
        <v>218</v>
      </c>
      <c r="G528" s="54" t="s">
        <v>5</v>
      </c>
      <c r="H528" s="53" t="s">
        <v>1</v>
      </c>
      <c r="I528" s="53" t="s">
        <v>15</v>
      </c>
      <c r="J528" s="55" t="s">
        <v>228</v>
      </c>
      <c r="K528" s="54" t="s">
        <v>8</v>
      </c>
      <c r="L528" s="56" t="s">
        <v>239</v>
      </c>
    </row>
    <row r="529" spans="1:12" ht="15.75" customHeight="1" x14ac:dyDescent="0.25">
      <c r="A529" s="51" t="s">
        <v>225</v>
      </c>
      <c r="B529" s="52" t="s">
        <v>708</v>
      </c>
      <c r="C529" s="53">
        <v>682</v>
      </c>
      <c r="D529" s="54" t="s">
        <v>816</v>
      </c>
      <c r="E529" s="53">
        <v>682</v>
      </c>
      <c r="F529" s="54" t="s">
        <v>218</v>
      </c>
      <c r="G529" s="54" t="s">
        <v>5</v>
      </c>
      <c r="H529" s="53" t="s">
        <v>1</v>
      </c>
      <c r="I529" s="53" t="s">
        <v>15</v>
      </c>
      <c r="J529" s="55" t="s">
        <v>228</v>
      </c>
      <c r="K529" s="54" t="s">
        <v>9</v>
      </c>
      <c r="L529" s="56" t="s">
        <v>239</v>
      </c>
    </row>
    <row r="530" spans="1:12" ht="15.75" customHeight="1" x14ac:dyDescent="0.25">
      <c r="A530" s="51" t="s">
        <v>225</v>
      </c>
      <c r="B530" s="52" t="s">
        <v>710</v>
      </c>
      <c r="C530" s="53">
        <v>683</v>
      </c>
      <c r="D530" s="54" t="s">
        <v>817</v>
      </c>
      <c r="E530" s="53">
        <v>683</v>
      </c>
      <c r="F530" s="54" t="s">
        <v>218</v>
      </c>
      <c r="G530" s="54" t="s">
        <v>5</v>
      </c>
      <c r="H530" s="53" t="s">
        <v>1</v>
      </c>
      <c r="I530" s="53" t="s">
        <v>15</v>
      </c>
      <c r="J530" s="55" t="s">
        <v>228</v>
      </c>
      <c r="K530" s="54" t="s">
        <v>12</v>
      </c>
      <c r="L530" s="56" t="s">
        <v>239</v>
      </c>
    </row>
    <row r="531" spans="1:12" ht="15.75" customHeight="1" x14ac:dyDescent="0.25">
      <c r="A531" s="51" t="s">
        <v>225</v>
      </c>
      <c r="B531" s="52" t="s">
        <v>712</v>
      </c>
      <c r="C531" s="53">
        <v>684</v>
      </c>
      <c r="D531" s="54" t="s">
        <v>818</v>
      </c>
      <c r="E531" s="53">
        <v>684</v>
      </c>
      <c r="F531" s="54" t="s">
        <v>218</v>
      </c>
      <c r="G531" s="54" t="s">
        <v>5</v>
      </c>
      <c r="H531" s="53" t="s">
        <v>1</v>
      </c>
      <c r="I531" s="53" t="s">
        <v>15</v>
      </c>
      <c r="J531" s="55" t="s">
        <v>228</v>
      </c>
      <c r="K531" s="54" t="s">
        <v>11</v>
      </c>
      <c r="L531" s="56" t="s">
        <v>239</v>
      </c>
    </row>
    <row r="532" spans="1:12" ht="15.75" customHeight="1" x14ac:dyDescent="0.25">
      <c r="A532" s="51" t="s">
        <v>225</v>
      </c>
      <c r="B532" s="52" t="s">
        <v>714</v>
      </c>
      <c r="C532" s="53">
        <v>713</v>
      </c>
      <c r="D532" s="54" t="s">
        <v>819</v>
      </c>
      <c r="E532" s="53">
        <v>713</v>
      </c>
      <c r="F532" s="54" t="s">
        <v>218</v>
      </c>
      <c r="G532" s="54" t="s">
        <v>5</v>
      </c>
      <c r="H532" s="53" t="s">
        <v>1</v>
      </c>
      <c r="I532" s="53" t="s">
        <v>17</v>
      </c>
      <c r="J532" s="55" t="s">
        <v>228</v>
      </c>
      <c r="K532" s="54" t="s">
        <v>10</v>
      </c>
      <c r="L532" s="56" t="s">
        <v>239</v>
      </c>
    </row>
    <row r="533" spans="1:12" ht="15.75" customHeight="1" x14ac:dyDescent="0.25">
      <c r="A533" s="51" t="s">
        <v>225</v>
      </c>
      <c r="B533" s="52" t="s">
        <v>716</v>
      </c>
      <c r="C533" s="53">
        <v>714</v>
      </c>
      <c r="D533" s="54" t="s">
        <v>820</v>
      </c>
      <c r="E533" s="53">
        <v>714</v>
      </c>
      <c r="F533" s="54" t="s">
        <v>218</v>
      </c>
      <c r="G533" s="54" t="s">
        <v>5</v>
      </c>
      <c r="H533" s="53" t="s">
        <v>1</v>
      </c>
      <c r="I533" s="53" t="s">
        <v>17</v>
      </c>
      <c r="J533" s="55" t="s">
        <v>228</v>
      </c>
      <c r="K533" s="54" t="s">
        <v>7</v>
      </c>
      <c r="L533" s="56" t="s">
        <v>239</v>
      </c>
    </row>
    <row r="534" spans="1:12" ht="15.75" customHeight="1" x14ac:dyDescent="0.25">
      <c r="A534" s="51" t="s">
        <v>225</v>
      </c>
      <c r="B534" s="52" t="s">
        <v>718</v>
      </c>
      <c r="C534" s="53">
        <v>715</v>
      </c>
      <c r="D534" s="54" t="s">
        <v>821</v>
      </c>
      <c r="E534" s="53">
        <v>715</v>
      </c>
      <c r="F534" s="54" t="s">
        <v>218</v>
      </c>
      <c r="G534" s="54" t="s">
        <v>5</v>
      </c>
      <c r="H534" s="53" t="s">
        <v>1</v>
      </c>
      <c r="I534" s="53" t="s">
        <v>17</v>
      </c>
      <c r="J534" s="55" t="s">
        <v>228</v>
      </c>
      <c r="K534" s="54" t="s">
        <v>13</v>
      </c>
      <c r="L534" s="56" t="s">
        <v>239</v>
      </c>
    </row>
    <row r="535" spans="1:12" ht="15.75" customHeight="1" x14ac:dyDescent="0.25">
      <c r="A535" s="51" t="s">
        <v>225</v>
      </c>
      <c r="B535" s="52" t="s">
        <v>720</v>
      </c>
      <c r="C535" s="53">
        <v>716</v>
      </c>
      <c r="D535" s="54" t="s">
        <v>822</v>
      </c>
      <c r="E535" s="53">
        <v>716</v>
      </c>
      <c r="F535" s="54" t="s">
        <v>218</v>
      </c>
      <c r="G535" s="54" t="s">
        <v>5</v>
      </c>
      <c r="H535" s="53" t="s">
        <v>1</v>
      </c>
      <c r="I535" s="53" t="s">
        <v>17</v>
      </c>
      <c r="J535" s="55" t="s">
        <v>228</v>
      </c>
      <c r="K535" s="54" t="s">
        <v>8</v>
      </c>
      <c r="L535" s="56" t="s">
        <v>239</v>
      </c>
    </row>
    <row r="536" spans="1:12" ht="15.75" customHeight="1" x14ac:dyDescent="0.25">
      <c r="A536" s="51" t="s">
        <v>225</v>
      </c>
      <c r="B536" s="52" t="s">
        <v>722</v>
      </c>
      <c r="C536" s="53">
        <v>717</v>
      </c>
      <c r="D536" s="54" t="s">
        <v>823</v>
      </c>
      <c r="E536" s="53">
        <v>717</v>
      </c>
      <c r="F536" s="54" t="s">
        <v>218</v>
      </c>
      <c r="G536" s="54" t="s">
        <v>5</v>
      </c>
      <c r="H536" s="53" t="s">
        <v>1</v>
      </c>
      <c r="I536" s="53" t="s">
        <v>17</v>
      </c>
      <c r="J536" s="55" t="s">
        <v>228</v>
      </c>
      <c r="K536" s="54" t="s">
        <v>9</v>
      </c>
      <c r="L536" s="56" t="s">
        <v>239</v>
      </c>
    </row>
    <row r="537" spans="1:12" ht="15.75" customHeight="1" x14ac:dyDescent="0.25">
      <c r="A537" s="51" t="s">
        <v>225</v>
      </c>
      <c r="B537" s="52" t="s">
        <v>724</v>
      </c>
      <c r="C537" s="53">
        <v>718</v>
      </c>
      <c r="D537" s="54" t="s">
        <v>824</v>
      </c>
      <c r="E537" s="53">
        <v>718</v>
      </c>
      <c r="F537" s="54" t="s">
        <v>218</v>
      </c>
      <c r="G537" s="54" t="s">
        <v>5</v>
      </c>
      <c r="H537" s="53" t="s">
        <v>1</v>
      </c>
      <c r="I537" s="53" t="s">
        <v>17</v>
      </c>
      <c r="J537" s="55" t="s">
        <v>228</v>
      </c>
      <c r="K537" s="54" t="s">
        <v>12</v>
      </c>
      <c r="L537" s="56" t="s">
        <v>239</v>
      </c>
    </row>
    <row r="538" spans="1:12" ht="15.75" customHeight="1" x14ac:dyDescent="0.25">
      <c r="A538" s="51" t="s">
        <v>225</v>
      </c>
      <c r="B538" s="52" t="s">
        <v>726</v>
      </c>
      <c r="C538" s="53">
        <v>719</v>
      </c>
      <c r="D538" s="54" t="s">
        <v>825</v>
      </c>
      <c r="E538" s="53">
        <v>719</v>
      </c>
      <c r="F538" s="54" t="s">
        <v>218</v>
      </c>
      <c r="G538" s="54" t="s">
        <v>5</v>
      </c>
      <c r="H538" s="53" t="s">
        <v>1</v>
      </c>
      <c r="I538" s="53" t="s">
        <v>17</v>
      </c>
      <c r="J538" s="55" t="s">
        <v>228</v>
      </c>
      <c r="K538" s="54" t="s">
        <v>11</v>
      </c>
      <c r="L538" s="56" t="s">
        <v>239</v>
      </c>
    </row>
    <row r="539" spans="1:12" ht="15.75" customHeight="1" x14ac:dyDescent="0.25">
      <c r="A539" s="51" t="s">
        <v>225</v>
      </c>
      <c r="B539" s="52" t="s">
        <v>700</v>
      </c>
      <c r="C539" s="53">
        <v>601</v>
      </c>
      <c r="D539" s="54" t="s">
        <v>826</v>
      </c>
      <c r="E539" s="53">
        <v>601</v>
      </c>
      <c r="F539" s="54" t="s">
        <v>218</v>
      </c>
      <c r="G539" s="54" t="s">
        <v>5</v>
      </c>
      <c r="H539" s="53" t="s">
        <v>0</v>
      </c>
      <c r="I539" s="53" t="s">
        <v>15</v>
      </c>
      <c r="J539" s="55" t="s">
        <v>236</v>
      </c>
      <c r="K539" s="54" t="s">
        <v>10</v>
      </c>
      <c r="L539" s="56" t="s">
        <v>239</v>
      </c>
    </row>
    <row r="540" spans="1:12" ht="15.75" customHeight="1" x14ac:dyDescent="0.25">
      <c r="A540" s="51" t="s">
        <v>225</v>
      </c>
      <c r="B540" s="52" t="s">
        <v>702</v>
      </c>
      <c r="C540" s="53">
        <v>602</v>
      </c>
      <c r="D540" s="54" t="s">
        <v>827</v>
      </c>
      <c r="E540" s="53">
        <v>602</v>
      </c>
      <c r="F540" s="54" t="s">
        <v>218</v>
      </c>
      <c r="G540" s="54" t="s">
        <v>5</v>
      </c>
      <c r="H540" s="53" t="s">
        <v>0</v>
      </c>
      <c r="I540" s="53" t="s">
        <v>15</v>
      </c>
      <c r="J540" s="55" t="s">
        <v>236</v>
      </c>
      <c r="K540" s="54" t="s">
        <v>7</v>
      </c>
      <c r="L540" s="56" t="s">
        <v>239</v>
      </c>
    </row>
    <row r="541" spans="1:12" ht="15.75" customHeight="1" x14ac:dyDescent="0.25">
      <c r="A541" s="51" t="s">
        <v>225</v>
      </c>
      <c r="B541" s="52" t="s">
        <v>704</v>
      </c>
      <c r="C541" s="53">
        <v>603</v>
      </c>
      <c r="D541" s="54" t="s">
        <v>828</v>
      </c>
      <c r="E541" s="53">
        <v>603</v>
      </c>
      <c r="F541" s="54" t="s">
        <v>218</v>
      </c>
      <c r="G541" s="54" t="s">
        <v>5</v>
      </c>
      <c r="H541" s="53" t="s">
        <v>0</v>
      </c>
      <c r="I541" s="53" t="s">
        <v>15</v>
      </c>
      <c r="J541" s="55" t="s">
        <v>236</v>
      </c>
      <c r="K541" s="54" t="s">
        <v>13</v>
      </c>
      <c r="L541" s="56" t="s">
        <v>239</v>
      </c>
    </row>
    <row r="542" spans="1:12" ht="15.75" customHeight="1" x14ac:dyDescent="0.25">
      <c r="A542" s="51" t="s">
        <v>225</v>
      </c>
      <c r="B542" s="52" t="s">
        <v>706</v>
      </c>
      <c r="C542" s="53">
        <v>604</v>
      </c>
      <c r="D542" s="54" t="s">
        <v>829</v>
      </c>
      <c r="E542" s="53">
        <v>604</v>
      </c>
      <c r="F542" s="54" t="s">
        <v>218</v>
      </c>
      <c r="G542" s="54" t="s">
        <v>5</v>
      </c>
      <c r="H542" s="53" t="s">
        <v>0</v>
      </c>
      <c r="I542" s="53" t="s">
        <v>15</v>
      </c>
      <c r="J542" s="55" t="s">
        <v>236</v>
      </c>
      <c r="K542" s="54" t="s">
        <v>8</v>
      </c>
      <c r="L542" s="56" t="s">
        <v>239</v>
      </c>
    </row>
    <row r="543" spans="1:12" ht="15.75" customHeight="1" x14ac:dyDescent="0.25">
      <c r="A543" s="51" t="s">
        <v>225</v>
      </c>
      <c r="B543" s="52" t="s">
        <v>708</v>
      </c>
      <c r="C543" s="53">
        <v>605</v>
      </c>
      <c r="D543" s="54" t="s">
        <v>830</v>
      </c>
      <c r="E543" s="53">
        <v>605</v>
      </c>
      <c r="F543" s="54" t="s">
        <v>218</v>
      </c>
      <c r="G543" s="54" t="s">
        <v>5</v>
      </c>
      <c r="H543" s="53" t="s">
        <v>0</v>
      </c>
      <c r="I543" s="53" t="s">
        <v>15</v>
      </c>
      <c r="J543" s="55" t="s">
        <v>236</v>
      </c>
      <c r="K543" s="54" t="s">
        <v>9</v>
      </c>
      <c r="L543" s="56" t="s">
        <v>239</v>
      </c>
    </row>
    <row r="544" spans="1:12" ht="15.75" customHeight="1" x14ac:dyDescent="0.25">
      <c r="A544" s="51" t="s">
        <v>225</v>
      </c>
      <c r="B544" s="52" t="s">
        <v>710</v>
      </c>
      <c r="C544" s="53">
        <v>606</v>
      </c>
      <c r="D544" s="54" t="s">
        <v>831</v>
      </c>
      <c r="E544" s="53">
        <v>606</v>
      </c>
      <c r="F544" s="54" t="s">
        <v>218</v>
      </c>
      <c r="G544" s="54" t="s">
        <v>5</v>
      </c>
      <c r="H544" s="53" t="s">
        <v>0</v>
      </c>
      <c r="I544" s="53" t="s">
        <v>15</v>
      </c>
      <c r="J544" s="55" t="s">
        <v>236</v>
      </c>
      <c r="K544" s="54" t="s">
        <v>12</v>
      </c>
      <c r="L544" s="56" t="s">
        <v>239</v>
      </c>
    </row>
    <row r="545" spans="1:12" ht="15.75" customHeight="1" x14ac:dyDescent="0.25">
      <c r="A545" s="51" t="s">
        <v>225</v>
      </c>
      <c r="B545" s="52" t="s">
        <v>712</v>
      </c>
      <c r="C545" s="53">
        <v>607</v>
      </c>
      <c r="D545" s="54" t="s">
        <v>832</v>
      </c>
      <c r="E545" s="53">
        <v>607</v>
      </c>
      <c r="F545" s="54" t="s">
        <v>218</v>
      </c>
      <c r="G545" s="54" t="s">
        <v>5</v>
      </c>
      <c r="H545" s="53" t="s">
        <v>0</v>
      </c>
      <c r="I545" s="53" t="s">
        <v>15</v>
      </c>
      <c r="J545" s="55" t="s">
        <v>236</v>
      </c>
      <c r="K545" s="54" t="s">
        <v>11</v>
      </c>
      <c r="L545" s="56" t="s">
        <v>239</v>
      </c>
    </row>
    <row r="546" spans="1:12" ht="15.75" customHeight="1" x14ac:dyDescent="0.25">
      <c r="A546" s="51" t="s">
        <v>225</v>
      </c>
      <c r="B546" s="52" t="s">
        <v>714</v>
      </c>
      <c r="C546" s="53">
        <v>636</v>
      </c>
      <c r="D546" s="54" t="s">
        <v>833</v>
      </c>
      <c r="E546" s="53">
        <v>636</v>
      </c>
      <c r="F546" s="54" t="s">
        <v>218</v>
      </c>
      <c r="G546" s="54" t="s">
        <v>5</v>
      </c>
      <c r="H546" s="53" t="s">
        <v>0</v>
      </c>
      <c r="I546" s="53" t="s">
        <v>17</v>
      </c>
      <c r="J546" s="55" t="s">
        <v>236</v>
      </c>
      <c r="K546" s="54" t="s">
        <v>10</v>
      </c>
      <c r="L546" s="56" t="s">
        <v>239</v>
      </c>
    </row>
    <row r="547" spans="1:12" ht="15.75" customHeight="1" x14ac:dyDescent="0.25">
      <c r="A547" s="51" t="s">
        <v>225</v>
      </c>
      <c r="B547" s="52" t="s">
        <v>716</v>
      </c>
      <c r="C547" s="53">
        <v>637</v>
      </c>
      <c r="D547" s="54" t="s">
        <v>834</v>
      </c>
      <c r="E547" s="53">
        <v>637</v>
      </c>
      <c r="F547" s="54" t="s">
        <v>218</v>
      </c>
      <c r="G547" s="54" t="s">
        <v>5</v>
      </c>
      <c r="H547" s="53" t="s">
        <v>0</v>
      </c>
      <c r="I547" s="53" t="s">
        <v>17</v>
      </c>
      <c r="J547" s="55" t="s">
        <v>236</v>
      </c>
      <c r="K547" s="54" t="s">
        <v>7</v>
      </c>
      <c r="L547" s="56" t="s">
        <v>239</v>
      </c>
    </row>
    <row r="548" spans="1:12" ht="15.75" customHeight="1" x14ac:dyDescent="0.25">
      <c r="A548" s="51" t="s">
        <v>225</v>
      </c>
      <c r="B548" s="52" t="s">
        <v>718</v>
      </c>
      <c r="C548" s="53">
        <v>638</v>
      </c>
      <c r="D548" s="54" t="s">
        <v>835</v>
      </c>
      <c r="E548" s="53">
        <v>638</v>
      </c>
      <c r="F548" s="54" t="s">
        <v>218</v>
      </c>
      <c r="G548" s="54" t="s">
        <v>5</v>
      </c>
      <c r="H548" s="53" t="s">
        <v>0</v>
      </c>
      <c r="I548" s="53" t="s">
        <v>17</v>
      </c>
      <c r="J548" s="55" t="s">
        <v>236</v>
      </c>
      <c r="K548" s="54" t="s">
        <v>13</v>
      </c>
      <c r="L548" s="56" t="s">
        <v>239</v>
      </c>
    </row>
    <row r="549" spans="1:12" ht="15.75" customHeight="1" x14ac:dyDescent="0.25">
      <c r="A549" s="51" t="s">
        <v>225</v>
      </c>
      <c r="B549" s="52" t="s">
        <v>720</v>
      </c>
      <c r="C549" s="53">
        <v>639</v>
      </c>
      <c r="D549" s="54" t="s">
        <v>836</v>
      </c>
      <c r="E549" s="53">
        <v>639</v>
      </c>
      <c r="F549" s="54" t="s">
        <v>218</v>
      </c>
      <c r="G549" s="54" t="s">
        <v>5</v>
      </c>
      <c r="H549" s="53" t="s">
        <v>0</v>
      </c>
      <c r="I549" s="53" t="s">
        <v>17</v>
      </c>
      <c r="J549" s="55" t="s">
        <v>236</v>
      </c>
      <c r="K549" s="54" t="s">
        <v>8</v>
      </c>
      <c r="L549" s="56" t="s">
        <v>239</v>
      </c>
    </row>
    <row r="550" spans="1:12" ht="15.75" customHeight="1" x14ac:dyDescent="0.25">
      <c r="A550" s="51" t="s">
        <v>225</v>
      </c>
      <c r="B550" s="52" t="s">
        <v>722</v>
      </c>
      <c r="C550" s="53">
        <v>640</v>
      </c>
      <c r="D550" s="54" t="s">
        <v>837</v>
      </c>
      <c r="E550" s="53">
        <v>640</v>
      </c>
      <c r="F550" s="54" t="s">
        <v>218</v>
      </c>
      <c r="G550" s="54" t="s">
        <v>5</v>
      </c>
      <c r="H550" s="53" t="s">
        <v>0</v>
      </c>
      <c r="I550" s="53" t="s">
        <v>17</v>
      </c>
      <c r="J550" s="55" t="s">
        <v>236</v>
      </c>
      <c r="K550" s="54" t="s">
        <v>9</v>
      </c>
      <c r="L550" s="56" t="s">
        <v>239</v>
      </c>
    </row>
    <row r="551" spans="1:12" ht="15.75" customHeight="1" x14ac:dyDescent="0.25">
      <c r="A551" s="51" t="s">
        <v>225</v>
      </c>
      <c r="B551" s="52" t="s">
        <v>724</v>
      </c>
      <c r="C551" s="53">
        <v>641</v>
      </c>
      <c r="D551" s="54" t="s">
        <v>838</v>
      </c>
      <c r="E551" s="53">
        <v>641</v>
      </c>
      <c r="F551" s="54" t="s">
        <v>218</v>
      </c>
      <c r="G551" s="54" t="s">
        <v>5</v>
      </c>
      <c r="H551" s="53" t="s">
        <v>0</v>
      </c>
      <c r="I551" s="53" t="s">
        <v>17</v>
      </c>
      <c r="J551" s="55" t="s">
        <v>236</v>
      </c>
      <c r="K551" s="54" t="s">
        <v>12</v>
      </c>
      <c r="L551" s="56" t="s">
        <v>239</v>
      </c>
    </row>
    <row r="552" spans="1:12" ht="15.75" customHeight="1" x14ac:dyDescent="0.25">
      <c r="A552" s="51" t="s">
        <v>225</v>
      </c>
      <c r="B552" s="52" t="s">
        <v>726</v>
      </c>
      <c r="C552" s="53">
        <v>642</v>
      </c>
      <c r="D552" s="54" t="s">
        <v>839</v>
      </c>
      <c r="E552" s="53">
        <v>642</v>
      </c>
      <c r="F552" s="54" t="s">
        <v>218</v>
      </c>
      <c r="G552" s="54" t="s">
        <v>5</v>
      </c>
      <c r="H552" s="53" t="s">
        <v>0</v>
      </c>
      <c r="I552" s="53" t="s">
        <v>17</v>
      </c>
      <c r="J552" s="55" t="s">
        <v>236</v>
      </c>
      <c r="K552" s="54" t="s">
        <v>11</v>
      </c>
      <c r="L552" s="56" t="s">
        <v>239</v>
      </c>
    </row>
    <row r="553" spans="1:12" ht="15.75" customHeight="1" x14ac:dyDescent="0.25">
      <c r="A553" s="51" t="s">
        <v>225</v>
      </c>
      <c r="B553" s="52" t="s">
        <v>700</v>
      </c>
      <c r="C553" s="53">
        <v>671</v>
      </c>
      <c r="D553" s="54" t="s">
        <v>840</v>
      </c>
      <c r="E553" s="53">
        <v>671</v>
      </c>
      <c r="F553" s="54" t="s">
        <v>218</v>
      </c>
      <c r="G553" s="54" t="s">
        <v>5</v>
      </c>
      <c r="H553" s="53" t="s">
        <v>1</v>
      </c>
      <c r="I553" s="53" t="s">
        <v>15</v>
      </c>
      <c r="J553" s="55" t="s">
        <v>236</v>
      </c>
      <c r="K553" s="54" t="s">
        <v>10</v>
      </c>
      <c r="L553" s="56" t="s">
        <v>239</v>
      </c>
    </row>
    <row r="554" spans="1:12" ht="15.75" customHeight="1" x14ac:dyDescent="0.25">
      <c r="A554" s="51" t="s">
        <v>225</v>
      </c>
      <c r="B554" s="52" t="s">
        <v>702</v>
      </c>
      <c r="C554" s="53">
        <v>672</v>
      </c>
      <c r="D554" s="54" t="s">
        <v>841</v>
      </c>
      <c r="E554" s="53">
        <v>672</v>
      </c>
      <c r="F554" s="54" t="s">
        <v>218</v>
      </c>
      <c r="G554" s="54" t="s">
        <v>5</v>
      </c>
      <c r="H554" s="53" t="s">
        <v>1</v>
      </c>
      <c r="I554" s="53" t="s">
        <v>15</v>
      </c>
      <c r="J554" s="55" t="s">
        <v>236</v>
      </c>
      <c r="K554" s="54" t="s">
        <v>7</v>
      </c>
      <c r="L554" s="56" t="s">
        <v>239</v>
      </c>
    </row>
    <row r="555" spans="1:12" ht="15.75" customHeight="1" x14ac:dyDescent="0.25">
      <c r="A555" s="51" t="s">
        <v>225</v>
      </c>
      <c r="B555" s="52" t="s">
        <v>704</v>
      </c>
      <c r="C555" s="53">
        <v>673</v>
      </c>
      <c r="D555" s="54" t="s">
        <v>842</v>
      </c>
      <c r="E555" s="53">
        <v>673</v>
      </c>
      <c r="F555" s="54" t="s">
        <v>218</v>
      </c>
      <c r="G555" s="54" t="s">
        <v>5</v>
      </c>
      <c r="H555" s="53" t="s">
        <v>1</v>
      </c>
      <c r="I555" s="53" t="s">
        <v>15</v>
      </c>
      <c r="J555" s="55" t="s">
        <v>236</v>
      </c>
      <c r="K555" s="54" t="s">
        <v>13</v>
      </c>
      <c r="L555" s="56" t="s">
        <v>239</v>
      </c>
    </row>
    <row r="556" spans="1:12" ht="15.75" customHeight="1" x14ac:dyDescent="0.25">
      <c r="A556" s="51" t="s">
        <v>225</v>
      </c>
      <c r="B556" s="52" t="s">
        <v>706</v>
      </c>
      <c r="C556" s="53">
        <v>674</v>
      </c>
      <c r="D556" s="54" t="s">
        <v>843</v>
      </c>
      <c r="E556" s="53">
        <v>674</v>
      </c>
      <c r="F556" s="54" t="s">
        <v>218</v>
      </c>
      <c r="G556" s="54" t="s">
        <v>5</v>
      </c>
      <c r="H556" s="53" t="s">
        <v>1</v>
      </c>
      <c r="I556" s="53" t="s">
        <v>15</v>
      </c>
      <c r="J556" s="55" t="s">
        <v>236</v>
      </c>
      <c r="K556" s="54" t="s">
        <v>8</v>
      </c>
      <c r="L556" s="56" t="s">
        <v>239</v>
      </c>
    </row>
    <row r="557" spans="1:12" ht="15.75" customHeight="1" x14ac:dyDescent="0.25">
      <c r="A557" s="51" t="s">
        <v>225</v>
      </c>
      <c r="B557" s="52" t="s">
        <v>708</v>
      </c>
      <c r="C557" s="53">
        <v>675</v>
      </c>
      <c r="D557" s="54" t="s">
        <v>844</v>
      </c>
      <c r="E557" s="53">
        <v>675</v>
      </c>
      <c r="F557" s="54" t="s">
        <v>218</v>
      </c>
      <c r="G557" s="54" t="s">
        <v>5</v>
      </c>
      <c r="H557" s="53" t="s">
        <v>1</v>
      </c>
      <c r="I557" s="53" t="s">
        <v>15</v>
      </c>
      <c r="J557" s="55" t="s">
        <v>236</v>
      </c>
      <c r="K557" s="54" t="s">
        <v>9</v>
      </c>
      <c r="L557" s="56" t="s">
        <v>239</v>
      </c>
    </row>
    <row r="558" spans="1:12" ht="15.75" customHeight="1" x14ac:dyDescent="0.25">
      <c r="A558" s="51" t="s">
        <v>225</v>
      </c>
      <c r="B558" s="52" t="s">
        <v>710</v>
      </c>
      <c r="C558" s="53">
        <v>676</v>
      </c>
      <c r="D558" s="54" t="s">
        <v>845</v>
      </c>
      <c r="E558" s="53">
        <v>676</v>
      </c>
      <c r="F558" s="54" t="s">
        <v>218</v>
      </c>
      <c r="G558" s="54" t="s">
        <v>5</v>
      </c>
      <c r="H558" s="53" t="s">
        <v>1</v>
      </c>
      <c r="I558" s="53" t="s">
        <v>15</v>
      </c>
      <c r="J558" s="55" t="s">
        <v>236</v>
      </c>
      <c r="K558" s="54" t="s">
        <v>12</v>
      </c>
      <c r="L558" s="56" t="s">
        <v>239</v>
      </c>
    </row>
    <row r="559" spans="1:12" ht="15.75" customHeight="1" x14ac:dyDescent="0.25">
      <c r="A559" s="51" t="s">
        <v>225</v>
      </c>
      <c r="B559" s="52" t="s">
        <v>712</v>
      </c>
      <c r="C559" s="53">
        <v>677</v>
      </c>
      <c r="D559" s="54" t="s">
        <v>846</v>
      </c>
      <c r="E559" s="53">
        <v>677</v>
      </c>
      <c r="F559" s="54" t="s">
        <v>218</v>
      </c>
      <c r="G559" s="54" t="s">
        <v>5</v>
      </c>
      <c r="H559" s="53" t="s">
        <v>1</v>
      </c>
      <c r="I559" s="53" t="s">
        <v>15</v>
      </c>
      <c r="J559" s="55" t="s">
        <v>236</v>
      </c>
      <c r="K559" s="54" t="s">
        <v>11</v>
      </c>
      <c r="L559" s="56" t="s">
        <v>239</v>
      </c>
    </row>
    <row r="560" spans="1:12" ht="15.75" customHeight="1" x14ac:dyDescent="0.25">
      <c r="A560" s="51" t="s">
        <v>225</v>
      </c>
      <c r="B560" s="52" t="s">
        <v>714</v>
      </c>
      <c r="C560" s="53">
        <v>706</v>
      </c>
      <c r="D560" s="54" t="s">
        <v>847</v>
      </c>
      <c r="E560" s="53">
        <v>706</v>
      </c>
      <c r="F560" s="54" t="s">
        <v>218</v>
      </c>
      <c r="G560" s="54" t="s">
        <v>5</v>
      </c>
      <c r="H560" s="53" t="s">
        <v>1</v>
      </c>
      <c r="I560" s="53" t="s">
        <v>17</v>
      </c>
      <c r="J560" s="55" t="s">
        <v>236</v>
      </c>
      <c r="K560" s="54" t="s">
        <v>10</v>
      </c>
      <c r="L560" s="56" t="s">
        <v>239</v>
      </c>
    </row>
    <row r="561" spans="1:12" ht="15.75" customHeight="1" x14ac:dyDescent="0.25">
      <c r="A561" s="51" t="s">
        <v>225</v>
      </c>
      <c r="B561" s="52" t="s">
        <v>716</v>
      </c>
      <c r="C561" s="53">
        <v>707</v>
      </c>
      <c r="D561" s="54" t="s">
        <v>848</v>
      </c>
      <c r="E561" s="53">
        <v>707</v>
      </c>
      <c r="F561" s="54" t="s">
        <v>218</v>
      </c>
      <c r="G561" s="54" t="s">
        <v>5</v>
      </c>
      <c r="H561" s="53" t="s">
        <v>1</v>
      </c>
      <c r="I561" s="53" t="s">
        <v>17</v>
      </c>
      <c r="J561" s="55" t="s">
        <v>236</v>
      </c>
      <c r="K561" s="54" t="s">
        <v>7</v>
      </c>
      <c r="L561" s="56" t="s">
        <v>239</v>
      </c>
    </row>
    <row r="562" spans="1:12" ht="15.75" customHeight="1" x14ac:dyDescent="0.25">
      <c r="A562" s="51" t="s">
        <v>225</v>
      </c>
      <c r="B562" s="52" t="s">
        <v>718</v>
      </c>
      <c r="C562" s="53">
        <v>708</v>
      </c>
      <c r="D562" s="54" t="s">
        <v>849</v>
      </c>
      <c r="E562" s="53">
        <v>708</v>
      </c>
      <c r="F562" s="54" t="s">
        <v>218</v>
      </c>
      <c r="G562" s="54" t="s">
        <v>5</v>
      </c>
      <c r="H562" s="53" t="s">
        <v>1</v>
      </c>
      <c r="I562" s="53" t="s">
        <v>17</v>
      </c>
      <c r="J562" s="55" t="s">
        <v>236</v>
      </c>
      <c r="K562" s="54" t="s">
        <v>13</v>
      </c>
      <c r="L562" s="56" t="s">
        <v>239</v>
      </c>
    </row>
    <row r="563" spans="1:12" ht="15.75" customHeight="1" x14ac:dyDescent="0.25">
      <c r="A563" s="51" t="s">
        <v>225</v>
      </c>
      <c r="B563" s="52" t="s">
        <v>720</v>
      </c>
      <c r="C563" s="53">
        <v>709</v>
      </c>
      <c r="D563" s="54" t="s">
        <v>850</v>
      </c>
      <c r="E563" s="53">
        <v>709</v>
      </c>
      <c r="F563" s="54" t="s">
        <v>218</v>
      </c>
      <c r="G563" s="54" t="s">
        <v>5</v>
      </c>
      <c r="H563" s="53" t="s">
        <v>1</v>
      </c>
      <c r="I563" s="53" t="s">
        <v>17</v>
      </c>
      <c r="J563" s="55" t="s">
        <v>236</v>
      </c>
      <c r="K563" s="54" t="s">
        <v>8</v>
      </c>
      <c r="L563" s="56" t="s">
        <v>239</v>
      </c>
    </row>
    <row r="564" spans="1:12" ht="15.75" customHeight="1" x14ac:dyDescent="0.25">
      <c r="A564" s="51" t="s">
        <v>225</v>
      </c>
      <c r="B564" s="52" t="s">
        <v>722</v>
      </c>
      <c r="C564" s="53">
        <v>710</v>
      </c>
      <c r="D564" s="54" t="s">
        <v>851</v>
      </c>
      <c r="E564" s="53">
        <v>710</v>
      </c>
      <c r="F564" s="54" t="s">
        <v>218</v>
      </c>
      <c r="G564" s="54" t="s">
        <v>5</v>
      </c>
      <c r="H564" s="53" t="s">
        <v>1</v>
      </c>
      <c r="I564" s="53" t="s">
        <v>17</v>
      </c>
      <c r="J564" s="55" t="s">
        <v>236</v>
      </c>
      <c r="K564" s="54" t="s">
        <v>9</v>
      </c>
      <c r="L564" s="56" t="s">
        <v>239</v>
      </c>
    </row>
    <row r="565" spans="1:12" ht="15.75" customHeight="1" x14ac:dyDescent="0.25">
      <c r="A565" s="51" t="s">
        <v>225</v>
      </c>
      <c r="B565" s="52" t="s">
        <v>724</v>
      </c>
      <c r="C565" s="53">
        <v>711</v>
      </c>
      <c r="D565" s="54" t="s">
        <v>852</v>
      </c>
      <c r="E565" s="53">
        <v>711</v>
      </c>
      <c r="F565" s="54" t="s">
        <v>218</v>
      </c>
      <c r="G565" s="54" t="s">
        <v>5</v>
      </c>
      <c r="H565" s="53" t="s">
        <v>1</v>
      </c>
      <c r="I565" s="53" t="s">
        <v>17</v>
      </c>
      <c r="J565" s="55" t="s">
        <v>236</v>
      </c>
      <c r="K565" s="54" t="s">
        <v>12</v>
      </c>
      <c r="L565" s="56" t="s">
        <v>239</v>
      </c>
    </row>
    <row r="566" spans="1:12" ht="15.75" customHeight="1" x14ac:dyDescent="0.25">
      <c r="A566" s="51" t="s">
        <v>225</v>
      </c>
      <c r="B566" s="52" t="s">
        <v>726</v>
      </c>
      <c r="C566" s="53">
        <v>712</v>
      </c>
      <c r="D566" s="54" t="s">
        <v>853</v>
      </c>
      <c r="E566" s="53">
        <v>712</v>
      </c>
      <c r="F566" s="54" t="s">
        <v>218</v>
      </c>
      <c r="G566" s="54" t="s">
        <v>5</v>
      </c>
      <c r="H566" s="53" t="s">
        <v>1</v>
      </c>
      <c r="I566" s="53" t="s">
        <v>17</v>
      </c>
      <c r="J566" s="55" t="s">
        <v>236</v>
      </c>
      <c r="K566" s="54" t="s">
        <v>11</v>
      </c>
      <c r="L566" s="56" t="s">
        <v>239</v>
      </c>
    </row>
    <row r="567" spans="1:12" ht="15.75" customHeight="1" x14ac:dyDescent="0.25">
      <c r="A567" s="51" t="s">
        <v>225</v>
      </c>
      <c r="B567" s="52" t="s">
        <v>854</v>
      </c>
      <c r="C567" s="53">
        <v>762</v>
      </c>
      <c r="D567" s="54" t="s">
        <v>855</v>
      </c>
      <c r="E567" s="53">
        <v>762</v>
      </c>
      <c r="F567" s="54" t="s">
        <v>218</v>
      </c>
      <c r="G567" s="54" t="s">
        <v>6</v>
      </c>
      <c r="H567" s="53" t="s">
        <v>0</v>
      </c>
      <c r="I567" s="53" t="s">
        <v>15</v>
      </c>
      <c r="J567" s="55" t="s">
        <v>230</v>
      </c>
      <c r="K567" s="54" t="s">
        <v>10</v>
      </c>
      <c r="L567" s="56" t="s">
        <v>239</v>
      </c>
    </row>
    <row r="568" spans="1:12" ht="15.75" customHeight="1" x14ac:dyDescent="0.25">
      <c r="A568" s="51" t="s">
        <v>225</v>
      </c>
      <c r="B568" s="52" t="s">
        <v>856</v>
      </c>
      <c r="C568" s="53">
        <v>763</v>
      </c>
      <c r="D568" s="54" t="s">
        <v>857</v>
      </c>
      <c r="E568" s="53">
        <v>763</v>
      </c>
      <c r="F568" s="54" t="s">
        <v>218</v>
      </c>
      <c r="G568" s="54" t="s">
        <v>6</v>
      </c>
      <c r="H568" s="53" t="s">
        <v>0</v>
      </c>
      <c r="I568" s="53" t="s">
        <v>15</v>
      </c>
      <c r="J568" s="55" t="s">
        <v>230</v>
      </c>
      <c r="K568" s="54" t="s">
        <v>7</v>
      </c>
      <c r="L568" s="56" t="s">
        <v>239</v>
      </c>
    </row>
    <row r="569" spans="1:12" ht="15.75" customHeight="1" x14ac:dyDescent="0.25">
      <c r="A569" s="51" t="s">
        <v>225</v>
      </c>
      <c r="B569" s="52" t="s">
        <v>858</v>
      </c>
      <c r="C569" s="53">
        <v>764</v>
      </c>
      <c r="D569" s="54" t="s">
        <v>859</v>
      </c>
      <c r="E569" s="53">
        <v>764</v>
      </c>
      <c r="F569" s="54" t="s">
        <v>218</v>
      </c>
      <c r="G569" s="54" t="s">
        <v>6</v>
      </c>
      <c r="H569" s="53" t="s">
        <v>0</v>
      </c>
      <c r="I569" s="53" t="s">
        <v>15</v>
      </c>
      <c r="J569" s="55" t="s">
        <v>230</v>
      </c>
      <c r="K569" s="54" t="s">
        <v>13</v>
      </c>
      <c r="L569" s="56" t="s">
        <v>239</v>
      </c>
    </row>
    <row r="570" spans="1:12" ht="15.75" customHeight="1" x14ac:dyDescent="0.25">
      <c r="A570" s="51" t="s">
        <v>225</v>
      </c>
      <c r="B570" s="52" t="s">
        <v>860</v>
      </c>
      <c r="C570" s="53">
        <v>765</v>
      </c>
      <c r="D570" s="54" t="s">
        <v>861</v>
      </c>
      <c r="E570" s="53">
        <v>765</v>
      </c>
      <c r="F570" s="54" t="s">
        <v>218</v>
      </c>
      <c r="G570" s="54" t="s">
        <v>6</v>
      </c>
      <c r="H570" s="53" t="s">
        <v>0</v>
      </c>
      <c r="I570" s="53" t="s">
        <v>15</v>
      </c>
      <c r="J570" s="55" t="s">
        <v>230</v>
      </c>
      <c r="K570" s="54" t="s">
        <v>8</v>
      </c>
      <c r="L570" s="56" t="s">
        <v>239</v>
      </c>
    </row>
    <row r="571" spans="1:12" ht="15.75" customHeight="1" x14ac:dyDescent="0.25">
      <c r="A571" s="51" t="s">
        <v>225</v>
      </c>
      <c r="B571" s="52" t="s">
        <v>862</v>
      </c>
      <c r="C571" s="53">
        <v>766</v>
      </c>
      <c r="D571" s="54" t="s">
        <v>863</v>
      </c>
      <c r="E571" s="53">
        <v>766</v>
      </c>
      <c r="F571" s="54" t="s">
        <v>218</v>
      </c>
      <c r="G571" s="54" t="s">
        <v>6</v>
      </c>
      <c r="H571" s="53" t="s">
        <v>0</v>
      </c>
      <c r="I571" s="53" t="s">
        <v>15</v>
      </c>
      <c r="J571" s="55" t="s">
        <v>230</v>
      </c>
      <c r="K571" s="54" t="s">
        <v>9</v>
      </c>
      <c r="L571" s="56" t="s">
        <v>239</v>
      </c>
    </row>
    <row r="572" spans="1:12" ht="15.75" customHeight="1" x14ac:dyDescent="0.25">
      <c r="A572" s="51" t="s">
        <v>225</v>
      </c>
      <c r="B572" s="52" t="s">
        <v>864</v>
      </c>
      <c r="C572" s="53">
        <v>767</v>
      </c>
      <c r="D572" s="54" t="s">
        <v>865</v>
      </c>
      <c r="E572" s="53">
        <v>767</v>
      </c>
      <c r="F572" s="54" t="s">
        <v>218</v>
      </c>
      <c r="G572" s="54" t="s">
        <v>6</v>
      </c>
      <c r="H572" s="53" t="s">
        <v>0</v>
      </c>
      <c r="I572" s="53" t="s">
        <v>15</v>
      </c>
      <c r="J572" s="55" t="s">
        <v>230</v>
      </c>
      <c r="K572" s="54" t="s">
        <v>12</v>
      </c>
      <c r="L572" s="56" t="s">
        <v>239</v>
      </c>
    </row>
    <row r="573" spans="1:12" ht="15.75" customHeight="1" x14ac:dyDescent="0.25">
      <c r="A573" s="51" t="s">
        <v>225</v>
      </c>
      <c r="B573" s="52" t="s">
        <v>866</v>
      </c>
      <c r="C573" s="53">
        <v>768</v>
      </c>
      <c r="D573" s="54" t="s">
        <v>867</v>
      </c>
      <c r="E573" s="53">
        <v>768</v>
      </c>
      <c r="F573" s="54" t="s">
        <v>218</v>
      </c>
      <c r="G573" s="54" t="s">
        <v>6</v>
      </c>
      <c r="H573" s="53" t="s">
        <v>0</v>
      </c>
      <c r="I573" s="53" t="s">
        <v>15</v>
      </c>
      <c r="J573" s="55" t="s">
        <v>230</v>
      </c>
      <c r="K573" s="54" t="s">
        <v>11</v>
      </c>
      <c r="L573" s="56" t="s">
        <v>239</v>
      </c>
    </row>
    <row r="574" spans="1:12" ht="15.75" customHeight="1" x14ac:dyDescent="0.25">
      <c r="A574" s="51" t="s">
        <v>225</v>
      </c>
      <c r="B574" s="52" t="s">
        <v>868</v>
      </c>
      <c r="C574" s="53">
        <v>797</v>
      </c>
      <c r="D574" s="54" t="s">
        <v>869</v>
      </c>
      <c r="E574" s="53">
        <v>797</v>
      </c>
      <c r="F574" s="54" t="s">
        <v>218</v>
      </c>
      <c r="G574" s="54" t="s">
        <v>6</v>
      </c>
      <c r="H574" s="53" t="s">
        <v>0</v>
      </c>
      <c r="I574" s="53" t="s">
        <v>17</v>
      </c>
      <c r="J574" s="55" t="s">
        <v>230</v>
      </c>
      <c r="K574" s="54" t="s">
        <v>10</v>
      </c>
      <c r="L574" s="56" t="s">
        <v>239</v>
      </c>
    </row>
    <row r="575" spans="1:12" ht="15.75" customHeight="1" x14ac:dyDescent="0.25">
      <c r="A575" s="51" t="s">
        <v>225</v>
      </c>
      <c r="B575" s="52" t="s">
        <v>870</v>
      </c>
      <c r="C575" s="53">
        <v>798</v>
      </c>
      <c r="D575" s="54" t="s">
        <v>871</v>
      </c>
      <c r="E575" s="53">
        <v>798</v>
      </c>
      <c r="F575" s="54" t="s">
        <v>218</v>
      </c>
      <c r="G575" s="54" t="s">
        <v>6</v>
      </c>
      <c r="H575" s="53" t="s">
        <v>0</v>
      </c>
      <c r="I575" s="53" t="s">
        <v>17</v>
      </c>
      <c r="J575" s="55" t="s">
        <v>230</v>
      </c>
      <c r="K575" s="54" t="s">
        <v>7</v>
      </c>
      <c r="L575" s="56" t="s">
        <v>239</v>
      </c>
    </row>
    <row r="576" spans="1:12" ht="15.75" customHeight="1" x14ac:dyDescent="0.25">
      <c r="A576" s="51" t="s">
        <v>225</v>
      </c>
      <c r="B576" s="52" t="s">
        <v>872</v>
      </c>
      <c r="C576" s="53">
        <v>799</v>
      </c>
      <c r="D576" s="54" t="s">
        <v>873</v>
      </c>
      <c r="E576" s="53">
        <v>799</v>
      </c>
      <c r="F576" s="54" t="s">
        <v>218</v>
      </c>
      <c r="G576" s="54" t="s">
        <v>6</v>
      </c>
      <c r="H576" s="53" t="s">
        <v>0</v>
      </c>
      <c r="I576" s="53" t="s">
        <v>17</v>
      </c>
      <c r="J576" s="55" t="s">
        <v>230</v>
      </c>
      <c r="K576" s="54" t="s">
        <v>13</v>
      </c>
      <c r="L576" s="56" t="s">
        <v>239</v>
      </c>
    </row>
    <row r="577" spans="1:12" ht="15.75" customHeight="1" x14ac:dyDescent="0.25">
      <c r="A577" s="51" t="s">
        <v>225</v>
      </c>
      <c r="B577" s="52" t="s">
        <v>874</v>
      </c>
      <c r="C577" s="53">
        <v>800</v>
      </c>
      <c r="D577" s="54" t="s">
        <v>875</v>
      </c>
      <c r="E577" s="53">
        <v>800</v>
      </c>
      <c r="F577" s="54" t="s">
        <v>218</v>
      </c>
      <c r="G577" s="54" t="s">
        <v>6</v>
      </c>
      <c r="H577" s="53" t="s">
        <v>0</v>
      </c>
      <c r="I577" s="53" t="s">
        <v>17</v>
      </c>
      <c r="J577" s="55" t="s">
        <v>230</v>
      </c>
      <c r="K577" s="54" t="s">
        <v>8</v>
      </c>
      <c r="L577" s="56" t="s">
        <v>239</v>
      </c>
    </row>
    <row r="578" spans="1:12" ht="15.75" customHeight="1" x14ac:dyDescent="0.25">
      <c r="A578" s="51" t="s">
        <v>225</v>
      </c>
      <c r="B578" s="52" t="s">
        <v>876</v>
      </c>
      <c r="C578" s="53">
        <v>801</v>
      </c>
      <c r="D578" s="54" t="s">
        <v>877</v>
      </c>
      <c r="E578" s="53">
        <v>801</v>
      </c>
      <c r="F578" s="54" t="s">
        <v>218</v>
      </c>
      <c r="G578" s="54" t="s">
        <v>6</v>
      </c>
      <c r="H578" s="53" t="s">
        <v>0</v>
      </c>
      <c r="I578" s="53" t="s">
        <v>17</v>
      </c>
      <c r="J578" s="55" t="s">
        <v>230</v>
      </c>
      <c r="K578" s="54" t="s">
        <v>9</v>
      </c>
      <c r="L578" s="56" t="s">
        <v>239</v>
      </c>
    </row>
    <row r="579" spans="1:12" ht="15.75" customHeight="1" x14ac:dyDescent="0.25">
      <c r="A579" s="51" t="s">
        <v>225</v>
      </c>
      <c r="B579" s="52" t="s">
        <v>878</v>
      </c>
      <c r="C579" s="53">
        <v>802</v>
      </c>
      <c r="D579" s="54" t="s">
        <v>879</v>
      </c>
      <c r="E579" s="53">
        <v>802</v>
      </c>
      <c r="F579" s="54" t="s">
        <v>218</v>
      </c>
      <c r="G579" s="54" t="s">
        <v>6</v>
      </c>
      <c r="H579" s="53" t="s">
        <v>0</v>
      </c>
      <c r="I579" s="53" t="s">
        <v>17</v>
      </c>
      <c r="J579" s="55" t="s">
        <v>230</v>
      </c>
      <c r="K579" s="54" t="s">
        <v>12</v>
      </c>
      <c r="L579" s="56" t="s">
        <v>239</v>
      </c>
    </row>
    <row r="580" spans="1:12" ht="15.75" customHeight="1" x14ac:dyDescent="0.25">
      <c r="A580" s="51" t="s">
        <v>225</v>
      </c>
      <c r="B580" s="52" t="s">
        <v>880</v>
      </c>
      <c r="C580" s="53">
        <v>803</v>
      </c>
      <c r="D580" s="54" t="s">
        <v>881</v>
      </c>
      <c r="E580" s="53">
        <v>803</v>
      </c>
      <c r="F580" s="54" t="s">
        <v>218</v>
      </c>
      <c r="G580" s="54" t="s">
        <v>6</v>
      </c>
      <c r="H580" s="53" t="s">
        <v>0</v>
      </c>
      <c r="I580" s="53" t="s">
        <v>17</v>
      </c>
      <c r="J580" s="55" t="s">
        <v>230</v>
      </c>
      <c r="K580" s="54" t="s">
        <v>11</v>
      </c>
      <c r="L580" s="56" t="s">
        <v>239</v>
      </c>
    </row>
    <row r="581" spans="1:12" ht="15.75" customHeight="1" x14ac:dyDescent="0.25">
      <c r="A581" s="51" t="s">
        <v>225</v>
      </c>
      <c r="B581" s="52" t="s">
        <v>854</v>
      </c>
      <c r="C581" s="53">
        <v>832</v>
      </c>
      <c r="D581" s="54" t="s">
        <v>882</v>
      </c>
      <c r="E581" s="53">
        <v>832</v>
      </c>
      <c r="F581" s="54" t="s">
        <v>218</v>
      </c>
      <c r="G581" s="54" t="s">
        <v>6</v>
      </c>
      <c r="H581" s="53" t="s">
        <v>1</v>
      </c>
      <c r="I581" s="53" t="s">
        <v>15</v>
      </c>
      <c r="J581" s="55" t="s">
        <v>230</v>
      </c>
      <c r="K581" s="54" t="s">
        <v>10</v>
      </c>
      <c r="L581" s="56" t="s">
        <v>239</v>
      </c>
    </row>
    <row r="582" spans="1:12" ht="15.75" customHeight="1" x14ac:dyDescent="0.25">
      <c r="A582" s="51" t="s">
        <v>225</v>
      </c>
      <c r="B582" s="52" t="s">
        <v>856</v>
      </c>
      <c r="C582" s="53">
        <v>833</v>
      </c>
      <c r="D582" s="54" t="s">
        <v>883</v>
      </c>
      <c r="E582" s="53">
        <v>833</v>
      </c>
      <c r="F582" s="54" t="s">
        <v>218</v>
      </c>
      <c r="G582" s="54" t="s">
        <v>6</v>
      </c>
      <c r="H582" s="53" t="s">
        <v>1</v>
      </c>
      <c r="I582" s="53" t="s">
        <v>15</v>
      </c>
      <c r="J582" s="55" t="s">
        <v>230</v>
      </c>
      <c r="K582" s="54" t="s">
        <v>7</v>
      </c>
      <c r="L582" s="56" t="s">
        <v>239</v>
      </c>
    </row>
    <row r="583" spans="1:12" ht="15.75" customHeight="1" x14ac:dyDescent="0.25">
      <c r="A583" s="51" t="s">
        <v>225</v>
      </c>
      <c r="B583" s="52" t="s">
        <v>858</v>
      </c>
      <c r="C583" s="53">
        <v>834</v>
      </c>
      <c r="D583" s="54" t="s">
        <v>884</v>
      </c>
      <c r="E583" s="53">
        <v>834</v>
      </c>
      <c r="F583" s="54" t="s">
        <v>218</v>
      </c>
      <c r="G583" s="54" t="s">
        <v>6</v>
      </c>
      <c r="H583" s="53" t="s">
        <v>1</v>
      </c>
      <c r="I583" s="53" t="s">
        <v>15</v>
      </c>
      <c r="J583" s="55" t="s">
        <v>230</v>
      </c>
      <c r="K583" s="54" t="s">
        <v>13</v>
      </c>
      <c r="L583" s="56" t="s">
        <v>239</v>
      </c>
    </row>
    <row r="584" spans="1:12" ht="15.75" customHeight="1" x14ac:dyDescent="0.25">
      <c r="A584" s="51" t="s">
        <v>225</v>
      </c>
      <c r="B584" s="52" t="s">
        <v>860</v>
      </c>
      <c r="C584" s="53">
        <v>835</v>
      </c>
      <c r="D584" s="54" t="s">
        <v>885</v>
      </c>
      <c r="E584" s="53">
        <v>835</v>
      </c>
      <c r="F584" s="54" t="s">
        <v>218</v>
      </c>
      <c r="G584" s="54" t="s">
        <v>6</v>
      </c>
      <c r="H584" s="53" t="s">
        <v>1</v>
      </c>
      <c r="I584" s="53" t="s">
        <v>15</v>
      </c>
      <c r="J584" s="55" t="s">
        <v>230</v>
      </c>
      <c r="K584" s="54" t="s">
        <v>8</v>
      </c>
      <c r="L584" s="56" t="s">
        <v>239</v>
      </c>
    </row>
    <row r="585" spans="1:12" ht="15.75" customHeight="1" x14ac:dyDescent="0.25">
      <c r="A585" s="51" t="s">
        <v>225</v>
      </c>
      <c r="B585" s="52" t="s">
        <v>862</v>
      </c>
      <c r="C585" s="53">
        <v>836</v>
      </c>
      <c r="D585" s="54" t="s">
        <v>886</v>
      </c>
      <c r="E585" s="53">
        <v>836</v>
      </c>
      <c r="F585" s="54" t="s">
        <v>218</v>
      </c>
      <c r="G585" s="54" t="s">
        <v>6</v>
      </c>
      <c r="H585" s="53" t="s">
        <v>1</v>
      </c>
      <c r="I585" s="53" t="s">
        <v>15</v>
      </c>
      <c r="J585" s="55" t="s">
        <v>230</v>
      </c>
      <c r="K585" s="54" t="s">
        <v>9</v>
      </c>
      <c r="L585" s="56" t="s">
        <v>239</v>
      </c>
    </row>
    <row r="586" spans="1:12" ht="15.75" customHeight="1" x14ac:dyDescent="0.25">
      <c r="A586" s="51" t="s">
        <v>225</v>
      </c>
      <c r="B586" s="52" t="s">
        <v>864</v>
      </c>
      <c r="C586" s="53">
        <v>837</v>
      </c>
      <c r="D586" s="54" t="s">
        <v>887</v>
      </c>
      <c r="E586" s="53">
        <v>837</v>
      </c>
      <c r="F586" s="54" t="s">
        <v>218</v>
      </c>
      <c r="G586" s="54" t="s">
        <v>6</v>
      </c>
      <c r="H586" s="53" t="s">
        <v>1</v>
      </c>
      <c r="I586" s="53" t="s">
        <v>15</v>
      </c>
      <c r="J586" s="55" t="s">
        <v>230</v>
      </c>
      <c r="K586" s="54" t="s">
        <v>12</v>
      </c>
      <c r="L586" s="56" t="s">
        <v>239</v>
      </c>
    </row>
    <row r="587" spans="1:12" ht="15.75" customHeight="1" x14ac:dyDescent="0.25">
      <c r="A587" s="51" t="s">
        <v>225</v>
      </c>
      <c r="B587" s="52" t="s">
        <v>866</v>
      </c>
      <c r="C587" s="53">
        <v>838</v>
      </c>
      <c r="D587" s="54" t="s">
        <v>888</v>
      </c>
      <c r="E587" s="53">
        <v>838</v>
      </c>
      <c r="F587" s="54" t="s">
        <v>218</v>
      </c>
      <c r="G587" s="54" t="s">
        <v>6</v>
      </c>
      <c r="H587" s="53" t="s">
        <v>1</v>
      </c>
      <c r="I587" s="53" t="s">
        <v>15</v>
      </c>
      <c r="J587" s="55" t="s">
        <v>230</v>
      </c>
      <c r="K587" s="54" t="s">
        <v>11</v>
      </c>
      <c r="L587" s="56" t="s">
        <v>239</v>
      </c>
    </row>
    <row r="588" spans="1:12" ht="15.75" customHeight="1" x14ac:dyDescent="0.25">
      <c r="A588" s="51" t="s">
        <v>225</v>
      </c>
      <c r="B588" s="52" t="s">
        <v>868</v>
      </c>
      <c r="C588" s="53">
        <v>867</v>
      </c>
      <c r="D588" s="54" t="s">
        <v>889</v>
      </c>
      <c r="E588" s="53">
        <v>867</v>
      </c>
      <c r="F588" s="54" t="s">
        <v>218</v>
      </c>
      <c r="G588" s="54" t="s">
        <v>6</v>
      </c>
      <c r="H588" s="53" t="s">
        <v>1</v>
      </c>
      <c r="I588" s="53" t="s">
        <v>17</v>
      </c>
      <c r="J588" s="55" t="s">
        <v>230</v>
      </c>
      <c r="K588" s="54" t="s">
        <v>10</v>
      </c>
      <c r="L588" s="56" t="s">
        <v>239</v>
      </c>
    </row>
    <row r="589" spans="1:12" ht="15.75" customHeight="1" x14ac:dyDescent="0.25">
      <c r="A589" s="51" t="s">
        <v>225</v>
      </c>
      <c r="B589" s="52" t="s">
        <v>870</v>
      </c>
      <c r="C589" s="53">
        <v>868</v>
      </c>
      <c r="D589" s="54" t="s">
        <v>890</v>
      </c>
      <c r="E589" s="53">
        <v>868</v>
      </c>
      <c r="F589" s="54" t="s">
        <v>218</v>
      </c>
      <c r="G589" s="54" t="s">
        <v>6</v>
      </c>
      <c r="H589" s="53" t="s">
        <v>1</v>
      </c>
      <c r="I589" s="53" t="s">
        <v>17</v>
      </c>
      <c r="J589" s="55" t="s">
        <v>230</v>
      </c>
      <c r="K589" s="54" t="s">
        <v>7</v>
      </c>
      <c r="L589" s="56" t="s">
        <v>239</v>
      </c>
    </row>
    <row r="590" spans="1:12" ht="15.75" customHeight="1" x14ac:dyDescent="0.25">
      <c r="A590" s="51" t="s">
        <v>225</v>
      </c>
      <c r="B590" s="52" t="s">
        <v>872</v>
      </c>
      <c r="C590" s="53">
        <v>869</v>
      </c>
      <c r="D590" s="54" t="s">
        <v>891</v>
      </c>
      <c r="E590" s="53">
        <v>869</v>
      </c>
      <c r="F590" s="54" t="s">
        <v>218</v>
      </c>
      <c r="G590" s="54" t="s">
        <v>6</v>
      </c>
      <c r="H590" s="53" t="s">
        <v>1</v>
      </c>
      <c r="I590" s="53" t="s">
        <v>17</v>
      </c>
      <c r="J590" s="55" t="s">
        <v>230</v>
      </c>
      <c r="K590" s="54" t="s">
        <v>13</v>
      </c>
      <c r="L590" s="56" t="s">
        <v>239</v>
      </c>
    </row>
    <row r="591" spans="1:12" ht="15.75" customHeight="1" x14ac:dyDescent="0.25">
      <c r="A591" s="51" t="s">
        <v>225</v>
      </c>
      <c r="B591" s="52" t="s">
        <v>874</v>
      </c>
      <c r="C591" s="53">
        <v>870</v>
      </c>
      <c r="D591" s="54" t="s">
        <v>892</v>
      </c>
      <c r="E591" s="53">
        <v>870</v>
      </c>
      <c r="F591" s="54" t="s">
        <v>218</v>
      </c>
      <c r="G591" s="54" t="s">
        <v>6</v>
      </c>
      <c r="H591" s="53" t="s">
        <v>1</v>
      </c>
      <c r="I591" s="53" t="s">
        <v>17</v>
      </c>
      <c r="J591" s="55" t="s">
        <v>230</v>
      </c>
      <c r="K591" s="54" t="s">
        <v>8</v>
      </c>
      <c r="L591" s="56" t="s">
        <v>239</v>
      </c>
    </row>
    <row r="592" spans="1:12" ht="15.75" customHeight="1" x14ac:dyDescent="0.25">
      <c r="A592" s="51" t="s">
        <v>225</v>
      </c>
      <c r="B592" s="52" t="s">
        <v>876</v>
      </c>
      <c r="C592" s="53">
        <v>871</v>
      </c>
      <c r="D592" s="54" t="s">
        <v>893</v>
      </c>
      <c r="E592" s="53">
        <v>871</v>
      </c>
      <c r="F592" s="54" t="s">
        <v>218</v>
      </c>
      <c r="G592" s="54" t="s">
        <v>6</v>
      </c>
      <c r="H592" s="53" t="s">
        <v>1</v>
      </c>
      <c r="I592" s="53" t="s">
        <v>17</v>
      </c>
      <c r="J592" s="55" t="s">
        <v>230</v>
      </c>
      <c r="K592" s="54" t="s">
        <v>9</v>
      </c>
      <c r="L592" s="56" t="s">
        <v>239</v>
      </c>
    </row>
    <row r="593" spans="1:12" ht="15.75" customHeight="1" x14ac:dyDescent="0.25">
      <c r="A593" s="51" t="s">
        <v>225</v>
      </c>
      <c r="B593" s="52" t="s">
        <v>878</v>
      </c>
      <c r="C593" s="53">
        <v>872</v>
      </c>
      <c r="D593" s="54" t="s">
        <v>894</v>
      </c>
      <c r="E593" s="53">
        <v>872</v>
      </c>
      <c r="F593" s="54" t="s">
        <v>218</v>
      </c>
      <c r="G593" s="54" t="s">
        <v>6</v>
      </c>
      <c r="H593" s="53" t="s">
        <v>1</v>
      </c>
      <c r="I593" s="53" t="s">
        <v>17</v>
      </c>
      <c r="J593" s="55" t="s">
        <v>230</v>
      </c>
      <c r="K593" s="54" t="s">
        <v>12</v>
      </c>
      <c r="L593" s="56" t="s">
        <v>239</v>
      </c>
    </row>
    <row r="594" spans="1:12" ht="15.75" customHeight="1" x14ac:dyDescent="0.25">
      <c r="A594" s="51" t="s">
        <v>225</v>
      </c>
      <c r="B594" s="52" t="s">
        <v>880</v>
      </c>
      <c r="C594" s="53">
        <v>873</v>
      </c>
      <c r="D594" s="54" t="s">
        <v>895</v>
      </c>
      <c r="E594" s="53">
        <v>873</v>
      </c>
      <c r="F594" s="54" t="s">
        <v>218</v>
      </c>
      <c r="G594" s="54" t="s">
        <v>6</v>
      </c>
      <c r="H594" s="53" t="s">
        <v>1</v>
      </c>
      <c r="I594" s="53" t="s">
        <v>17</v>
      </c>
      <c r="J594" s="55" t="s">
        <v>230</v>
      </c>
      <c r="K594" s="54" t="s">
        <v>11</v>
      </c>
      <c r="L594" s="56" t="s">
        <v>239</v>
      </c>
    </row>
    <row r="595" spans="1:12" ht="15.75" customHeight="1" x14ac:dyDescent="0.25">
      <c r="A595" s="51" t="s">
        <v>225</v>
      </c>
      <c r="B595" s="52" t="s">
        <v>854</v>
      </c>
      <c r="C595" s="53">
        <v>769</v>
      </c>
      <c r="D595" s="54" t="s">
        <v>896</v>
      </c>
      <c r="E595" s="53">
        <v>769</v>
      </c>
      <c r="F595" s="54" t="s">
        <v>218</v>
      </c>
      <c r="G595" s="54" t="s">
        <v>6</v>
      </c>
      <c r="H595" s="53" t="s">
        <v>0</v>
      </c>
      <c r="I595" s="53" t="s">
        <v>15</v>
      </c>
      <c r="J595" s="55" t="s">
        <v>232</v>
      </c>
      <c r="K595" s="54" t="s">
        <v>10</v>
      </c>
      <c r="L595" s="56" t="s">
        <v>239</v>
      </c>
    </row>
    <row r="596" spans="1:12" ht="15.75" customHeight="1" x14ac:dyDescent="0.25">
      <c r="A596" s="51" t="s">
        <v>225</v>
      </c>
      <c r="B596" s="52" t="s">
        <v>856</v>
      </c>
      <c r="C596" s="53">
        <v>770</v>
      </c>
      <c r="D596" s="54" t="s">
        <v>897</v>
      </c>
      <c r="E596" s="53">
        <v>770</v>
      </c>
      <c r="F596" s="54" t="s">
        <v>218</v>
      </c>
      <c r="G596" s="54" t="s">
        <v>6</v>
      </c>
      <c r="H596" s="53" t="s">
        <v>0</v>
      </c>
      <c r="I596" s="53" t="s">
        <v>15</v>
      </c>
      <c r="J596" s="55" t="s">
        <v>232</v>
      </c>
      <c r="K596" s="54" t="s">
        <v>7</v>
      </c>
      <c r="L596" s="56" t="s">
        <v>239</v>
      </c>
    </row>
    <row r="597" spans="1:12" ht="15.75" customHeight="1" x14ac:dyDescent="0.25">
      <c r="A597" s="51" t="s">
        <v>225</v>
      </c>
      <c r="B597" s="52" t="s">
        <v>858</v>
      </c>
      <c r="C597" s="53">
        <v>771</v>
      </c>
      <c r="D597" s="54" t="s">
        <v>898</v>
      </c>
      <c r="E597" s="53">
        <v>771</v>
      </c>
      <c r="F597" s="54" t="s">
        <v>218</v>
      </c>
      <c r="G597" s="54" t="s">
        <v>6</v>
      </c>
      <c r="H597" s="53" t="s">
        <v>0</v>
      </c>
      <c r="I597" s="53" t="s">
        <v>15</v>
      </c>
      <c r="J597" s="55" t="s">
        <v>232</v>
      </c>
      <c r="K597" s="54" t="s">
        <v>13</v>
      </c>
      <c r="L597" s="56" t="s">
        <v>239</v>
      </c>
    </row>
    <row r="598" spans="1:12" ht="15.75" customHeight="1" x14ac:dyDescent="0.25">
      <c r="A598" s="51" t="s">
        <v>225</v>
      </c>
      <c r="B598" s="52" t="s">
        <v>860</v>
      </c>
      <c r="C598" s="53">
        <v>772</v>
      </c>
      <c r="D598" s="54" t="s">
        <v>899</v>
      </c>
      <c r="E598" s="53">
        <v>772</v>
      </c>
      <c r="F598" s="54" t="s">
        <v>218</v>
      </c>
      <c r="G598" s="54" t="s">
        <v>6</v>
      </c>
      <c r="H598" s="53" t="s">
        <v>0</v>
      </c>
      <c r="I598" s="53" t="s">
        <v>15</v>
      </c>
      <c r="J598" s="55" t="s">
        <v>232</v>
      </c>
      <c r="K598" s="54" t="s">
        <v>8</v>
      </c>
      <c r="L598" s="56" t="s">
        <v>239</v>
      </c>
    </row>
    <row r="599" spans="1:12" ht="15.75" customHeight="1" x14ac:dyDescent="0.25">
      <c r="A599" s="51" t="s">
        <v>225</v>
      </c>
      <c r="B599" s="52" t="s">
        <v>862</v>
      </c>
      <c r="C599" s="53">
        <v>773</v>
      </c>
      <c r="D599" s="54" t="s">
        <v>900</v>
      </c>
      <c r="E599" s="53">
        <v>773</v>
      </c>
      <c r="F599" s="54" t="s">
        <v>218</v>
      </c>
      <c r="G599" s="54" t="s">
        <v>6</v>
      </c>
      <c r="H599" s="53" t="s">
        <v>0</v>
      </c>
      <c r="I599" s="53" t="s">
        <v>15</v>
      </c>
      <c r="J599" s="55" t="s">
        <v>232</v>
      </c>
      <c r="K599" s="54" t="s">
        <v>9</v>
      </c>
      <c r="L599" s="56" t="s">
        <v>239</v>
      </c>
    </row>
    <row r="600" spans="1:12" ht="15.75" customHeight="1" x14ac:dyDescent="0.25">
      <c r="A600" s="51" t="s">
        <v>225</v>
      </c>
      <c r="B600" s="52" t="s">
        <v>864</v>
      </c>
      <c r="C600" s="53">
        <v>774</v>
      </c>
      <c r="D600" s="54" t="s">
        <v>901</v>
      </c>
      <c r="E600" s="53">
        <v>774</v>
      </c>
      <c r="F600" s="54" t="s">
        <v>218</v>
      </c>
      <c r="G600" s="54" t="s">
        <v>6</v>
      </c>
      <c r="H600" s="53" t="s">
        <v>0</v>
      </c>
      <c r="I600" s="53" t="s">
        <v>15</v>
      </c>
      <c r="J600" s="55" t="s">
        <v>232</v>
      </c>
      <c r="K600" s="54" t="s">
        <v>12</v>
      </c>
      <c r="L600" s="56" t="s">
        <v>239</v>
      </c>
    </row>
    <row r="601" spans="1:12" ht="15.75" customHeight="1" x14ac:dyDescent="0.25">
      <c r="A601" s="51" t="s">
        <v>225</v>
      </c>
      <c r="B601" s="52" t="s">
        <v>866</v>
      </c>
      <c r="C601" s="53">
        <v>775</v>
      </c>
      <c r="D601" s="54" t="s">
        <v>902</v>
      </c>
      <c r="E601" s="53">
        <v>775</v>
      </c>
      <c r="F601" s="54" t="s">
        <v>218</v>
      </c>
      <c r="G601" s="54" t="s">
        <v>6</v>
      </c>
      <c r="H601" s="53" t="s">
        <v>0</v>
      </c>
      <c r="I601" s="53" t="s">
        <v>15</v>
      </c>
      <c r="J601" s="55" t="s">
        <v>232</v>
      </c>
      <c r="K601" s="54" t="s">
        <v>11</v>
      </c>
      <c r="L601" s="56" t="s">
        <v>239</v>
      </c>
    </row>
    <row r="602" spans="1:12" ht="15.75" customHeight="1" x14ac:dyDescent="0.25">
      <c r="A602" s="51" t="s">
        <v>225</v>
      </c>
      <c r="B602" s="52" t="s">
        <v>868</v>
      </c>
      <c r="C602" s="53">
        <v>804</v>
      </c>
      <c r="D602" s="54" t="s">
        <v>903</v>
      </c>
      <c r="E602" s="53">
        <v>804</v>
      </c>
      <c r="F602" s="54" t="s">
        <v>218</v>
      </c>
      <c r="G602" s="54" t="s">
        <v>6</v>
      </c>
      <c r="H602" s="53" t="s">
        <v>0</v>
      </c>
      <c r="I602" s="53" t="s">
        <v>17</v>
      </c>
      <c r="J602" s="55" t="s">
        <v>232</v>
      </c>
      <c r="K602" s="54" t="s">
        <v>10</v>
      </c>
      <c r="L602" s="56" t="s">
        <v>239</v>
      </c>
    </row>
    <row r="603" spans="1:12" ht="15.75" customHeight="1" x14ac:dyDescent="0.25">
      <c r="A603" s="51" t="s">
        <v>225</v>
      </c>
      <c r="B603" s="52" t="s">
        <v>870</v>
      </c>
      <c r="C603" s="53">
        <v>805</v>
      </c>
      <c r="D603" s="54" t="s">
        <v>904</v>
      </c>
      <c r="E603" s="53">
        <v>805</v>
      </c>
      <c r="F603" s="54" t="s">
        <v>218</v>
      </c>
      <c r="G603" s="54" t="s">
        <v>6</v>
      </c>
      <c r="H603" s="53" t="s">
        <v>0</v>
      </c>
      <c r="I603" s="53" t="s">
        <v>17</v>
      </c>
      <c r="J603" s="55" t="s">
        <v>232</v>
      </c>
      <c r="K603" s="54" t="s">
        <v>7</v>
      </c>
      <c r="L603" s="56" t="s">
        <v>239</v>
      </c>
    </row>
    <row r="604" spans="1:12" ht="15.75" customHeight="1" x14ac:dyDescent="0.25">
      <c r="A604" s="51" t="s">
        <v>225</v>
      </c>
      <c r="B604" s="52" t="s">
        <v>872</v>
      </c>
      <c r="C604" s="53">
        <v>806</v>
      </c>
      <c r="D604" s="54" t="s">
        <v>905</v>
      </c>
      <c r="E604" s="53">
        <v>806</v>
      </c>
      <c r="F604" s="54" t="s">
        <v>218</v>
      </c>
      <c r="G604" s="54" t="s">
        <v>6</v>
      </c>
      <c r="H604" s="53" t="s">
        <v>0</v>
      </c>
      <c r="I604" s="53" t="s">
        <v>17</v>
      </c>
      <c r="J604" s="55" t="s">
        <v>232</v>
      </c>
      <c r="K604" s="54" t="s">
        <v>13</v>
      </c>
      <c r="L604" s="56" t="s">
        <v>239</v>
      </c>
    </row>
    <row r="605" spans="1:12" ht="15.75" customHeight="1" x14ac:dyDescent="0.25">
      <c r="A605" s="51" t="s">
        <v>225</v>
      </c>
      <c r="B605" s="52" t="s">
        <v>874</v>
      </c>
      <c r="C605" s="53">
        <v>807</v>
      </c>
      <c r="D605" s="54" t="s">
        <v>906</v>
      </c>
      <c r="E605" s="53">
        <v>807</v>
      </c>
      <c r="F605" s="54" t="s">
        <v>218</v>
      </c>
      <c r="G605" s="54" t="s">
        <v>6</v>
      </c>
      <c r="H605" s="53" t="s">
        <v>0</v>
      </c>
      <c r="I605" s="53" t="s">
        <v>17</v>
      </c>
      <c r="J605" s="55" t="s">
        <v>232</v>
      </c>
      <c r="K605" s="54" t="s">
        <v>8</v>
      </c>
      <c r="L605" s="56" t="s">
        <v>239</v>
      </c>
    </row>
    <row r="606" spans="1:12" ht="15.75" customHeight="1" x14ac:dyDescent="0.25">
      <c r="A606" s="51" t="s">
        <v>225</v>
      </c>
      <c r="B606" s="52" t="s">
        <v>876</v>
      </c>
      <c r="C606" s="53">
        <v>808</v>
      </c>
      <c r="D606" s="54" t="s">
        <v>907</v>
      </c>
      <c r="E606" s="53">
        <v>808</v>
      </c>
      <c r="F606" s="54" t="s">
        <v>218</v>
      </c>
      <c r="G606" s="54" t="s">
        <v>6</v>
      </c>
      <c r="H606" s="53" t="s">
        <v>0</v>
      </c>
      <c r="I606" s="53" t="s">
        <v>17</v>
      </c>
      <c r="J606" s="55" t="s">
        <v>232</v>
      </c>
      <c r="K606" s="54" t="s">
        <v>9</v>
      </c>
      <c r="L606" s="56" t="s">
        <v>239</v>
      </c>
    </row>
    <row r="607" spans="1:12" ht="15.75" customHeight="1" x14ac:dyDescent="0.25">
      <c r="A607" s="51" t="s">
        <v>225</v>
      </c>
      <c r="B607" s="52" t="s">
        <v>878</v>
      </c>
      <c r="C607" s="53">
        <v>809</v>
      </c>
      <c r="D607" s="54" t="s">
        <v>908</v>
      </c>
      <c r="E607" s="53">
        <v>809</v>
      </c>
      <c r="F607" s="54" t="s">
        <v>218</v>
      </c>
      <c r="G607" s="54" t="s">
        <v>6</v>
      </c>
      <c r="H607" s="53" t="s">
        <v>0</v>
      </c>
      <c r="I607" s="53" t="s">
        <v>17</v>
      </c>
      <c r="J607" s="55" t="s">
        <v>232</v>
      </c>
      <c r="K607" s="54" t="s">
        <v>12</v>
      </c>
      <c r="L607" s="56" t="s">
        <v>239</v>
      </c>
    </row>
    <row r="608" spans="1:12" ht="15.75" customHeight="1" x14ac:dyDescent="0.25">
      <c r="A608" s="51" t="s">
        <v>225</v>
      </c>
      <c r="B608" s="52" t="s">
        <v>880</v>
      </c>
      <c r="C608" s="53">
        <v>810</v>
      </c>
      <c r="D608" s="54" t="s">
        <v>909</v>
      </c>
      <c r="E608" s="53">
        <v>810</v>
      </c>
      <c r="F608" s="54" t="s">
        <v>218</v>
      </c>
      <c r="G608" s="54" t="s">
        <v>6</v>
      </c>
      <c r="H608" s="53" t="s">
        <v>0</v>
      </c>
      <c r="I608" s="53" t="s">
        <v>17</v>
      </c>
      <c r="J608" s="55" t="s">
        <v>232</v>
      </c>
      <c r="K608" s="54" t="s">
        <v>11</v>
      </c>
      <c r="L608" s="56" t="s">
        <v>239</v>
      </c>
    </row>
    <row r="609" spans="1:12" ht="15.75" customHeight="1" x14ac:dyDescent="0.25">
      <c r="A609" s="51" t="s">
        <v>225</v>
      </c>
      <c r="B609" s="52" t="s">
        <v>854</v>
      </c>
      <c r="C609" s="53">
        <v>839</v>
      </c>
      <c r="D609" s="54" t="s">
        <v>910</v>
      </c>
      <c r="E609" s="53">
        <v>839</v>
      </c>
      <c r="F609" s="54" t="s">
        <v>218</v>
      </c>
      <c r="G609" s="54" t="s">
        <v>6</v>
      </c>
      <c r="H609" s="53" t="s">
        <v>1</v>
      </c>
      <c r="I609" s="53" t="s">
        <v>15</v>
      </c>
      <c r="J609" s="55" t="s">
        <v>232</v>
      </c>
      <c r="K609" s="54" t="s">
        <v>10</v>
      </c>
      <c r="L609" s="56" t="s">
        <v>239</v>
      </c>
    </row>
    <row r="610" spans="1:12" ht="15.75" customHeight="1" x14ac:dyDescent="0.25">
      <c r="A610" s="51" t="s">
        <v>225</v>
      </c>
      <c r="B610" s="52" t="s">
        <v>856</v>
      </c>
      <c r="C610" s="53">
        <v>840</v>
      </c>
      <c r="D610" s="54" t="s">
        <v>911</v>
      </c>
      <c r="E610" s="53">
        <v>840</v>
      </c>
      <c r="F610" s="54" t="s">
        <v>218</v>
      </c>
      <c r="G610" s="54" t="s">
        <v>6</v>
      </c>
      <c r="H610" s="53" t="s">
        <v>1</v>
      </c>
      <c r="I610" s="53" t="s">
        <v>15</v>
      </c>
      <c r="J610" s="55" t="s">
        <v>232</v>
      </c>
      <c r="K610" s="54" t="s">
        <v>7</v>
      </c>
      <c r="L610" s="56" t="s">
        <v>239</v>
      </c>
    </row>
    <row r="611" spans="1:12" ht="15.75" customHeight="1" x14ac:dyDescent="0.25">
      <c r="A611" s="51" t="s">
        <v>225</v>
      </c>
      <c r="B611" s="52" t="s">
        <v>858</v>
      </c>
      <c r="C611" s="53">
        <v>841</v>
      </c>
      <c r="D611" s="54" t="s">
        <v>912</v>
      </c>
      <c r="E611" s="53">
        <v>841</v>
      </c>
      <c r="F611" s="54" t="s">
        <v>218</v>
      </c>
      <c r="G611" s="54" t="s">
        <v>6</v>
      </c>
      <c r="H611" s="53" t="s">
        <v>1</v>
      </c>
      <c r="I611" s="53" t="s">
        <v>15</v>
      </c>
      <c r="J611" s="55" t="s">
        <v>232</v>
      </c>
      <c r="K611" s="54" t="s">
        <v>13</v>
      </c>
      <c r="L611" s="56" t="s">
        <v>239</v>
      </c>
    </row>
    <row r="612" spans="1:12" ht="15.75" customHeight="1" x14ac:dyDescent="0.25">
      <c r="A612" s="51" t="s">
        <v>225</v>
      </c>
      <c r="B612" s="52" t="s">
        <v>860</v>
      </c>
      <c r="C612" s="53">
        <v>842</v>
      </c>
      <c r="D612" s="54" t="s">
        <v>913</v>
      </c>
      <c r="E612" s="53">
        <v>842</v>
      </c>
      <c r="F612" s="54" t="s">
        <v>218</v>
      </c>
      <c r="G612" s="54" t="s">
        <v>6</v>
      </c>
      <c r="H612" s="53" t="s">
        <v>1</v>
      </c>
      <c r="I612" s="53" t="s">
        <v>15</v>
      </c>
      <c r="J612" s="55" t="s">
        <v>232</v>
      </c>
      <c r="K612" s="54" t="s">
        <v>8</v>
      </c>
      <c r="L612" s="56" t="s">
        <v>239</v>
      </c>
    </row>
    <row r="613" spans="1:12" ht="15.75" customHeight="1" x14ac:dyDescent="0.25">
      <c r="A613" s="51" t="s">
        <v>225</v>
      </c>
      <c r="B613" s="52" t="s">
        <v>862</v>
      </c>
      <c r="C613" s="53">
        <v>843</v>
      </c>
      <c r="D613" s="54" t="s">
        <v>914</v>
      </c>
      <c r="E613" s="53">
        <v>843</v>
      </c>
      <c r="F613" s="54" t="s">
        <v>218</v>
      </c>
      <c r="G613" s="54" t="s">
        <v>6</v>
      </c>
      <c r="H613" s="53" t="s">
        <v>1</v>
      </c>
      <c r="I613" s="53" t="s">
        <v>15</v>
      </c>
      <c r="J613" s="55" t="s">
        <v>232</v>
      </c>
      <c r="K613" s="54" t="s">
        <v>9</v>
      </c>
      <c r="L613" s="56" t="s">
        <v>239</v>
      </c>
    </row>
    <row r="614" spans="1:12" ht="15.75" customHeight="1" x14ac:dyDescent="0.25">
      <c r="A614" s="51" t="s">
        <v>225</v>
      </c>
      <c r="B614" s="52" t="s">
        <v>864</v>
      </c>
      <c r="C614" s="53">
        <v>844</v>
      </c>
      <c r="D614" s="54" t="s">
        <v>915</v>
      </c>
      <c r="E614" s="53">
        <v>844</v>
      </c>
      <c r="F614" s="54" t="s">
        <v>218</v>
      </c>
      <c r="G614" s="54" t="s">
        <v>6</v>
      </c>
      <c r="H614" s="53" t="s">
        <v>1</v>
      </c>
      <c r="I614" s="53" t="s">
        <v>15</v>
      </c>
      <c r="J614" s="55" t="s">
        <v>232</v>
      </c>
      <c r="K614" s="54" t="s">
        <v>12</v>
      </c>
      <c r="L614" s="56" t="s">
        <v>239</v>
      </c>
    </row>
    <row r="615" spans="1:12" ht="15.75" customHeight="1" x14ac:dyDescent="0.25">
      <c r="A615" s="51" t="s">
        <v>225</v>
      </c>
      <c r="B615" s="52" t="s">
        <v>866</v>
      </c>
      <c r="C615" s="53">
        <v>845</v>
      </c>
      <c r="D615" s="54" t="s">
        <v>916</v>
      </c>
      <c r="E615" s="53">
        <v>845</v>
      </c>
      <c r="F615" s="54" t="s">
        <v>218</v>
      </c>
      <c r="G615" s="54" t="s">
        <v>6</v>
      </c>
      <c r="H615" s="53" t="s">
        <v>1</v>
      </c>
      <c r="I615" s="53" t="s">
        <v>15</v>
      </c>
      <c r="J615" s="55" t="s">
        <v>232</v>
      </c>
      <c r="K615" s="54" t="s">
        <v>11</v>
      </c>
      <c r="L615" s="56" t="s">
        <v>239</v>
      </c>
    </row>
    <row r="616" spans="1:12" ht="15.75" customHeight="1" x14ac:dyDescent="0.25">
      <c r="A616" s="51" t="s">
        <v>225</v>
      </c>
      <c r="B616" s="52" t="s">
        <v>868</v>
      </c>
      <c r="C616" s="53">
        <v>874</v>
      </c>
      <c r="D616" s="54" t="s">
        <v>917</v>
      </c>
      <c r="E616" s="53">
        <v>874</v>
      </c>
      <c r="F616" s="54" t="s">
        <v>218</v>
      </c>
      <c r="G616" s="54" t="s">
        <v>6</v>
      </c>
      <c r="H616" s="53" t="s">
        <v>1</v>
      </c>
      <c r="I616" s="53" t="s">
        <v>17</v>
      </c>
      <c r="J616" s="55" t="s">
        <v>232</v>
      </c>
      <c r="K616" s="54" t="s">
        <v>10</v>
      </c>
      <c r="L616" s="56" t="s">
        <v>239</v>
      </c>
    </row>
    <row r="617" spans="1:12" ht="15.75" customHeight="1" x14ac:dyDescent="0.25">
      <c r="A617" s="51" t="s">
        <v>225</v>
      </c>
      <c r="B617" s="52" t="s">
        <v>870</v>
      </c>
      <c r="C617" s="53">
        <v>875</v>
      </c>
      <c r="D617" s="54" t="s">
        <v>918</v>
      </c>
      <c r="E617" s="53">
        <v>875</v>
      </c>
      <c r="F617" s="54" t="s">
        <v>218</v>
      </c>
      <c r="G617" s="54" t="s">
        <v>6</v>
      </c>
      <c r="H617" s="53" t="s">
        <v>1</v>
      </c>
      <c r="I617" s="53" t="s">
        <v>17</v>
      </c>
      <c r="J617" s="55" t="s">
        <v>232</v>
      </c>
      <c r="K617" s="54" t="s">
        <v>7</v>
      </c>
      <c r="L617" s="56" t="s">
        <v>239</v>
      </c>
    </row>
    <row r="618" spans="1:12" ht="15.75" customHeight="1" x14ac:dyDescent="0.25">
      <c r="A618" s="51" t="s">
        <v>225</v>
      </c>
      <c r="B618" s="52" t="s">
        <v>872</v>
      </c>
      <c r="C618" s="53">
        <v>876</v>
      </c>
      <c r="D618" s="54" t="s">
        <v>919</v>
      </c>
      <c r="E618" s="53">
        <v>876</v>
      </c>
      <c r="F618" s="54" t="s">
        <v>218</v>
      </c>
      <c r="G618" s="54" t="s">
        <v>6</v>
      </c>
      <c r="H618" s="53" t="s">
        <v>1</v>
      </c>
      <c r="I618" s="53" t="s">
        <v>17</v>
      </c>
      <c r="J618" s="55" t="s">
        <v>232</v>
      </c>
      <c r="K618" s="54" t="s">
        <v>13</v>
      </c>
      <c r="L618" s="56" t="s">
        <v>239</v>
      </c>
    </row>
    <row r="619" spans="1:12" ht="15.75" customHeight="1" x14ac:dyDescent="0.25">
      <c r="A619" s="51" t="s">
        <v>225</v>
      </c>
      <c r="B619" s="52" t="s">
        <v>874</v>
      </c>
      <c r="C619" s="53">
        <v>877</v>
      </c>
      <c r="D619" s="54" t="s">
        <v>920</v>
      </c>
      <c r="E619" s="53">
        <v>877</v>
      </c>
      <c r="F619" s="54" t="s">
        <v>218</v>
      </c>
      <c r="G619" s="54" t="s">
        <v>6</v>
      </c>
      <c r="H619" s="53" t="s">
        <v>1</v>
      </c>
      <c r="I619" s="53" t="s">
        <v>17</v>
      </c>
      <c r="J619" s="55" t="s">
        <v>232</v>
      </c>
      <c r="K619" s="54" t="s">
        <v>8</v>
      </c>
      <c r="L619" s="56" t="s">
        <v>239</v>
      </c>
    </row>
    <row r="620" spans="1:12" ht="15.75" customHeight="1" x14ac:dyDescent="0.25">
      <c r="A620" s="51" t="s">
        <v>225</v>
      </c>
      <c r="B620" s="52" t="s">
        <v>876</v>
      </c>
      <c r="C620" s="53">
        <v>878</v>
      </c>
      <c r="D620" s="54" t="s">
        <v>921</v>
      </c>
      <c r="E620" s="53">
        <v>878</v>
      </c>
      <c r="F620" s="54" t="s">
        <v>218</v>
      </c>
      <c r="G620" s="54" t="s">
        <v>6</v>
      </c>
      <c r="H620" s="53" t="s">
        <v>1</v>
      </c>
      <c r="I620" s="53" t="s">
        <v>17</v>
      </c>
      <c r="J620" s="55" t="s">
        <v>232</v>
      </c>
      <c r="K620" s="54" t="s">
        <v>9</v>
      </c>
      <c r="L620" s="56" t="s">
        <v>239</v>
      </c>
    </row>
    <row r="621" spans="1:12" ht="15.75" customHeight="1" x14ac:dyDescent="0.25">
      <c r="A621" s="51" t="s">
        <v>225</v>
      </c>
      <c r="B621" s="52" t="s">
        <v>878</v>
      </c>
      <c r="C621" s="53">
        <v>879</v>
      </c>
      <c r="D621" s="54" t="s">
        <v>922</v>
      </c>
      <c r="E621" s="53">
        <v>879</v>
      </c>
      <c r="F621" s="54" t="s">
        <v>218</v>
      </c>
      <c r="G621" s="54" t="s">
        <v>6</v>
      </c>
      <c r="H621" s="53" t="s">
        <v>1</v>
      </c>
      <c r="I621" s="53" t="s">
        <v>17</v>
      </c>
      <c r="J621" s="55" t="s">
        <v>232</v>
      </c>
      <c r="K621" s="54" t="s">
        <v>12</v>
      </c>
      <c r="L621" s="56" t="s">
        <v>239</v>
      </c>
    </row>
    <row r="622" spans="1:12" ht="15.75" customHeight="1" x14ac:dyDescent="0.25">
      <c r="A622" s="51" t="s">
        <v>225</v>
      </c>
      <c r="B622" s="52" t="s">
        <v>880</v>
      </c>
      <c r="C622" s="53">
        <v>880</v>
      </c>
      <c r="D622" s="54" t="s">
        <v>923</v>
      </c>
      <c r="E622" s="53">
        <v>880</v>
      </c>
      <c r="F622" s="54" t="s">
        <v>218</v>
      </c>
      <c r="G622" s="54" t="s">
        <v>6</v>
      </c>
      <c r="H622" s="53" t="s">
        <v>1</v>
      </c>
      <c r="I622" s="53" t="s">
        <v>17</v>
      </c>
      <c r="J622" s="55" t="s">
        <v>232</v>
      </c>
      <c r="K622" s="54" t="s">
        <v>11</v>
      </c>
      <c r="L622" s="56" t="s">
        <v>239</v>
      </c>
    </row>
    <row r="623" spans="1:12" ht="15.75" customHeight="1" x14ac:dyDescent="0.25">
      <c r="A623" s="51" t="s">
        <v>225</v>
      </c>
      <c r="B623" s="52" t="s">
        <v>854</v>
      </c>
      <c r="C623" s="53">
        <v>755</v>
      </c>
      <c r="D623" s="54" t="s">
        <v>924</v>
      </c>
      <c r="E623" s="53">
        <v>755</v>
      </c>
      <c r="F623" s="54" t="s">
        <v>218</v>
      </c>
      <c r="G623" s="54" t="s">
        <v>6</v>
      </c>
      <c r="H623" s="53" t="s">
        <v>0</v>
      </c>
      <c r="I623" s="53" t="s">
        <v>15</v>
      </c>
      <c r="J623" s="55" t="s">
        <v>234</v>
      </c>
      <c r="K623" s="54" t="s">
        <v>10</v>
      </c>
      <c r="L623" s="56" t="s">
        <v>239</v>
      </c>
    </row>
    <row r="624" spans="1:12" ht="15.75" customHeight="1" x14ac:dyDescent="0.25">
      <c r="A624" s="51" t="s">
        <v>225</v>
      </c>
      <c r="B624" s="52" t="s">
        <v>856</v>
      </c>
      <c r="C624" s="53">
        <v>756</v>
      </c>
      <c r="D624" s="54" t="s">
        <v>925</v>
      </c>
      <c r="E624" s="53">
        <v>756</v>
      </c>
      <c r="F624" s="54" t="s">
        <v>218</v>
      </c>
      <c r="G624" s="54" t="s">
        <v>6</v>
      </c>
      <c r="H624" s="53" t="s">
        <v>0</v>
      </c>
      <c r="I624" s="53" t="s">
        <v>15</v>
      </c>
      <c r="J624" s="55" t="s">
        <v>234</v>
      </c>
      <c r="K624" s="54" t="s">
        <v>7</v>
      </c>
      <c r="L624" s="56" t="s">
        <v>239</v>
      </c>
    </row>
    <row r="625" spans="1:12" ht="15.75" customHeight="1" x14ac:dyDescent="0.25">
      <c r="A625" s="51" t="s">
        <v>225</v>
      </c>
      <c r="B625" s="52" t="s">
        <v>858</v>
      </c>
      <c r="C625" s="53">
        <v>757</v>
      </c>
      <c r="D625" s="54" t="s">
        <v>926</v>
      </c>
      <c r="E625" s="53">
        <v>757</v>
      </c>
      <c r="F625" s="54" t="s">
        <v>218</v>
      </c>
      <c r="G625" s="54" t="s">
        <v>6</v>
      </c>
      <c r="H625" s="53" t="s">
        <v>0</v>
      </c>
      <c r="I625" s="53" t="s">
        <v>15</v>
      </c>
      <c r="J625" s="55" t="s">
        <v>234</v>
      </c>
      <c r="K625" s="54" t="s">
        <v>13</v>
      </c>
      <c r="L625" s="56" t="s">
        <v>239</v>
      </c>
    </row>
    <row r="626" spans="1:12" ht="15.75" customHeight="1" x14ac:dyDescent="0.25">
      <c r="A626" s="51" t="s">
        <v>225</v>
      </c>
      <c r="B626" s="52" t="s">
        <v>860</v>
      </c>
      <c r="C626" s="53">
        <v>758</v>
      </c>
      <c r="D626" s="54" t="s">
        <v>927</v>
      </c>
      <c r="E626" s="53">
        <v>758</v>
      </c>
      <c r="F626" s="54" t="s">
        <v>218</v>
      </c>
      <c r="G626" s="54" t="s">
        <v>6</v>
      </c>
      <c r="H626" s="53" t="s">
        <v>0</v>
      </c>
      <c r="I626" s="53" t="s">
        <v>15</v>
      </c>
      <c r="J626" s="55" t="s">
        <v>234</v>
      </c>
      <c r="K626" s="54" t="s">
        <v>8</v>
      </c>
      <c r="L626" s="56" t="s">
        <v>239</v>
      </c>
    </row>
    <row r="627" spans="1:12" ht="15.75" customHeight="1" x14ac:dyDescent="0.25">
      <c r="A627" s="51" t="s">
        <v>225</v>
      </c>
      <c r="B627" s="52" t="s">
        <v>862</v>
      </c>
      <c r="C627" s="53">
        <v>759</v>
      </c>
      <c r="D627" s="54" t="s">
        <v>928</v>
      </c>
      <c r="E627" s="53">
        <v>759</v>
      </c>
      <c r="F627" s="54" t="s">
        <v>218</v>
      </c>
      <c r="G627" s="54" t="s">
        <v>6</v>
      </c>
      <c r="H627" s="53" t="s">
        <v>0</v>
      </c>
      <c r="I627" s="53" t="s">
        <v>15</v>
      </c>
      <c r="J627" s="55" t="s">
        <v>234</v>
      </c>
      <c r="K627" s="54" t="s">
        <v>9</v>
      </c>
      <c r="L627" s="56" t="s">
        <v>239</v>
      </c>
    </row>
    <row r="628" spans="1:12" ht="15.75" customHeight="1" x14ac:dyDescent="0.25">
      <c r="A628" s="51" t="s">
        <v>225</v>
      </c>
      <c r="B628" s="52" t="s">
        <v>864</v>
      </c>
      <c r="C628" s="53">
        <v>760</v>
      </c>
      <c r="D628" s="54" t="s">
        <v>929</v>
      </c>
      <c r="E628" s="53">
        <v>760</v>
      </c>
      <c r="F628" s="54" t="s">
        <v>218</v>
      </c>
      <c r="G628" s="54" t="s">
        <v>6</v>
      </c>
      <c r="H628" s="53" t="s">
        <v>0</v>
      </c>
      <c r="I628" s="53" t="s">
        <v>15</v>
      </c>
      <c r="J628" s="55" t="s">
        <v>234</v>
      </c>
      <c r="K628" s="54" t="s">
        <v>12</v>
      </c>
      <c r="L628" s="56" t="s">
        <v>239</v>
      </c>
    </row>
    <row r="629" spans="1:12" ht="15.75" customHeight="1" x14ac:dyDescent="0.25">
      <c r="A629" s="51" t="s">
        <v>225</v>
      </c>
      <c r="B629" s="52" t="s">
        <v>866</v>
      </c>
      <c r="C629" s="53">
        <v>761</v>
      </c>
      <c r="D629" s="54" t="s">
        <v>930</v>
      </c>
      <c r="E629" s="53">
        <v>761</v>
      </c>
      <c r="F629" s="54" t="s">
        <v>218</v>
      </c>
      <c r="G629" s="54" t="s">
        <v>6</v>
      </c>
      <c r="H629" s="53" t="s">
        <v>0</v>
      </c>
      <c r="I629" s="53" t="s">
        <v>15</v>
      </c>
      <c r="J629" s="55" t="s">
        <v>234</v>
      </c>
      <c r="K629" s="54" t="s">
        <v>11</v>
      </c>
      <c r="L629" s="56" t="s">
        <v>239</v>
      </c>
    </row>
    <row r="630" spans="1:12" ht="15.75" customHeight="1" x14ac:dyDescent="0.25">
      <c r="A630" s="51" t="s">
        <v>225</v>
      </c>
      <c r="B630" s="52" t="s">
        <v>868</v>
      </c>
      <c r="C630" s="53">
        <v>790</v>
      </c>
      <c r="D630" s="54" t="s">
        <v>931</v>
      </c>
      <c r="E630" s="53">
        <v>790</v>
      </c>
      <c r="F630" s="54" t="s">
        <v>218</v>
      </c>
      <c r="G630" s="54" t="s">
        <v>6</v>
      </c>
      <c r="H630" s="53" t="s">
        <v>0</v>
      </c>
      <c r="I630" s="53" t="s">
        <v>17</v>
      </c>
      <c r="J630" s="55" t="s">
        <v>234</v>
      </c>
      <c r="K630" s="54" t="s">
        <v>10</v>
      </c>
      <c r="L630" s="56" t="s">
        <v>239</v>
      </c>
    </row>
    <row r="631" spans="1:12" ht="15.75" customHeight="1" x14ac:dyDescent="0.25">
      <c r="A631" s="51" t="s">
        <v>225</v>
      </c>
      <c r="B631" s="52" t="s">
        <v>870</v>
      </c>
      <c r="C631" s="53">
        <v>791</v>
      </c>
      <c r="D631" s="54" t="s">
        <v>932</v>
      </c>
      <c r="E631" s="53">
        <v>791</v>
      </c>
      <c r="F631" s="54" t="s">
        <v>218</v>
      </c>
      <c r="G631" s="54" t="s">
        <v>6</v>
      </c>
      <c r="H631" s="53" t="s">
        <v>0</v>
      </c>
      <c r="I631" s="53" t="s">
        <v>17</v>
      </c>
      <c r="J631" s="55" t="s">
        <v>234</v>
      </c>
      <c r="K631" s="54" t="s">
        <v>7</v>
      </c>
      <c r="L631" s="56" t="s">
        <v>239</v>
      </c>
    </row>
    <row r="632" spans="1:12" ht="15.75" customHeight="1" x14ac:dyDescent="0.25">
      <c r="A632" s="51" t="s">
        <v>225</v>
      </c>
      <c r="B632" s="52" t="s">
        <v>872</v>
      </c>
      <c r="C632" s="53">
        <v>792</v>
      </c>
      <c r="D632" s="54" t="s">
        <v>933</v>
      </c>
      <c r="E632" s="53">
        <v>792</v>
      </c>
      <c r="F632" s="54" t="s">
        <v>218</v>
      </c>
      <c r="G632" s="54" t="s">
        <v>6</v>
      </c>
      <c r="H632" s="53" t="s">
        <v>0</v>
      </c>
      <c r="I632" s="53" t="s">
        <v>17</v>
      </c>
      <c r="J632" s="55" t="s">
        <v>234</v>
      </c>
      <c r="K632" s="54" t="s">
        <v>13</v>
      </c>
      <c r="L632" s="56" t="s">
        <v>239</v>
      </c>
    </row>
    <row r="633" spans="1:12" ht="15.75" customHeight="1" x14ac:dyDescent="0.25">
      <c r="A633" s="51" t="s">
        <v>225</v>
      </c>
      <c r="B633" s="52" t="s">
        <v>874</v>
      </c>
      <c r="C633" s="53">
        <v>793</v>
      </c>
      <c r="D633" s="54" t="s">
        <v>934</v>
      </c>
      <c r="E633" s="53">
        <v>793</v>
      </c>
      <c r="F633" s="54" t="s">
        <v>218</v>
      </c>
      <c r="G633" s="54" t="s">
        <v>6</v>
      </c>
      <c r="H633" s="53" t="s">
        <v>0</v>
      </c>
      <c r="I633" s="53" t="s">
        <v>17</v>
      </c>
      <c r="J633" s="55" t="s">
        <v>234</v>
      </c>
      <c r="K633" s="54" t="s">
        <v>8</v>
      </c>
      <c r="L633" s="56" t="s">
        <v>239</v>
      </c>
    </row>
    <row r="634" spans="1:12" ht="15.75" customHeight="1" x14ac:dyDescent="0.25">
      <c r="A634" s="51" t="s">
        <v>225</v>
      </c>
      <c r="B634" s="52" t="s">
        <v>876</v>
      </c>
      <c r="C634" s="53">
        <v>794</v>
      </c>
      <c r="D634" s="54" t="s">
        <v>935</v>
      </c>
      <c r="E634" s="53">
        <v>794</v>
      </c>
      <c r="F634" s="54" t="s">
        <v>218</v>
      </c>
      <c r="G634" s="54" t="s">
        <v>6</v>
      </c>
      <c r="H634" s="53" t="s">
        <v>0</v>
      </c>
      <c r="I634" s="53" t="s">
        <v>17</v>
      </c>
      <c r="J634" s="55" t="s">
        <v>234</v>
      </c>
      <c r="K634" s="54" t="s">
        <v>9</v>
      </c>
      <c r="L634" s="56" t="s">
        <v>239</v>
      </c>
    </row>
    <row r="635" spans="1:12" ht="15.75" customHeight="1" x14ac:dyDescent="0.25">
      <c r="A635" s="51" t="s">
        <v>225</v>
      </c>
      <c r="B635" s="52" t="s">
        <v>878</v>
      </c>
      <c r="C635" s="53">
        <v>795</v>
      </c>
      <c r="D635" s="54" t="s">
        <v>936</v>
      </c>
      <c r="E635" s="53">
        <v>795</v>
      </c>
      <c r="F635" s="54" t="s">
        <v>218</v>
      </c>
      <c r="G635" s="54" t="s">
        <v>6</v>
      </c>
      <c r="H635" s="53" t="s">
        <v>0</v>
      </c>
      <c r="I635" s="53" t="s">
        <v>17</v>
      </c>
      <c r="J635" s="55" t="s">
        <v>234</v>
      </c>
      <c r="K635" s="54" t="s">
        <v>12</v>
      </c>
      <c r="L635" s="56" t="s">
        <v>239</v>
      </c>
    </row>
    <row r="636" spans="1:12" ht="15.75" customHeight="1" x14ac:dyDescent="0.25">
      <c r="A636" s="51" t="s">
        <v>225</v>
      </c>
      <c r="B636" s="52" t="s">
        <v>880</v>
      </c>
      <c r="C636" s="53">
        <v>796</v>
      </c>
      <c r="D636" s="54" t="s">
        <v>937</v>
      </c>
      <c r="E636" s="53">
        <v>796</v>
      </c>
      <c r="F636" s="54" t="s">
        <v>218</v>
      </c>
      <c r="G636" s="54" t="s">
        <v>6</v>
      </c>
      <c r="H636" s="53" t="s">
        <v>0</v>
      </c>
      <c r="I636" s="53" t="s">
        <v>17</v>
      </c>
      <c r="J636" s="55" t="s">
        <v>234</v>
      </c>
      <c r="K636" s="54" t="s">
        <v>11</v>
      </c>
      <c r="L636" s="56" t="s">
        <v>239</v>
      </c>
    </row>
    <row r="637" spans="1:12" ht="15.75" customHeight="1" x14ac:dyDescent="0.25">
      <c r="A637" s="51" t="s">
        <v>225</v>
      </c>
      <c r="B637" s="52" t="s">
        <v>854</v>
      </c>
      <c r="C637" s="53">
        <v>825</v>
      </c>
      <c r="D637" s="54" t="s">
        <v>938</v>
      </c>
      <c r="E637" s="53">
        <v>825</v>
      </c>
      <c r="F637" s="54" t="s">
        <v>218</v>
      </c>
      <c r="G637" s="54" t="s">
        <v>6</v>
      </c>
      <c r="H637" s="53" t="s">
        <v>1</v>
      </c>
      <c r="I637" s="53" t="s">
        <v>15</v>
      </c>
      <c r="J637" s="55" t="s">
        <v>234</v>
      </c>
      <c r="K637" s="54" t="s">
        <v>10</v>
      </c>
      <c r="L637" s="56" t="s">
        <v>239</v>
      </c>
    </row>
    <row r="638" spans="1:12" ht="15.75" customHeight="1" x14ac:dyDescent="0.25">
      <c r="A638" s="51" t="s">
        <v>225</v>
      </c>
      <c r="B638" s="52" t="s">
        <v>856</v>
      </c>
      <c r="C638" s="53">
        <v>826</v>
      </c>
      <c r="D638" s="54" t="s">
        <v>939</v>
      </c>
      <c r="E638" s="53">
        <v>826</v>
      </c>
      <c r="F638" s="54" t="s">
        <v>218</v>
      </c>
      <c r="G638" s="54" t="s">
        <v>6</v>
      </c>
      <c r="H638" s="53" t="s">
        <v>1</v>
      </c>
      <c r="I638" s="53" t="s">
        <v>15</v>
      </c>
      <c r="J638" s="55" t="s">
        <v>234</v>
      </c>
      <c r="K638" s="54" t="s">
        <v>7</v>
      </c>
      <c r="L638" s="56" t="s">
        <v>239</v>
      </c>
    </row>
    <row r="639" spans="1:12" ht="15.75" customHeight="1" x14ac:dyDescent="0.25">
      <c r="A639" s="51" t="s">
        <v>225</v>
      </c>
      <c r="B639" s="52" t="s">
        <v>858</v>
      </c>
      <c r="C639" s="53">
        <v>827</v>
      </c>
      <c r="D639" s="54" t="s">
        <v>940</v>
      </c>
      <c r="E639" s="53">
        <v>827</v>
      </c>
      <c r="F639" s="54" t="s">
        <v>218</v>
      </c>
      <c r="G639" s="54" t="s">
        <v>6</v>
      </c>
      <c r="H639" s="53" t="s">
        <v>1</v>
      </c>
      <c r="I639" s="53" t="s">
        <v>15</v>
      </c>
      <c r="J639" s="55" t="s">
        <v>234</v>
      </c>
      <c r="K639" s="54" t="s">
        <v>13</v>
      </c>
      <c r="L639" s="56" t="s">
        <v>239</v>
      </c>
    </row>
    <row r="640" spans="1:12" ht="15.75" customHeight="1" x14ac:dyDescent="0.25">
      <c r="A640" s="51" t="s">
        <v>225</v>
      </c>
      <c r="B640" s="52" t="s">
        <v>860</v>
      </c>
      <c r="C640" s="53">
        <v>828</v>
      </c>
      <c r="D640" s="54" t="s">
        <v>941</v>
      </c>
      <c r="E640" s="53">
        <v>828</v>
      </c>
      <c r="F640" s="54" t="s">
        <v>218</v>
      </c>
      <c r="G640" s="54" t="s">
        <v>6</v>
      </c>
      <c r="H640" s="53" t="s">
        <v>1</v>
      </c>
      <c r="I640" s="53" t="s">
        <v>15</v>
      </c>
      <c r="J640" s="55" t="s">
        <v>234</v>
      </c>
      <c r="K640" s="54" t="s">
        <v>8</v>
      </c>
      <c r="L640" s="56" t="s">
        <v>239</v>
      </c>
    </row>
    <row r="641" spans="1:12" ht="15.75" customHeight="1" x14ac:dyDescent="0.25">
      <c r="A641" s="51" t="s">
        <v>225</v>
      </c>
      <c r="B641" s="52" t="s">
        <v>862</v>
      </c>
      <c r="C641" s="53">
        <v>829</v>
      </c>
      <c r="D641" s="54" t="s">
        <v>942</v>
      </c>
      <c r="E641" s="53">
        <v>829</v>
      </c>
      <c r="F641" s="54" t="s">
        <v>218</v>
      </c>
      <c r="G641" s="54" t="s">
        <v>6</v>
      </c>
      <c r="H641" s="53" t="s">
        <v>1</v>
      </c>
      <c r="I641" s="53" t="s">
        <v>15</v>
      </c>
      <c r="J641" s="55" t="s">
        <v>234</v>
      </c>
      <c r="K641" s="54" t="s">
        <v>9</v>
      </c>
      <c r="L641" s="56" t="s">
        <v>239</v>
      </c>
    </row>
    <row r="642" spans="1:12" ht="15.75" customHeight="1" x14ac:dyDescent="0.25">
      <c r="A642" s="51" t="s">
        <v>225</v>
      </c>
      <c r="B642" s="52" t="s">
        <v>864</v>
      </c>
      <c r="C642" s="53">
        <v>830</v>
      </c>
      <c r="D642" s="54" t="s">
        <v>943</v>
      </c>
      <c r="E642" s="53">
        <v>830</v>
      </c>
      <c r="F642" s="54" t="s">
        <v>218</v>
      </c>
      <c r="G642" s="54" t="s">
        <v>6</v>
      </c>
      <c r="H642" s="53" t="s">
        <v>1</v>
      </c>
      <c r="I642" s="53" t="s">
        <v>15</v>
      </c>
      <c r="J642" s="55" t="s">
        <v>234</v>
      </c>
      <c r="K642" s="54" t="s">
        <v>12</v>
      </c>
      <c r="L642" s="56" t="s">
        <v>239</v>
      </c>
    </row>
    <row r="643" spans="1:12" ht="15.75" customHeight="1" x14ac:dyDescent="0.25">
      <c r="A643" s="51" t="s">
        <v>225</v>
      </c>
      <c r="B643" s="52" t="s">
        <v>866</v>
      </c>
      <c r="C643" s="53">
        <v>831</v>
      </c>
      <c r="D643" s="54" t="s">
        <v>944</v>
      </c>
      <c r="E643" s="53">
        <v>831</v>
      </c>
      <c r="F643" s="54" t="s">
        <v>218</v>
      </c>
      <c r="G643" s="54" t="s">
        <v>6</v>
      </c>
      <c r="H643" s="53" t="s">
        <v>1</v>
      </c>
      <c r="I643" s="53" t="s">
        <v>15</v>
      </c>
      <c r="J643" s="55" t="s">
        <v>234</v>
      </c>
      <c r="K643" s="54" t="s">
        <v>11</v>
      </c>
      <c r="L643" s="56" t="s">
        <v>239</v>
      </c>
    </row>
    <row r="644" spans="1:12" ht="15.75" customHeight="1" x14ac:dyDescent="0.25">
      <c r="A644" s="51" t="s">
        <v>225</v>
      </c>
      <c r="B644" s="52" t="s">
        <v>868</v>
      </c>
      <c r="C644" s="53">
        <v>860</v>
      </c>
      <c r="D644" s="54" t="s">
        <v>945</v>
      </c>
      <c r="E644" s="53">
        <v>860</v>
      </c>
      <c r="F644" s="54" t="s">
        <v>218</v>
      </c>
      <c r="G644" s="54" t="s">
        <v>6</v>
      </c>
      <c r="H644" s="53" t="s">
        <v>1</v>
      </c>
      <c r="I644" s="53" t="s">
        <v>17</v>
      </c>
      <c r="J644" s="55" t="s">
        <v>234</v>
      </c>
      <c r="K644" s="54" t="s">
        <v>10</v>
      </c>
      <c r="L644" s="56" t="s">
        <v>239</v>
      </c>
    </row>
    <row r="645" spans="1:12" ht="15.75" customHeight="1" x14ac:dyDescent="0.25">
      <c r="A645" s="51" t="s">
        <v>225</v>
      </c>
      <c r="B645" s="52" t="s">
        <v>870</v>
      </c>
      <c r="C645" s="53">
        <v>861</v>
      </c>
      <c r="D645" s="54" t="s">
        <v>946</v>
      </c>
      <c r="E645" s="53">
        <v>861</v>
      </c>
      <c r="F645" s="54" t="s">
        <v>218</v>
      </c>
      <c r="G645" s="54" t="s">
        <v>6</v>
      </c>
      <c r="H645" s="53" t="s">
        <v>1</v>
      </c>
      <c r="I645" s="53" t="s">
        <v>17</v>
      </c>
      <c r="J645" s="55" t="s">
        <v>234</v>
      </c>
      <c r="K645" s="54" t="s">
        <v>7</v>
      </c>
      <c r="L645" s="56" t="s">
        <v>239</v>
      </c>
    </row>
    <row r="646" spans="1:12" ht="15.75" customHeight="1" x14ac:dyDescent="0.25">
      <c r="A646" s="51" t="s">
        <v>225</v>
      </c>
      <c r="B646" s="52" t="s">
        <v>872</v>
      </c>
      <c r="C646" s="53">
        <v>862</v>
      </c>
      <c r="D646" s="54" t="s">
        <v>947</v>
      </c>
      <c r="E646" s="53">
        <v>862</v>
      </c>
      <c r="F646" s="54" t="s">
        <v>218</v>
      </c>
      <c r="G646" s="54" t="s">
        <v>6</v>
      </c>
      <c r="H646" s="53" t="s">
        <v>1</v>
      </c>
      <c r="I646" s="53" t="s">
        <v>17</v>
      </c>
      <c r="J646" s="55" t="s">
        <v>234</v>
      </c>
      <c r="K646" s="54" t="s">
        <v>13</v>
      </c>
      <c r="L646" s="56" t="s">
        <v>239</v>
      </c>
    </row>
    <row r="647" spans="1:12" ht="15.75" customHeight="1" x14ac:dyDescent="0.25">
      <c r="A647" s="51" t="s">
        <v>225</v>
      </c>
      <c r="B647" s="52" t="s">
        <v>874</v>
      </c>
      <c r="C647" s="53">
        <v>863</v>
      </c>
      <c r="D647" s="54" t="s">
        <v>948</v>
      </c>
      <c r="E647" s="53">
        <v>863</v>
      </c>
      <c r="F647" s="54" t="s">
        <v>218</v>
      </c>
      <c r="G647" s="54" t="s">
        <v>6</v>
      </c>
      <c r="H647" s="53" t="s">
        <v>1</v>
      </c>
      <c r="I647" s="53" t="s">
        <v>17</v>
      </c>
      <c r="J647" s="55" t="s">
        <v>234</v>
      </c>
      <c r="K647" s="54" t="s">
        <v>8</v>
      </c>
      <c r="L647" s="56" t="s">
        <v>239</v>
      </c>
    </row>
    <row r="648" spans="1:12" ht="15.75" customHeight="1" x14ac:dyDescent="0.25">
      <c r="A648" s="51" t="s">
        <v>225</v>
      </c>
      <c r="B648" s="52" t="s">
        <v>876</v>
      </c>
      <c r="C648" s="53">
        <v>864</v>
      </c>
      <c r="D648" s="54" t="s">
        <v>949</v>
      </c>
      <c r="E648" s="53">
        <v>864</v>
      </c>
      <c r="F648" s="54" t="s">
        <v>218</v>
      </c>
      <c r="G648" s="54" t="s">
        <v>6</v>
      </c>
      <c r="H648" s="53" t="s">
        <v>1</v>
      </c>
      <c r="I648" s="53" t="s">
        <v>17</v>
      </c>
      <c r="J648" s="55" t="s">
        <v>234</v>
      </c>
      <c r="K648" s="54" t="s">
        <v>9</v>
      </c>
      <c r="L648" s="56" t="s">
        <v>239</v>
      </c>
    </row>
    <row r="649" spans="1:12" ht="15.75" customHeight="1" x14ac:dyDescent="0.25">
      <c r="A649" s="51" t="s">
        <v>225</v>
      </c>
      <c r="B649" s="52" t="s">
        <v>878</v>
      </c>
      <c r="C649" s="53">
        <v>865</v>
      </c>
      <c r="D649" s="54" t="s">
        <v>950</v>
      </c>
      <c r="E649" s="53">
        <v>865</v>
      </c>
      <c r="F649" s="54" t="s">
        <v>218</v>
      </c>
      <c r="G649" s="54" t="s">
        <v>6</v>
      </c>
      <c r="H649" s="53" t="s">
        <v>1</v>
      </c>
      <c r="I649" s="53" t="s">
        <v>17</v>
      </c>
      <c r="J649" s="55" t="s">
        <v>234</v>
      </c>
      <c r="K649" s="54" t="s">
        <v>12</v>
      </c>
      <c r="L649" s="56" t="s">
        <v>239</v>
      </c>
    </row>
    <row r="650" spans="1:12" ht="15.75" customHeight="1" x14ac:dyDescent="0.25">
      <c r="A650" s="51" t="s">
        <v>225</v>
      </c>
      <c r="B650" s="52" t="s">
        <v>880</v>
      </c>
      <c r="C650" s="53">
        <v>866</v>
      </c>
      <c r="D650" s="54" t="s">
        <v>951</v>
      </c>
      <c r="E650" s="53">
        <v>866</v>
      </c>
      <c r="F650" s="54" t="s">
        <v>218</v>
      </c>
      <c r="G650" s="54" t="s">
        <v>6</v>
      </c>
      <c r="H650" s="53" t="s">
        <v>1</v>
      </c>
      <c r="I650" s="53" t="s">
        <v>17</v>
      </c>
      <c r="J650" s="55" t="s">
        <v>234</v>
      </c>
      <c r="K650" s="54" t="s">
        <v>11</v>
      </c>
      <c r="L650" s="56" t="s">
        <v>239</v>
      </c>
    </row>
    <row r="651" spans="1:12" ht="15.75" customHeight="1" x14ac:dyDescent="0.25">
      <c r="A651" s="51" t="s">
        <v>225</v>
      </c>
      <c r="B651" s="52" t="s">
        <v>868</v>
      </c>
      <c r="C651" s="53">
        <v>2078</v>
      </c>
      <c r="D651" s="54" t="s">
        <v>952</v>
      </c>
      <c r="E651" s="53">
        <v>2078</v>
      </c>
      <c r="F651" s="55" t="s">
        <v>218</v>
      </c>
      <c r="G651" s="55" t="s">
        <v>6</v>
      </c>
      <c r="H651" s="53" t="s">
        <v>1</v>
      </c>
      <c r="I651" s="53" t="s">
        <v>17</v>
      </c>
      <c r="J651" s="55" t="s">
        <v>953</v>
      </c>
      <c r="K651" s="55" t="s">
        <v>10</v>
      </c>
      <c r="L651" s="55" t="s">
        <v>239</v>
      </c>
    </row>
    <row r="652" spans="1:12" ht="15.75" customHeight="1" x14ac:dyDescent="0.25">
      <c r="A652" s="51" t="s">
        <v>225</v>
      </c>
      <c r="B652" s="52" t="s">
        <v>854</v>
      </c>
      <c r="C652" s="53">
        <v>748</v>
      </c>
      <c r="D652" s="54" t="s">
        <v>954</v>
      </c>
      <c r="E652" s="53">
        <v>748</v>
      </c>
      <c r="F652" s="54" t="s">
        <v>218</v>
      </c>
      <c r="G652" s="54" t="s">
        <v>6</v>
      </c>
      <c r="H652" s="53" t="s">
        <v>0</v>
      </c>
      <c r="I652" s="53" t="s">
        <v>15</v>
      </c>
      <c r="J652" s="55" t="s">
        <v>228</v>
      </c>
      <c r="K652" s="54" t="s">
        <v>10</v>
      </c>
      <c r="L652" s="56" t="s">
        <v>239</v>
      </c>
    </row>
    <row r="653" spans="1:12" ht="15.75" customHeight="1" x14ac:dyDescent="0.25">
      <c r="A653" s="51" t="s">
        <v>225</v>
      </c>
      <c r="B653" s="52" t="s">
        <v>856</v>
      </c>
      <c r="C653" s="53">
        <v>749</v>
      </c>
      <c r="D653" s="54" t="s">
        <v>955</v>
      </c>
      <c r="E653" s="53">
        <v>749</v>
      </c>
      <c r="F653" s="54" t="s">
        <v>218</v>
      </c>
      <c r="G653" s="54" t="s">
        <v>6</v>
      </c>
      <c r="H653" s="53" t="s">
        <v>0</v>
      </c>
      <c r="I653" s="53" t="s">
        <v>15</v>
      </c>
      <c r="J653" s="55" t="s">
        <v>228</v>
      </c>
      <c r="K653" s="54" t="s">
        <v>7</v>
      </c>
      <c r="L653" s="56" t="s">
        <v>239</v>
      </c>
    </row>
    <row r="654" spans="1:12" ht="15.75" customHeight="1" x14ac:dyDescent="0.25">
      <c r="A654" s="51" t="s">
        <v>225</v>
      </c>
      <c r="B654" s="52" t="s">
        <v>858</v>
      </c>
      <c r="C654" s="53">
        <v>750</v>
      </c>
      <c r="D654" s="54" t="s">
        <v>956</v>
      </c>
      <c r="E654" s="53">
        <v>750</v>
      </c>
      <c r="F654" s="54" t="s">
        <v>218</v>
      </c>
      <c r="G654" s="54" t="s">
        <v>6</v>
      </c>
      <c r="H654" s="53" t="s">
        <v>0</v>
      </c>
      <c r="I654" s="53" t="s">
        <v>15</v>
      </c>
      <c r="J654" s="55" t="s">
        <v>228</v>
      </c>
      <c r="K654" s="54" t="s">
        <v>13</v>
      </c>
      <c r="L654" s="56" t="s">
        <v>239</v>
      </c>
    </row>
    <row r="655" spans="1:12" ht="15.75" customHeight="1" x14ac:dyDescent="0.25">
      <c r="A655" s="51" t="s">
        <v>225</v>
      </c>
      <c r="B655" s="52" t="s">
        <v>860</v>
      </c>
      <c r="C655" s="53">
        <v>751</v>
      </c>
      <c r="D655" s="54" t="s">
        <v>957</v>
      </c>
      <c r="E655" s="53">
        <v>751</v>
      </c>
      <c r="F655" s="54" t="s">
        <v>218</v>
      </c>
      <c r="G655" s="54" t="s">
        <v>6</v>
      </c>
      <c r="H655" s="53" t="s">
        <v>0</v>
      </c>
      <c r="I655" s="53" t="s">
        <v>15</v>
      </c>
      <c r="J655" s="55" t="s">
        <v>228</v>
      </c>
      <c r="K655" s="54" t="s">
        <v>8</v>
      </c>
      <c r="L655" s="56" t="s">
        <v>239</v>
      </c>
    </row>
    <row r="656" spans="1:12" ht="15.75" customHeight="1" x14ac:dyDescent="0.25">
      <c r="A656" s="51" t="s">
        <v>225</v>
      </c>
      <c r="B656" s="52" t="s">
        <v>862</v>
      </c>
      <c r="C656" s="53">
        <v>752</v>
      </c>
      <c r="D656" s="54" t="s">
        <v>958</v>
      </c>
      <c r="E656" s="53">
        <v>752</v>
      </c>
      <c r="F656" s="54" t="s">
        <v>218</v>
      </c>
      <c r="G656" s="54" t="s">
        <v>6</v>
      </c>
      <c r="H656" s="53" t="s">
        <v>0</v>
      </c>
      <c r="I656" s="53" t="s">
        <v>15</v>
      </c>
      <c r="J656" s="55" t="s">
        <v>228</v>
      </c>
      <c r="K656" s="54" t="s">
        <v>9</v>
      </c>
      <c r="L656" s="56" t="s">
        <v>239</v>
      </c>
    </row>
    <row r="657" spans="1:12" ht="15.75" customHeight="1" x14ac:dyDescent="0.25">
      <c r="A657" s="51" t="s">
        <v>225</v>
      </c>
      <c r="B657" s="52" t="s">
        <v>864</v>
      </c>
      <c r="C657" s="53">
        <v>753</v>
      </c>
      <c r="D657" s="54" t="s">
        <v>959</v>
      </c>
      <c r="E657" s="53">
        <v>753</v>
      </c>
      <c r="F657" s="54" t="s">
        <v>218</v>
      </c>
      <c r="G657" s="54" t="s">
        <v>6</v>
      </c>
      <c r="H657" s="53" t="s">
        <v>0</v>
      </c>
      <c r="I657" s="53" t="s">
        <v>15</v>
      </c>
      <c r="J657" s="55" t="s">
        <v>228</v>
      </c>
      <c r="K657" s="54" t="s">
        <v>12</v>
      </c>
      <c r="L657" s="56" t="s">
        <v>239</v>
      </c>
    </row>
    <row r="658" spans="1:12" ht="15.75" customHeight="1" x14ac:dyDescent="0.25">
      <c r="A658" s="51" t="s">
        <v>225</v>
      </c>
      <c r="B658" s="52" t="s">
        <v>866</v>
      </c>
      <c r="C658" s="53">
        <v>754</v>
      </c>
      <c r="D658" s="54" t="s">
        <v>960</v>
      </c>
      <c r="E658" s="53">
        <v>754</v>
      </c>
      <c r="F658" s="54" t="s">
        <v>218</v>
      </c>
      <c r="G658" s="54" t="s">
        <v>6</v>
      </c>
      <c r="H658" s="53" t="s">
        <v>0</v>
      </c>
      <c r="I658" s="53" t="s">
        <v>15</v>
      </c>
      <c r="J658" s="55" t="s">
        <v>228</v>
      </c>
      <c r="K658" s="54" t="s">
        <v>11</v>
      </c>
      <c r="L658" s="56" t="s">
        <v>239</v>
      </c>
    </row>
    <row r="659" spans="1:12" ht="15.75" customHeight="1" x14ac:dyDescent="0.25">
      <c r="A659" s="51" t="s">
        <v>225</v>
      </c>
      <c r="B659" s="52" t="s">
        <v>868</v>
      </c>
      <c r="C659" s="53">
        <v>783</v>
      </c>
      <c r="D659" s="54" t="s">
        <v>961</v>
      </c>
      <c r="E659" s="53">
        <v>783</v>
      </c>
      <c r="F659" s="54" t="s">
        <v>218</v>
      </c>
      <c r="G659" s="54" t="s">
        <v>6</v>
      </c>
      <c r="H659" s="53" t="s">
        <v>0</v>
      </c>
      <c r="I659" s="53" t="s">
        <v>17</v>
      </c>
      <c r="J659" s="55" t="s">
        <v>228</v>
      </c>
      <c r="K659" s="54" t="s">
        <v>10</v>
      </c>
      <c r="L659" s="56" t="s">
        <v>239</v>
      </c>
    </row>
    <row r="660" spans="1:12" ht="15.75" customHeight="1" x14ac:dyDescent="0.25">
      <c r="A660" s="51" t="s">
        <v>225</v>
      </c>
      <c r="B660" s="52" t="s">
        <v>870</v>
      </c>
      <c r="C660" s="53">
        <v>784</v>
      </c>
      <c r="D660" s="54" t="s">
        <v>962</v>
      </c>
      <c r="E660" s="53">
        <v>784</v>
      </c>
      <c r="F660" s="54" t="s">
        <v>218</v>
      </c>
      <c r="G660" s="54" t="s">
        <v>6</v>
      </c>
      <c r="H660" s="53" t="s">
        <v>0</v>
      </c>
      <c r="I660" s="53" t="s">
        <v>17</v>
      </c>
      <c r="J660" s="55" t="s">
        <v>228</v>
      </c>
      <c r="K660" s="54" t="s">
        <v>7</v>
      </c>
      <c r="L660" s="56" t="s">
        <v>239</v>
      </c>
    </row>
    <row r="661" spans="1:12" ht="15.75" customHeight="1" x14ac:dyDescent="0.25">
      <c r="A661" s="51" t="s">
        <v>225</v>
      </c>
      <c r="B661" s="52" t="s">
        <v>872</v>
      </c>
      <c r="C661" s="53">
        <v>785</v>
      </c>
      <c r="D661" s="54" t="s">
        <v>963</v>
      </c>
      <c r="E661" s="53">
        <v>785</v>
      </c>
      <c r="F661" s="54" t="s">
        <v>218</v>
      </c>
      <c r="G661" s="54" t="s">
        <v>6</v>
      </c>
      <c r="H661" s="53" t="s">
        <v>0</v>
      </c>
      <c r="I661" s="53" t="s">
        <v>17</v>
      </c>
      <c r="J661" s="55" t="s">
        <v>228</v>
      </c>
      <c r="K661" s="54" t="s">
        <v>13</v>
      </c>
      <c r="L661" s="56" t="s">
        <v>239</v>
      </c>
    </row>
    <row r="662" spans="1:12" ht="15.75" customHeight="1" x14ac:dyDescent="0.25">
      <c r="A662" s="51" t="s">
        <v>225</v>
      </c>
      <c r="B662" s="52" t="s">
        <v>874</v>
      </c>
      <c r="C662" s="53">
        <v>786</v>
      </c>
      <c r="D662" s="54" t="s">
        <v>964</v>
      </c>
      <c r="E662" s="53">
        <v>786</v>
      </c>
      <c r="F662" s="54" t="s">
        <v>218</v>
      </c>
      <c r="G662" s="54" t="s">
        <v>6</v>
      </c>
      <c r="H662" s="53" t="s">
        <v>0</v>
      </c>
      <c r="I662" s="53" t="s">
        <v>17</v>
      </c>
      <c r="J662" s="55" t="s">
        <v>228</v>
      </c>
      <c r="K662" s="54" t="s">
        <v>8</v>
      </c>
      <c r="L662" s="56" t="s">
        <v>239</v>
      </c>
    </row>
    <row r="663" spans="1:12" ht="15.75" customHeight="1" x14ac:dyDescent="0.25">
      <c r="A663" s="51" t="s">
        <v>225</v>
      </c>
      <c r="B663" s="52" t="s">
        <v>876</v>
      </c>
      <c r="C663" s="53">
        <v>787</v>
      </c>
      <c r="D663" s="54" t="s">
        <v>965</v>
      </c>
      <c r="E663" s="53">
        <v>787</v>
      </c>
      <c r="F663" s="54" t="s">
        <v>218</v>
      </c>
      <c r="G663" s="54" t="s">
        <v>6</v>
      </c>
      <c r="H663" s="53" t="s">
        <v>0</v>
      </c>
      <c r="I663" s="53" t="s">
        <v>17</v>
      </c>
      <c r="J663" s="55" t="s">
        <v>228</v>
      </c>
      <c r="K663" s="54" t="s">
        <v>9</v>
      </c>
      <c r="L663" s="56" t="s">
        <v>239</v>
      </c>
    </row>
    <row r="664" spans="1:12" ht="15.75" customHeight="1" x14ac:dyDescent="0.25">
      <c r="A664" s="51" t="s">
        <v>225</v>
      </c>
      <c r="B664" s="52" t="s">
        <v>878</v>
      </c>
      <c r="C664" s="53">
        <v>788</v>
      </c>
      <c r="D664" s="54" t="s">
        <v>966</v>
      </c>
      <c r="E664" s="53">
        <v>788</v>
      </c>
      <c r="F664" s="54" t="s">
        <v>218</v>
      </c>
      <c r="G664" s="54" t="s">
        <v>6</v>
      </c>
      <c r="H664" s="53" t="s">
        <v>0</v>
      </c>
      <c r="I664" s="53" t="s">
        <v>17</v>
      </c>
      <c r="J664" s="55" t="s">
        <v>228</v>
      </c>
      <c r="K664" s="54" t="s">
        <v>12</v>
      </c>
      <c r="L664" s="56" t="s">
        <v>239</v>
      </c>
    </row>
    <row r="665" spans="1:12" ht="15.75" customHeight="1" x14ac:dyDescent="0.25">
      <c r="A665" s="51" t="s">
        <v>225</v>
      </c>
      <c r="B665" s="52" t="s">
        <v>880</v>
      </c>
      <c r="C665" s="53">
        <v>789</v>
      </c>
      <c r="D665" s="54" t="s">
        <v>967</v>
      </c>
      <c r="E665" s="53">
        <v>789</v>
      </c>
      <c r="F665" s="54" t="s">
        <v>218</v>
      </c>
      <c r="G665" s="54" t="s">
        <v>6</v>
      </c>
      <c r="H665" s="53" t="s">
        <v>0</v>
      </c>
      <c r="I665" s="53" t="s">
        <v>17</v>
      </c>
      <c r="J665" s="55" t="s">
        <v>228</v>
      </c>
      <c r="K665" s="54" t="s">
        <v>11</v>
      </c>
      <c r="L665" s="56" t="s">
        <v>239</v>
      </c>
    </row>
    <row r="666" spans="1:12" ht="15.75" customHeight="1" x14ac:dyDescent="0.25">
      <c r="A666" s="51" t="s">
        <v>225</v>
      </c>
      <c r="B666" s="52" t="s">
        <v>854</v>
      </c>
      <c r="C666" s="53">
        <v>818</v>
      </c>
      <c r="D666" s="54" t="s">
        <v>968</v>
      </c>
      <c r="E666" s="53">
        <v>818</v>
      </c>
      <c r="F666" s="54" t="s">
        <v>218</v>
      </c>
      <c r="G666" s="54" t="s">
        <v>6</v>
      </c>
      <c r="H666" s="53" t="s">
        <v>1</v>
      </c>
      <c r="I666" s="53" t="s">
        <v>15</v>
      </c>
      <c r="J666" s="55" t="s">
        <v>228</v>
      </c>
      <c r="K666" s="54" t="s">
        <v>10</v>
      </c>
      <c r="L666" s="56" t="s">
        <v>239</v>
      </c>
    </row>
    <row r="667" spans="1:12" ht="15.75" customHeight="1" x14ac:dyDescent="0.25">
      <c r="A667" s="51" t="s">
        <v>225</v>
      </c>
      <c r="B667" s="52" t="s">
        <v>856</v>
      </c>
      <c r="C667" s="53">
        <v>819</v>
      </c>
      <c r="D667" s="54" t="s">
        <v>969</v>
      </c>
      <c r="E667" s="53">
        <v>819</v>
      </c>
      <c r="F667" s="54" t="s">
        <v>218</v>
      </c>
      <c r="G667" s="54" t="s">
        <v>6</v>
      </c>
      <c r="H667" s="53" t="s">
        <v>1</v>
      </c>
      <c r="I667" s="53" t="s">
        <v>15</v>
      </c>
      <c r="J667" s="55" t="s">
        <v>228</v>
      </c>
      <c r="K667" s="54" t="s">
        <v>7</v>
      </c>
      <c r="L667" s="56" t="s">
        <v>239</v>
      </c>
    </row>
    <row r="668" spans="1:12" ht="15.75" customHeight="1" x14ac:dyDescent="0.25">
      <c r="A668" s="51" t="s">
        <v>225</v>
      </c>
      <c r="B668" s="52" t="s">
        <v>858</v>
      </c>
      <c r="C668" s="53">
        <v>820</v>
      </c>
      <c r="D668" s="54" t="s">
        <v>970</v>
      </c>
      <c r="E668" s="53">
        <v>820</v>
      </c>
      <c r="F668" s="54" t="s">
        <v>218</v>
      </c>
      <c r="G668" s="54" t="s">
        <v>6</v>
      </c>
      <c r="H668" s="53" t="s">
        <v>1</v>
      </c>
      <c r="I668" s="53" t="s">
        <v>15</v>
      </c>
      <c r="J668" s="55" t="s">
        <v>228</v>
      </c>
      <c r="K668" s="54" t="s">
        <v>13</v>
      </c>
      <c r="L668" s="56" t="s">
        <v>239</v>
      </c>
    </row>
    <row r="669" spans="1:12" ht="15.75" customHeight="1" x14ac:dyDescent="0.25">
      <c r="A669" s="51" t="s">
        <v>225</v>
      </c>
      <c r="B669" s="52" t="s">
        <v>860</v>
      </c>
      <c r="C669" s="53">
        <v>821</v>
      </c>
      <c r="D669" s="54" t="s">
        <v>971</v>
      </c>
      <c r="E669" s="53">
        <v>821</v>
      </c>
      <c r="F669" s="54" t="s">
        <v>218</v>
      </c>
      <c r="G669" s="54" t="s">
        <v>6</v>
      </c>
      <c r="H669" s="53" t="s">
        <v>1</v>
      </c>
      <c r="I669" s="53" t="s">
        <v>15</v>
      </c>
      <c r="J669" s="55" t="s">
        <v>228</v>
      </c>
      <c r="K669" s="54" t="s">
        <v>8</v>
      </c>
      <c r="L669" s="56" t="s">
        <v>239</v>
      </c>
    </row>
    <row r="670" spans="1:12" ht="15.75" customHeight="1" x14ac:dyDescent="0.25">
      <c r="A670" s="51" t="s">
        <v>225</v>
      </c>
      <c r="B670" s="52" t="s">
        <v>862</v>
      </c>
      <c r="C670" s="53">
        <v>822</v>
      </c>
      <c r="D670" s="54" t="s">
        <v>972</v>
      </c>
      <c r="E670" s="53">
        <v>822</v>
      </c>
      <c r="F670" s="54" t="s">
        <v>218</v>
      </c>
      <c r="G670" s="54" t="s">
        <v>6</v>
      </c>
      <c r="H670" s="53" t="s">
        <v>1</v>
      </c>
      <c r="I670" s="53" t="s">
        <v>15</v>
      </c>
      <c r="J670" s="55" t="s">
        <v>228</v>
      </c>
      <c r="K670" s="54" t="s">
        <v>9</v>
      </c>
      <c r="L670" s="56" t="s">
        <v>239</v>
      </c>
    </row>
    <row r="671" spans="1:12" ht="15.75" customHeight="1" x14ac:dyDescent="0.25">
      <c r="A671" s="51" t="s">
        <v>225</v>
      </c>
      <c r="B671" s="52" t="s">
        <v>864</v>
      </c>
      <c r="C671" s="53">
        <v>823</v>
      </c>
      <c r="D671" s="54" t="s">
        <v>973</v>
      </c>
      <c r="E671" s="53">
        <v>823</v>
      </c>
      <c r="F671" s="54" t="s">
        <v>218</v>
      </c>
      <c r="G671" s="54" t="s">
        <v>6</v>
      </c>
      <c r="H671" s="53" t="s">
        <v>1</v>
      </c>
      <c r="I671" s="53" t="s">
        <v>15</v>
      </c>
      <c r="J671" s="55" t="s">
        <v>228</v>
      </c>
      <c r="K671" s="54" t="s">
        <v>12</v>
      </c>
      <c r="L671" s="56" t="s">
        <v>239</v>
      </c>
    </row>
    <row r="672" spans="1:12" ht="15.75" customHeight="1" x14ac:dyDescent="0.25">
      <c r="A672" s="51" t="s">
        <v>225</v>
      </c>
      <c r="B672" s="52" t="s">
        <v>866</v>
      </c>
      <c r="C672" s="53">
        <v>824</v>
      </c>
      <c r="D672" s="54" t="s">
        <v>974</v>
      </c>
      <c r="E672" s="53">
        <v>824</v>
      </c>
      <c r="F672" s="54" t="s">
        <v>218</v>
      </c>
      <c r="G672" s="54" t="s">
        <v>6</v>
      </c>
      <c r="H672" s="53" t="s">
        <v>1</v>
      </c>
      <c r="I672" s="53" t="s">
        <v>15</v>
      </c>
      <c r="J672" s="55" t="s">
        <v>228</v>
      </c>
      <c r="K672" s="54" t="s">
        <v>11</v>
      </c>
      <c r="L672" s="56" t="s">
        <v>239</v>
      </c>
    </row>
    <row r="673" spans="1:12" ht="15.75" customHeight="1" x14ac:dyDescent="0.25">
      <c r="A673" s="51" t="s">
        <v>225</v>
      </c>
      <c r="B673" s="52" t="s">
        <v>868</v>
      </c>
      <c r="C673" s="53">
        <v>853</v>
      </c>
      <c r="D673" s="54" t="s">
        <v>975</v>
      </c>
      <c r="E673" s="53">
        <v>853</v>
      </c>
      <c r="F673" s="54" t="s">
        <v>218</v>
      </c>
      <c r="G673" s="54" t="s">
        <v>6</v>
      </c>
      <c r="H673" s="53" t="s">
        <v>1</v>
      </c>
      <c r="I673" s="53" t="s">
        <v>17</v>
      </c>
      <c r="J673" s="55" t="s">
        <v>228</v>
      </c>
      <c r="K673" s="54" t="s">
        <v>10</v>
      </c>
      <c r="L673" s="56" t="s">
        <v>239</v>
      </c>
    </row>
    <row r="674" spans="1:12" ht="15.75" customHeight="1" x14ac:dyDescent="0.25">
      <c r="A674" s="51" t="s">
        <v>225</v>
      </c>
      <c r="B674" s="52" t="s">
        <v>870</v>
      </c>
      <c r="C674" s="53">
        <v>854</v>
      </c>
      <c r="D674" s="54" t="s">
        <v>976</v>
      </c>
      <c r="E674" s="53">
        <v>854</v>
      </c>
      <c r="F674" s="54" t="s">
        <v>218</v>
      </c>
      <c r="G674" s="54" t="s">
        <v>6</v>
      </c>
      <c r="H674" s="53" t="s">
        <v>1</v>
      </c>
      <c r="I674" s="53" t="s">
        <v>17</v>
      </c>
      <c r="J674" s="55" t="s">
        <v>228</v>
      </c>
      <c r="K674" s="54" t="s">
        <v>7</v>
      </c>
      <c r="L674" s="56" t="s">
        <v>239</v>
      </c>
    </row>
    <row r="675" spans="1:12" ht="15.75" customHeight="1" x14ac:dyDescent="0.25">
      <c r="A675" s="51" t="s">
        <v>225</v>
      </c>
      <c r="B675" s="52" t="s">
        <v>872</v>
      </c>
      <c r="C675" s="53">
        <v>855</v>
      </c>
      <c r="D675" s="54" t="s">
        <v>977</v>
      </c>
      <c r="E675" s="53">
        <v>855</v>
      </c>
      <c r="F675" s="54" t="s">
        <v>218</v>
      </c>
      <c r="G675" s="54" t="s">
        <v>6</v>
      </c>
      <c r="H675" s="53" t="s">
        <v>1</v>
      </c>
      <c r="I675" s="53" t="s">
        <v>17</v>
      </c>
      <c r="J675" s="55" t="s">
        <v>228</v>
      </c>
      <c r="K675" s="54" t="s">
        <v>13</v>
      </c>
      <c r="L675" s="56" t="s">
        <v>239</v>
      </c>
    </row>
    <row r="676" spans="1:12" ht="15.75" customHeight="1" x14ac:dyDescent="0.25">
      <c r="A676" s="51" t="s">
        <v>225</v>
      </c>
      <c r="B676" s="52" t="s">
        <v>874</v>
      </c>
      <c r="C676" s="53">
        <v>856</v>
      </c>
      <c r="D676" s="54" t="s">
        <v>978</v>
      </c>
      <c r="E676" s="53">
        <v>856</v>
      </c>
      <c r="F676" s="54" t="s">
        <v>218</v>
      </c>
      <c r="G676" s="54" t="s">
        <v>6</v>
      </c>
      <c r="H676" s="53" t="s">
        <v>1</v>
      </c>
      <c r="I676" s="53" t="s">
        <v>17</v>
      </c>
      <c r="J676" s="55" t="s">
        <v>228</v>
      </c>
      <c r="K676" s="54" t="s">
        <v>8</v>
      </c>
      <c r="L676" s="56" t="s">
        <v>239</v>
      </c>
    </row>
    <row r="677" spans="1:12" ht="15.75" customHeight="1" x14ac:dyDescent="0.25">
      <c r="A677" s="51" t="s">
        <v>225</v>
      </c>
      <c r="B677" s="52" t="s">
        <v>876</v>
      </c>
      <c r="C677" s="53">
        <v>857</v>
      </c>
      <c r="D677" s="54" t="s">
        <v>979</v>
      </c>
      <c r="E677" s="53">
        <v>857</v>
      </c>
      <c r="F677" s="54" t="s">
        <v>218</v>
      </c>
      <c r="G677" s="54" t="s">
        <v>6</v>
      </c>
      <c r="H677" s="53" t="s">
        <v>1</v>
      </c>
      <c r="I677" s="53" t="s">
        <v>17</v>
      </c>
      <c r="J677" s="55" t="s">
        <v>228</v>
      </c>
      <c r="K677" s="54" t="s">
        <v>9</v>
      </c>
      <c r="L677" s="56" t="s">
        <v>239</v>
      </c>
    </row>
    <row r="678" spans="1:12" ht="15.75" customHeight="1" x14ac:dyDescent="0.25">
      <c r="A678" s="51" t="s">
        <v>225</v>
      </c>
      <c r="B678" s="52" t="s">
        <v>878</v>
      </c>
      <c r="C678" s="53">
        <v>858</v>
      </c>
      <c r="D678" s="54" t="s">
        <v>980</v>
      </c>
      <c r="E678" s="53">
        <v>858</v>
      </c>
      <c r="F678" s="54" t="s">
        <v>218</v>
      </c>
      <c r="G678" s="54" t="s">
        <v>6</v>
      </c>
      <c r="H678" s="53" t="s">
        <v>1</v>
      </c>
      <c r="I678" s="53" t="s">
        <v>17</v>
      </c>
      <c r="J678" s="55" t="s">
        <v>228</v>
      </c>
      <c r="K678" s="54" t="s">
        <v>12</v>
      </c>
      <c r="L678" s="56" t="s">
        <v>239</v>
      </c>
    </row>
    <row r="679" spans="1:12" ht="15.75" customHeight="1" x14ac:dyDescent="0.25">
      <c r="A679" s="51" t="s">
        <v>225</v>
      </c>
      <c r="B679" s="52" t="s">
        <v>880</v>
      </c>
      <c r="C679" s="53">
        <v>859</v>
      </c>
      <c r="D679" s="54" t="s">
        <v>981</v>
      </c>
      <c r="E679" s="53">
        <v>859</v>
      </c>
      <c r="F679" s="54" t="s">
        <v>218</v>
      </c>
      <c r="G679" s="54" t="s">
        <v>6</v>
      </c>
      <c r="H679" s="53" t="s">
        <v>1</v>
      </c>
      <c r="I679" s="53" t="s">
        <v>17</v>
      </c>
      <c r="J679" s="55" t="s">
        <v>228</v>
      </c>
      <c r="K679" s="54" t="s">
        <v>11</v>
      </c>
      <c r="L679" s="56" t="s">
        <v>239</v>
      </c>
    </row>
    <row r="680" spans="1:12" ht="15.75" customHeight="1" x14ac:dyDescent="0.25">
      <c r="A680" s="51" t="s">
        <v>225</v>
      </c>
      <c r="B680" s="52" t="s">
        <v>854</v>
      </c>
      <c r="C680" s="53">
        <v>741</v>
      </c>
      <c r="D680" s="54" t="s">
        <v>982</v>
      </c>
      <c r="E680" s="53">
        <v>741</v>
      </c>
      <c r="F680" s="54" t="s">
        <v>218</v>
      </c>
      <c r="G680" s="54" t="s">
        <v>6</v>
      </c>
      <c r="H680" s="53" t="s">
        <v>0</v>
      </c>
      <c r="I680" s="53" t="s">
        <v>15</v>
      </c>
      <c r="J680" s="55" t="s">
        <v>236</v>
      </c>
      <c r="K680" s="54" t="s">
        <v>10</v>
      </c>
      <c r="L680" s="56" t="s">
        <v>239</v>
      </c>
    </row>
    <row r="681" spans="1:12" ht="15.75" customHeight="1" x14ac:dyDescent="0.25">
      <c r="A681" s="51" t="s">
        <v>225</v>
      </c>
      <c r="B681" s="52" t="s">
        <v>856</v>
      </c>
      <c r="C681" s="53">
        <v>742</v>
      </c>
      <c r="D681" s="54" t="s">
        <v>983</v>
      </c>
      <c r="E681" s="53">
        <v>742</v>
      </c>
      <c r="F681" s="54" t="s">
        <v>218</v>
      </c>
      <c r="G681" s="54" t="s">
        <v>6</v>
      </c>
      <c r="H681" s="53" t="s">
        <v>0</v>
      </c>
      <c r="I681" s="53" t="s">
        <v>15</v>
      </c>
      <c r="J681" s="55" t="s">
        <v>236</v>
      </c>
      <c r="K681" s="54" t="s">
        <v>7</v>
      </c>
      <c r="L681" s="56" t="s">
        <v>239</v>
      </c>
    </row>
    <row r="682" spans="1:12" ht="15.75" customHeight="1" x14ac:dyDescent="0.25">
      <c r="A682" s="51" t="s">
        <v>225</v>
      </c>
      <c r="B682" s="52" t="s">
        <v>858</v>
      </c>
      <c r="C682" s="53">
        <v>743</v>
      </c>
      <c r="D682" s="54" t="s">
        <v>984</v>
      </c>
      <c r="E682" s="53">
        <v>743</v>
      </c>
      <c r="F682" s="54" t="s">
        <v>218</v>
      </c>
      <c r="G682" s="54" t="s">
        <v>6</v>
      </c>
      <c r="H682" s="53" t="s">
        <v>0</v>
      </c>
      <c r="I682" s="53" t="s">
        <v>15</v>
      </c>
      <c r="J682" s="55" t="s">
        <v>236</v>
      </c>
      <c r="K682" s="54" t="s">
        <v>13</v>
      </c>
      <c r="L682" s="56" t="s">
        <v>239</v>
      </c>
    </row>
    <row r="683" spans="1:12" ht="15.75" customHeight="1" x14ac:dyDescent="0.25">
      <c r="A683" s="51" t="s">
        <v>225</v>
      </c>
      <c r="B683" s="52" t="s">
        <v>860</v>
      </c>
      <c r="C683" s="53">
        <v>744</v>
      </c>
      <c r="D683" s="54" t="s">
        <v>985</v>
      </c>
      <c r="E683" s="53">
        <v>744</v>
      </c>
      <c r="F683" s="54" t="s">
        <v>218</v>
      </c>
      <c r="G683" s="54" t="s">
        <v>6</v>
      </c>
      <c r="H683" s="53" t="s">
        <v>0</v>
      </c>
      <c r="I683" s="53" t="s">
        <v>15</v>
      </c>
      <c r="J683" s="55" t="s">
        <v>236</v>
      </c>
      <c r="K683" s="54" t="s">
        <v>8</v>
      </c>
      <c r="L683" s="56" t="s">
        <v>239</v>
      </c>
    </row>
    <row r="684" spans="1:12" ht="15.75" customHeight="1" x14ac:dyDescent="0.25">
      <c r="A684" s="51" t="s">
        <v>225</v>
      </c>
      <c r="B684" s="52" t="s">
        <v>862</v>
      </c>
      <c r="C684" s="53">
        <v>745</v>
      </c>
      <c r="D684" s="54" t="s">
        <v>986</v>
      </c>
      <c r="E684" s="53">
        <v>745</v>
      </c>
      <c r="F684" s="54" t="s">
        <v>218</v>
      </c>
      <c r="G684" s="54" t="s">
        <v>6</v>
      </c>
      <c r="H684" s="53" t="s">
        <v>0</v>
      </c>
      <c r="I684" s="53" t="s">
        <v>15</v>
      </c>
      <c r="J684" s="55" t="s">
        <v>236</v>
      </c>
      <c r="K684" s="54" t="s">
        <v>9</v>
      </c>
      <c r="L684" s="56" t="s">
        <v>239</v>
      </c>
    </row>
    <row r="685" spans="1:12" ht="15.75" customHeight="1" x14ac:dyDescent="0.25">
      <c r="A685" s="51" t="s">
        <v>225</v>
      </c>
      <c r="B685" s="52" t="s">
        <v>864</v>
      </c>
      <c r="C685" s="53">
        <v>746</v>
      </c>
      <c r="D685" s="54" t="s">
        <v>987</v>
      </c>
      <c r="E685" s="53">
        <v>746</v>
      </c>
      <c r="F685" s="54" t="s">
        <v>218</v>
      </c>
      <c r="G685" s="54" t="s">
        <v>6</v>
      </c>
      <c r="H685" s="53" t="s">
        <v>0</v>
      </c>
      <c r="I685" s="53" t="s">
        <v>15</v>
      </c>
      <c r="J685" s="55" t="s">
        <v>236</v>
      </c>
      <c r="K685" s="54" t="s">
        <v>12</v>
      </c>
      <c r="L685" s="56" t="s">
        <v>239</v>
      </c>
    </row>
    <row r="686" spans="1:12" ht="15.75" customHeight="1" x14ac:dyDescent="0.25">
      <c r="A686" s="51" t="s">
        <v>225</v>
      </c>
      <c r="B686" s="52" t="s">
        <v>866</v>
      </c>
      <c r="C686" s="53">
        <v>747</v>
      </c>
      <c r="D686" s="54" t="s">
        <v>988</v>
      </c>
      <c r="E686" s="53">
        <v>747</v>
      </c>
      <c r="F686" s="54" t="s">
        <v>218</v>
      </c>
      <c r="G686" s="54" t="s">
        <v>6</v>
      </c>
      <c r="H686" s="53" t="s">
        <v>0</v>
      </c>
      <c r="I686" s="53" t="s">
        <v>15</v>
      </c>
      <c r="J686" s="55" t="s">
        <v>236</v>
      </c>
      <c r="K686" s="54" t="s">
        <v>11</v>
      </c>
      <c r="L686" s="56" t="s">
        <v>239</v>
      </c>
    </row>
    <row r="687" spans="1:12" ht="15.75" customHeight="1" x14ac:dyDescent="0.25">
      <c r="A687" s="51" t="s">
        <v>225</v>
      </c>
      <c r="B687" s="52" t="s">
        <v>868</v>
      </c>
      <c r="C687" s="53">
        <v>776</v>
      </c>
      <c r="D687" s="54" t="s">
        <v>989</v>
      </c>
      <c r="E687" s="53">
        <v>776</v>
      </c>
      <c r="F687" s="54" t="s">
        <v>218</v>
      </c>
      <c r="G687" s="54" t="s">
        <v>6</v>
      </c>
      <c r="H687" s="53" t="s">
        <v>0</v>
      </c>
      <c r="I687" s="53" t="s">
        <v>17</v>
      </c>
      <c r="J687" s="55" t="s">
        <v>236</v>
      </c>
      <c r="K687" s="54" t="s">
        <v>10</v>
      </c>
      <c r="L687" s="56" t="s">
        <v>239</v>
      </c>
    </row>
    <row r="688" spans="1:12" ht="15.75" customHeight="1" x14ac:dyDescent="0.25">
      <c r="A688" s="51" t="s">
        <v>225</v>
      </c>
      <c r="B688" s="52" t="s">
        <v>870</v>
      </c>
      <c r="C688" s="53">
        <v>777</v>
      </c>
      <c r="D688" s="54" t="s">
        <v>990</v>
      </c>
      <c r="E688" s="53">
        <v>777</v>
      </c>
      <c r="F688" s="54" t="s">
        <v>218</v>
      </c>
      <c r="G688" s="54" t="s">
        <v>6</v>
      </c>
      <c r="H688" s="53" t="s">
        <v>0</v>
      </c>
      <c r="I688" s="53" t="s">
        <v>17</v>
      </c>
      <c r="J688" s="55" t="s">
        <v>236</v>
      </c>
      <c r="K688" s="54" t="s">
        <v>7</v>
      </c>
      <c r="L688" s="56" t="s">
        <v>239</v>
      </c>
    </row>
    <row r="689" spans="1:12" ht="15.75" customHeight="1" x14ac:dyDescent="0.25">
      <c r="A689" s="51" t="s">
        <v>225</v>
      </c>
      <c r="B689" s="52" t="s">
        <v>872</v>
      </c>
      <c r="C689" s="53">
        <v>778</v>
      </c>
      <c r="D689" s="54" t="s">
        <v>991</v>
      </c>
      <c r="E689" s="53">
        <v>778</v>
      </c>
      <c r="F689" s="54" t="s">
        <v>218</v>
      </c>
      <c r="G689" s="54" t="s">
        <v>6</v>
      </c>
      <c r="H689" s="53" t="s">
        <v>0</v>
      </c>
      <c r="I689" s="53" t="s">
        <v>17</v>
      </c>
      <c r="J689" s="55" t="s">
        <v>236</v>
      </c>
      <c r="K689" s="54" t="s">
        <v>13</v>
      </c>
      <c r="L689" s="56" t="s">
        <v>239</v>
      </c>
    </row>
    <row r="690" spans="1:12" ht="15.75" customHeight="1" x14ac:dyDescent="0.25">
      <c r="A690" s="51" t="s">
        <v>225</v>
      </c>
      <c r="B690" s="52" t="s">
        <v>874</v>
      </c>
      <c r="C690" s="53">
        <v>779</v>
      </c>
      <c r="D690" s="54" t="s">
        <v>992</v>
      </c>
      <c r="E690" s="53">
        <v>779</v>
      </c>
      <c r="F690" s="54" t="s">
        <v>218</v>
      </c>
      <c r="G690" s="54" t="s">
        <v>6</v>
      </c>
      <c r="H690" s="53" t="s">
        <v>0</v>
      </c>
      <c r="I690" s="53" t="s">
        <v>17</v>
      </c>
      <c r="J690" s="55" t="s">
        <v>236</v>
      </c>
      <c r="K690" s="54" t="s">
        <v>8</v>
      </c>
      <c r="L690" s="56" t="s">
        <v>239</v>
      </c>
    </row>
    <row r="691" spans="1:12" ht="15.75" customHeight="1" x14ac:dyDescent="0.25">
      <c r="A691" s="51" t="s">
        <v>225</v>
      </c>
      <c r="B691" s="52" t="s">
        <v>876</v>
      </c>
      <c r="C691" s="53">
        <v>780</v>
      </c>
      <c r="D691" s="54" t="s">
        <v>993</v>
      </c>
      <c r="E691" s="53">
        <v>780</v>
      </c>
      <c r="F691" s="54" t="s">
        <v>218</v>
      </c>
      <c r="G691" s="54" t="s">
        <v>6</v>
      </c>
      <c r="H691" s="53" t="s">
        <v>0</v>
      </c>
      <c r="I691" s="53" t="s">
        <v>17</v>
      </c>
      <c r="J691" s="55" t="s">
        <v>236</v>
      </c>
      <c r="K691" s="54" t="s">
        <v>9</v>
      </c>
      <c r="L691" s="56" t="s">
        <v>239</v>
      </c>
    </row>
    <row r="692" spans="1:12" ht="15.75" customHeight="1" x14ac:dyDescent="0.25">
      <c r="A692" s="51" t="s">
        <v>225</v>
      </c>
      <c r="B692" s="52" t="s">
        <v>878</v>
      </c>
      <c r="C692" s="53">
        <v>781</v>
      </c>
      <c r="D692" s="54" t="s">
        <v>994</v>
      </c>
      <c r="E692" s="53">
        <v>781</v>
      </c>
      <c r="F692" s="54" t="s">
        <v>218</v>
      </c>
      <c r="G692" s="54" t="s">
        <v>6</v>
      </c>
      <c r="H692" s="53" t="s">
        <v>0</v>
      </c>
      <c r="I692" s="53" t="s">
        <v>17</v>
      </c>
      <c r="J692" s="55" t="s">
        <v>236</v>
      </c>
      <c r="K692" s="54" t="s">
        <v>12</v>
      </c>
      <c r="L692" s="56" t="s">
        <v>239</v>
      </c>
    </row>
    <row r="693" spans="1:12" ht="15.75" customHeight="1" x14ac:dyDescent="0.25">
      <c r="A693" s="51" t="s">
        <v>225</v>
      </c>
      <c r="B693" s="52" t="s">
        <v>880</v>
      </c>
      <c r="C693" s="53">
        <v>782</v>
      </c>
      <c r="D693" s="54" t="s">
        <v>995</v>
      </c>
      <c r="E693" s="53">
        <v>782</v>
      </c>
      <c r="F693" s="54" t="s">
        <v>218</v>
      </c>
      <c r="G693" s="54" t="s">
        <v>6</v>
      </c>
      <c r="H693" s="53" t="s">
        <v>0</v>
      </c>
      <c r="I693" s="53" t="s">
        <v>17</v>
      </c>
      <c r="J693" s="55" t="s">
        <v>236</v>
      </c>
      <c r="K693" s="54" t="s">
        <v>11</v>
      </c>
      <c r="L693" s="56" t="s">
        <v>239</v>
      </c>
    </row>
    <row r="694" spans="1:12" ht="15.75" customHeight="1" x14ac:dyDescent="0.25">
      <c r="A694" s="51" t="s">
        <v>225</v>
      </c>
      <c r="B694" s="52" t="s">
        <v>854</v>
      </c>
      <c r="C694" s="53">
        <v>811</v>
      </c>
      <c r="D694" s="54" t="s">
        <v>996</v>
      </c>
      <c r="E694" s="53">
        <v>811</v>
      </c>
      <c r="F694" s="54" t="s">
        <v>218</v>
      </c>
      <c r="G694" s="54" t="s">
        <v>6</v>
      </c>
      <c r="H694" s="53" t="s">
        <v>1</v>
      </c>
      <c r="I694" s="53" t="s">
        <v>15</v>
      </c>
      <c r="J694" s="55" t="s">
        <v>236</v>
      </c>
      <c r="K694" s="54" t="s">
        <v>10</v>
      </c>
      <c r="L694" s="56" t="s">
        <v>239</v>
      </c>
    </row>
    <row r="695" spans="1:12" ht="15.75" customHeight="1" x14ac:dyDescent="0.25">
      <c r="A695" s="51" t="s">
        <v>225</v>
      </c>
      <c r="B695" s="52" t="s">
        <v>856</v>
      </c>
      <c r="C695" s="53">
        <v>812</v>
      </c>
      <c r="D695" s="54" t="s">
        <v>997</v>
      </c>
      <c r="E695" s="53">
        <v>812</v>
      </c>
      <c r="F695" s="54" t="s">
        <v>218</v>
      </c>
      <c r="G695" s="54" t="s">
        <v>6</v>
      </c>
      <c r="H695" s="53" t="s">
        <v>1</v>
      </c>
      <c r="I695" s="53" t="s">
        <v>15</v>
      </c>
      <c r="J695" s="55" t="s">
        <v>236</v>
      </c>
      <c r="K695" s="54" t="s">
        <v>7</v>
      </c>
      <c r="L695" s="56" t="s">
        <v>239</v>
      </c>
    </row>
    <row r="696" spans="1:12" ht="15.75" customHeight="1" x14ac:dyDescent="0.25">
      <c r="A696" s="51" t="s">
        <v>225</v>
      </c>
      <c r="B696" s="52" t="s">
        <v>858</v>
      </c>
      <c r="C696" s="53">
        <v>813</v>
      </c>
      <c r="D696" s="54" t="s">
        <v>998</v>
      </c>
      <c r="E696" s="53">
        <v>813</v>
      </c>
      <c r="F696" s="54" t="s">
        <v>218</v>
      </c>
      <c r="G696" s="54" t="s">
        <v>6</v>
      </c>
      <c r="H696" s="53" t="s">
        <v>1</v>
      </c>
      <c r="I696" s="53" t="s">
        <v>15</v>
      </c>
      <c r="J696" s="55" t="s">
        <v>236</v>
      </c>
      <c r="K696" s="54" t="s">
        <v>13</v>
      </c>
      <c r="L696" s="56" t="s">
        <v>239</v>
      </c>
    </row>
    <row r="697" spans="1:12" ht="15.75" customHeight="1" x14ac:dyDescent="0.25">
      <c r="A697" s="51" t="s">
        <v>225</v>
      </c>
      <c r="B697" s="52" t="s">
        <v>860</v>
      </c>
      <c r="C697" s="53">
        <v>814</v>
      </c>
      <c r="D697" s="54" t="s">
        <v>999</v>
      </c>
      <c r="E697" s="53">
        <v>814</v>
      </c>
      <c r="F697" s="54" t="s">
        <v>218</v>
      </c>
      <c r="G697" s="54" t="s">
        <v>6</v>
      </c>
      <c r="H697" s="53" t="s">
        <v>1</v>
      </c>
      <c r="I697" s="53" t="s">
        <v>15</v>
      </c>
      <c r="J697" s="55" t="s">
        <v>236</v>
      </c>
      <c r="K697" s="54" t="s">
        <v>8</v>
      </c>
      <c r="L697" s="56" t="s">
        <v>239</v>
      </c>
    </row>
    <row r="698" spans="1:12" ht="15.75" customHeight="1" x14ac:dyDescent="0.25">
      <c r="A698" s="51" t="s">
        <v>225</v>
      </c>
      <c r="B698" s="52" t="s">
        <v>862</v>
      </c>
      <c r="C698" s="53">
        <v>815</v>
      </c>
      <c r="D698" s="54" t="s">
        <v>1000</v>
      </c>
      <c r="E698" s="53">
        <v>815</v>
      </c>
      <c r="F698" s="54" t="s">
        <v>218</v>
      </c>
      <c r="G698" s="54" t="s">
        <v>6</v>
      </c>
      <c r="H698" s="53" t="s">
        <v>1</v>
      </c>
      <c r="I698" s="53" t="s">
        <v>15</v>
      </c>
      <c r="J698" s="55" t="s">
        <v>236</v>
      </c>
      <c r="K698" s="54" t="s">
        <v>9</v>
      </c>
      <c r="L698" s="56" t="s">
        <v>239</v>
      </c>
    </row>
    <row r="699" spans="1:12" ht="15.75" customHeight="1" x14ac:dyDescent="0.25">
      <c r="A699" s="51" t="s">
        <v>225</v>
      </c>
      <c r="B699" s="52" t="s">
        <v>864</v>
      </c>
      <c r="C699" s="53">
        <v>816</v>
      </c>
      <c r="D699" s="54" t="s">
        <v>1001</v>
      </c>
      <c r="E699" s="53">
        <v>816</v>
      </c>
      <c r="F699" s="54" t="s">
        <v>218</v>
      </c>
      <c r="G699" s="54" t="s">
        <v>6</v>
      </c>
      <c r="H699" s="53" t="s">
        <v>1</v>
      </c>
      <c r="I699" s="53" t="s">
        <v>15</v>
      </c>
      <c r="J699" s="55" t="s">
        <v>236</v>
      </c>
      <c r="K699" s="54" t="s">
        <v>12</v>
      </c>
      <c r="L699" s="56" t="s">
        <v>239</v>
      </c>
    </row>
    <row r="700" spans="1:12" ht="15.75" customHeight="1" x14ac:dyDescent="0.25">
      <c r="A700" s="51" t="s">
        <v>225</v>
      </c>
      <c r="B700" s="52" t="s">
        <v>866</v>
      </c>
      <c r="C700" s="53">
        <v>817</v>
      </c>
      <c r="D700" s="54" t="s">
        <v>1002</v>
      </c>
      <c r="E700" s="53">
        <v>817</v>
      </c>
      <c r="F700" s="54" t="s">
        <v>218</v>
      </c>
      <c r="G700" s="54" t="s">
        <v>6</v>
      </c>
      <c r="H700" s="53" t="s">
        <v>1</v>
      </c>
      <c r="I700" s="53" t="s">
        <v>15</v>
      </c>
      <c r="J700" s="55" t="s">
        <v>236</v>
      </c>
      <c r="K700" s="54" t="s">
        <v>11</v>
      </c>
      <c r="L700" s="56" t="s">
        <v>239</v>
      </c>
    </row>
    <row r="701" spans="1:12" ht="15.75" customHeight="1" x14ac:dyDescent="0.25">
      <c r="A701" s="51" t="s">
        <v>225</v>
      </c>
      <c r="B701" s="52" t="s">
        <v>868</v>
      </c>
      <c r="C701" s="53">
        <v>846</v>
      </c>
      <c r="D701" s="54" t="s">
        <v>1003</v>
      </c>
      <c r="E701" s="53">
        <v>846</v>
      </c>
      <c r="F701" s="54" t="s">
        <v>218</v>
      </c>
      <c r="G701" s="54" t="s">
        <v>6</v>
      </c>
      <c r="H701" s="53" t="s">
        <v>1</v>
      </c>
      <c r="I701" s="53" t="s">
        <v>17</v>
      </c>
      <c r="J701" s="55" t="s">
        <v>236</v>
      </c>
      <c r="K701" s="54" t="s">
        <v>10</v>
      </c>
      <c r="L701" s="56" t="s">
        <v>239</v>
      </c>
    </row>
    <row r="702" spans="1:12" ht="15.75" customHeight="1" x14ac:dyDescent="0.25">
      <c r="A702" s="51" t="s">
        <v>225</v>
      </c>
      <c r="B702" s="52" t="s">
        <v>870</v>
      </c>
      <c r="C702" s="53">
        <v>847</v>
      </c>
      <c r="D702" s="54" t="s">
        <v>1004</v>
      </c>
      <c r="E702" s="53">
        <v>847</v>
      </c>
      <c r="F702" s="54" t="s">
        <v>218</v>
      </c>
      <c r="G702" s="54" t="s">
        <v>6</v>
      </c>
      <c r="H702" s="53" t="s">
        <v>1</v>
      </c>
      <c r="I702" s="53" t="s">
        <v>17</v>
      </c>
      <c r="J702" s="55" t="s">
        <v>236</v>
      </c>
      <c r="K702" s="54" t="s">
        <v>7</v>
      </c>
      <c r="L702" s="56" t="s">
        <v>239</v>
      </c>
    </row>
    <row r="703" spans="1:12" ht="15.75" customHeight="1" x14ac:dyDescent="0.25">
      <c r="A703" s="51" t="s">
        <v>225</v>
      </c>
      <c r="B703" s="52" t="s">
        <v>872</v>
      </c>
      <c r="C703" s="53">
        <v>848</v>
      </c>
      <c r="D703" s="54" t="s">
        <v>1005</v>
      </c>
      <c r="E703" s="53">
        <v>848</v>
      </c>
      <c r="F703" s="54" t="s">
        <v>218</v>
      </c>
      <c r="G703" s="54" t="s">
        <v>6</v>
      </c>
      <c r="H703" s="53" t="s">
        <v>1</v>
      </c>
      <c r="I703" s="53" t="s">
        <v>17</v>
      </c>
      <c r="J703" s="55" t="s">
        <v>236</v>
      </c>
      <c r="K703" s="54" t="s">
        <v>13</v>
      </c>
      <c r="L703" s="56" t="s">
        <v>239</v>
      </c>
    </row>
    <row r="704" spans="1:12" ht="15.75" customHeight="1" x14ac:dyDescent="0.25">
      <c r="A704" s="51" t="s">
        <v>225</v>
      </c>
      <c r="B704" s="52" t="s">
        <v>874</v>
      </c>
      <c r="C704" s="53">
        <v>849</v>
      </c>
      <c r="D704" s="54" t="s">
        <v>1006</v>
      </c>
      <c r="E704" s="53">
        <v>849</v>
      </c>
      <c r="F704" s="54" t="s">
        <v>218</v>
      </c>
      <c r="G704" s="54" t="s">
        <v>6</v>
      </c>
      <c r="H704" s="53" t="s">
        <v>1</v>
      </c>
      <c r="I704" s="53" t="s">
        <v>17</v>
      </c>
      <c r="J704" s="55" t="s">
        <v>236</v>
      </c>
      <c r="K704" s="54" t="s">
        <v>8</v>
      </c>
      <c r="L704" s="56" t="s">
        <v>239</v>
      </c>
    </row>
    <row r="705" spans="1:12" ht="15.75" customHeight="1" x14ac:dyDescent="0.25">
      <c r="A705" s="51" t="s">
        <v>225</v>
      </c>
      <c r="B705" s="52" t="s">
        <v>876</v>
      </c>
      <c r="C705" s="53">
        <v>850</v>
      </c>
      <c r="D705" s="54" t="s">
        <v>1007</v>
      </c>
      <c r="E705" s="53">
        <v>850</v>
      </c>
      <c r="F705" s="54" t="s">
        <v>218</v>
      </c>
      <c r="G705" s="54" t="s">
        <v>6</v>
      </c>
      <c r="H705" s="53" t="s">
        <v>1</v>
      </c>
      <c r="I705" s="53" t="s">
        <v>17</v>
      </c>
      <c r="J705" s="55" t="s">
        <v>236</v>
      </c>
      <c r="K705" s="54" t="s">
        <v>9</v>
      </c>
      <c r="L705" s="56" t="s">
        <v>239</v>
      </c>
    </row>
    <row r="706" spans="1:12" ht="15.75" customHeight="1" x14ac:dyDescent="0.25">
      <c r="A706" s="51" t="s">
        <v>225</v>
      </c>
      <c r="B706" s="52" t="s">
        <v>878</v>
      </c>
      <c r="C706" s="53">
        <v>851</v>
      </c>
      <c r="D706" s="54" t="s">
        <v>1008</v>
      </c>
      <c r="E706" s="53">
        <v>851</v>
      </c>
      <c r="F706" s="54" t="s">
        <v>218</v>
      </c>
      <c r="G706" s="54" t="s">
        <v>6</v>
      </c>
      <c r="H706" s="53" t="s">
        <v>1</v>
      </c>
      <c r="I706" s="53" t="s">
        <v>17</v>
      </c>
      <c r="J706" s="55" t="s">
        <v>236</v>
      </c>
      <c r="K706" s="54" t="s">
        <v>12</v>
      </c>
      <c r="L706" s="56" t="s">
        <v>239</v>
      </c>
    </row>
    <row r="707" spans="1:12" ht="15.75" customHeight="1" x14ac:dyDescent="0.25">
      <c r="A707" s="51" t="s">
        <v>225</v>
      </c>
      <c r="B707" s="52" t="s">
        <v>880</v>
      </c>
      <c r="C707" s="53">
        <v>852</v>
      </c>
      <c r="D707" s="54" t="s">
        <v>1009</v>
      </c>
      <c r="E707" s="53">
        <v>852</v>
      </c>
      <c r="F707" s="54" t="s">
        <v>218</v>
      </c>
      <c r="G707" s="54" t="s">
        <v>6</v>
      </c>
      <c r="H707" s="53" t="s">
        <v>1</v>
      </c>
      <c r="I707" s="53" t="s">
        <v>17</v>
      </c>
      <c r="J707" s="55" t="s">
        <v>236</v>
      </c>
      <c r="K707" s="54" t="s">
        <v>11</v>
      </c>
      <c r="L707" s="56" t="s">
        <v>239</v>
      </c>
    </row>
    <row r="708" spans="1:12" ht="15.75" customHeight="1" x14ac:dyDescent="0.25">
      <c r="A708" s="51" t="s">
        <v>225</v>
      </c>
      <c r="B708" s="52" t="s">
        <v>1010</v>
      </c>
      <c r="C708" s="53">
        <v>1195</v>
      </c>
      <c r="D708" s="54" t="s">
        <v>1011</v>
      </c>
      <c r="E708" s="53">
        <v>1195</v>
      </c>
      <c r="F708" s="54" t="s">
        <v>218</v>
      </c>
      <c r="G708" s="54" t="s">
        <v>2</v>
      </c>
      <c r="H708" s="53" t="s">
        <v>0</v>
      </c>
      <c r="I708" s="53" t="s">
        <v>16</v>
      </c>
      <c r="J708" s="55" t="s">
        <v>228</v>
      </c>
      <c r="K708" s="54" t="s">
        <v>10</v>
      </c>
      <c r="L708" s="55" t="s">
        <v>16</v>
      </c>
    </row>
    <row r="709" spans="1:12" ht="15.75" customHeight="1" x14ac:dyDescent="0.25">
      <c r="A709" s="51" t="s">
        <v>225</v>
      </c>
      <c r="B709" s="52" t="s">
        <v>1012</v>
      </c>
      <c r="C709" s="53">
        <v>1193</v>
      </c>
      <c r="D709" s="54" t="s">
        <v>1013</v>
      </c>
      <c r="E709" s="53">
        <v>1193</v>
      </c>
      <c r="F709" s="54" t="s">
        <v>218</v>
      </c>
      <c r="G709" s="54" t="s">
        <v>2</v>
      </c>
      <c r="H709" s="53" t="s">
        <v>1</v>
      </c>
      <c r="I709" s="53" t="s">
        <v>19</v>
      </c>
      <c r="J709" s="55" t="s">
        <v>234</v>
      </c>
      <c r="K709" s="54" t="s">
        <v>10</v>
      </c>
      <c r="L709" s="55" t="s">
        <v>19</v>
      </c>
    </row>
    <row r="710" spans="1:12" ht="15.75" customHeight="1" x14ac:dyDescent="0.25">
      <c r="A710" s="51" t="s">
        <v>225</v>
      </c>
      <c r="B710" s="52" t="s">
        <v>1012</v>
      </c>
      <c r="C710" s="53">
        <v>1192</v>
      </c>
      <c r="D710" s="54" t="s">
        <v>1014</v>
      </c>
      <c r="E710" s="53">
        <v>1192</v>
      </c>
      <c r="F710" s="54" t="s">
        <v>218</v>
      </c>
      <c r="G710" s="54" t="s">
        <v>2</v>
      </c>
      <c r="H710" s="53" t="s">
        <v>1</v>
      </c>
      <c r="I710" s="53" t="s">
        <v>19</v>
      </c>
      <c r="J710" s="55" t="s">
        <v>228</v>
      </c>
      <c r="K710" s="54" t="s">
        <v>10</v>
      </c>
      <c r="L710" s="55" t="s">
        <v>19</v>
      </c>
    </row>
    <row r="711" spans="1:12" ht="15.75" customHeight="1" x14ac:dyDescent="0.25">
      <c r="A711" s="51" t="s">
        <v>225</v>
      </c>
      <c r="B711" s="52" t="s">
        <v>1015</v>
      </c>
      <c r="C711" s="53">
        <v>1091</v>
      </c>
      <c r="D711" s="54" t="s">
        <v>1016</v>
      </c>
      <c r="E711" s="53">
        <v>1091</v>
      </c>
      <c r="F711" s="54" t="s">
        <v>218</v>
      </c>
      <c r="G711" s="54" t="s">
        <v>3</v>
      </c>
      <c r="H711" s="53" t="s">
        <v>1</v>
      </c>
      <c r="I711" s="53" t="s">
        <v>19</v>
      </c>
      <c r="J711" s="55" t="s">
        <v>234</v>
      </c>
      <c r="K711" s="54" t="s">
        <v>10</v>
      </c>
      <c r="L711" s="55" t="s">
        <v>19</v>
      </c>
    </row>
    <row r="712" spans="1:12" ht="15.75" customHeight="1" x14ac:dyDescent="0.25">
      <c r="A712" s="51" t="s">
        <v>225</v>
      </c>
      <c r="B712" s="52" t="s">
        <v>1015</v>
      </c>
      <c r="C712" s="53">
        <v>1084</v>
      </c>
      <c r="D712" s="54" t="s">
        <v>1017</v>
      </c>
      <c r="E712" s="53">
        <v>1084</v>
      </c>
      <c r="F712" s="54" t="s">
        <v>218</v>
      </c>
      <c r="G712" s="54" t="s">
        <v>3</v>
      </c>
      <c r="H712" s="53" t="s">
        <v>1</v>
      </c>
      <c r="I712" s="53" t="s">
        <v>19</v>
      </c>
      <c r="J712" s="55" t="s">
        <v>228</v>
      </c>
      <c r="K712" s="54" t="s">
        <v>10</v>
      </c>
      <c r="L712" s="55" t="s">
        <v>19</v>
      </c>
    </row>
    <row r="713" spans="1:12" ht="15.75" customHeight="1" x14ac:dyDescent="0.25">
      <c r="A713" s="51" t="s">
        <v>225</v>
      </c>
      <c r="B713" s="52" t="s">
        <v>1018</v>
      </c>
      <c r="C713" s="53">
        <v>1133</v>
      </c>
      <c r="D713" s="54" t="s">
        <v>1019</v>
      </c>
      <c r="E713" s="53">
        <v>1133</v>
      </c>
      <c r="F713" s="54" t="s">
        <v>218</v>
      </c>
      <c r="G713" s="54" t="s">
        <v>4</v>
      </c>
      <c r="H713" s="53" t="s">
        <v>1</v>
      </c>
      <c r="I713" s="53" t="s">
        <v>19</v>
      </c>
      <c r="J713" s="55" t="s">
        <v>234</v>
      </c>
      <c r="K713" s="54" t="s">
        <v>10</v>
      </c>
      <c r="L713" s="55" t="s">
        <v>19</v>
      </c>
    </row>
    <row r="714" spans="1:12" ht="15.75" customHeight="1" x14ac:dyDescent="0.25">
      <c r="A714" s="51" t="s">
        <v>225</v>
      </c>
      <c r="B714" s="52" t="s">
        <v>1018</v>
      </c>
      <c r="C714" s="53">
        <v>1126</v>
      </c>
      <c r="D714" s="54" t="s">
        <v>1020</v>
      </c>
      <c r="E714" s="53">
        <v>1126</v>
      </c>
      <c r="F714" s="54" t="s">
        <v>218</v>
      </c>
      <c r="G714" s="54" t="s">
        <v>4</v>
      </c>
      <c r="H714" s="53" t="s">
        <v>1</v>
      </c>
      <c r="I714" s="53" t="s">
        <v>19</v>
      </c>
      <c r="J714" s="55" t="s">
        <v>228</v>
      </c>
      <c r="K714" s="54" t="s">
        <v>10</v>
      </c>
      <c r="L714" s="55" t="s">
        <v>19</v>
      </c>
    </row>
    <row r="715" spans="1:12" ht="15.75" customHeight="1" x14ac:dyDescent="0.25">
      <c r="A715" s="51" t="s">
        <v>225</v>
      </c>
      <c r="B715" s="52" t="s">
        <v>1021</v>
      </c>
      <c r="C715" s="53">
        <v>1168</v>
      </c>
      <c r="D715" s="54" t="s">
        <v>1022</v>
      </c>
      <c r="E715" s="53">
        <v>1168</v>
      </c>
      <c r="F715" s="54" t="s">
        <v>218</v>
      </c>
      <c r="G715" s="54" t="s">
        <v>5</v>
      </c>
      <c r="H715" s="53" t="s">
        <v>1</v>
      </c>
      <c r="I715" s="53" t="s">
        <v>19</v>
      </c>
      <c r="J715" s="55" t="s">
        <v>228</v>
      </c>
      <c r="K715" s="54" t="s">
        <v>10</v>
      </c>
      <c r="L715" s="55" t="s">
        <v>19</v>
      </c>
    </row>
    <row r="716" spans="1:12" ht="15.75" customHeight="1" x14ac:dyDescent="0.2"/>
    <row r="717" spans="1:12" ht="15.75" customHeight="1" x14ac:dyDescent="0.2"/>
    <row r="718" spans="1:12" ht="15.75" customHeight="1" x14ac:dyDescent="0.2"/>
    <row r="719" spans="1:12" ht="15.75" customHeight="1" x14ac:dyDescent="0.2"/>
    <row r="720" spans="1:12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511811024" right="0.511811024" top="0.78740157499999996" bottom="0.78740157499999996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exclusao">
    <tabColor rgb="FFFF5229"/>
  </sheetPr>
  <dimension ref="A1:K1000"/>
  <sheetViews>
    <sheetView showGridLines="0" workbookViewId="0">
      <selection activeCell="H18" sqref="H18"/>
    </sheetView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5" customWidth="1"/>
    <col min="11" max="11" width="9.5" customWidth="1"/>
    <col min="12" max="26" width="7.625" customWidth="1"/>
  </cols>
  <sheetData>
    <row r="1" spans="1:11" x14ac:dyDescent="0.2">
      <c r="A1" s="92" t="s">
        <v>1023</v>
      </c>
      <c r="B1" s="93"/>
      <c r="C1" s="93"/>
      <c r="D1" s="93"/>
      <c r="E1" s="93"/>
      <c r="F1" s="93"/>
      <c r="G1" s="93"/>
      <c r="H1" s="93"/>
      <c r="I1" s="93"/>
      <c r="J1" s="93"/>
      <c r="K1" s="94"/>
    </row>
    <row r="2" spans="1:11" ht="45" customHeight="1" x14ac:dyDescent="0.2">
      <c r="A2" s="57" t="s">
        <v>1024</v>
      </c>
      <c r="B2" s="57" t="s">
        <v>1025</v>
      </c>
      <c r="C2" s="57" t="s">
        <v>1026</v>
      </c>
      <c r="D2" s="57" t="s">
        <v>1027</v>
      </c>
      <c r="E2" s="57" t="s">
        <v>1028</v>
      </c>
      <c r="F2" s="58" t="s">
        <v>1029</v>
      </c>
      <c r="G2" s="58" t="s">
        <v>1030</v>
      </c>
      <c r="H2" s="57" t="s">
        <v>1031</v>
      </c>
      <c r="I2" s="58">
        <v>1</v>
      </c>
      <c r="J2" s="57" t="s">
        <v>1032</v>
      </c>
      <c r="K2" s="58" t="s">
        <v>193</v>
      </c>
    </row>
    <row r="3" spans="1:11" x14ac:dyDescent="0.25">
      <c r="A3" s="43"/>
      <c r="B3" s="43"/>
      <c r="C3" s="43"/>
      <c r="D3" s="43"/>
      <c r="E3" s="43"/>
      <c r="F3" s="44"/>
      <c r="G3" s="43"/>
      <c r="H3" s="43"/>
      <c r="I3" s="43"/>
      <c r="J3" s="43"/>
      <c r="K3" s="43"/>
    </row>
    <row r="4" spans="1:11" x14ac:dyDescent="0.25">
      <c r="A4" s="43"/>
      <c r="B4" s="43"/>
      <c r="C4" s="43"/>
      <c r="D4" s="43"/>
      <c r="E4" s="43"/>
      <c r="F4" s="44"/>
      <c r="G4" s="43"/>
      <c r="H4" s="43"/>
      <c r="I4" s="43"/>
      <c r="J4" s="43"/>
      <c r="K4" s="43"/>
    </row>
    <row r="5" spans="1:11" x14ac:dyDescent="0.25">
      <c r="A5" s="43"/>
      <c r="B5" s="43"/>
      <c r="C5" s="43"/>
      <c r="D5" s="43"/>
      <c r="E5" s="43"/>
      <c r="F5" s="44"/>
      <c r="G5" s="43"/>
      <c r="H5" s="43"/>
      <c r="I5" s="43"/>
      <c r="J5" s="43"/>
      <c r="K5" s="43"/>
    </row>
    <row r="6" spans="1:11" x14ac:dyDescent="0.25">
      <c r="A6" s="43"/>
      <c r="B6" s="43"/>
      <c r="C6" s="43"/>
      <c r="D6" s="43"/>
      <c r="E6" s="43"/>
      <c r="F6" s="44"/>
      <c r="G6" s="43"/>
      <c r="H6" s="43"/>
      <c r="I6" s="43"/>
      <c r="J6" s="43"/>
      <c r="K6" s="43"/>
    </row>
    <row r="7" spans="1:11" x14ac:dyDescent="0.25">
      <c r="A7" s="43"/>
      <c r="B7" s="43"/>
      <c r="C7" s="43"/>
      <c r="D7" s="43"/>
      <c r="E7" s="43"/>
      <c r="F7" s="44"/>
      <c r="G7" s="43"/>
      <c r="H7" s="43"/>
      <c r="I7" s="43"/>
      <c r="J7" s="43"/>
      <c r="K7" s="43"/>
    </row>
    <row r="8" spans="1:11" x14ac:dyDescent="0.25">
      <c r="A8" s="43"/>
      <c r="B8" s="43"/>
      <c r="C8" s="43"/>
      <c r="D8" s="43"/>
      <c r="E8" s="43"/>
      <c r="F8" s="44"/>
      <c r="G8" s="43"/>
      <c r="H8" s="43"/>
      <c r="I8" s="43"/>
      <c r="J8" s="43"/>
      <c r="K8" s="43"/>
    </row>
    <row r="9" spans="1:11" x14ac:dyDescent="0.25">
      <c r="A9" s="43"/>
      <c r="B9" s="43"/>
      <c r="C9" s="43"/>
      <c r="D9" s="43"/>
      <c r="E9" s="43"/>
      <c r="F9" s="44"/>
      <c r="G9" s="43"/>
      <c r="H9" s="43"/>
      <c r="I9" s="43"/>
      <c r="J9" s="43"/>
      <c r="K9" s="43"/>
    </row>
    <row r="10" spans="1:11" x14ac:dyDescent="0.25">
      <c r="A10" s="43"/>
      <c r="B10" s="43"/>
      <c r="C10" s="43"/>
      <c r="D10" s="43"/>
      <c r="E10" s="43"/>
      <c r="F10" s="44"/>
      <c r="G10" s="43"/>
      <c r="H10" s="43"/>
      <c r="I10" s="43"/>
      <c r="J10" s="43"/>
      <c r="K10" s="43"/>
    </row>
    <row r="11" spans="1:11" x14ac:dyDescent="0.25">
      <c r="A11" s="43"/>
      <c r="B11" s="43"/>
      <c r="C11" s="43"/>
      <c r="D11" s="43"/>
      <c r="E11" s="43"/>
      <c r="F11" s="44"/>
      <c r="G11" s="43"/>
      <c r="H11" s="43"/>
      <c r="I11" s="43"/>
      <c r="J11" s="43"/>
      <c r="K11" s="43"/>
    </row>
    <row r="12" spans="1:11" x14ac:dyDescent="0.25">
      <c r="A12" s="43"/>
      <c r="B12" s="43"/>
      <c r="C12" s="43"/>
      <c r="D12" s="43"/>
      <c r="E12" s="43"/>
      <c r="F12" s="44"/>
      <c r="G12" s="43"/>
      <c r="H12" s="43"/>
      <c r="I12" s="43"/>
      <c r="J12" s="43"/>
      <c r="K12" s="43"/>
    </row>
    <row r="13" spans="1:11" x14ac:dyDescent="0.25">
      <c r="A13" s="43"/>
      <c r="B13" s="43"/>
      <c r="C13" s="43"/>
      <c r="D13" s="43"/>
      <c r="E13" s="43"/>
      <c r="F13" s="44"/>
      <c r="G13" s="43"/>
      <c r="H13" s="43"/>
      <c r="I13" s="43"/>
      <c r="J13" s="43"/>
      <c r="K13" s="43"/>
    </row>
    <row r="14" spans="1:11" x14ac:dyDescent="0.25">
      <c r="A14" s="43"/>
      <c r="B14" s="43"/>
      <c r="C14" s="43"/>
      <c r="D14" s="43"/>
      <c r="E14" s="43"/>
      <c r="F14" s="44"/>
      <c r="G14" s="43"/>
      <c r="H14" s="43"/>
      <c r="I14" s="43"/>
      <c r="J14" s="43"/>
      <c r="K14" s="43"/>
    </row>
    <row r="15" spans="1:11" x14ac:dyDescent="0.25">
      <c r="A15" s="43"/>
      <c r="B15" s="43"/>
      <c r="C15" s="43"/>
      <c r="D15" s="43"/>
      <c r="E15" s="43"/>
      <c r="F15" s="44"/>
      <c r="G15" s="43"/>
      <c r="H15" s="43"/>
      <c r="I15" s="43"/>
      <c r="J15" s="43"/>
      <c r="K15" s="43"/>
    </row>
    <row r="16" spans="1:11" x14ac:dyDescent="0.25">
      <c r="A16" s="43"/>
      <c r="B16" s="43"/>
      <c r="C16" s="43"/>
      <c r="D16" s="43"/>
      <c r="E16" s="43"/>
      <c r="F16" s="44"/>
      <c r="G16" s="43"/>
      <c r="H16" s="43"/>
      <c r="I16" s="43"/>
      <c r="J16" s="43"/>
      <c r="K16" s="43"/>
    </row>
    <row r="17" spans="1:11" x14ac:dyDescent="0.25">
      <c r="A17" s="43"/>
      <c r="B17" s="43"/>
      <c r="C17" s="43"/>
      <c r="D17" s="43"/>
      <c r="E17" s="43"/>
      <c r="F17" s="44"/>
      <c r="G17" s="43"/>
      <c r="H17" s="43"/>
      <c r="I17" s="43"/>
      <c r="J17" s="43"/>
      <c r="K17" s="43"/>
    </row>
    <row r="18" spans="1:11" x14ac:dyDescent="0.25">
      <c r="A18" s="43"/>
      <c r="B18" s="43"/>
      <c r="C18" s="43"/>
      <c r="D18" s="43"/>
      <c r="E18" s="43"/>
      <c r="F18" s="44"/>
      <c r="G18" s="43"/>
      <c r="H18" s="43"/>
      <c r="I18" s="43"/>
      <c r="J18" s="43"/>
      <c r="K18" s="43"/>
    </row>
    <row r="19" spans="1:11" x14ac:dyDescent="0.25">
      <c r="A19" s="43"/>
      <c r="B19" s="43"/>
      <c r="C19" s="43"/>
      <c r="D19" s="43"/>
      <c r="E19" s="43"/>
      <c r="F19" s="44"/>
      <c r="G19" s="43"/>
      <c r="H19" s="43"/>
      <c r="I19" s="43"/>
      <c r="J19" s="43"/>
      <c r="K19" s="43"/>
    </row>
    <row r="20" spans="1:11" x14ac:dyDescent="0.25">
      <c r="A20" s="43"/>
      <c r="B20" s="43"/>
      <c r="C20" s="43"/>
      <c r="D20" s="43"/>
      <c r="E20" s="43"/>
      <c r="F20" s="44"/>
      <c r="G20" s="43"/>
      <c r="H20" s="43"/>
      <c r="I20" s="43"/>
      <c r="J20" s="43"/>
      <c r="K20" s="43"/>
    </row>
    <row r="21" spans="1:11" ht="15.75" customHeight="1" x14ac:dyDescent="0.25">
      <c r="A21" s="43"/>
      <c r="B21" s="43"/>
      <c r="C21" s="43"/>
      <c r="D21" s="43"/>
      <c r="E21" s="43"/>
      <c r="F21" s="44"/>
      <c r="G21" s="43"/>
      <c r="H21" s="43"/>
      <c r="I21" s="43"/>
      <c r="J21" s="43"/>
      <c r="K21" s="43"/>
    </row>
    <row r="22" spans="1:11" ht="15.75" customHeight="1" x14ac:dyDescent="0.25">
      <c r="A22" s="43"/>
      <c r="B22" s="43"/>
      <c r="C22" s="43"/>
      <c r="D22" s="43"/>
      <c r="E22" s="43"/>
      <c r="F22" s="44"/>
      <c r="G22" s="43"/>
      <c r="H22" s="43"/>
      <c r="I22" s="43"/>
      <c r="J22" s="43"/>
      <c r="K22" s="43"/>
    </row>
    <row r="23" spans="1:11" ht="15.75" customHeight="1" x14ac:dyDescent="0.25">
      <c r="A23" s="43"/>
      <c r="B23" s="43"/>
      <c r="C23" s="43"/>
      <c r="D23" s="43"/>
      <c r="E23" s="43"/>
      <c r="F23" s="44"/>
      <c r="G23" s="43"/>
      <c r="H23" s="43"/>
      <c r="I23" s="43"/>
      <c r="J23" s="43"/>
      <c r="K23" s="43"/>
    </row>
    <row r="24" spans="1:11" ht="15.75" customHeight="1" x14ac:dyDescent="0.25">
      <c r="A24" s="43"/>
      <c r="B24" s="43"/>
      <c r="C24" s="43"/>
      <c r="D24" s="43"/>
      <c r="E24" s="43"/>
      <c r="F24" s="44"/>
      <c r="G24" s="43"/>
      <c r="H24" s="43"/>
      <c r="I24" s="43"/>
      <c r="J24" s="43"/>
      <c r="K24" s="43"/>
    </row>
    <row r="25" spans="1:11" ht="15.75" customHeight="1" x14ac:dyDescent="0.25">
      <c r="A25" s="43"/>
      <c r="B25" s="43"/>
      <c r="C25" s="43"/>
      <c r="D25" s="43"/>
      <c r="E25" s="43"/>
      <c r="F25" s="44"/>
      <c r="G25" s="43"/>
      <c r="H25" s="43"/>
      <c r="I25" s="43"/>
      <c r="J25" s="43"/>
      <c r="K25" s="43"/>
    </row>
    <row r="26" spans="1:11" ht="15.75" customHeight="1" x14ac:dyDescent="0.25">
      <c r="A26" s="43"/>
      <c r="B26" s="43"/>
      <c r="C26" s="43"/>
      <c r="D26" s="43"/>
      <c r="E26" s="43"/>
      <c r="F26" s="44"/>
      <c r="G26" s="43"/>
      <c r="H26" s="43"/>
      <c r="I26" s="43"/>
      <c r="J26" s="43"/>
      <c r="K26" s="43"/>
    </row>
    <row r="27" spans="1:11" ht="15.75" customHeight="1" x14ac:dyDescent="0.25">
      <c r="A27" s="43"/>
      <c r="B27" s="43"/>
      <c r="C27" s="43"/>
      <c r="D27" s="43"/>
      <c r="E27" s="43"/>
      <c r="F27" s="44"/>
      <c r="G27" s="43"/>
      <c r="H27" s="43"/>
      <c r="I27" s="43"/>
      <c r="J27" s="43"/>
      <c r="K27" s="43"/>
    </row>
    <row r="28" spans="1:11" ht="15.75" customHeight="1" x14ac:dyDescent="0.25">
      <c r="A28" s="43"/>
      <c r="B28" s="43"/>
      <c r="C28" s="43"/>
      <c r="D28" s="43"/>
      <c r="E28" s="43"/>
      <c r="F28" s="44"/>
      <c r="G28" s="43"/>
      <c r="H28" s="43"/>
      <c r="I28" s="43"/>
      <c r="J28" s="43"/>
      <c r="K28" s="43"/>
    </row>
    <row r="29" spans="1:11" ht="15.75" customHeight="1" x14ac:dyDescent="0.25">
      <c r="A29" s="43"/>
      <c r="B29" s="43"/>
      <c r="C29" s="43"/>
      <c r="D29" s="43"/>
      <c r="E29" s="43"/>
      <c r="F29" s="44"/>
      <c r="G29" s="43"/>
      <c r="H29" s="43"/>
      <c r="I29" s="43"/>
      <c r="J29" s="43"/>
      <c r="K29" s="43"/>
    </row>
    <row r="30" spans="1:11" ht="15.75" customHeight="1" x14ac:dyDescent="0.25">
      <c r="A30" s="43"/>
      <c r="B30" s="43"/>
      <c r="C30" s="43"/>
      <c r="D30" s="43"/>
      <c r="E30" s="43"/>
      <c r="F30" s="44"/>
      <c r="G30" s="43"/>
      <c r="H30" s="43"/>
      <c r="I30" s="43"/>
      <c r="J30" s="43"/>
      <c r="K30" s="43"/>
    </row>
    <row r="31" spans="1:11" ht="15.75" customHeight="1" x14ac:dyDescent="0.25">
      <c r="A31" s="43"/>
      <c r="B31" s="43"/>
      <c r="C31" s="43"/>
      <c r="D31" s="43"/>
      <c r="E31" s="43"/>
      <c r="F31" s="44"/>
      <c r="G31" s="43"/>
      <c r="H31" s="43"/>
      <c r="I31" s="43"/>
      <c r="J31" s="43"/>
      <c r="K31" s="43"/>
    </row>
    <row r="32" spans="1:11" ht="15.75" customHeight="1" x14ac:dyDescent="0.25">
      <c r="A32" s="43"/>
      <c r="B32" s="43"/>
      <c r="C32" s="43"/>
      <c r="D32" s="43"/>
      <c r="E32" s="43"/>
      <c r="F32" s="44"/>
      <c r="G32" s="43"/>
      <c r="H32" s="43"/>
      <c r="I32" s="43"/>
      <c r="J32" s="43"/>
      <c r="K32" s="43"/>
    </row>
    <row r="33" spans="1:11" ht="15.75" customHeight="1" x14ac:dyDescent="0.25">
      <c r="A33" s="43"/>
      <c r="B33" s="43"/>
      <c r="C33" s="43"/>
      <c r="D33" s="43"/>
      <c r="E33" s="43"/>
      <c r="F33" s="44"/>
      <c r="G33" s="43"/>
      <c r="H33" s="43"/>
      <c r="I33" s="43"/>
      <c r="J33" s="43"/>
      <c r="K33" s="43"/>
    </row>
    <row r="34" spans="1:11" ht="15.75" customHeight="1" x14ac:dyDescent="0.25">
      <c r="A34" s="43"/>
      <c r="B34" s="43"/>
      <c r="C34" s="43"/>
      <c r="D34" s="43"/>
      <c r="E34" s="43"/>
      <c r="F34" s="44"/>
      <c r="G34" s="43"/>
      <c r="H34" s="43"/>
      <c r="I34" s="43"/>
      <c r="J34" s="43"/>
      <c r="K34" s="43"/>
    </row>
    <row r="35" spans="1:11" ht="15.75" customHeight="1" x14ac:dyDescent="0.25">
      <c r="A35" s="43"/>
      <c r="B35" s="43"/>
      <c r="C35" s="43"/>
      <c r="D35" s="43"/>
      <c r="E35" s="43"/>
      <c r="F35" s="44"/>
      <c r="G35" s="43"/>
      <c r="H35" s="43"/>
      <c r="I35" s="43"/>
      <c r="J35" s="43"/>
      <c r="K35" s="43"/>
    </row>
    <row r="36" spans="1:11" ht="15.75" customHeight="1" x14ac:dyDescent="0.25">
      <c r="A36" s="43"/>
      <c r="B36" s="43"/>
      <c r="C36" s="43"/>
      <c r="D36" s="43"/>
      <c r="E36" s="43"/>
      <c r="F36" s="44"/>
      <c r="G36" s="43"/>
      <c r="H36" s="43"/>
      <c r="I36" s="43"/>
      <c r="J36" s="43"/>
      <c r="K36" s="43"/>
    </row>
    <row r="37" spans="1:11" ht="15.75" customHeight="1" x14ac:dyDescent="0.25">
      <c r="A37" s="43"/>
      <c r="B37" s="43"/>
      <c r="C37" s="43"/>
      <c r="D37" s="43"/>
      <c r="E37" s="43"/>
      <c r="F37" s="44"/>
      <c r="G37" s="43"/>
      <c r="H37" s="43"/>
      <c r="I37" s="43"/>
      <c r="J37" s="43"/>
      <c r="K37" s="43"/>
    </row>
    <row r="38" spans="1:11" ht="15.75" customHeight="1" x14ac:dyDescent="0.25">
      <c r="A38" s="43"/>
      <c r="B38" s="43"/>
      <c r="C38" s="43"/>
      <c r="D38" s="43"/>
      <c r="E38" s="43"/>
      <c r="F38" s="44"/>
      <c r="G38" s="43"/>
      <c r="H38" s="43"/>
      <c r="I38" s="43"/>
      <c r="J38" s="43"/>
      <c r="K38" s="43"/>
    </row>
    <row r="39" spans="1:11" ht="15.75" customHeight="1" x14ac:dyDescent="0.25">
      <c r="A39" s="43"/>
      <c r="B39" s="43"/>
      <c r="C39" s="43"/>
      <c r="D39" s="43"/>
      <c r="E39" s="43"/>
      <c r="F39" s="44"/>
      <c r="G39" s="43"/>
      <c r="H39" s="43"/>
      <c r="I39" s="43"/>
      <c r="J39" s="43"/>
      <c r="K39" s="43"/>
    </row>
    <row r="40" spans="1:11" ht="15.75" customHeight="1" x14ac:dyDescent="0.25">
      <c r="A40" s="43"/>
      <c r="B40" s="43"/>
      <c r="C40" s="43"/>
      <c r="D40" s="43"/>
      <c r="E40" s="43"/>
      <c r="F40" s="44"/>
      <c r="G40" s="43"/>
      <c r="H40" s="43"/>
      <c r="I40" s="43"/>
      <c r="J40" s="43"/>
      <c r="K40" s="43"/>
    </row>
    <row r="41" spans="1:11" ht="15.75" customHeight="1" x14ac:dyDescent="0.25">
      <c r="A41" s="43"/>
      <c r="B41" s="43"/>
      <c r="C41" s="43"/>
      <c r="D41" s="43"/>
      <c r="E41" s="43"/>
      <c r="F41" s="44"/>
      <c r="G41" s="43"/>
      <c r="H41" s="43"/>
      <c r="I41" s="43"/>
      <c r="J41" s="43"/>
      <c r="K41" s="43"/>
    </row>
    <row r="42" spans="1:11" ht="15.75" customHeight="1" x14ac:dyDescent="0.25">
      <c r="A42" s="43"/>
      <c r="B42" s="43"/>
      <c r="C42" s="43"/>
      <c r="D42" s="43"/>
      <c r="E42" s="43"/>
      <c r="F42" s="44"/>
      <c r="G42" s="43"/>
      <c r="H42" s="43"/>
      <c r="I42" s="43"/>
      <c r="J42" s="43"/>
      <c r="K42" s="43"/>
    </row>
    <row r="43" spans="1:11" ht="15.75" customHeight="1" x14ac:dyDescent="0.25">
      <c r="A43" s="43"/>
      <c r="B43" s="43"/>
      <c r="C43" s="43"/>
      <c r="D43" s="43"/>
      <c r="E43" s="43"/>
      <c r="F43" s="44"/>
      <c r="G43" s="43"/>
      <c r="H43" s="43"/>
      <c r="I43" s="43"/>
      <c r="J43" s="43"/>
      <c r="K43" s="43"/>
    </row>
    <row r="44" spans="1:11" ht="15.75" customHeight="1" x14ac:dyDescent="0.25">
      <c r="A44" s="43"/>
      <c r="B44" s="43"/>
      <c r="C44" s="43"/>
      <c r="D44" s="43"/>
      <c r="E44" s="43"/>
      <c r="F44" s="44"/>
      <c r="G44" s="43"/>
      <c r="H44" s="43"/>
      <c r="I44" s="43"/>
      <c r="J44" s="43"/>
      <c r="K44" s="43"/>
    </row>
    <row r="45" spans="1:11" ht="15.75" customHeight="1" x14ac:dyDescent="0.25">
      <c r="A45" s="43"/>
      <c r="B45" s="43"/>
      <c r="C45" s="43"/>
      <c r="D45" s="43"/>
      <c r="E45" s="43"/>
      <c r="F45" s="44"/>
      <c r="G45" s="43"/>
      <c r="H45" s="43"/>
      <c r="I45" s="43"/>
      <c r="J45" s="43"/>
      <c r="K45" s="43"/>
    </row>
    <row r="46" spans="1:11" ht="15.75" customHeight="1" x14ac:dyDescent="0.25">
      <c r="A46" s="43"/>
      <c r="B46" s="43"/>
      <c r="C46" s="43"/>
      <c r="D46" s="43"/>
      <c r="E46" s="43"/>
      <c r="F46" s="44"/>
      <c r="G46" s="43"/>
      <c r="H46" s="43"/>
      <c r="I46" s="43"/>
      <c r="J46" s="43"/>
      <c r="K46" s="43"/>
    </row>
    <row r="47" spans="1:11" ht="15.75" customHeight="1" x14ac:dyDescent="0.25">
      <c r="A47" s="43"/>
      <c r="B47" s="43"/>
      <c r="C47" s="43"/>
      <c r="D47" s="43"/>
      <c r="E47" s="43"/>
      <c r="F47" s="44"/>
      <c r="G47" s="43"/>
      <c r="H47" s="43"/>
      <c r="I47" s="43"/>
      <c r="J47" s="43"/>
      <c r="K47" s="43"/>
    </row>
    <row r="48" spans="1:11" ht="15.75" customHeight="1" x14ac:dyDescent="0.25">
      <c r="A48" s="43"/>
      <c r="B48" s="43"/>
      <c r="C48" s="43"/>
      <c r="D48" s="43"/>
      <c r="E48" s="43"/>
      <c r="F48" s="44"/>
      <c r="G48" s="43"/>
      <c r="H48" s="43"/>
      <c r="I48" s="43"/>
      <c r="J48" s="43"/>
      <c r="K48" s="43"/>
    </row>
    <row r="49" spans="1:11" ht="15.75" customHeight="1" x14ac:dyDescent="0.25">
      <c r="A49" s="43"/>
      <c r="B49" s="43"/>
      <c r="C49" s="43"/>
      <c r="D49" s="43"/>
      <c r="E49" s="43"/>
      <c r="F49" s="44"/>
      <c r="G49" s="43"/>
      <c r="H49" s="43"/>
      <c r="I49" s="43"/>
      <c r="J49" s="43"/>
      <c r="K49" s="43"/>
    </row>
    <row r="50" spans="1:11" ht="15.75" customHeight="1" x14ac:dyDescent="0.25">
      <c r="A50" s="43"/>
      <c r="B50" s="43"/>
      <c r="C50" s="43"/>
      <c r="D50" s="43"/>
      <c r="E50" s="43"/>
      <c r="F50" s="44"/>
      <c r="G50" s="43"/>
      <c r="H50" s="43"/>
      <c r="I50" s="43"/>
      <c r="J50" s="43"/>
      <c r="K50" s="43"/>
    </row>
    <row r="51" spans="1:11" ht="15.75" customHeight="1" x14ac:dyDescent="0.25">
      <c r="A51" s="43"/>
      <c r="B51" s="43"/>
      <c r="C51" s="43"/>
      <c r="D51" s="43"/>
      <c r="E51" s="43"/>
      <c r="F51" s="44"/>
      <c r="G51" s="43"/>
      <c r="H51" s="43"/>
      <c r="I51" s="43"/>
      <c r="J51" s="43"/>
      <c r="K51" s="43"/>
    </row>
    <row r="52" spans="1:11" ht="15.75" customHeight="1" x14ac:dyDescent="0.25">
      <c r="A52" s="43"/>
      <c r="B52" s="43"/>
      <c r="C52" s="43"/>
      <c r="D52" s="43"/>
      <c r="E52" s="43"/>
      <c r="F52" s="44"/>
      <c r="G52" s="43"/>
      <c r="H52" s="43"/>
      <c r="I52" s="43"/>
      <c r="J52" s="43"/>
      <c r="K52" s="43"/>
    </row>
    <row r="53" spans="1:11" ht="15.75" customHeight="1" x14ac:dyDescent="0.25">
      <c r="A53" s="43"/>
      <c r="B53" s="43"/>
      <c r="C53" s="43"/>
      <c r="D53" s="43"/>
      <c r="E53" s="43"/>
      <c r="F53" s="44"/>
      <c r="G53" s="43"/>
      <c r="H53" s="43"/>
      <c r="I53" s="43"/>
      <c r="J53" s="43"/>
      <c r="K53" s="43"/>
    </row>
    <row r="54" spans="1:11" ht="15.75" customHeight="1" x14ac:dyDescent="0.25">
      <c r="A54" s="43"/>
      <c r="B54" s="43"/>
      <c r="C54" s="43"/>
      <c r="D54" s="43"/>
      <c r="E54" s="43"/>
      <c r="F54" s="44"/>
      <c r="G54" s="43"/>
      <c r="H54" s="43"/>
      <c r="I54" s="43"/>
      <c r="J54" s="43"/>
      <c r="K54" s="43"/>
    </row>
    <row r="55" spans="1:11" ht="15.75" customHeight="1" x14ac:dyDescent="0.25">
      <c r="A55" s="43"/>
      <c r="B55" s="43"/>
      <c r="C55" s="43"/>
      <c r="D55" s="43"/>
      <c r="E55" s="43"/>
      <c r="F55" s="44"/>
      <c r="G55" s="43"/>
      <c r="H55" s="43"/>
      <c r="I55" s="43"/>
      <c r="J55" s="43"/>
      <c r="K55" s="43"/>
    </row>
    <row r="56" spans="1:11" ht="15.75" customHeight="1" x14ac:dyDescent="0.25">
      <c r="A56" s="43"/>
      <c r="B56" s="43"/>
      <c r="C56" s="43"/>
      <c r="D56" s="43"/>
      <c r="E56" s="43"/>
      <c r="F56" s="44"/>
      <c r="G56" s="43"/>
      <c r="H56" s="43"/>
      <c r="I56" s="43"/>
      <c r="J56" s="43"/>
      <c r="K56" s="43"/>
    </row>
    <row r="57" spans="1:11" ht="15.75" customHeight="1" x14ac:dyDescent="0.25">
      <c r="A57" s="43"/>
      <c r="B57" s="43"/>
      <c r="C57" s="43"/>
      <c r="D57" s="43"/>
      <c r="E57" s="43"/>
      <c r="F57" s="44"/>
      <c r="G57" s="43"/>
      <c r="H57" s="43"/>
      <c r="I57" s="43"/>
      <c r="J57" s="43"/>
      <c r="K57" s="43"/>
    </row>
    <row r="58" spans="1:11" ht="15.75" customHeight="1" x14ac:dyDescent="0.25">
      <c r="A58" s="43"/>
      <c r="B58" s="43"/>
      <c r="C58" s="43"/>
      <c r="D58" s="43"/>
      <c r="E58" s="43"/>
      <c r="F58" s="44"/>
      <c r="G58" s="43"/>
      <c r="H58" s="43"/>
      <c r="I58" s="43"/>
      <c r="J58" s="43"/>
      <c r="K58" s="43"/>
    </row>
    <row r="59" spans="1:11" ht="15.75" customHeight="1" x14ac:dyDescent="0.25">
      <c r="A59" s="43"/>
      <c r="B59" s="43"/>
      <c r="C59" s="43"/>
      <c r="D59" s="43"/>
      <c r="E59" s="43"/>
      <c r="F59" s="44"/>
      <c r="G59" s="43"/>
      <c r="H59" s="43"/>
      <c r="I59" s="43"/>
      <c r="J59" s="43"/>
      <c r="K59" s="43"/>
    </row>
    <row r="60" spans="1:11" ht="15.75" customHeight="1" x14ac:dyDescent="0.25">
      <c r="A60" s="43"/>
      <c r="B60" s="43"/>
      <c r="C60" s="43"/>
      <c r="D60" s="43"/>
      <c r="E60" s="43"/>
      <c r="F60" s="44"/>
      <c r="G60" s="43"/>
      <c r="H60" s="43"/>
      <c r="I60" s="43"/>
      <c r="J60" s="43"/>
      <c r="K60" s="43"/>
    </row>
    <row r="61" spans="1:11" ht="15.75" customHeight="1" x14ac:dyDescent="0.25">
      <c r="A61" s="43"/>
      <c r="B61" s="43"/>
      <c r="C61" s="43"/>
      <c r="D61" s="43"/>
      <c r="E61" s="43"/>
      <c r="F61" s="44"/>
      <c r="G61" s="43"/>
      <c r="H61" s="43"/>
      <c r="I61" s="43"/>
      <c r="J61" s="43"/>
      <c r="K61" s="43"/>
    </row>
    <row r="62" spans="1:11" ht="15.75" customHeight="1" x14ac:dyDescent="0.25">
      <c r="A62" s="43"/>
      <c r="B62" s="43"/>
      <c r="C62" s="43"/>
      <c r="D62" s="43"/>
      <c r="E62" s="43"/>
      <c r="F62" s="44"/>
      <c r="G62" s="43"/>
      <c r="H62" s="43"/>
      <c r="I62" s="43"/>
      <c r="J62" s="43"/>
      <c r="K62" s="43"/>
    </row>
    <row r="63" spans="1:11" ht="15.75" customHeight="1" x14ac:dyDescent="0.25">
      <c r="A63" s="43"/>
      <c r="B63" s="43"/>
      <c r="C63" s="43"/>
      <c r="D63" s="43"/>
      <c r="E63" s="43"/>
      <c r="F63" s="44"/>
      <c r="G63" s="43"/>
      <c r="H63" s="43"/>
      <c r="I63" s="43"/>
      <c r="J63" s="43"/>
      <c r="K63" s="43"/>
    </row>
    <row r="64" spans="1:11" ht="15.75" customHeight="1" x14ac:dyDescent="0.25">
      <c r="A64" s="43"/>
      <c r="B64" s="43"/>
      <c r="C64" s="43"/>
      <c r="D64" s="43"/>
      <c r="E64" s="43"/>
      <c r="F64" s="44"/>
      <c r="G64" s="43"/>
      <c r="H64" s="43"/>
      <c r="I64" s="43"/>
      <c r="J64" s="43"/>
      <c r="K64" s="43"/>
    </row>
    <row r="65" spans="1:11" ht="15.75" customHeight="1" x14ac:dyDescent="0.25">
      <c r="A65" s="43"/>
      <c r="B65" s="43"/>
      <c r="C65" s="43"/>
      <c r="D65" s="43"/>
      <c r="E65" s="43"/>
      <c r="F65" s="44"/>
      <c r="G65" s="43"/>
      <c r="H65" s="43"/>
      <c r="I65" s="43"/>
      <c r="J65" s="43"/>
      <c r="K65" s="43"/>
    </row>
    <row r="66" spans="1:11" ht="15.75" customHeight="1" x14ac:dyDescent="0.25">
      <c r="A66" s="43"/>
      <c r="B66" s="43"/>
      <c r="C66" s="43"/>
      <c r="D66" s="43"/>
      <c r="E66" s="43"/>
      <c r="F66" s="44"/>
      <c r="G66" s="43"/>
      <c r="H66" s="43"/>
      <c r="I66" s="43"/>
      <c r="J66" s="43"/>
      <c r="K66" s="43"/>
    </row>
    <row r="67" spans="1:11" ht="15.75" customHeight="1" x14ac:dyDescent="0.25">
      <c r="A67" s="43"/>
      <c r="B67" s="43"/>
      <c r="C67" s="43"/>
      <c r="D67" s="43"/>
      <c r="E67" s="43"/>
      <c r="F67" s="44"/>
      <c r="G67" s="43"/>
      <c r="H67" s="43"/>
      <c r="I67" s="43"/>
      <c r="J67" s="43"/>
      <c r="K67" s="43"/>
    </row>
    <row r="68" spans="1:11" ht="15.75" customHeight="1" x14ac:dyDescent="0.25">
      <c r="A68" s="43"/>
      <c r="B68" s="43"/>
      <c r="C68" s="43"/>
      <c r="D68" s="43"/>
      <c r="E68" s="43"/>
      <c r="F68" s="44"/>
      <c r="G68" s="43"/>
      <c r="H68" s="43"/>
      <c r="I68" s="43"/>
      <c r="J68" s="43"/>
      <c r="K68" s="43"/>
    </row>
    <row r="69" spans="1:11" ht="15.75" customHeight="1" x14ac:dyDescent="0.25">
      <c r="A69" s="43"/>
      <c r="B69" s="43"/>
      <c r="C69" s="43"/>
      <c r="D69" s="43"/>
      <c r="E69" s="43"/>
      <c r="F69" s="44"/>
      <c r="G69" s="43"/>
      <c r="H69" s="43"/>
      <c r="I69" s="43"/>
      <c r="J69" s="43"/>
      <c r="K69" s="43"/>
    </row>
    <row r="70" spans="1:11" ht="15.75" customHeight="1" x14ac:dyDescent="0.25">
      <c r="A70" s="43"/>
      <c r="B70" s="43"/>
      <c r="C70" s="43"/>
      <c r="D70" s="43"/>
      <c r="E70" s="43"/>
      <c r="F70" s="44"/>
      <c r="G70" s="43"/>
      <c r="H70" s="43"/>
      <c r="I70" s="43"/>
      <c r="J70" s="43"/>
      <c r="K70" s="43"/>
    </row>
    <row r="71" spans="1:11" ht="15.75" customHeight="1" x14ac:dyDescent="0.25">
      <c r="A71" s="43"/>
      <c r="B71" s="43"/>
      <c r="C71" s="43"/>
      <c r="D71" s="43"/>
      <c r="E71" s="43"/>
      <c r="F71" s="44"/>
      <c r="G71" s="43"/>
      <c r="H71" s="43"/>
      <c r="I71" s="43"/>
      <c r="J71" s="43"/>
      <c r="K71" s="43"/>
    </row>
    <row r="72" spans="1:11" ht="15.75" customHeight="1" x14ac:dyDescent="0.25">
      <c r="A72" s="43"/>
      <c r="B72" s="43"/>
      <c r="C72" s="43"/>
      <c r="D72" s="43"/>
      <c r="E72" s="43"/>
      <c r="F72" s="44"/>
      <c r="G72" s="43"/>
      <c r="H72" s="43"/>
      <c r="I72" s="43"/>
      <c r="J72" s="43"/>
      <c r="K72" s="43"/>
    </row>
    <row r="73" spans="1:11" ht="15.75" customHeight="1" x14ac:dyDescent="0.25">
      <c r="A73" s="43"/>
      <c r="B73" s="43"/>
      <c r="C73" s="43"/>
      <c r="D73" s="43"/>
      <c r="E73" s="43"/>
      <c r="F73" s="44"/>
      <c r="G73" s="43"/>
      <c r="H73" s="43"/>
      <c r="I73" s="43"/>
      <c r="J73" s="43"/>
      <c r="K73" s="43"/>
    </row>
    <row r="74" spans="1:11" ht="15.75" customHeight="1" x14ac:dyDescent="0.25">
      <c r="A74" s="43"/>
      <c r="B74" s="43"/>
      <c r="C74" s="43"/>
      <c r="D74" s="43"/>
      <c r="E74" s="43"/>
      <c r="F74" s="44"/>
      <c r="G74" s="43"/>
      <c r="H74" s="43"/>
      <c r="I74" s="43"/>
      <c r="J74" s="43"/>
      <c r="K74" s="43"/>
    </row>
    <row r="75" spans="1:11" ht="15.75" customHeight="1" x14ac:dyDescent="0.25">
      <c r="A75" s="43"/>
      <c r="B75" s="43"/>
      <c r="C75" s="43"/>
      <c r="D75" s="43"/>
      <c r="E75" s="43"/>
      <c r="F75" s="44"/>
      <c r="G75" s="43"/>
      <c r="H75" s="43"/>
      <c r="I75" s="43"/>
      <c r="J75" s="43"/>
      <c r="K75" s="43"/>
    </row>
    <row r="76" spans="1:11" ht="15.75" customHeight="1" x14ac:dyDescent="0.25">
      <c r="A76" s="43"/>
      <c r="B76" s="43"/>
      <c r="C76" s="43"/>
      <c r="D76" s="43"/>
      <c r="E76" s="43"/>
      <c r="F76" s="44"/>
      <c r="G76" s="43"/>
      <c r="H76" s="43"/>
      <c r="I76" s="43"/>
      <c r="J76" s="43"/>
      <c r="K76" s="43"/>
    </row>
    <row r="77" spans="1:11" ht="15.75" customHeight="1" x14ac:dyDescent="0.25">
      <c r="A77" s="43"/>
      <c r="B77" s="43"/>
      <c r="C77" s="43"/>
      <c r="D77" s="43"/>
      <c r="E77" s="43"/>
      <c r="F77" s="44"/>
      <c r="G77" s="43"/>
      <c r="H77" s="43"/>
      <c r="I77" s="43"/>
      <c r="J77" s="43"/>
      <c r="K77" s="43"/>
    </row>
    <row r="78" spans="1:11" ht="15.75" customHeight="1" x14ac:dyDescent="0.25">
      <c r="A78" s="43"/>
      <c r="B78" s="43"/>
      <c r="C78" s="43"/>
      <c r="D78" s="43"/>
      <c r="E78" s="43"/>
      <c r="F78" s="44"/>
      <c r="G78" s="43"/>
      <c r="H78" s="43"/>
      <c r="I78" s="43"/>
      <c r="J78" s="43"/>
      <c r="K78" s="43"/>
    </row>
    <row r="79" spans="1:11" ht="15.75" customHeight="1" x14ac:dyDescent="0.25">
      <c r="A79" s="43"/>
      <c r="B79" s="43"/>
      <c r="C79" s="43"/>
      <c r="D79" s="43"/>
      <c r="E79" s="43"/>
      <c r="F79" s="44"/>
      <c r="G79" s="43"/>
      <c r="H79" s="43"/>
      <c r="I79" s="43"/>
      <c r="J79" s="43"/>
      <c r="K79" s="43"/>
    </row>
    <row r="80" spans="1:11" ht="15.75" customHeight="1" x14ac:dyDescent="0.25">
      <c r="A80" s="43"/>
      <c r="B80" s="43"/>
      <c r="C80" s="43"/>
      <c r="D80" s="43"/>
      <c r="E80" s="43"/>
      <c r="F80" s="44"/>
      <c r="G80" s="43"/>
      <c r="H80" s="43"/>
      <c r="I80" s="43"/>
      <c r="J80" s="43"/>
      <c r="K80" s="43"/>
    </row>
    <row r="81" spans="1:11" ht="15.75" customHeight="1" x14ac:dyDescent="0.25">
      <c r="A81" s="43"/>
      <c r="B81" s="43"/>
      <c r="C81" s="43"/>
      <c r="D81" s="43"/>
      <c r="E81" s="43"/>
      <c r="F81" s="44"/>
      <c r="G81" s="43"/>
      <c r="H81" s="43"/>
      <c r="I81" s="43"/>
      <c r="J81" s="43"/>
      <c r="K81" s="43"/>
    </row>
    <row r="82" spans="1:11" ht="15.75" customHeight="1" x14ac:dyDescent="0.25">
      <c r="A82" s="43"/>
      <c r="B82" s="43"/>
      <c r="C82" s="43"/>
      <c r="D82" s="43"/>
      <c r="E82" s="43"/>
      <c r="F82" s="44"/>
      <c r="G82" s="43"/>
      <c r="H82" s="43"/>
      <c r="I82" s="43"/>
      <c r="J82" s="43"/>
      <c r="K82" s="43"/>
    </row>
    <row r="83" spans="1:11" ht="15.75" customHeight="1" x14ac:dyDescent="0.25">
      <c r="A83" s="43"/>
      <c r="B83" s="43"/>
      <c r="C83" s="43"/>
      <c r="D83" s="43"/>
      <c r="E83" s="43"/>
      <c r="F83" s="44"/>
      <c r="G83" s="43"/>
      <c r="H83" s="43"/>
      <c r="I83" s="43"/>
      <c r="J83" s="43"/>
      <c r="K83" s="43"/>
    </row>
    <row r="84" spans="1:11" ht="15.75" customHeight="1" x14ac:dyDescent="0.25">
      <c r="A84" s="43"/>
      <c r="B84" s="43"/>
      <c r="C84" s="43"/>
      <c r="D84" s="43"/>
      <c r="E84" s="43"/>
      <c r="F84" s="44"/>
      <c r="G84" s="43"/>
      <c r="H84" s="43"/>
      <c r="I84" s="43"/>
      <c r="J84" s="43"/>
      <c r="K84" s="43"/>
    </row>
    <row r="85" spans="1:11" ht="15.75" customHeight="1" x14ac:dyDescent="0.25">
      <c r="A85" s="43"/>
      <c r="B85" s="43"/>
      <c r="C85" s="43"/>
      <c r="D85" s="43"/>
      <c r="E85" s="43"/>
      <c r="F85" s="44"/>
      <c r="G85" s="43"/>
      <c r="H85" s="43"/>
      <c r="I85" s="43"/>
      <c r="J85" s="43"/>
      <c r="K85" s="43"/>
    </row>
    <row r="86" spans="1:11" ht="15.75" customHeight="1" x14ac:dyDescent="0.25">
      <c r="A86" s="43"/>
      <c r="B86" s="43"/>
      <c r="C86" s="43"/>
      <c r="D86" s="43"/>
      <c r="E86" s="43"/>
      <c r="F86" s="44"/>
      <c r="G86" s="43"/>
      <c r="H86" s="43"/>
      <c r="I86" s="43"/>
      <c r="J86" s="43"/>
      <c r="K86" s="43"/>
    </row>
    <row r="87" spans="1:11" ht="15.75" customHeight="1" x14ac:dyDescent="0.25">
      <c r="A87" s="43"/>
      <c r="B87" s="43"/>
      <c r="C87" s="43"/>
      <c r="D87" s="43"/>
      <c r="E87" s="43"/>
      <c r="F87" s="44"/>
      <c r="G87" s="43"/>
      <c r="H87" s="43"/>
      <c r="I87" s="43"/>
      <c r="J87" s="43"/>
      <c r="K87" s="43"/>
    </row>
    <row r="88" spans="1:11" ht="15.75" customHeight="1" x14ac:dyDescent="0.25">
      <c r="A88" s="43"/>
      <c r="B88" s="43"/>
      <c r="C88" s="43"/>
      <c r="D88" s="43"/>
      <c r="E88" s="43"/>
      <c r="F88" s="44"/>
      <c r="G88" s="43"/>
      <c r="H88" s="43"/>
      <c r="I88" s="43"/>
      <c r="J88" s="43"/>
      <c r="K88" s="43"/>
    </row>
    <row r="89" spans="1:11" ht="15.75" customHeight="1" x14ac:dyDescent="0.25">
      <c r="A89" s="43"/>
      <c r="B89" s="43"/>
      <c r="C89" s="43"/>
      <c r="D89" s="43"/>
      <c r="E89" s="43"/>
      <c r="F89" s="44"/>
      <c r="G89" s="43"/>
      <c r="H89" s="43"/>
      <c r="I89" s="43"/>
      <c r="J89" s="43"/>
      <c r="K89" s="43"/>
    </row>
    <row r="90" spans="1:11" ht="15.75" customHeight="1" x14ac:dyDescent="0.25">
      <c r="A90" s="43"/>
      <c r="B90" s="43"/>
      <c r="C90" s="43"/>
      <c r="D90" s="43"/>
      <c r="E90" s="43"/>
      <c r="F90" s="44"/>
      <c r="G90" s="43"/>
      <c r="H90" s="43"/>
      <c r="I90" s="43"/>
      <c r="J90" s="43"/>
      <c r="K90" s="43"/>
    </row>
    <row r="91" spans="1:11" ht="15.75" customHeight="1" x14ac:dyDescent="0.25">
      <c r="A91" s="43"/>
      <c r="B91" s="43"/>
      <c r="C91" s="43"/>
      <c r="D91" s="43"/>
      <c r="E91" s="43"/>
      <c r="F91" s="44"/>
      <c r="G91" s="43"/>
      <c r="H91" s="43"/>
      <c r="I91" s="43"/>
      <c r="J91" s="43"/>
      <c r="K91" s="43"/>
    </row>
    <row r="92" spans="1:11" ht="15.75" customHeight="1" x14ac:dyDescent="0.25">
      <c r="A92" s="43"/>
      <c r="B92" s="43"/>
      <c r="C92" s="43"/>
      <c r="D92" s="43"/>
      <c r="E92" s="43"/>
      <c r="F92" s="44"/>
      <c r="G92" s="43"/>
      <c r="H92" s="43"/>
      <c r="I92" s="43"/>
      <c r="J92" s="43"/>
      <c r="K92" s="43"/>
    </row>
    <row r="93" spans="1:11" ht="15.75" customHeight="1" x14ac:dyDescent="0.25">
      <c r="A93" s="43"/>
      <c r="B93" s="43"/>
      <c r="C93" s="43"/>
      <c r="D93" s="43"/>
      <c r="E93" s="43"/>
      <c r="F93" s="44"/>
      <c r="G93" s="43"/>
      <c r="H93" s="43"/>
      <c r="I93" s="43"/>
      <c r="J93" s="43"/>
      <c r="K93" s="43"/>
    </row>
    <row r="94" spans="1:11" ht="15.75" customHeight="1" x14ac:dyDescent="0.25">
      <c r="A94" s="43"/>
      <c r="B94" s="43"/>
      <c r="C94" s="43"/>
      <c r="D94" s="43"/>
      <c r="E94" s="43"/>
      <c r="F94" s="44"/>
      <c r="G94" s="43"/>
      <c r="H94" s="43"/>
      <c r="I94" s="43"/>
      <c r="J94" s="43"/>
      <c r="K94" s="43"/>
    </row>
    <row r="95" spans="1:11" ht="15.75" customHeight="1" x14ac:dyDescent="0.25">
      <c r="A95" s="43"/>
      <c r="B95" s="43"/>
      <c r="C95" s="43"/>
      <c r="D95" s="43"/>
      <c r="E95" s="43"/>
      <c r="F95" s="44"/>
      <c r="G95" s="43"/>
      <c r="H95" s="43"/>
      <c r="I95" s="43"/>
      <c r="J95" s="43"/>
      <c r="K95" s="43"/>
    </row>
    <row r="96" spans="1:11" ht="15.75" customHeight="1" x14ac:dyDescent="0.25">
      <c r="A96" s="43"/>
      <c r="B96" s="43"/>
      <c r="C96" s="43"/>
      <c r="D96" s="43"/>
      <c r="E96" s="43"/>
      <c r="F96" s="44"/>
      <c r="G96" s="43"/>
      <c r="H96" s="43"/>
      <c r="I96" s="43"/>
      <c r="J96" s="43"/>
      <c r="K96" s="43"/>
    </row>
    <row r="97" spans="1:11" ht="15.75" customHeight="1" x14ac:dyDescent="0.25">
      <c r="A97" s="43"/>
      <c r="B97" s="43"/>
      <c r="C97" s="43"/>
      <c r="D97" s="43"/>
      <c r="E97" s="43"/>
      <c r="F97" s="44"/>
      <c r="G97" s="43"/>
      <c r="H97" s="43"/>
      <c r="I97" s="43"/>
      <c r="J97" s="43"/>
      <c r="K97" s="43"/>
    </row>
    <row r="98" spans="1:11" ht="15.75" customHeight="1" x14ac:dyDescent="0.25">
      <c r="A98" s="43"/>
      <c r="B98" s="43"/>
      <c r="C98" s="43"/>
      <c r="D98" s="43"/>
      <c r="E98" s="43"/>
      <c r="F98" s="44"/>
      <c r="G98" s="43"/>
      <c r="H98" s="43"/>
      <c r="I98" s="43"/>
      <c r="J98" s="43"/>
      <c r="K98" s="43"/>
    </row>
    <row r="99" spans="1:11" ht="15.75" customHeight="1" x14ac:dyDescent="0.25">
      <c r="A99" s="43"/>
      <c r="B99" s="43"/>
      <c r="C99" s="43"/>
      <c r="D99" s="43"/>
      <c r="E99" s="43"/>
      <c r="F99" s="44"/>
      <c r="G99" s="43"/>
      <c r="H99" s="43"/>
      <c r="I99" s="43"/>
      <c r="J99" s="43"/>
      <c r="K99" s="43"/>
    </row>
    <row r="100" spans="1:11" ht="15.75" customHeight="1" x14ac:dyDescent="0.25">
      <c r="A100" s="43"/>
      <c r="B100" s="43"/>
      <c r="C100" s="43"/>
      <c r="D100" s="43"/>
      <c r="E100" s="43"/>
      <c r="F100" s="44"/>
      <c r="G100" s="43"/>
      <c r="H100" s="43"/>
      <c r="I100" s="43"/>
      <c r="J100" s="43"/>
      <c r="K100" s="43"/>
    </row>
    <row r="101" spans="1:11" ht="15.75" customHeight="1" x14ac:dyDescent="0.25">
      <c r="A101" s="43"/>
      <c r="B101" s="43"/>
      <c r="C101" s="43"/>
      <c r="D101" s="43"/>
      <c r="E101" s="43"/>
      <c r="F101" s="44"/>
      <c r="G101" s="43"/>
      <c r="H101" s="43"/>
      <c r="I101" s="43"/>
      <c r="J101" s="43"/>
      <c r="K101" s="43"/>
    </row>
    <row r="102" spans="1:11" ht="15.75" customHeight="1" x14ac:dyDescent="0.25">
      <c r="A102" s="43"/>
      <c r="B102" s="43"/>
      <c r="C102" s="43"/>
      <c r="D102" s="43"/>
      <c r="E102" s="43"/>
      <c r="F102" s="44"/>
      <c r="G102" s="43"/>
      <c r="H102" s="43"/>
      <c r="I102" s="43"/>
      <c r="J102" s="43"/>
      <c r="K102" s="43"/>
    </row>
    <row r="103" spans="1:11" ht="15.75" customHeight="1" x14ac:dyDescent="0.25">
      <c r="A103" s="43"/>
      <c r="B103" s="43"/>
      <c r="C103" s="43"/>
      <c r="D103" s="43"/>
      <c r="E103" s="43"/>
      <c r="F103" s="44"/>
      <c r="G103" s="43"/>
      <c r="H103" s="43"/>
      <c r="I103" s="43"/>
      <c r="J103" s="43"/>
      <c r="K103" s="43"/>
    </row>
    <row r="104" spans="1:11" ht="15.75" customHeight="1" x14ac:dyDescent="0.25">
      <c r="A104" s="43"/>
      <c r="B104" s="43"/>
      <c r="C104" s="43"/>
      <c r="D104" s="43"/>
      <c r="E104" s="43"/>
      <c r="F104" s="44"/>
      <c r="G104" s="43"/>
      <c r="H104" s="43"/>
      <c r="I104" s="43"/>
      <c r="J104" s="43"/>
      <c r="K104" s="43"/>
    </row>
    <row r="105" spans="1:11" ht="15.75" customHeight="1" x14ac:dyDescent="0.25">
      <c r="A105" s="43"/>
      <c r="B105" s="43"/>
      <c r="C105" s="43"/>
      <c r="D105" s="43"/>
      <c r="E105" s="43"/>
      <c r="F105" s="44"/>
      <c r="G105" s="43"/>
      <c r="H105" s="43"/>
      <c r="I105" s="43"/>
      <c r="J105" s="43"/>
      <c r="K105" s="43"/>
    </row>
    <row r="106" spans="1:11" ht="15.75" customHeight="1" x14ac:dyDescent="0.25">
      <c r="A106" s="43"/>
      <c r="B106" s="43"/>
      <c r="C106" s="43"/>
      <c r="D106" s="43"/>
      <c r="E106" s="43"/>
      <c r="F106" s="44"/>
      <c r="G106" s="43"/>
      <c r="H106" s="43"/>
      <c r="I106" s="43"/>
      <c r="J106" s="43"/>
      <c r="K106" s="43"/>
    </row>
    <row r="107" spans="1:11" ht="15.75" customHeight="1" x14ac:dyDescent="0.25">
      <c r="A107" s="43"/>
      <c r="B107" s="43"/>
      <c r="C107" s="43"/>
      <c r="D107" s="43"/>
      <c r="E107" s="43"/>
      <c r="F107" s="44"/>
      <c r="G107" s="43"/>
      <c r="H107" s="43"/>
      <c r="I107" s="43"/>
      <c r="J107" s="43"/>
      <c r="K107" s="43"/>
    </row>
    <row r="108" spans="1:11" ht="15.75" customHeight="1" x14ac:dyDescent="0.25">
      <c r="A108" s="43"/>
      <c r="B108" s="43"/>
      <c r="C108" s="43"/>
      <c r="D108" s="43"/>
      <c r="E108" s="43"/>
      <c r="F108" s="44"/>
      <c r="G108" s="43"/>
      <c r="H108" s="43"/>
      <c r="I108" s="43"/>
      <c r="J108" s="43"/>
      <c r="K108" s="43"/>
    </row>
    <row r="109" spans="1:11" ht="15.75" customHeight="1" x14ac:dyDescent="0.25">
      <c r="A109" s="43"/>
      <c r="B109" s="43"/>
      <c r="C109" s="43"/>
      <c r="D109" s="43"/>
      <c r="E109" s="43"/>
      <c r="F109" s="44"/>
      <c r="G109" s="43"/>
      <c r="H109" s="43"/>
      <c r="I109" s="43"/>
      <c r="J109" s="43"/>
      <c r="K109" s="43"/>
    </row>
    <row r="110" spans="1:11" ht="15.75" customHeight="1" x14ac:dyDescent="0.25">
      <c r="A110" s="43"/>
      <c r="B110" s="43"/>
      <c r="C110" s="43"/>
      <c r="D110" s="43"/>
      <c r="E110" s="43"/>
      <c r="F110" s="44"/>
      <c r="G110" s="43"/>
      <c r="H110" s="43"/>
      <c r="I110" s="43"/>
      <c r="J110" s="43"/>
      <c r="K110" s="43"/>
    </row>
    <row r="111" spans="1:11" ht="15.75" customHeight="1" x14ac:dyDescent="0.25">
      <c r="A111" s="43"/>
      <c r="B111" s="43"/>
      <c r="C111" s="43"/>
      <c r="D111" s="43"/>
      <c r="E111" s="43"/>
      <c r="F111" s="44"/>
      <c r="G111" s="43"/>
      <c r="H111" s="43"/>
      <c r="I111" s="43"/>
      <c r="J111" s="43"/>
      <c r="K111" s="43"/>
    </row>
    <row r="112" spans="1:11" ht="15.75" customHeight="1" x14ac:dyDescent="0.25">
      <c r="A112" s="43"/>
      <c r="B112" s="43"/>
      <c r="C112" s="43"/>
      <c r="D112" s="43"/>
      <c r="E112" s="43"/>
      <c r="F112" s="44"/>
      <c r="G112" s="43"/>
      <c r="H112" s="43"/>
      <c r="I112" s="43"/>
      <c r="J112" s="43"/>
      <c r="K112" s="43"/>
    </row>
    <row r="113" spans="1:11" ht="15.75" customHeight="1" x14ac:dyDescent="0.25">
      <c r="A113" s="43"/>
      <c r="B113" s="43"/>
      <c r="C113" s="43"/>
      <c r="D113" s="43"/>
      <c r="E113" s="43"/>
      <c r="F113" s="44"/>
      <c r="G113" s="43"/>
      <c r="H113" s="43"/>
      <c r="I113" s="43"/>
      <c r="J113" s="43"/>
      <c r="K113" s="43"/>
    </row>
    <row r="114" spans="1:11" ht="15.75" customHeight="1" x14ac:dyDescent="0.25">
      <c r="A114" s="43"/>
      <c r="B114" s="43"/>
      <c r="C114" s="43"/>
      <c r="D114" s="43"/>
      <c r="E114" s="43"/>
      <c r="F114" s="44"/>
      <c r="G114" s="43"/>
      <c r="H114" s="43"/>
      <c r="I114" s="43"/>
      <c r="J114" s="43"/>
      <c r="K114" s="43"/>
    </row>
    <row r="115" spans="1:11" ht="15.75" customHeight="1" x14ac:dyDescent="0.25">
      <c r="A115" s="43"/>
      <c r="B115" s="43"/>
      <c r="C115" s="43"/>
      <c r="D115" s="43"/>
      <c r="E115" s="43"/>
      <c r="F115" s="44"/>
      <c r="G115" s="43"/>
      <c r="H115" s="43"/>
      <c r="I115" s="43"/>
      <c r="J115" s="43"/>
      <c r="K115" s="43"/>
    </row>
    <row r="116" spans="1:11" ht="15.75" customHeight="1" x14ac:dyDescent="0.25">
      <c r="A116" s="43"/>
      <c r="B116" s="43"/>
      <c r="C116" s="43"/>
      <c r="D116" s="43"/>
      <c r="E116" s="43"/>
      <c r="F116" s="44"/>
      <c r="G116" s="43"/>
      <c r="H116" s="43"/>
      <c r="I116" s="43"/>
      <c r="J116" s="43"/>
      <c r="K116" s="43"/>
    </row>
    <row r="117" spans="1:11" ht="15.75" customHeight="1" x14ac:dyDescent="0.25">
      <c r="A117" s="43"/>
      <c r="B117" s="43"/>
      <c r="C117" s="43"/>
      <c r="D117" s="43"/>
      <c r="E117" s="43"/>
      <c r="F117" s="44"/>
      <c r="G117" s="43"/>
      <c r="H117" s="43"/>
      <c r="I117" s="43"/>
      <c r="J117" s="43"/>
      <c r="K117" s="43"/>
    </row>
    <row r="118" spans="1:11" ht="15.75" customHeight="1" x14ac:dyDescent="0.25">
      <c r="A118" s="43"/>
      <c r="B118" s="43"/>
      <c r="C118" s="43"/>
      <c r="D118" s="43"/>
      <c r="E118" s="43"/>
      <c r="F118" s="44"/>
      <c r="G118" s="43"/>
      <c r="H118" s="43"/>
      <c r="I118" s="43"/>
      <c r="J118" s="43"/>
      <c r="K118" s="43"/>
    </row>
    <row r="119" spans="1:11" ht="15.75" customHeight="1" x14ac:dyDescent="0.25">
      <c r="A119" s="43"/>
      <c r="B119" s="43"/>
      <c r="C119" s="43"/>
      <c r="D119" s="43"/>
      <c r="E119" s="43"/>
      <c r="F119" s="44"/>
      <c r="G119" s="43"/>
      <c r="H119" s="43"/>
      <c r="I119" s="43"/>
      <c r="J119" s="43"/>
      <c r="K119" s="43"/>
    </row>
    <row r="120" spans="1:11" ht="15.75" customHeight="1" x14ac:dyDescent="0.25">
      <c r="A120" s="43"/>
      <c r="B120" s="43"/>
      <c r="C120" s="43"/>
      <c r="D120" s="43"/>
      <c r="E120" s="43"/>
      <c r="F120" s="44"/>
      <c r="G120" s="43"/>
      <c r="H120" s="43"/>
      <c r="I120" s="43"/>
      <c r="J120" s="43"/>
      <c r="K120" s="43"/>
    </row>
    <row r="121" spans="1:11" ht="15.75" customHeight="1" x14ac:dyDescent="0.25">
      <c r="A121" s="43"/>
      <c r="B121" s="43"/>
      <c r="C121" s="43"/>
      <c r="D121" s="43"/>
      <c r="E121" s="43"/>
      <c r="F121" s="44"/>
      <c r="G121" s="43"/>
      <c r="H121" s="43"/>
      <c r="I121" s="43"/>
      <c r="J121" s="43"/>
      <c r="K121" s="43"/>
    </row>
    <row r="122" spans="1:11" ht="15.75" customHeight="1" x14ac:dyDescent="0.25">
      <c r="A122" s="43"/>
      <c r="B122" s="43"/>
      <c r="C122" s="43"/>
      <c r="D122" s="43"/>
      <c r="E122" s="43"/>
      <c r="F122" s="44"/>
      <c r="G122" s="43"/>
      <c r="H122" s="43"/>
      <c r="I122" s="43"/>
      <c r="J122" s="43"/>
      <c r="K122" s="43"/>
    </row>
    <row r="123" spans="1:11" ht="15.75" customHeight="1" x14ac:dyDescent="0.25">
      <c r="A123" s="43"/>
      <c r="B123" s="43"/>
      <c r="C123" s="43"/>
      <c r="D123" s="43"/>
      <c r="E123" s="43"/>
      <c r="F123" s="44"/>
      <c r="G123" s="43"/>
      <c r="H123" s="43"/>
      <c r="I123" s="43"/>
      <c r="J123" s="43"/>
      <c r="K123" s="43"/>
    </row>
    <row r="124" spans="1:11" ht="15.75" customHeight="1" x14ac:dyDescent="0.25">
      <c r="A124" s="43"/>
      <c r="B124" s="43"/>
      <c r="C124" s="43"/>
      <c r="D124" s="43"/>
      <c r="E124" s="43"/>
      <c r="F124" s="44"/>
      <c r="G124" s="43"/>
      <c r="H124" s="43"/>
      <c r="I124" s="43"/>
      <c r="J124" s="43"/>
      <c r="K124" s="43"/>
    </row>
    <row r="125" spans="1:11" ht="15.75" customHeight="1" x14ac:dyDescent="0.25">
      <c r="A125" s="43"/>
      <c r="B125" s="43"/>
      <c r="C125" s="43"/>
      <c r="D125" s="43"/>
      <c r="E125" s="43"/>
      <c r="F125" s="44"/>
      <c r="G125" s="43"/>
      <c r="H125" s="43"/>
      <c r="I125" s="43"/>
      <c r="J125" s="43"/>
      <c r="K125" s="43"/>
    </row>
    <row r="126" spans="1:11" ht="15.75" customHeight="1" x14ac:dyDescent="0.25">
      <c r="A126" s="43"/>
      <c r="B126" s="43"/>
      <c r="C126" s="43"/>
      <c r="D126" s="43"/>
      <c r="E126" s="43"/>
      <c r="F126" s="44"/>
      <c r="G126" s="43"/>
      <c r="H126" s="43"/>
      <c r="I126" s="43"/>
      <c r="J126" s="43"/>
      <c r="K126" s="43"/>
    </row>
    <row r="127" spans="1:11" ht="15.75" customHeight="1" x14ac:dyDescent="0.25">
      <c r="A127" s="43"/>
      <c r="B127" s="43"/>
      <c r="C127" s="43"/>
      <c r="D127" s="43"/>
      <c r="E127" s="43"/>
      <c r="F127" s="44"/>
      <c r="G127" s="43"/>
      <c r="H127" s="43"/>
      <c r="I127" s="43"/>
      <c r="J127" s="43"/>
      <c r="K127" s="43"/>
    </row>
    <row r="128" spans="1:11" ht="15.75" customHeight="1" x14ac:dyDescent="0.25">
      <c r="A128" s="43"/>
      <c r="B128" s="43"/>
      <c r="C128" s="43"/>
      <c r="D128" s="43"/>
      <c r="E128" s="43"/>
      <c r="F128" s="44"/>
      <c r="G128" s="43"/>
      <c r="H128" s="43"/>
      <c r="I128" s="43"/>
      <c r="J128" s="43"/>
      <c r="K128" s="43"/>
    </row>
    <row r="129" spans="1:11" ht="15.75" customHeight="1" x14ac:dyDescent="0.25">
      <c r="A129" s="43"/>
      <c r="B129" s="43"/>
      <c r="C129" s="43"/>
      <c r="D129" s="43"/>
      <c r="E129" s="43"/>
      <c r="F129" s="44"/>
      <c r="G129" s="43"/>
      <c r="H129" s="43"/>
      <c r="I129" s="43"/>
      <c r="J129" s="43"/>
      <c r="K129" s="43"/>
    </row>
    <row r="130" spans="1:11" ht="15.75" customHeight="1" x14ac:dyDescent="0.25">
      <c r="A130" s="43"/>
      <c r="B130" s="43"/>
      <c r="C130" s="43"/>
      <c r="D130" s="43"/>
      <c r="E130" s="43"/>
      <c r="F130" s="44"/>
      <c r="G130" s="43"/>
      <c r="H130" s="43"/>
      <c r="I130" s="43"/>
      <c r="J130" s="43"/>
      <c r="K130" s="43"/>
    </row>
    <row r="131" spans="1:11" ht="15.75" customHeight="1" x14ac:dyDescent="0.25">
      <c r="A131" s="43"/>
      <c r="B131" s="43"/>
      <c r="C131" s="43"/>
      <c r="D131" s="43"/>
      <c r="E131" s="43"/>
      <c r="F131" s="44"/>
      <c r="G131" s="43"/>
      <c r="H131" s="43"/>
      <c r="I131" s="43"/>
      <c r="J131" s="43"/>
      <c r="K131" s="43"/>
    </row>
    <row r="132" spans="1:11" ht="15.75" customHeight="1" x14ac:dyDescent="0.25">
      <c r="A132" s="43"/>
      <c r="B132" s="43"/>
      <c r="C132" s="43"/>
      <c r="D132" s="43"/>
      <c r="E132" s="43"/>
      <c r="F132" s="44"/>
      <c r="G132" s="43"/>
      <c r="H132" s="43"/>
      <c r="I132" s="43"/>
      <c r="J132" s="43"/>
      <c r="K132" s="43"/>
    </row>
    <row r="133" spans="1:11" ht="15.75" customHeight="1" x14ac:dyDescent="0.25">
      <c r="A133" s="43"/>
      <c r="B133" s="43"/>
      <c r="C133" s="43"/>
      <c r="D133" s="43"/>
      <c r="E133" s="43"/>
      <c r="F133" s="44"/>
      <c r="G133" s="43"/>
      <c r="H133" s="43"/>
      <c r="I133" s="43"/>
      <c r="J133" s="43"/>
      <c r="K133" s="43"/>
    </row>
    <row r="134" spans="1:11" ht="15.75" customHeight="1" x14ac:dyDescent="0.25">
      <c r="A134" s="43"/>
      <c r="B134" s="43"/>
      <c r="C134" s="43"/>
      <c r="D134" s="43"/>
      <c r="E134" s="43"/>
      <c r="F134" s="44"/>
      <c r="G134" s="43"/>
      <c r="H134" s="43"/>
      <c r="I134" s="43"/>
      <c r="J134" s="43"/>
      <c r="K134" s="43"/>
    </row>
    <row r="135" spans="1:11" ht="15.75" customHeight="1" x14ac:dyDescent="0.25">
      <c r="A135" s="43"/>
      <c r="B135" s="43"/>
      <c r="C135" s="43"/>
      <c r="D135" s="43"/>
      <c r="E135" s="43"/>
      <c r="F135" s="44"/>
      <c r="G135" s="43"/>
      <c r="H135" s="43"/>
      <c r="I135" s="43"/>
      <c r="J135" s="43"/>
      <c r="K135" s="43"/>
    </row>
    <row r="136" spans="1:11" ht="15.75" customHeight="1" x14ac:dyDescent="0.25">
      <c r="A136" s="43"/>
      <c r="B136" s="43"/>
      <c r="C136" s="43"/>
      <c r="D136" s="43"/>
      <c r="E136" s="43"/>
      <c r="F136" s="44"/>
      <c r="G136" s="43"/>
      <c r="H136" s="43"/>
      <c r="I136" s="43"/>
      <c r="J136" s="43"/>
      <c r="K136" s="43"/>
    </row>
    <row r="137" spans="1:11" ht="15.75" customHeight="1" x14ac:dyDescent="0.25">
      <c r="A137" s="43"/>
      <c r="B137" s="43"/>
      <c r="C137" s="43"/>
      <c r="D137" s="43"/>
      <c r="E137" s="43"/>
      <c r="F137" s="44"/>
      <c r="G137" s="43"/>
      <c r="H137" s="43"/>
      <c r="I137" s="43"/>
      <c r="J137" s="43"/>
      <c r="K137" s="43"/>
    </row>
    <row r="138" spans="1:11" ht="15.75" customHeight="1" x14ac:dyDescent="0.25">
      <c r="A138" s="43"/>
      <c r="B138" s="43"/>
      <c r="C138" s="43"/>
      <c r="D138" s="43"/>
      <c r="E138" s="43"/>
      <c r="F138" s="44"/>
      <c r="G138" s="43"/>
      <c r="H138" s="43"/>
      <c r="I138" s="43"/>
      <c r="J138" s="43"/>
      <c r="K138" s="43"/>
    </row>
    <row r="139" spans="1:11" ht="15.75" customHeight="1" x14ac:dyDescent="0.25">
      <c r="A139" s="43"/>
      <c r="B139" s="43"/>
      <c r="C139" s="43"/>
      <c r="D139" s="43"/>
      <c r="E139" s="43"/>
      <c r="F139" s="44"/>
      <c r="G139" s="43"/>
      <c r="H139" s="43"/>
      <c r="I139" s="43"/>
      <c r="J139" s="43"/>
      <c r="K139" s="43"/>
    </row>
    <row r="140" spans="1:11" ht="15.75" customHeight="1" x14ac:dyDescent="0.25">
      <c r="A140" s="43"/>
      <c r="B140" s="43"/>
      <c r="C140" s="43"/>
      <c r="D140" s="43"/>
      <c r="E140" s="43"/>
      <c r="F140" s="44"/>
      <c r="G140" s="43"/>
      <c r="H140" s="43"/>
      <c r="I140" s="43"/>
      <c r="J140" s="43"/>
      <c r="K140" s="43"/>
    </row>
    <row r="141" spans="1:11" ht="15.75" customHeight="1" x14ac:dyDescent="0.25">
      <c r="A141" s="43"/>
      <c r="B141" s="43"/>
      <c r="C141" s="43"/>
      <c r="D141" s="43"/>
      <c r="E141" s="43"/>
      <c r="F141" s="44"/>
      <c r="G141" s="43"/>
      <c r="H141" s="43"/>
      <c r="I141" s="43"/>
      <c r="J141" s="43"/>
      <c r="K141" s="43"/>
    </row>
    <row r="142" spans="1:11" ht="15.75" customHeight="1" x14ac:dyDescent="0.25">
      <c r="A142" s="43"/>
      <c r="B142" s="43"/>
      <c r="C142" s="43"/>
      <c r="D142" s="43"/>
      <c r="E142" s="43"/>
      <c r="F142" s="44"/>
      <c r="G142" s="43"/>
      <c r="H142" s="43"/>
      <c r="I142" s="43"/>
      <c r="J142" s="43"/>
      <c r="K142" s="43"/>
    </row>
    <row r="143" spans="1:11" ht="15.75" customHeight="1" x14ac:dyDescent="0.25">
      <c r="A143" s="43"/>
      <c r="B143" s="43"/>
      <c r="C143" s="43"/>
      <c r="D143" s="43"/>
      <c r="E143" s="43"/>
      <c r="F143" s="44"/>
      <c r="G143" s="43"/>
      <c r="H143" s="43"/>
      <c r="I143" s="43"/>
      <c r="J143" s="43"/>
      <c r="K143" s="43"/>
    </row>
    <row r="144" spans="1:11" ht="15.75" customHeight="1" x14ac:dyDescent="0.25">
      <c r="A144" s="43"/>
      <c r="B144" s="43"/>
      <c r="C144" s="43"/>
      <c r="D144" s="43"/>
      <c r="E144" s="43"/>
      <c r="F144" s="44"/>
      <c r="G144" s="43"/>
      <c r="H144" s="43"/>
      <c r="I144" s="43"/>
      <c r="J144" s="43"/>
      <c r="K144" s="43"/>
    </row>
    <row r="145" spans="1:11" ht="15.75" customHeight="1" x14ac:dyDescent="0.25">
      <c r="A145" s="43"/>
      <c r="B145" s="43"/>
      <c r="C145" s="43"/>
      <c r="D145" s="43"/>
      <c r="E145" s="43"/>
      <c r="F145" s="44"/>
      <c r="G145" s="43"/>
      <c r="H145" s="43"/>
      <c r="I145" s="43"/>
      <c r="J145" s="43"/>
      <c r="K145" s="43"/>
    </row>
    <row r="146" spans="1:11" ht="15.75" customHeight="1" x14ac:dyDescent="0.25">
      <c r="A146" s="43"/>
      <c r="B146" s="43"/>
      <c r="C146" s="43"/>
      <c r="D146" s="43"/>
      <c r="E146" s="43"/>
      <c r="F146" s="44"/>
      <c r="G146" s="43"/>
      <c r="H146" s="43"/>
      <c r="I146" s="43"/>
      <c r="J146" s="43"/>
      <c r="K146" s="43"/>
    </row>
    <row r="147" spans="1:11" ht="15.75" customHeight="1" x14ac:dyDescent="0.25">
      <c r="A147" s="43"/>
      <c r="B147" s="43"/>
      <c r="C147" s="43"/>
      <c r="D147" s="43"/>
      <c r="E147" s="43"/>
      <c r="F147" s="44"/>
      <c r="G147" s="43"/>
      <c r="H147" s="43"/>
      <c r="I147" s="43"/>
      <c r="J147" s="43"/>
      <c r="K147" s="43"/>
    </row>
    <row r="148" spans="1:11" ht="15.75" customHeight="1" x14ac:dyDescent="0.25">
      <c r="A148" s="43"/>
      <c r="B148" s="43"/>
      <c r="C148" s="43"/>
      <c r="D148" s="43"/>
      <c r="E148" s="43"/>
      <c r="F148" s="44"/>
      <c r="G148" s="43"/>
      <c r="H148" s="43"/>
      <c r="I148" s="43"/>
      <c r="J148" s="43"/>
      <c r="K148" s="43"/>
    </row>
    <row r="149" spans="1:11" ht="15.75" customHeight="1" x14ac:dyDescent="0.25">
      <c r="A149" s="43"/>
      <c r="B149" s="43"/>
      <c r="C149" s="43"/>
      <c r="D149" s="43"/>
      <c r="E149" s="43"/>
      <c r="F149" s="44"/>
      <c r="G149" s="43"/>
      <c r="H149" s="43"/>
      <c r="I149" s="43"/>
      <c r="J149" s="43"/>
      <c r="K149" s="43"/>
    </row>
    <row r="150" spans="1:11" ht="15.75" customHeight="1" x14ac:dyDescent="0.25">
      <c r="A150" s="43"/>
      <c r="B150" s="43"/>
      <c r="C150" s="43"/>
      <c r="D150" s="43"/>
      <c r="E150" s="43"/>
      <c r="F150" s="44"/>
      <c r="G150" s="43"/>
      <c r="H150" s="43"/>
      <c r="I150" s="43"/>
      <c r="J150" s="43"/>
      <c r="K150" s="43"/>
    </row>
    <row r="151" spans="1:11" ht="15.75" customHeight="1" x14ac:dyDescent="0.25">
      <c r="A151" s="43"/>
      <c r="B151" s="43"/>
      <c r="C151" s="43"/>
      <c r="D151" s="43"/>
      <c r="E151" s="43"/>
      <c r="F151" s="44"/>
      <c r="G151" s="43"/>
      <c r="H151" s="43"/>
      <c r="I151" s="43"/>
      <c r="J151" s="43"/>
      <c r="K151" s="43"/>
    </row>
    <row r="152" spans="1:11" ht="15.75" customHeight="1" x14ac:dyDescent="0.25">
      <c r="A152" s="43"/>
      <c r="B152" s="43"/>
      <c r="C152" s="43"/>
      <c r="D152" s="43"/>
      <c r="E152" s="43"/>
      <c r="F152" s="44"/>
      <c r="G152" s="43"/>
      <c r="H152" s="43"/>
      <c r="I152" s="43"/>
      <c r="J152" s="43"/>
      <c r="K152" s="43"/>
    </row>
    <row r="153" spans="1:11" ht="15.75" customHeight="1" x14ac:dyDescent="0.25">
      <c r="A153" s="43"/>
      <c r="B153" s="43"/>
      <c r="C153" s="43"/>
      <c r="D153" s="43"/>
      <c r="E153" s="43"/>
      <c r="F153" s="44"/>
      <c r="G153" s="43"/>
      <c r="H153" s="43"/>
      <c r="I153" s="43"/>
      <c r="J153" s="43"/>
      <c r="K153" s="43"/>
    </row>
    <row r="154" spans="1:11" ht="15.75" customHeight="1" x14ac:dyDescent="0.25">
      <c r="A154" s="43"/>
      <c r="B154" s="43"/>
      <c r="C154" s="43"/>
      <c r="D154" s="43"/>
      <c r="E154" s="43"/>
      <c r="F154" s="44"/>
      <c r="G154" s="43"/>
      <c r="H154" s="43"/>
      <c r="I154" s="43"/>
      <c r="J154" s="43"/>
      <c r="K154" s="43"/>
    </row>
    <row r="155" spans="1:11" ht="15.75" customHeight="1" x14ac:dyDescent="0.25">
      <c r="A155" s="43"/>
      <c r="B155" s="43"/>
      <c r="C155" s="43"/>
      <c r="D155" s="43"/>
      <c r="E155" s="43"/>
      <c r="F155" s="44"/>
      <c r="G155" s="43"/>
      <c r="H155" s="43"/>
      <c r="I155" s="43"/>
      <c r="J155" s="43"/>
      <c r="K155" s="43"/>
    </row>
    <row r="156" spans="1:11" ht="15.75" customHeight="1" x14ac:dyDescent="0.25">
      <c r="A156" s="43"/>
      <c r="B156" s="43"/>
      <c r="C156" s="43"/>
      <c r="D156" s="43"/>
      <c r="E156" s="43"/>
      <c r="F156" s="44"/>
      <c r="G156" s="43"/>
      <c r="H156" s="43"/>
      <c r="I156" s="43"/>
      <c r="J156" s="43"/>
      <c r="K156" s="43"/>
    </row>
    <row r="157" spans="1:11" ht="15.75" customHeight="1" x14ac:dyDescent="0.25">
      <c r="A157" s="43"/>
      <c r="B157" s="43"/>
      <c r="C157" s="43"/>
      <c r="D157" s="43"/>
      <c r="E157" s="43"/>
      <c r="F157" s="44"/>
      <c r="G157" s="43"/>
      <c r="H157" s="43"/>
      <c r="I157" s="43"/>
      <c r="J157" s="43"/>
      <c r="K157" s="43"/>
    </row>
    <row r="158" spans="1:11" ht="15.75" customHeight="1" x14ac:dyDescent="0.25">
      <c r="A158" s="43"/>
      <c r="B158" s="43"/>
      <c r="C158" s="43"/>
      <c r="D158" s="43"/>
      <c r="E158" s="43"/>
      <c r="F158" s="44"/>
      <c r="G158" s="43"/>
      <c r="H158" s="43"/>
      <c r="I158" s="43"/>
      <c r="J158" s="43"/>
      <c r="K158" s="43"/>
    </row>
    <row r="159" spans="1:11" ht="15.75" customHeight="1" x14ac:dyDescent="0.25">
      <c r="A159" s="43"/>
      <c r="B159" s="43"/>
      <c r="C159" s="43"/>
      <c r="D159" s="43"/>
      <c r="E159" s="43"/>
      <c r="F159" s="44"/>
      <c r="G159" s="43"/>
      <c r="H159" s="43"/>
      <c r="I159" s="43"/>
      <c r="J159" s="43"/>
      <c r="K159" s="43"/>
    </row>
    <row r="160" spans="1:11" ht="15.75" customHeight="1" x14ac:dyDescent="0.25">
      <c r="A160" s="43"/>
      <c r="B160" s="43"/>
      <c r="C160" s="43"/>
      <c r="D160" s="43"/>
      <c r="E160" s="43"/>
      <c r="F160" s="44"/>
      <c r="G160" s="43"/>
      <c r="H160" s="43"/>
      <c r="I160" s="43"/>
      <c r="J160" s="43"/>
      <c r="K160" s="43"/>
    </row>
    <row r="161" spans="1:11" ht="15.75" customHeight="1" x14ac:dyDescent="0.25">
      <c r="A161" s="43"/>
      <c r="B161" s="43"/>
      <c r="C161" s="43"/>
      <c r="D161" s="43"/>
      <c r="E161" s="43"/>
      <c r="F161" s="44"/>
      <c r="G161" s="43"/>
      <c r="H161" s="43"/>
      <c r="I161" s="43"/>
      <c r="J161" s="43"/>
      <c r="K161" s="43"/>
    </row>
    <row r="162" spans="1:11" ht="15.75" customHeight="1" x14ac:dyDescent="0.25">
      <c r="A162" s="43"/>
      <c r="B162" s="43"/>
      <c r="C162" s="43"/>
      <c r="D162" s="43"/>
      <c r="E162" s="43"/>
      <c r="F162" s="44"/>
      <c r="G162" s="43"/>
      <c r="H162" s="43"/>
      <c r="I162" s="43"/>
      <c r="J162" s="43"/>
      <c r="K162" s="43"/>
    </row>
    <row r="163" spans="1:11" ht="15.75" customHeight="1" x14ac:dyDescent="0.25">
      <c r="A163" s="43"/>
      <c r="B163" s="43"/>
      <c r="C163" s="43"/>
      <c r="D163" s="43"/>
      <c r="E163" s="43"/>
      <c r="F163" s="44"/>
      <c r="G163" s="43"/>
      <c r="H163" s="43"/>
      <c r="I163" s="43"/>
      <c r="J163" s="43"/>
      <c r="K163" s="43"/>
    </row>
    <row r="164" spans="1:11" ht="15.75" customHeight="1" x14ac:dyDescent="0.25">
      <c r="A164" s="43"/>
      <c r="B164" s="43"/>
      <c r="C164" s="43"/>
      <c r="D164" s="43"/>
      <c r="E164" s="43"/>
      <c r="F164" s="44"/>
      <c r="G164" s="43"/>
      <c r="H164" s="43"/>
      <c r="I164" s="43"/>
      <c r="J164" s="43"/>
      <c r="K164" s="43"/>
    </row>
    <row r="165" spans="1:11" ht="15.75" customHeight="1" x14ac:dyDescent="0.25">
      <c r="A165" s="43"/>
      <c r="B165" s="43"/>
      <c r="C165" s="43"/>
      <c r="D165" s="43"/>
      <c r="E165" s="43"/>
      <c r="F165" s="44"/>
      <c r="G165" s="43"/>
      <c r="H165" s="43"/>
      <c r="I165" s="43"/>
      <c r="J165" s="43"/>
      <c r="K165" s="43"/>
    </row>
    <row r="166" spans="1:11" ht="15.75" customHeight="1" x14ac:dyDescent="0.25">
      <c r="A166" s="43"/>
      <c r="B166" s="43"/>
      <c r="C166" s="43"/>
      <c r="D166" s="43"/>
      <c r="E166" s="43"/>
      <c r="F166" s="44"/>
      <c r="G166" s="43"/>
      <c r="H166" s="43"/>
      <c r="I166" s="43"/>
      <c r="J166" s="43"/>
      <c r="K166" s="43"/>
    </row>
    <row r="167" spans="1:11" ht="15.75" customHeight="1" x14ac:dyDescent="0.25">
      <c r="A167" s="43"/>
      <c r="B167" s="43"/>
      <c r="C167" s="43"/>
      <c r="D167" s="43"/>
      <c r="E167" s="43"/>
      <c r="F167" s="44"/>
      <c r="G167" s="43"/>
      <c r="H167" s="43"/>
      <c r="I167" s="43"/>
      <c r="J167" s="43"/>
      <c r="K167" s="43"/>
    </row>
    <row r="168" spans="1:11" ht="15.75" customHeight="1" x14ac:dyDescent="0.25">
      <c r="A168" s="43"/>
      <c r="B168" s="43"/>
      <c r="C168" s="43"/>
      <c r="D168" s="43"/>
      <c r="E168" s="43"/>
      <c r="F168" s="44"/>
      <c r="G168" s="43"/>
      <c r="H168" s="43"/>
      <c r="I168" s="43"/>
      <c r="J168" s="43"/>
      <c r="K168" s="43"/>
    </row>
    <row r="169" spans="1:11" ht="15.75" customHeight="1" x14ac:dyDescent="0.25">
      <c r="A169" s="43"/>
      <c r="B169" s="43"/>
      <c r="C169" s="43"/>
      <c r="D169" s="43"/>
      <c r="E169" s="43"/>
      <c r="F169" s="44"/>
      <c r="G169" s="43"/>
      <c r="H169" s="43"/>
      <c r="I169" s="43"/>
      <c r="J169" s="43"/>
      <c r="K169" s="43"/>
    </row>
    <row r="170" spans="1:11" ht="15.75" customHeight="1" x14ac:dyDescent="0.25">
      <c r="A170" s="43"/>
      <c r="B170" s="43"/>
      <c r="C170" s="43"/>
      <c r="D170" s="43"/>
      <c r="E170" s="43"/>
      <c r="F170" s="44"/>
      <c r="G170" s="43"/>
      <c r="H170" s="43"/>
      <c r="I170" s="43"/>
      <c r="J170" s="43"/>
      <c r="K170" s="43"/>
    </row>
    <row r="171" spans="1:11" ht="15.75" customHeight="1" x14ac:dyDescent="0.25">
      <c r="A171" s="43"/>
      <c r="B171" s="43"/>
      <c r="C171" s="43"/>
      <c r="D171" s="43"/>
      <c r="E171" s="43"/>
      <c r="F171" s="44"/>
      <c r="G171" s="43"/>
      <c r="H171" s="43"/>
      <c r="I171" s="43"/>
      <c r="J171" s="43"/>
      <c r="K171" s="43"/>
    </row>
    <row r="172" spans="1:11" ht="15.75" customHeight="1" x14ac:dyDescent="0.25">
      <c r="A172" s="43"/>
      <c r="B172" s="43"/>
      <c r="C172" s="43"/>
      <c r="D172" s="43"/>
      <c r="E172" s="43"/>
      <c r="F172" s="44"/>
      <c r="G172" s="43"/>
      <c r="H172" s="43"/>
      <c r="I172" s="43"/>
      <c r="J172" s="43"/>
      <c r="K172" s="43"/>
    </row>
    <row r="173" spans="1:11" ht="15.75" customHeight="1" x14ac:dyDescent="0.25">
      <c r="A173" s="43"/>
      <c r="B173" s="43"/>
      <c r="C173" s="43"/>
      <c r="D173" s="43"/>
      <c r="E173" s="43"/>
      <c r="F173" s="44"/>
      <c r="G173" s="43"/>
      <c r="H173" s="43"/>
      <c r="I173" s="43"/>
      <c r="J173" s="43"/>
      <c r="K173" s="43"/>
    </row>
    <row r="174" spans="1:11" ht="15.75" customHeight="1" x14ac:dyDescent="0.25">
      <c r="A174" s="43"/>
      <c r="B174" s="43"/>
      <c r="C174" s="43"/>
      <c r="D174" s="43"/>
      <c r="E174" s="43"/>
      <c r="F174" s="44"/>
      <c r="G174" s="43"/>
      <c r="H174" s="43"/>
      <c r="I174" s="43"/>
      <c r="J174" s="43"/>
      <c r="K174" s="43"/>
    </row>
    <row r="175" spans="1:11" ht="15.75" customHeight="1" x14ac:dyDescent="0.25">
      <c r="A175" s="43"/>
      <c r="B175" s="43"/>
      <c r="C175" s="43"/>
      <c r="D175" s="43"/>
      <c r="E175" s="43"/>
      <c r="F175" s="44"/>
      <c r="G175" s="43"/>
      <c r="H175" s="43"/>
      <c r="I175" s="43"/>
      <c r="J175" s="43"/>
      <c r="K175" s="43"/>
    </row>
    <row r="176" spans="1:11" ht="15.75" customHeight="1" x14ac:dyDescent="0.25">
      <c r="A176" s="43"/>
      <c r="B176" s="43"/>
      <c r="C176" s="43"/>
      <c r="D176" s="43"/>
      <c r="E176" s="43"/>
      <c r="F176" s="44"/>
      <c r="G176" s="43"/>
      <c r="H176" s="43"/>
      <c r="I176" s="43"/>
      <c r="J176" s="43"/>
      <c r="K176" s="43"/>
    </row>
    <row r="177" spans="1:11" ht="15.75" customHeight="1" x14ac:dyDescent="0.25">
      <c r="A177" s="43"/>
      <c r="B177" s="43"/>
      <c r="C177" s="43"/>
      <c r="D177" s="43"/>
      <c r="E177" s="43"/>
      <c r="F177" s="44"/>
      <c r="G177" s="43"/>
      <c r="H177" s="43"/>
      <c r="I177" s="43"/>
      <c r="J177" s="43"/>
      <c r="K177" s="43"/>
    </row>
    <row r="178" spans="1:11" ht="15.75" customHeight="1" x14ac:dyDescent="0.25">
      <c r="A178" s="43"/>
      <c r="B178" s="43"/>
      <c r="C178" s="43"/>
      <c r="D178" s="43"/>
      <c r="E178" s="43"/>
      <c r="F178" s="44"/>
      <c r="G178" s="43"/>
      <c r="H178" s="43"/>
      <c r="I178" s="43"/>
      <c r="J178" s="43"/>
      <c r="K178" s="43"/>
    </row>
    <row r="179" spans="1:11" ht="15.75" customHeight="1" x14ac:dyDescent="0.25">
      <c r="A179" s="43"/>
      <c r="B179" s="43"/>
      <c r="C179" s="43"/>
      <c r="D179" s="43"/>
      <c r="E179" s="43"/>
      <c r="F179" s="44"/>
      <c r="G179" s="43"/>
      <c r="H179" s="43"/>
      <c r="I179" s="43"/>
      <c r="J179" s="43"/>
      <c r="K179" s="43"/>
    </row>
    <row r="180" spans="1:11" ht="15.75" customHeight="1" x14ac:dyDescent="0.25">
      <c r="A180" s="43"/>
      <c r="B180" s="43"/>
      <c r="C180" s="43"/>
      <c r="D180" s="43"/>
      <c r="E180" s="43"/>
      <c r="F180" s="44"/>
      <c r="G180" s="43"/>
      <c r="H180" s="43"/>
      <c r="I180" s="43"/>
      <c r="J180" s="43"/>
      <c r="K180" s="43"/>
    </row>
    <row r="181" spans="1:11" ht="15.75" customHeight="1" x14ac:dyDescent="0.25">
      <c r="A181" s="43"/>
      <c r="B181" s="43"/>
      <c r="C181" s="43"/>
      <c r="D181" s="43"/>
      <c r="E181" s="43"/>
      <c r="F181" s="44"/>
      <c r="G181" s="43"/>
      <c r="H181" s="43"/>
      <c r="I181" s="43"/>
      <c r="J181" s="43"/>
      <c r="K181" s="43"/>
    </row>
    <row r="182" spans="1:11" ht="15.75" customHeight="1" x14ac:dyDescent="0.25">
      <c r="A182" s="43"/>
      <c r="B182" s="43"/>
      <c r="C182" s="43"/>
      <c r="D182" s="43"/>
      <c r="E182" s="43"/>
      <c r="F182" s="44"/>
      <c r="G182" s="43"/>
      <c r="H182" s="43"/>
      <c r="I182" s="43"/>
      <c r="J182" s="43"/>
      <c r="K182" s="43"/>
    </row>
    <row r="183" spans="1:11" ht="15.75" customHeight="1" x14ac:dyDescent="0.25">
      <c r="A183" s="43"/>
      <c r="B183" s="43"/>
      <c r="C183" s="43"/>
      <c r="D183" s="43"/>
      <c r="E183" s="43"/>
      <c r="F183" s="44"/>
      <c r="G183" s="43"/>
      <c r="H183" s="43"/>
      <c r="I183" s="43"/>
      <c r="J183" s="43"/>
      <c r="K183" s="43"/>
    </row>
    <row r="184" spans="1:11" ht="15.75" customHeight="1" x14ac:dyDescent="0.25">
      <c r="A184" s="43"/>
      <c r="B184" s="43"/>
      <c r="C184" s="43"/>
      <c r="D184" s="43"/>
      <c r="E184" s="43"/>
      <c r="F184" s="44"/>
      <c r="G184" s="43"/>
      <c r="H184" s="43"/>
      <c r="I184" s="43"/>
      <c r="J184" s="43"/>
      <c r="K184" s="43"/>
    </row>
    <row r="185" spans="1:11" ht="15.75" customHeight="1" x14ac:dyDescent="0.25">
      <c r="A185" s="43"/>
      <c r="B185" s="43"/>
      <c r="C185" s="43"/>
      <c r="D185" s="43"/>
      <c r="E185" s="43"/>
      <c r="F185" s="44"/>
      <c r="G185" s="43"/>
      <c r="H185" s="43"/>
      <c r="I185" s="43"/>
      <c r="J185" s="43"/>
      <c r="K185" s="43"/>
    </row>
    <row r="186" spans="1:11" ht="15.75" customHeight="1" x14ac:dyDescent="0.25">
      <c r="A186" s="43"/>
      <c r="B186" s="43"/>
      <c r="C186" s="43"/>
      <c r="D186" s="43"/>
      <c r="E186" s="43"/>
      <c r="F186" s="44"/>
      <c r="G186" s="43"/>
      <c r="H186" s="43"/>
      <c r="I186" s="43"/>
      <c r="J186" s="43"/>
      <c r="K186" s="43"/>
    </row>
    <row r="187" spans="1:11" ht="15.75" customHeight="1" x14ac:dyDescent="0.25">
      <c r="A187" s="43"/>
      <c r="B187" s="43"/>
      <c r="C187" s="43"/>
      <c r="D187" s="43"/>
      <c r="E187" s="43"/>
      <c r="F187" s="44"/>
      <c r="G187" s="43"/>
      <c r="H187" s="43"/>
      <c r="I187" s="43"/>
      <c r="J187" s="43"/>
      <c r="K187" s="43"/>
    </row>
    <row r="188" spans="1:11" ht="15.75" customHeight="1" x14ac:dyDescent="0.25">
      <c r="A188" s="43"/>
      <c r="B188" s="43"/>
      <c r="C188" s="43"/>
      <c r="D188" s="43"/>
      <c r="E188" s="43"/>
      <c r="F188" s="44"/>
      <c r="G188" s="43"/>
      <c r="H188" s="43"/>
      <c r="I188" s="43"/>
      <c r="J188" s="43"/>
      <c r="K188" s="43"/>
    </row>
    <row r="189" spans="1:11" ht="15.75" customHeight="1" x14ac:dyDescent="0.25">
      <c r="A189" s="43"/>
      <c r="B189" s="43"/>
      <c r="C189" s="43"/>
      <c r="D189" s="43"/>
      <c r="E189" s="43"/>
      <c r="F189" s="44"/>
      <c r="G189" s="43"/>
      <c r="H189" s="43"/>
      <c r="I189" s="43"/>
      <c r="J189" s="43"/>
      <c r="K189" s="43"/>
    </row>
    <row r="190" spans="1:11" ht="15.75" customHeight="1" x14ac:dyDescent="0.25">
      <c r="A190" s="43"/>
      <c r="B190" s="43"/>
      <c r="C190" s="43"/>
      <c r="D190" s="43"/>
      <c r="E190" s="43"/>
      <c r="F190" s="44"/>
      <c r="G190" s="43"/>
      <c r="H190" s="43"/>
      <c r="I190" s="43"/>
      <c r="J190" s="43"/>
      <c r="K190" s="43"/>
    </row>
    <row r="191" spans="1:11" ht="15.75" customHeight="1" x14ac:dyDescent="0.25">
      <c r="A191" s="43"/>
      <c r="B191" s="43"/>
      <c r="C191" s="43"/>
      <c r="D191" s="43"/>
      <c r="E191" s="43"/>
      <c r="F191" s="44"/>
      <c r="G191" s="43"/>
      <c r="H191" s="43"/>
      <c r="I191" s="43"/>
      <c r="J191" s="43"/>
      <c r="K191" s="43"/>
    </row>
    <row r="192" spans="1:11" ht="15.75" customHeight="1" x14ac:dyDescent="0.25">
      <c r="A192" s="43"/>
      <c r="B192" s="43"/>
      <c r="C192" s="43"/>
      <c r="D192" s="43"/>
      <c r="E192" s="43"/>
      <c r="F192" s="44"/>
      <c r="G192" s="43"/>
      <c r="H192" s="43"/>
      <c r="I192" s="43"/>
      <c r="J192" s="43"/>
      <c r="K192" s="43"/>
    </row>
    <row r="193" spans="1:11" ht="15.75" customHeight="1" x14ac:dyDescent="0.25">
      <c r="A193" s="43"/>
      <c r="B193" s="43"/>
      <c r="C193" s="43"/>
      <c r="D193" s="43"/>
      <c r="E193" s="43"/>
      <c r="F193" s="44"/>
      <c r="G193" s="43"/>
      <c r="H193" s="43"/>
      <c r="I193" s="43"/>
      <c r="J193" s="43"/>
      <c r="K193" s="43"/>
    </row>
    <row r="194" spans="1:11" ht="15.75" customHeight="1" x14ac:dyDescent="0.25">
      <c r="A194" s="43"/>
      <c r="B194" s="43"/>
      <c r="C194" s="43"/>
      <c r="D194" s="43"/>
      <c r="E194" s="43"/>
      <c r="F194" s="44"/>
      <c r="G194" s="43"/>
      <c r="H194" s="43"/>
      <c r="I194" s="43"/>
      <c r="J194" s="43"/>
      <c r="K194" s="43"/>
    </row>
    <row r="195" spans="1:11" ht="15.75" customHeight="1" x14ac:dyDescent="0.25">
      <c r="A195" s="43"/>
      <c r="B195" s="43"/>
      <c r="C195" s="43"/>
      <c r="D195" s="43"/>
      <c r="E195" s="43"/>
      <c r="F195" s="44"/>
      <c r="G195" s="43"/>
      <c r="H195" s="43"/>
      <c r="I195" s="43"/>
      <c r="J195" s="43"/>
      <c r="K195" s="43"/>
    </row>
    <row r="196" spans="1:11" ht="15.75" customHeight="1" x14ac:dyDescent="0.25">
      <c r="A196" s="43"/>
      <c r="B196" s="43"/>
      <c r="C196" s="43"/>
      <c r="D196" s="43"/>
      <c r="E196" s="43"/>
      <c r="F196" s="44"/>
      <c r="G196" s="43"/>
      <c r="H196" s="43"/>
      <c r="I196" s="43"/>
      <c r="J196" s="43"/>
      <c r="K196" s="43"/>
    </row>
    <row r="197" spans="1:11" ht="15.75" customHeight="1" x14ac:dyDescent="0.25">
      <c r="A197" s="43"/>
      <c r="B197" s="43"/>
      <c r="C197" s="43"/>
      <c r="D197" s="43"/>
      <c r="E197" s="43"/>
      <c r="F197" s="44"/>
      <c r="G197" s="43"/>
      <c r="H197" s="43"/>
      <c r="I197" s="43"/>
      <c r="J197" s="43"/>
      <c r="K197" s="43"/>
    </row>
    <row r="198" spans="1:11" ht="15.75" customHeight="1" x14ac:dyDescent="0.25">
      <c r="A198" s="43"/>
      <c r="B198" s="43"/>
      <c r="C198" s="43"/>
      <c r="D198" s="43"/>
      <c r="E198" s="43"/>
      <c r="F198" s="44"/>
      <c r="G198" s="43"/>
      <c r="H198" s="43"/>
      <c r="I198" s="43"/>
      <c r="J198" s="43"/>
      <c r="K198" s="43"/>
    </row>
    <row r="199" spans="1:11" ht="15.75" customHeight="1" x14ac:dyDescent="0.25">
      <c r="A199" s="43"/>
      <c r="B199" s="43"/>
      <c r="C199" s="43"/>
      <c r="D199" s="43"/>
      <c r="E199" s="43"/>
      <c r="F199" s="44"/>
      <c r="G199" s="43"/>
      <c r="H199" s="43"/>
      <c r="I199" s="43"/>
      <c r="J199" s="43"/>
      <c r="K199" s="43"/>
    </row>
    <row r="200" spans="1:11" ht="15.75" customHeight="1" x14ac:dyDescent="0.25">
      <c r="A200" s="43"/>
      <c r="B200" s="43"/>
      <c r="C200" s="43"/>
      <c r="D200" s="43"/>
      <c r="E200" s="43"/>
      <c r="F200" s="44"/>
      <c r="G200" s="43"/>
      <c r="H200" s="43"/>
      <c r="I200" s="43"/>
      <c r="J200" s="43"/>
      <c r="K200" s="43"/>
    </row>
    <row r="201" spans="1:11" ht="15.75" customHeight="1" x14ac:dyDescent="0.25">
      <c r="A201" s="43"/>
      <c r="B201" s="43"/>
      <c r="C201" s="43"/>
      <c r="D201" s="43"/>
      <c r="E201" s="43"/>
      <c r="F201" s="44"/>
      <c r="G201" s="43"/>
      <c r="H201" s="43"/>
      <c r="I201" s="43"/>
      <c r="J201" s="43"/>
      <c r="K201" s="43"/>
    </row>
    <row r="202" spans="1:11" ht="15.75" customHeight="1" x14ac:dyDescent="0.25">
      <c r="A202" s="43"/>
      <c r="B202" s="43"/>
      <c r="C202" s="43"/>
      <c r="D202" s="43"/>
      <c r="E202" s="43"/>
      <c r="F202" s="44"/>
      <c r="G202" s="43"/>
      <c r="H202" s="43"/>
      <c r="I202" s="43"/>
      <c r="J202" s="43"/>
      <c r="K202" s="43"/>
    </row>
    <row r="203" spans="1:11" ht="15.75" customHeight="1" x14ac:dyDescent="0.25">
      <c r="A203" s="43"/>
      <c r="B203" s="43"/>
      <c r="C203" s="43"/>
      <c r="D203" s="43"/>
      <c r="E203" s="43"/>
      <c r="F203" s="44"/>
      <c r="G203" s="43"/>
      <c r="H203" s="43"/>
      <c r="I203" s="43"/>
      <c r="J203" s="43"/>
      <c r="K203" s="43"/>
    </row>
    <row r="204" spans="1:11" ht="15.75" customHeight="1" x14ac:dyDescent="0.25">
      <c r="A204" s="43"/>
      <c r="B204" s="43"/>
      <c r="C204" s="43"/>
      <c r="D204" s="43"/>
      <c r="E204" s="43"/>
      <c r="F204" s="44"/>
      <c r="G204" s="43"/>
      <c r="H204" s="43"/>
      <c r="I204" s="43"/>
      <c r="J204" s="43"/>
      <c r="K204" s="43"/>
    </row>
    <row r="205" spans="1:11" ht="15.75" customHeight="1" x14ac:dyDescent="0.25">
      <c r="A205" s="43"/>
      <c r="B205" s="43"/>
      <c r="C205" s="43"/>
      <c r="D205" s="43"/>
      <c r="E205" s="43"/>
      <c r="F205" s="44"/>
      <c r="G205" s="43"/>
      <c r="H205" s="43"/>
      <c r="I205" s="43"/>
      <c r="J205" s="43"/>
      <c r="K205" s="43"/>
    </row>
    <row r="206" spans="1:11" ht="15.75" customHeight="1" x14ac:dyDescent="0.25">
      <c r="A206" s="43"/>
      <c r="B206" s="43"/>
      <c r="C206" s="43"/>
      <c r="D206" s="43"/>
      <c r="E206" s="43"/>
      <c r="F206" s="44"/>
      <c r="G206" s="43"/>
      <c r="H206" s="43"/>
      <c r="I206" s="43"/>
      <c r="J206" s="43"/>
      <c r="K206" s="43"/>
    </row>
    <row r="207" spans="1:11" ht="15.75" customHeight="1" x14ac:dyDescent="0.25">
      <c r="A207" s="43"/>
      <c r="B207" s="43"/>
      <c r="C207" s="43"/>
      <c r="D207" s="43"/>
      <c r="E207" s="43"/>
      <c r="F207" s="44"/>
      <c r="G207" s="43"/>
      <c r="H207" s="43"/>
      <c r="I207" s="43"/>
      <c r="J207" s="43"/>
      <c r="K207" s="43"/>
    </row>
    <row r="208" spans="1:11" ht="15.75" customHeight="1" x14ac:dyDescent="0.25">
      <c r="A208" s="43"/>
      <c r="B208" s="43"/>
      <c r="C208" s="43"/>
      <c r="D208" s="43"/>
      <c r="E208" s="43"/>
      <c r="F208" s="44"/>
      <c r="G208" s="43"/>
      <c r="H208" s="43"/>
      <c r="I208" s="43"/>
      <c r="J208" s="43"/>
      <c r="K208" s="43"/>
    </row>
    <row r="209" spans="1:11" ht="15.75" customHeight="1" x14ac:dyDescent="0.25">
      <c r="A209" s="43"/>
      <c r="B209" s="43"/>
      <c r="C209" s="43"/>
      <c r="D209" s="43"/>
      <c r="E209" s="43"/>
      <c r="F209" s="44"/>
      <c r="G209" s="43"/>
      <c r="H209" s="43"/>
      <c r="I209" s="43"/>
      <c r="J209" s="43"/>
      <c r="K209" s="43"/>
    </row>
    <row r="210" spans="1:11" ht="15.75" customHeight="1" x14ac:dyDescent="0.25">
      <c r="A210" s="43"/>
      <c r="B210" s="43"/>
      <c r="C210" s="43"/>
      <c r="D210" s="43"/>
      <c r="E210" s="43"/>
      <c r="F210" s="44"/>
      <c r="G210" s="43"/>
      <c r="H210" s="43"/>
      <c r="I210" s="43"/>
      <c r="J210" s="43"/>
      <c r="K210" s="43"/>
    </row>
    <row r="211" spans="1:11" ht="15.75" customHeight="1" x14ac:dyDescent="0.25">
      <c r="A211" s="43"/>
      <c r="B211" s="43"/>
      <c r="C211" s="43"/>
      <c r="D211" s="43"/>
      <c r="E211" s="43"/>
      <c r="F211" s="44"/>
      <c r="G211" s="43"/>
      <c r="H211" s="43"/>
      <c r="I211" s="43"/>
      <c r="J211" s="43"/>
      <c r="K211" s="43"/>
    </row>
    <row r="212" spans="1:11" ht="15.75" customHeight="1" x14ac:dyDescent="0.25">
      <c r="A212" s="43"/>
      <c r="B212" s="43"/>
      <c r="C212" s="43"/>
      <c r="D212" s="43"/>
      <c r="E212" s="43"/>
      <c r="F212" s="44"/>
      <c r="G212" s="43"/>
      <c r="H212" s="43"/>
      <c r="I212" s="43"/>
      <c r="J212" s="43"/>
      <c r="K212" s="43"/>
    </row>
    <row r="213" spans="1:11" ht="15.75" customHeight="1" x14ac:dyDescent="0.25">
      <c r="A213" s="43"/>
      <c r="B213" s="43"/>
      <c r="C213" s="43"/>
      <c r="D213" s="43"/>
      <c r="E213" s="43"/>
      <c r="F213" s="44"/>
      <c r="G213" s="43"/>
      <c r="H213" s="43"/>
      <c r="I213" s="43"/>
      <c r="J213" s="43"/>
      <c r="K213" s="43"/>
    </row>
    <row r="214" spans="1:11" ht="15.75" customHeight="1" x14ac:dyDescent="0.25">
      <c r="A214" s="43"/>
      <c r="B214" s="43"/>
      <c r="C214" s="43"/>
      <c r="D214" s="43"/>
      <c r="E214" s="43"/>
      <c r="F214" s="44"/>
      <c r="G214" s="43"/>
      <c r="H214" s="43"/>
      <c r="I214" s="43"/>
      <c r="J214" s="43"/>
      <c r="K214" s="43"/>
    </row>
    <row r="215" spans="1:11" ht="15.75" customHeight="1" x14ac:dyDescent="0.25">
      <c r="A215" s="43"/>
      <c r="B215" s="43"/>
      <c r="C215" s="43"/>
      <c r="D215" s="43"/>
      <c r="E215" s="43"/>
      <c r="F215" s="44"/>
      <c r="G215" s="43"/>
      <c r="H215" s="43"/>
      <c r="I215" s="43"/>
      <c r="J215" s="43"/>
      <c r="K215" s="43"/>
    </row>
    <row r="216" spans="1:11" ht="15.75" customHeight="1" x14ac:dyDescent="0.25">
      <c r="A216" s="43"/>
      <c r="B216" s="43"/>
      <c r="C216" s="43"/>
      <c r="D216" s="43"/>
      <c r="E216" s="43"/>
      <c r="F216" s="44"/>
      <c r="G216" s="43"/>
      <c r="H216" s="43"/>
      <c r="I216" s="43"/>
      <c r="J216" s="43"/>
      <c r="K216" s="43"/>
    </row>
    <row r="217" spans="1:11" ht="15.75" customHeight="1" x14ac:dyDescent="0.25">
      <c r="A217" s="43"/>
      <c r="B217" s="43"/>
      <c r="C217" s="43"/>
      <c r="D217" s="43"/>
      <c r="E217" s="43"/>
      <c r="F217" s="44"/>
      <c r="G217" s="43"/>
      <c r="H217" s="43"/>
      <c r="I217" s="43"/>
      <c r="J217" s="43"/>
      <c r="K217" s="43"/>
    </row>
    <row r="218" spans="1:11" ht="15.75" customHeight="1" x14ac:dyDescent="0.25">
      <c r="A218" s="43"/>
      <c r="B218" s="43"/>
      <c r="C218" s="43"/>
      <c r="D218" s="43"/>
      <c r="E218" s="43"/>
      <c r="F218" s="44"/>
      <c r="G218" s="43"/>
      <c r="H218" s="43"/>
      <c r="I218" s="43"/>
      <c r="J218" s="43"/>
      <c r="K218" s="43"/>
    </row>
    <row r="219" spans="1:11" ht="15.75" customHeight="1" x14ac:dyDescent="0.25">
      <c r="A219" s="43"/>
      <c r="B219" s="43"/>
      <c r="C219" s="43"/>
      <c r="D219" s="43"/>
      <c r="E219" s="43"/>
      <c r="F219" s="44"/>
      <c r="G219" s="43"/>
      <c r="H219" s="43"/>
      <c r="I219" s="43"/>
      <c r="J219" s="43"/>
      <c r="K219" s="43"/>
    </row>
    <row r="220" spans="1:11" ht="15.75" customHeight="1" x14ac:dyDescent="0.25">
      <c r="A220" s="43"/>
      <c r="B220" s="43"/>
      <c r="C220" s="43"/>
      <c r="D220" s="43"/>
      <c r="E220" s="43"/>
      <c r="F220" s="44"/>
      <c r="G220" s="43"/>
      <c r="H220" s="43"/>
      <c r="I220" s="43"/>
      <c r="J220" s="43"/>
      <c r="K220" s="43"/>
    </row>
    <row r="221" spans="1:11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</row>
    <row r="222" spans="1:11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</row>
    <row r="223" spans="1:11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</row>
    <row r="224" spans="1:11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</row>
    <row r="225" spans="1:11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</row>
    <row r="226" spans="1:11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</row>
    <row r="227" spans="1:11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</row>
    <row r="228" spans="1:11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</row>
    <row r="229" spans="1:11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</row>
    <row r="230" spans="1:11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</row>
    <row r="231" spans="1:11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</row>
    <row r="232" spans="1:11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</row>
    <row r="233" spans="1:11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</row>
    <row r="234" spans="1:11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</row>
    <row r="235" spans="1:11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</row>
    <row r="236" spans="1:11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</row>
    <row r="237" spans="1:11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</row>
    <row r="238" spans="1:11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</row>
    <row r="239" spans="1:11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</row>
    <row r="240" spans="1:11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</row>
    <row r="241" spans="1:11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</row>
    <row r="242" spans="1:11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</row>
    <row r="243" spans="1:11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</row>
    <row r="244" spans="1:11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</row>
    <row r="245" spans="1:11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</row>
    <row r="246" spans="1:11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</row>
    <row r="247" spans="1:11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</row>
    <row r="248" spans="1:11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</row>
    <row r="249" spans="1:11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</row>
    <row r="250" spans="1:11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</row>
    <row r="251" spans="1:11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</row>
    <row r="252" spans="1:11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</row>
    <row r="253" spans="1:11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</row>
    <row r="254" spans="1:11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</row>
    <row r="255" spans="1:11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</row>
    <row r="256" spans="1:11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</row>
    <row r="257" spans="1:11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</row>
    <row r="258" spans="1:11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</row>
    <row r="259" spans="1:11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</row>
    <row r="260" spans="1:11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</row>
    <row r="261" spans="1:11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</row>
    <row r="262" spans="1:11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</row>
    <row r="263" spans="1:11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</row>
    <row r="264" spans="1:11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</row>
    <row r="265" spans="1:11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</row>
    <row r="266" spans="1:11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</row>
    <row r="267" spans="1:11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</row>
    <row r="268" spans="1:11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</row>
    <row r="269" spans="1:11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</row>
    <row r="270" spans="1:11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</row>
    <row r="271" spans="1:11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</row>
    <row r="272" spans="1:11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</row>
    <row r="273" spans="1:11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</row>
    <row r="274" spans="1:11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</row>
    <row r="275" spans="1:11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</row>
    <row r="276" spans="1:11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</row>
    <row r="277" spans="1:11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</row>
    <row r="278" spans="1:11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</row>
    <row r="279" spans="1:11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</row>
    <row r="280" spans="1:11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</row>
    <row r="281" spans="1:11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</row>
    <row r="282" spans="1:11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</row>
    <row r="283" spans="1:11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</row>
    <row r="284" spans="1:11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</row>
    <row r="285" spans="1:11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</row>
    <row r="286" spans="1:11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</row>
    <row r="287" spans="1:11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</row>
    <row r="288" spans="1:11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</row>
    <row r="289" spans="1:11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</row>
    <row r="290" spans="1:11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</row>
    <row r="291" spans="1:11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</row>
    <row r="292" spans="1:11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</row>
    <row r="293" spans="1:11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</row>
    <row r="294" spans="1:11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</row>
    <row r="295" spans="1:11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</row>
    <row r="296" spans="1:11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</row>
    <row r="297" spans="1:11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</row>
    <row r="298" spans="1:11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</row>
    <row r="299" spans="1:11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</row>
    <row r="300" spans="1:11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</row>
    <row r="301" spans="1:11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</row>
    <row r="302" spans="1:11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</row>
    <row r="303" spans="1:11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</row>
    <row r="304" spans="1:11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</row>
    <row r="305" spans="1:11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</row>
    <row r="306" spans="1:11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</row>
    <row r="307" spans="1:11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</row>
    <row r="308" spans="1:11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</row>
    <row r="309" spans="1:11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</row>
    <row r="310" spans="1:11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</row>
    <row r="311" spans="1:11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</row>
    <row r="312" spans="1:11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</row>
    <row r="313" spans="1:11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</row>
    <row r="314" spans="1:11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</row>
    <row r="315" spans="1:11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</row>
    <row r="316" spans="1:11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</row>
    <row r="317" spans="1:11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</row>
    <row r="318" spans="1:11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</row>
    <row r="319" spans="1:11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</row>
    <row r="320" spans="1:11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</row>
    <row r="321" spans="1:11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</row>
    <row r="322" spans="1:11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</row>
    <row r="323" spans="1:11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</row>
    <row r="324" spans="1:11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</row>
    <row r="325" spans="1:11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</row>
    <row r="326" spans="1:11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</row>
    <row r="327" spans="1:11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</row>
    <row r="328" spans="1:11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</row>
    <row r="329" spans="1:11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</row>
    <row r="330" spans="1:11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</row>
    <row r="331" spans="1:11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</row>
    <row r="332" spans="1:11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</row>
    <row r="333" spans="1:11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</row>
    <row r="334" spans="1:11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</row>
    <row r="335" spans="1:11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</row>
    <row r="336" spans="1:11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</row>
    <row r="337" spans="1:11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</row>
    <row r="338" spans="1:11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</row>
    <row r="339" spans="1:11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</row>
    <row r="340" spans="1:11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</row>
    <row r="341" spans="1:11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</row>
    <row r="342" spans="1:11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</row>
    <row r="343" spans="1:11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</row>
    <row r="344" spans="1:11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</row>
    <row r="345" spans="1:11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</row>
    <row r="346" spans="1:11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</row>
    <row r="347" spans="1:11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</row>
    <row r="348" spans="1:11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</row>
    <row r="349" spans="1:11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</row>
    <row r="350" spans="1:11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</row>
    <row r="351" spans="1:11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</row>
    <row r="352" spans="1:11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</row>
    <row r="353" spans="1:11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</row>
    <row r="354" spans="1:11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</row>
    <row r="355" spans="1:11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</row>
    <row r="356" spans="1:11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</row>
    <row r="357" spans="1:11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</row>
    <row r="358" spans="1:11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</row>
    <row r="359" spans="1:11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</row>
    <row r="360" spans="1:11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</row>
    <row r="361" spans="1:11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</row>
    <row r="362" spans="1:11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</row>
    <row r="363" spans="1:11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</row>
    <row r="364" spans="1:11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</row>
    <row r="365" spans="1:11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</row>
    <row r="366" spans="1:11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</row>
    <row r="367" spans="1:11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</row>
    <row r="368" spans="1:11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</row>
    <row r="369" spans="1:11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</row>
    <row r="370" spans="1:11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</row>
    <row r="371" spans="1:11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</row>
    <row r="372" spans="1:11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</row>
    <row r="373" spans="1:11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</row>
    <row r="374" spans="1:11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</row>
    <row r="375" spans="1:11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</row>
    <row r="376" spans="1:11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</row>
    <row r="377" spans="1:11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</row>
    <row r="378" spans="1:11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</row>
    <row r="379" spans="1:11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</row>
    <row r="380" spans="1:11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</row>
    <row r="381" spans="1:11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</row>
    <row r="382" spans="1:11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</row>
    <row r="383" spans="1:11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</row>
    <row r="384" spans="1:11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</row>
    <row r="385" spans="1:11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</row>
    <row r="386" spans="1:11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</row>
    <row r="387" spans="1:11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</row>
    <row r="388" spans="1:11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</row>
    <row r="389" spans="1:11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</row>
    <row r="390" spans="1:11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</row>
    <row r="391" spans="1:11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</row>
    <row r="392" spans="1:11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</row>
    <row r="393" spans="1:11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</row>
    <row r="394" spans="1:11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</row>
    <row r="395" spans="1:11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</row>
    <row r="396" spans="1:11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</row>
    <row r="397" spans="1:11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</row>
    <row r="398" spans="1:11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</row>
    <row r="399" spans="1:11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</row>
    <row r="400" spans="1:11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</row>
    <row r="401" spans="1:11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</row>
    <row r="402" spans="1:11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</row>
    <row r="403" spans="1:11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</row>
    <row r="404" spans="1:11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</row>
    <row r="405" spans="1:11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</row>
    <row r="406" spans="1:11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</row>
    <row r="407" spans="1:11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</row>
    <row r="408" spans="1:11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</row>
    <row r="409" spans="1:11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</row>
    <row r="410" spans="1:11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</row>
    <row r="411" spans="1:11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</row>
    <row r="412" spans="1:11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</row>
    <row r="413" spans="1:11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</row>
    <row r="414" spans="1:11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</row>
    <row r="415" spans="1:11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</row>
    <row r="416" spans="1:11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</row>
    <row r="417" spans="1:11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</row>
    <row r="418" spans="1:11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</row>
    <row r="419" spans="1:11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</row>
    <row r="420" spans="1:11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</row>
    <row r="421" spans="1:11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</row>
    <row r="422" spans="1:11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</row>
    <row r="423" spans="1:11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</row>
    <row r="424" spans="1:11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</row>
    <row r="425" spans="1:11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</row>
    <row r="426" spans="1:11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</row>
    <row r="427" spans="1:11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</row>
    <row r="428" spans="1:11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</row>
    <row r="429" spans="1:11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</row>
    <row r="430" spans="1:11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</row>
    <row r="431" spans="1:11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</row>
    <row r="432" spans="1:11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</row>
    <row r="433" spans="1:11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</row>
    <row r="434" spans="1:11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</row>
    <row r="435" spans="1:11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</row>
    <row r="436" spans="1:11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</row>
    <row r="437" spans="1:11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</row>
    <row r="438" spans="1:11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</row>
    <row r="439" spans="1:11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</row>
    <row r="440" spans="1:11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</row>
    <row r="441" spans="1:11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</row>
    <row r="442" spans="1:11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</row>
    <row r="443" spans="1:11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</row>
    <row r="444" spans="1:11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</row>
    <row r="445" spans="1:11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</row>
    <row r="446" spans="1:11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</row>
    <row r="447" spans="1:11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</row>
    <row r="448" spans="1:11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</row>
    <row r="449" spans="1:11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</row>
    <row r="450" spans="1:11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</row>
    <row r="451" spans="1:11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</row>
    <row r="452" spans="1:11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</row>
    <row r="453" spans="1:11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</row>
    <row r="454" spans="1:11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</row>
    <row r="455" spans="1:11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</row>
    <row r="456" spans="1:11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</row>
    <row r="457" spans="1:11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</row>
    <row r="458" spans="1:11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</row>
    <row r="459" spans="1:11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</row>
    <row r="460" spans="1:11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</row>
    <row r="461" spans="1:11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</row>
    <row r="462" spans="1:11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</row>
    <row r="463" spans="1:11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</row>
    <row r="464" spans="1:11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</row>
    <row r="465" spans="1:11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</row>
    <row r="466" spans="1:11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</row>
    <row r="467" spans="1:11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</row>
    <row r="468" spans="1:11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</row>
    <row r="469" spans="1:11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</row>
    <row r="470" spans="1:11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</row>
    <row r="471" spans="1:11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</row>
    <row r="472" spans="1:11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</row>
    <row r="473" spans="1:11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</row>
    <row r="474" spans="1:11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</row>
    <row r="475" spans="1:11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</row>
    <row r="476" spans="1:11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</row>
    <row r="477" spans="1:11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</row>
    <row r="478" spans="1:11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</row>
    <row r="479" spans="1:11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</row>
    <row r="480" spans="1:11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</row>
    <row r="481" spans="1:11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</row>
    <row r="482" spans="1:11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</row>
    <row r="483" spans="1:11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</row>
    <row r="484" spans="1:11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</row>
    <row r="485" spans="1:11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</row>
    <row r="486" spans="1:11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</row>
    <row r="487" spans="1:11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</row>
    <row r="488" spans="1:11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</row>
    <row r="489" spans="1:11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</row>
    <row r="490" spans="1:11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</row>
    <row r="491" spans="1:11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</row>
    <row r="492" spans="1:11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</row>
    <row r="493" spans="1:11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</row>
    <row r="494" spans="1:11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</row>
    <row r="495" spans="1:11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</row>
    <row r="496" spans="1:11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</row>
    <row r="497" spans="1:11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</row>
    <row r="498" spans="1:11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</row>
    <row r="499" spans="1:11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</row>
    <row r="500" spans="1:11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</row>
    <row r="501" spans="1:11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</row>
    <row r="502" spans="1:11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</row>
    <row r="503" spans="1:11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</row>
    <row r="504" spans="1:11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</row>
    <row r="505" spans="1:11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</row>
    <row r="506" spans="1:11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</row>
    <row r="507" spans="1:11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</row>
    <row r="508" spans="1:11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</row>
    <row r="509" spans="1:11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</row>
    <row r="510" spans="1:11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</row>
    <row r="511" spans="1:11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</row>
    <row r="512" spans="1:11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</row>
    <row r="513" spans="1:11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</row>
    <row r="514" spans="1:11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</row>
    <row r="515" spans="1:11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</row>
    <row r="516" spans="1:11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</row>
    <row r="517" spans="1:11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</row>
    <row r="518" spans="1:11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</row>
    <row r="519" spans="1:11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</row>
    <row r="520" spans="1:11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</row>
    <row r="521" spans="1:11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</row>
    <row r="522" spans="1:11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</row>
    <row r="523" spans="1:11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</row>
    <row r="524" spans="1:11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</row>
    <row r="525" spans="1:11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</row>
    <row r="526" spans="1:11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</row>
    <row r="527" spans="1:11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</row>
    <row r="528" spans="1:11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</row>
    <row r="529" spans="1:11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</row>
    <row r="530" spans="1:11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</row>
    <row r="531" spans="1:11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</row>
    <row r="532" spans="1:11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</row>
    <row r="533" spans="1:11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</row>
    <row r="534" spans="1:11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</row>
    <row r="535" spans="1:11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</row>
    <row r="536" spans="1:11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</row>
    <row r="537" spans="1:11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</row>
    <row r="538" spans="1:11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</row>
    <row r="539" spans="1:11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</row>
    <row r="540" spans="1:11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</row>
    <row r="541" spans="1:11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</row>
    <row r="542" spans="1:11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</row>
    <row r="543" spans="1:11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</row>
    <row r="544" spans="1:11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</row>
    <row r="545" spans="1:11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</row>
    <row r="546" spans="1:11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</row>
    <row r="547" spans="1:11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</row>
    <row r="548" spans="1:11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</row>
    <row r="549" spans="1:11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</row>
    <row r="550" spans="1:11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</row>
    <row r="551" spans="1:11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</row>
    <row r="552" spans="1:11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</row>
    <row r="553" spans="1:11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</row>
    <row r="554" spans="1:11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</row>
    <row r="555" spans="1:11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</row>
    <row r="556" spans="1:11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</row>
    <row r="557" spans="1:11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</row>
    <row r="558" spans="1:11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</row>
    <row r="559" spans="1:11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</row>
    <row r="560" spans="1:11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</row>
    <row r="561" spans="1:11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</row>
    <row r="562" spans="1:11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</row>
    <row r="563" spans="1:11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</row>
    <row r="564" spans="1:11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</row>
    <row r="565" spans="1:11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</row>
    <row r="566" spans="1:11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</row>
    <row r="567" spans="1:11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</row>
    <row r="568" spans="1:11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</row>
    <row r="569" spans="1:11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</row>
    <row r="570" spans="1:11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</row>
    <row r="571" spans="1:11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</row>
    <row r="572" spans="1:11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</row>
    <row r="573" spans="1:11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</row>
    <row r="574" spans="1:11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</row>
    <row r="575" spans="1:11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</row>
    <row r="576" spans="1:11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</row>
    <row r="577" spans="1:11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</row>
    <row r="578" spans="1:11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</row>
    <row r="579" spans="1:11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</row>
    <row r="580" spans="1:11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</row>
    <row r="581" spans="1:11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</row>
    <row r="582" spans="1:11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</row>
    <row r="583" spans="1:11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</row>
    <row r="584" spans="1:11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</row>
    <row r="585" spans="1:11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</row>
    <row r="586" spans="1:11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</row>
    <row r="587" spans="1:11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</row>
    <row r="588" spans="1:11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</row>
    <row r="589" spans="1:11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</row>
    <row r="590" spans="1:11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</row>
    <row r="591" spans="1:11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</row>
    <row r="592" spans="1:11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</row>
    <row r="593" spans="1:11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</row>
    <row r="594" spans="1:11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</row>
    <row r="595" spans="1:11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</row>
    <row r="596" spans="1:11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</row>
    <row r="597" spans="1:11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</row>
    <row r="598" spans="1:11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</row>
    <row r="599" spans="1:11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</row>
    <row r="600" spans="1:11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</row>
    <row r="601" spans="1:11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</row>
    <row r="602" spans="1:11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</row>
    <row r="603" spans="1:11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</row>
    <row r="604" spans="1:11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</row>
    <row r="605" spans="1:11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</row>
    <row r="606" spans="1:11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</row>
    <row r="607" spans="1:11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</row>
    <row r="608" spans="1:11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</row>
    <row r="609" spans="1:11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</row>
    <row r="610" spans="1:11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</row>
    <row r="611" spans="1:11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</row>
    <row r="612" spans="1:11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</row>
    <row r="613" spans="1:11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</row>
    <row r="614" spans="1:11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</row>
    <row r="615" spans="1:11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</row>
    <row r="616" spans="1:11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</row>
    <row r="617" spans="1:11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</row>
    <row r="618" spans="1:11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</row>
    <row r="619" spans="1:11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</row>
    <row r="620" spans="1:11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</row>
    <row r="621" spans="1:11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</row>
    <row r="622" spans="1:11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</row>
    <row r="623" spans="1:11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</row>
    <row r="624" spans="1:11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</row>
    <row r="625" spans="1:11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</row>
    <row r="626" spans="1:11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</row>
    <row r="627" spans="1:11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</row>
    <row r="628" spans="1:11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</row>
    <row r="629" spans="1:11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</row>
    <row r="630" spans="1:11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</row>
    <row r="631" spans="1:11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</row>
    <row r="632" spans="1:11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</row>
    <row r="633" spans="1:11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</row>
    <row r="634" spans="1:11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</row>
    <row r="635" spans="1:11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</row>
    <row r="636" spans="1:11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</row>
    <row r="637" spans="1:11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</row>
    <row r="638" spans="1:11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</row>
    <row r="639" spans="1:11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</row>
    <row r="640" spans="1:11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</row>
    <row r="641" spans="1:11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</row>
    <row r="642" spans="1:11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</row>
    <row r="643" spans="1:11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</row>
    <row r="644" spans="1:11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</row>
    <row r="645" spans="1:11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</row>
    <row r="646" spans="1:11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</row>
    <row r="647" spans="1:11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</row>
    <row r="648" spans="1:11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</row>
    <row r="649" spans="1:11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</row>
    <row r="650" spans="1:11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</row>
    <row r="651" spans="1:11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</row>
    <row r="652" spans="1:11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</row>
    <row r="653" spans="1:11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</row>
    <row r="654" spans="1:11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</row>
    <row r="655" spans="1:11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</row>
    <row r="656" spans="1:11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</row>
    <row r="657" spans="1:11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</row>
    <row r="658" spans="1:11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</row>
    <row r="659" spans="1:11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</row>
    <row r="660" spans="1:11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</row>
    <row r="661" spans="1:11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</row>
    <row r="662" spans="1:11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</row>
    <row r="663" spans="1:11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</row>
    <row r="664" spans="1:11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</row>
    <row r="665" spans="1:11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</row>
    <row r="666" spans="1:11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</row>
    <row r="667" spans="1:11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</row>
    <row r="668" spans="1:11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</row>
    <row r="669" spans="1:11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</row>
    <row r="670" spans="1:11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</row>
    <row r="671" spans="1:11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</row>
    <row r="672" spans="1:11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</row>
    <row r="673" spans="1:11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</row>
    <row r="674" spans="1:11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</row>
    <row r="675" spans="1:11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</row>
    <row r="676" spans="1:11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</row>
    <row r="677" spans="1:11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</row>
    <row r="678" spans="1:11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</row>
    <row r="679" spans="1:11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</row>
    <row r="680" spans="1:11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</row>
    <row r="681" spans="1:11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</row>
    <row r="682" spans="1:11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</row>
    <row r="683" spans="1:11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</row>
    <row r="684" spans="1:11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</row>
    <row r="685" spans="1:11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</row>
    <row r="686" spans="1:11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</row>
    <row r="687" spans="1:11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</row>
    <row r="688" spans="1:11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</row>
    <row r="689" spans="1:11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</row>
    <row r="690" spans="1:11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</row>
    <row r="691" spans="1:11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</row>
    <row r="692" spans="1:11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</row>
    <row r="693" spans="1:11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</row>
    <row r="694" spans="1:11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</row>
    <row r="695" spans="1:11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</row>
    <row r="696" spans="1:11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</row>
    <row r="697" spans="1:11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</row>
    <row r="698" spans="1:11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</row>
    <row r="699" spans="1:11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</row>
    <row r="700" spans="1:11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</row>
    <row r="701" spans="1:11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</row>
    <row r="702" spans="1:11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</row>
    <row r="703" spans="1:11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</row>
    <row r="704" spans="1:11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</row>
    <row r="705" spans="1:11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</row>
    <row r="706" spans="1:11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</row>
    <row r="707" spans="1:11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</row>
    <row r="708" spans="1:11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</row>
    <row r="709" spans="1:11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</row>
    <row r="710" spans="1:11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</row>
    <row r="711" spans="1:11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</row>
    <row r="712" spans="1:11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</row>
    <row r="713" spans="1:11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</row>
    <row r="714" spans="1:11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</row>
    <row r="715" spans="1:11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</row>
    <row r="716" spans="1:11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</row>
    <row r="717" spans="1:11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</row>
    <row r="718" spans="1:11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</row>
    <row r="719" spans="1:11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</row>
    <row r="720" spans="1:11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</row>
    <row r="721" spans="1:11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</row>
    <row r="722" spans="1:11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</row>
    <row r="723" spans="1:11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</row>
    <row r="724" spans="1:11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</row>
    <row r="725" spans="1:11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</row>
    <row r="726" spans="1:11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</row>
    <row r="727" spans="1:11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</row>
    <row r="728" spans="1:11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</row>
    <row r="729" spans="1:11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</row>
    <row r="730" spans="1:11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</row>
    <row r="731" spans="1:11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</row>
    <row r="732" spans="1:11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</row>
    <row r="733" spans="1:11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</row>
    <row r="734" spans="1:11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</row>
    <row r="735" spans="1:11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</row>
    <row r="736" spans="1:11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</row>
    <row r="737" spans="1:11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</row>
    <row r="738" spans="1:11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</row>
    <row r="739" spans="1:11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</row>
    <row r="740" spans="1:11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</row>
    <row r="741" spans="1:11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</row>
    <row r="742" spans="1:11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</row>
    <row r="743" spans="1:11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</row>
    <row r="744" spans="1:11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</row>
    <row r="745" spans="1:11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</row>
    <row r="746" spans="1:11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</row>
    <row r="747" spans="1:11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</row>
    <row r="748" spans="1:11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</row>
    <row r="749" spans="1:11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</row>
    <row r="750" spans="1:11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</row>
    <row r="751" spans="1:11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</row>
    <row r="752" spans="1:11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</row>
    <row r="753" spans="1:11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</row>
    <row r="754" spans="1:11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</row>
    <row r="755" spans="1:11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</row>
    <row r="756" spans="1:11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</row>
    <row r="757" spans="1:11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</row>
    <row r="758" spans="1:11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</row>
    <row r="759" spans="1:11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</row>
    <row r="760" spans="1:11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</row>
    <row r="761" spans="1:11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</row>
    <row r="762" spans="1:11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</row>
    <row r="763" spans="1:11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</row>
    <row r="764" spans="1:11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</row>
    <row r="765" spans="1:11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</row>
    <row r="766" spans="1:11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</row>
    <row r="767" spans="1:11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</row>
    <row r="768" spans="1:11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</row>
    <row r="769" spans="1:11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</row>
    <row r="770" spans="1:11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</row>
    <row r="771" spans="1:11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</row>
    <row r="772" spans="1:11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</row>
    <row r="773" spans="1:11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</row>
    <row r="774" spans="1:11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</row>
    <row r="775" spans="1:11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</row>
    <row r="776" spans="1:11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</row>
    <row r="777" spans="1:11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</row>
    <row r="778" spans="1:11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</row>
    <row r="779" spans="1:11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</row>
    <row r="780" spans="1:11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</row>
    <row r="781" spans="1:11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</row>
    <row r="782" spans="1:11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</row>
    <row r="783" spans="1:11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</row>
    <row r="784" spans="1:11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</row>
    <row r="785" spans="1:11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</row>
    <row r="786" spans="1:11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</row>
    <row r="787" spans="1:11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</row>
    <row r="788" spans="1:11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</row>
    <row r="789" spans="1:11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</row>
    <row r="790" spans="1:11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</row>
    <row r="791" spans="1:11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</row>
    <row r="792" spans="1:11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</row>
    <row r="793" spans="1:11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</row>
    <row r="794" spans="1:11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</row>
    <row r="795" spans="1:11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</row>
    <row r="796" spans="1:11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</row>
    <row r="797" spans="1:11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</row>
    <row r="798" spans="1:11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</row>
    <row r="799" spans="1:11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</row>
    <row r="800" spans="1:11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</row>
    <row r="801" spans="1:11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</row>
    <row r="802" spans="1:11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</row>
    <row r="803" spans="1:11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</row>
    <row r="804" spans="1:11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</row>
    <row r="805" spans="1:11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</row>
    <row r="806" spans="1:11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</row>
    <row r="807" spans="1:11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</row>
    <row r="808" spans="1:11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</row>
    <row r="809" spans="1:11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</row>
    <row r="810" spans="1:11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</row>
    <row r="811" spans="1:11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</row>
    <row r="812" spans="1:11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</row>
    <row r="813" spans="1:11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</row>
    <row r="814" spans="1:11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</row>
    <row r="815" spans="1:11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</row>
    <row r="816" spans="1:11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</row>
    <row r="817" spans="1:11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</row>
    <row r="818" spans="1:11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</row>
    <row r="819" spans="1:11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</row>
    <row r="820" spans="1:11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</row>
    <row r="821" spans="1:11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</row>
    <row r="822" spans="1:11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</row>
    <row r="823" spans="1:11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</row>
    <row r="824" spans="1:11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</row>
    <row r="825" spans="1:11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</row>
    <row r="826" spans="1:11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</row>
    <row r="827" spans="1:11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</row>
    <row r="828" spans="1:11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</row>
    <row r="829" spans="1:11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</row>
    <row r="830" spans="1:11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</row>
    <row r="831" spans="1:11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</row>
    <row r="832" spans="1:11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</row>
    <row r="833" spans="1:11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</row>
    <row r="834" spans="1:11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</row>
    <row r="835" spans="1:11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</row>
    <row r="836" spans="1:11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</row>
    <row r="837" spans="1:11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</row>
    <row r="838" spans="1:11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</row>
    <row r="839" spans="1:11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</row>
    <row r="840" spans="1:11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</row>
    <row r="841" spans="1:11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</row>
    <row r="842" spans="1:11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</row>
    <row r="843" spans="1:11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</row>
    <row r="844" spans="1:11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</row>
    <row r="845" spans="1:11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</row>
    <row r="846" spans="1:11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</row>
    <row r="847" spans="1:11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</row>
    <row r="848" spans="1:11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</row>
    <row r="849" spans="1:11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</row>
    <row r="850" spans="1:11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</row>
    <row r="851" spans="1:11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</row>
    <row r="852" spans="1:11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</row>
    <row r="853" spans="1:11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</row>
    <row r="854" spans="1:11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</row>
    <row r="855" spans="1:11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</row>
    <row r="856" spans="1:11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</row>
    <row r="857" spans="1:11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</row>
    <row r="858" spans="1:11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</row>
    <row r="859" spans="1:11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</row>
    <row r="860" spans="1:11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</row>
    <row r="861" spans="1:11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</row>
    <row r="862" spans="1:11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</row>
    <row r="863" spans="1:11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</row>
    <row r="864" spans="1:11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</row>
    <row r="865" spans="1:11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</row>
    <row r="866" spans="1:11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</row>
    <row r="867" spans="1:11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</row>
    <row r="868" spans="1:11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</row>
    <row r="869" spans="1:11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</row>
    <row r="870" spans="1:11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</row>
    <row r="871" spans="1:11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</row>
    <row r="872" spans="1:11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</row>
    <row r="873" spans="1:11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</row>
    <row r="874" spans="1:11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</row>
    <row r="875" spans="1:11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</row>
    <row r="876" spans="1:11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</row>
    <row r="877" spans="1:11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</row>
    <row r="878" spans="1:11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</row>
    <row r="879" spans="1:11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</row>
    <row r="880" spans="1:11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</row>
    <row r="881" spans="1:11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</row>
    <row r="882" spans="1:11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</row>
    <row r="883" spans="1:11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</row>
    <row r="884" spans="1:11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</row>
    <row r="885" spans="1:11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</row>
    <row r="886" spans="1:11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</row>
    <row r="887" spans="1:11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</row>
    <row r="888" spans="1:11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</row>
    <row r="889" spans="1:11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</row>
    <row r="890" spans="1:11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</row>
    <row r="891" spans="1:11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</row>
    <row r="892" spans="1:11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</row>
    <row r="893" spans="1:11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</row>
    <row r="894" spans="1:11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</row>
    <row r="895" spans="1:11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</row>
    <row r="896" spans="1:11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</row>
    <row r="897" spans="1:11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</row>
    <row r="898" spans="1:11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</row>
    <row r="899" spans="1:11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</row>
    <row r="900" spans="1:11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</row>
    <row r="901" spans="1:11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</row>
    <row r="902" spans="1:11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</row>
    <row r="903" spans="1:11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</row>
    <row r="904" spans="1:11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</row>
    <row r="905" spans="1:11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</row>
    <row r="906" spans="1:11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</row>
    <row r="907" spans="1:11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</row>
    <row r="908" spans="1:11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</row>
    <row r="909" spans="1:11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</row>
    <row r="910" spans="1:11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</row>
    <row r="911" spans="1:11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</row>
    <row r="912" spans="1:11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</row>
    <row r="913" spans="1:11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</row>
    <row r="914" spans="1:11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</row>
    <row r="915" spans="1:11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</row>
    <row r="916" spans="1:11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</row>
    <row r="917" spans="1:11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</row>
    <row r="918" spans="1:11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</row>
    <row r="919" spans="1:11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</row>
    <row r="920" spans="1:11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</row>
    <row r="921" spans="1:11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</row>
    <row r="922" spans="1:11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</row>
    <row r="923" spans="1:11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</row>
    <row r="924" spans="1:11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</row>
    <row r="925" spans="1:11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</row>
    <row r="926" spans="1:11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</row>
    <row r="927" spans="1:11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</row>
    <row r="928" spans="1:11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</row>
    <row r="929" spans="1:11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</row>
    <row r="930" spans="1:11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</row>
    <row r="931" spans="1:11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</row>
    <row r="932" spans="1:11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</row>
    <row r="933" spans="1:11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</row>
    <row r="934" spans="1:11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</row>
    <row r="935" spans="1:11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</row>
    <row r="936" spans="1:11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</row>
    <row r="937" spans="1:11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</row>
    <row r="938" spans="1:11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</row>
    <row r="939" spans="1:11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</row>
    <row r="940" spans="1:11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</row>
    <row r="941" spans="1:11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</row>
    <row r="942" spans="1:11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</row>
    <row r="943" spans="1:11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</row>
    <row r="944" spans="1:11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</row>
    <row r="945" spans="1:11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</row>
    <row r="946" spans="1:11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</row>
    <row r="947" spans="1:11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</row>
    <row r="948" spans="1:11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</row>
    <row r="949" spans="1:11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</row>
    <row r="950" spans="1:11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</row>
    <row r="951" spans="1:11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</row>
    <row r="952" spans="1:11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</row>
    <row r="953" spans="1:11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</row>
    <row r="954" spans="1:11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</row>
    <row r="955" spans="1:11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</row>
    <row r="956" spans="1:11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</row>
    <row r="957" spans="1:11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</row>
    <row r="958" spans="1:11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</row>
    <row r="959" spans="1:11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</row>
    <row r="960" spans="1:11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</row>
    <row r="961" spans="1:11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</row>
    <row r="962" spans="1:11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</row>
    <row r="963" spans="1:11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</row>
    <row r="964" spans="1:11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</row>
    <row r="965" spans="1:11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</row>
    <row r="966" spans="1:11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</row>
    <row r="967" spans="1:11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</row>
    <row r="968" spans="1:11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</row>
    <row r="969" spans="1:11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</row>
    <row r="970" spans="1:11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</row>
    <row r="971" spans="1:11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</row>
    <row r="972" spans="1:11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</row>
    <row r="973" spans="1:11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</row>
    <row r="974" spans="1:11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</row>
    <row r="975" spans="1:11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</row>
    <row r="976" spans="1:11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</row>
    <row r="977" spans="1:11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</row>
    <row r="978" spans="1:11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</row>
    <row r="979" spans="1:11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</row>
    <row r="980" spans="1:11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</row>
    <row r="981" spans="1:11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</row>
    <row r="982" spans="1:11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</row>
    <row r="983" spans="1:11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</row>
    <row r="984" spans="1:11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</row>
    <row r="985" spans="1:11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</row>
    <row r="986" spans="1:11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</row>
    <row r="987" spans="1:11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</row>
    <row r="988" spans="1:11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</row>
    <row r="989" spans="1:11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</row>
    <row r="990" spans="1:11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</row>
    <row r="991" spans="1:11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</row>
    <row r="992" spans="1:11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</row>
    <row r="993" spans="1:11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</row>
    <row r="994" spans="1:11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</row>
    <row r="995" spans="1:11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</row>
    <row r="996" spans="1:11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</row>
    <row r="997" spans="1:11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</row>
    <row r="998" spans="1:11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</row>
    <row r="999" spans="1:11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</row>
    <row r="1000" spans="1:11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</row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rga_inclusao"/>
  <dimension ref="A1:K1000"/>
  <sheetViews>
    <sheetView showGridLines="0" workbookViewId="0"/>
  </sheetViews>
  <sheetFormatPr defaultColWidth="12.625" defaultRowHeight="15" customHeight="1" x14ac:dyDescent="0.2"/>
  <cols>
    <col min="1" max="1" width="9.5" customWidth="1"/>
    <col min="2" max="2" width="11.125" customWidth="1"/>
    <col min="3" max="3" width="6" customWidth="1"/>
    <col min="4" max="4" width="14.25" customWidth="1"/>
    <col min="5" max="5" width="13.25" customWidth="1"/>
    <col min="6" max="6" width="13.875" customWidth="1"/>
    <col min="7" max="7" width="10.5" customWidth="1"/>
    <col min="8" max="8" width="13.625" customWidth="1"/>
    <col min="9" max="9" width="5.125" customWidth="1"/>
    <col min="10" max="10" width="4.625" customWidth="1"/>
    <col min="11" max="11" width="9.5" customWidth="1"/>
    <col min="12" max="26" width="7.625" customWidth="1"/>
  </cols>
  <sheetData>
    <row r="1" spans="1:11" x14ac:dyDescent="0.2">
      <c r="A1" s="95" t="s">
        <v>1023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ht="45" customHeight="1" x14ac:dyDescent="0.2">
      <c r="A2" s="59" t="s">
        <v>1024</v>
      </c>
      <c r="B2" s="59" t="s">
        <v>1025</v>
      </c>
      <c r="C2" s="59" t="s">
        <v>1026</v>
      </c>
      <c r="D2" s="59" t="s">
        <v>1027</v>
      </c>
      <c r="E2" s="59" t="s">
        <v>1028</v>
      </c>
      <c r="F2" s="60" t="s">
        <v>1029</v>
      </c>
      <c r="G2" s="60" t="s">
        <v>1030</v>
      </c>
      <c r="H2" s="59" t="s">
        <v>1031</v>
      </c>
      <c r="I2" s="60">
        <v>1</v>
      </c>
      <c r="J2" s="59" t="s">
        <v>1032</v>
      </c>
      <c r="K2" s="60" t="s">
        <v>193</v>
      </c>
    </row>
    <row r="3" spans="1:11" x14ac:dyDescent="0.25">
      <c r="A3" s="43"/>
      <c r="B3" s="43"/>
      <c r="C3" s="43"/>
      <c r="D3" s="43"/>
      <c r="E3" s="43"/>
      <c r="F3" s="44"/>
      <c r="G3" s="43"/>
      <c r="H3" s="43"/>
      <c r="I3" s="43"/>
      <c r="J3" s="43"/>
      <c r="K3" s="43"/>
    </row>
    <row r="4" spans="1:11" x14ac:dyDescent="0.25">
      <c r="A4" s="43"/>
      <c r="B4" s="43"/>
      <c r="C4" s="43"/>
      <c r="D4" s="43"/>
      <c r="E4" s="43"/>
      <c r="F4" s="44"/>
      <c r="G4" s="43"/>
      <c r="H4" s="43"/>
      <c r="I4" s="43"/>
      <c r="J4" s="43"/>
      <c r="K4" s="43"/>
    </row>
    <row r="5" spans="1:11" x14ac:dyDescent="0.25">
      <c r="A5" s="43"/>
      <c r="B5" s="43"/>
      <c r="C5" s="43"/>
      <c r="D5" s="43"/>
      <c r="E5" s="43"/>
      <c r="F5" s="44"/>
      <c r="G5" s="43"/>
      <c r="H5" s="43"/>
      <c r="I5" s="43"/>
      <c r="J5" s="43"/>
      <c r="K5" s="43"/>
    </row>
    <row r="6" spans="1:11" x14ac:dyDescent="0.25">
      <c r="A6" s="43"/>
      <c r="B6" s="43"/>
      <c r="C6" s="43"/>
      <c r="D6" s="43"/>
      <c r="E6" s="43"/>
      <c r="F6" s="44"/>
      <c r="G6" s="43"/>
      <c r="H6" s="43"/>
      <c r="I6" s="43"/>
      <c r="J6" s="43"/>
      <c r="K6" s="43"/>
    </row>
    <row r="7" spans="1:11" x14ac:dyDescent="0.25">
      <c r="A7" s="43"/>
      <c r="B7" s="43"/>
      <c r="C7" s="43"/>
      <c r="D7" s="43"/>
      <c r="E7" s="43"/>
      <c r="F7" s="44"/>
      <c r="G7" s="43"/>
      <c r="H7" s="43"/>
      <c r="I7" s="43"/>
      <c r="J7" s="43"/>
      <c r="K7" s="43"/>
    </row>
    <row r="8" spans="1:11" x14ac:dyDescent="0.25">
      <c r="A8" s="43"/>
      <c r="B8" s="43"/>
      <c r="C8" s="43"/>
      <c r="D8" s="43"/>
      <c r="E8" s="43"/>
      <c r="F8" s="44"/>
      <c r="G8" s="43"/>
      <c r="H8" s="43"/>
      <c r="I8" s="43"/>
      <c r="J8" s="43"/>
      <c r="K8" s="43"/>
    </row>
    <row r="9" spans="1:11" x14ac:dyDescent="0.25">
      <c r="A9" s="43"/>
      <c r="B9" s="43"/>
      <c r="C9" s="43"/>
      <c r="D9" s="43"/>
      <c r="E9" s="43"/>
      <c r="F9" s="44"/>
      <c r="G9" s="43"/>
      <c r="H9" s="43"/>
      <c r="I9" s="43"/>
      <c r="J9" s="43"/>
      <c r="K9" s="43"/>
    </row>
    <row r="10" spans="1:11" x14ac:dyDescent="0.25">
      <c r="A10" s="43"/>
      <c r="B10" s="43"/>
      <c r="C10" s="43"/>
      <c r="D10" s="43"/>
      <c r="E10" s="43"/>
      <c r="F10" s="44"/>
      <c r="G10" s="43"/>
      <c r="H10" s="43"/>
      <c r="I10" s="43"/>
      <c r="J10" s="43"/>
      <c r="K10" s="43"/>
    </row>
    <row r="11" spans="1:11" x14ac:dyDescent="0.25">
      <c r="A11" s="43"/>
      <c r="B11" s="43"/>
      <c r="C11" s="43"/>
      <c r="D11" s="43"/>
      <c r="E11" s="43"/>
      <c r="F11" s="44"/>
      <c r="G11" s="43"/>
      <c r="H11" s="43"/>
      <c r="I11" s="43"/>
      <c r="J11" s="43"/>
      <c r="K11" s="43"/>
    </row>
    <row r="12" spans="1:11" x14ac:dyDescent="0.25">
      <c r="A12" s="43"/>
      <c r="B12" s="43"/>
      <c r="C12" s="43"/>
      <c r="D12" s="43"/>
      <c r="E12" s="43"/>
      <c r="F12" s="44"/>
      <c r="G12" s="43"/>
      <c r="H12" s="43"/>
      <c r="I12" s="43"/>
      <c r="J12" s="43"/>
      <c r="K12" s="43"/>
    </row>
    <row r="13" spans="1:11" x14ac:dyDescent="0.25">
      <c r="A13" s="43"/>
      <c r="B13" s="43"/>
      <c r="C13" s="43"/>
      <c r="D13" s="43"/>
      <c r="E13" s="43"/>
      <c r="F13" s="44"/>
      <c r="G13" s="43"/>
      <c r="H13" s="43"/>
      <c r="I13" s="43"/>
      <c r="J13" s="43"/>
      <c r="K13" s="43"/>
    </row>
    <row r="14" spans="1:11" x14ac:dyDescent="0.25">
      <c r="A14" s="43"/>
      <c r="B14" s="43"/>
      <c r="C14" s="43"/>
      <c r="D14" s="43"/>
      <c r="E14" s="43"/>
      <c r="F14" s="44"/>
      <c r="G14" s="43"/>
      <c r="H14" s="43"/>
      <c r="I14" s="43"/>
      <c r="J14" s="43"/>
      <c r="K14" s="43"/>
    </row>
    <row r="15" spans="1:11" x14ac:dyDescent="0.25">
      <c r="A15" s="43"/>
      <c r="B15" s="43"/>
      <c r="C15" s="43"/>
      <c r="D15" s="43"/>
      <c r="E15" s="43"/>
      <c r="F15" s="44"/>
      <c r="G15" s="43"/>
      <c r="H15" s="43"/>
      <c r="I15" s="43"/>
      <c r="J15" s="43"/>
      <c r="K15" s="43"/>
    </row>
    <row r="16" spans="1:11" x14ac:dyDescent="0.25">
      <c r="A16" s="43"/>
      <c r="B16" s="43"/>
      <c r="C16" s="43"/>
      <c r="D16" s="43"/>
      <c r="E16" s="43"/>
      <c r="F16" s="44"/>
      <c r="G16" s="43"/>
      <c r="H16" s="43"/>
      <c r="I16" s="43"/>
      <c r="J16" s="43"/>
      <c r="K16" s="43"/>
    </row>
    <row r="17" spans="1:11" x14ac:dyDescent="0.25">
      <c r="A17" s="43"/>
      <c r="B17" s="43"/>
      <c r="C17" s="43"/>
      <c r="D17" s="43"/>
      <c r="E17" s="43"/>
      <c r="F17" s="44"/>
      <c r="G17" s="43"/>
      <c r="H17" s="43"/>
      <c r="I17" s="43"/>
      <c r="J17" s="43"/>
      <c r="K17" s="43"/>
    </row>
    <row r="18" spans="1:11" x14ac:dyDescent="0.25">
      <c r="A18" s="43"/>
      <c r="B18" s="43"/>
      <c r="C18" s="43"/>
      <c r="D18" s="43"/>
      <c r="E18" s="43"/>
      <c r="F18" s="44"/>
      <c r="G18" s="43"/>
      <c r="H18" s="43"/>
      <c r="I18" s="43"/>
      <c r="J18" s="43"/>
      <c r="K18" s="43"/>
    </row>
    <row r="19" spans="1:11" x14ac:dyDescent="0.25">
      <c r="A19" s="43"/>
      <c r="B19" s="43"/>
      <c r="C19" s="43"/>
      <c r="D19" s="43"/>
      <c r="E19" s="43"/>
      <c r="F19" s="44"/>
      <c r="G19" s="43"/>
      <c r="H19" s="43"/>
      <c r="I19" s="43"/>
      <c r="J19" s="43"/>
      <c r="K19" s="43"/>
    </row>
    <row r="20" spans="1:11" x14ac:dyDescent="0.25">
      <c r="A20" s="43"/>
      <c r="B20" s="43"/>
      <c r="C20" s="43"/>
      <c r="D20" s="43"/>
      <c r="E20" s="43"/>
      <c r="F20" s="44"/>
      <c r="G20" s="43"/>
      <c r="H20" s="43"/>
      <c r="I20" s="43"/>
      <c r="J20" s="43"/>
      <c r="K20" s="43"/>
    </row>
    <row r="21" spans="1:11" ht="15.75" customHeight="1" x14ac:dyDescent="0.25">
      <c r="A21" s="43"/>
      <c r="B21" s="43"/>
      <c r="C21" s="43"/>
      <c r="D21" s="43"/>
      <c r="E21" s="43"/>
      <c r="F21" s="44"/>
      <c r="G21" s="43"/>
      <c r="H21" s="43"/>
      <c r="I21" s="43"/>
      <c r="J21" s="43"/>
      <c r="K21" s="43"/>
    </row>
    <row r="22" spans="1:11" ht="15.75" customHeight="1" x14ac:dyDescent="0.25">
      <c r="A22" s="43"/>
      <c r="B22" s="43"/>
      <c r="C22" s="43"/>
      <c r="D22" s="43"/>
      <c r="E22" s="43"/>
      <c r="F22" s="44"/>
      <c r="G22" s="43"/>
      <c r="H22" s="43"/>
      <c r="I22" s="43"/>
      <c r="J22" s="43"/>
      <c r="K22" s="43"/>
    </row>
    <row r="23" spans="1:11" ht="15.75" customHeight="1" x14ac:dyDescent="0.25">
      <c r="A23" s="43"/>
      <c r="B23" s="43"/>
      <c r="C23" s="43"/>
      <c r="D23" s="43"/>
      <c r="E23" s="43"/>
      <c r="F23" s="44"/>
      <c r="G23" s="43"/>
      <c r="H23" s="43"/>
      <c r="I23" s="43"/>
      <c r="J23" s="43"/>
      <c r="K23" s="43"/>
    </row>
    <row r="24" spans="1:11" ht="15.75" customHeight="1" x14ac:dyDescent="0.25">
      <c r="A24" s="43"/>
      <c r="B24" s="43"/>
      <c r="C24" s="43"/>
      <c r="D24" s="43"/>
      <c r="E24" s="43"/>
      <c r="F24" s="44"/>
      <c r="G24" s="43"/>
      <c r="H24" s="43"/>
      <c r="I24" s="43"/>
      <c r="J24" s="43"/>
      <c r="K24" s="43"/>
    </row>
    <row r="25" spans="1:11" ht="15.75" customHeight="1" x14ac:dyDescent="0.25">
      <c r="A25" s="43"/>
      <c r="B25" s="43"/>
      <c r="C25" s="43"/>
      <c r="D25" s="43"/>
      <c r="E25" s="43"/>
      <c r="F25" s="44"/>
      <c r="G25" s="43"/>
      <c r="H25" s="43"/>
      <c r="I25" s="43"/>
      <c r="J25" s="43"/>
      <c r="K25" s="43"/>
    </row>
    <row r="26" spans="1:11" ht="15.75" customHeight="1" x14ac:dyDescent="0.25">
      <c r="A26" s="43"/>
      <c r="B26" s="43"/>
      <c r="C26" s="43"/>
      <c r="D26" s="43"/>
      <c r="E26" s="43"/>
      <c r="F26" s="44"/>
      <c r="G26" s="43"/>
      <c r="H26" s="43"/>
      <c r="I26" s="43"/>
      <c r="J26" s="43"/>
      <c r="K26" s="43"/>
    </row>
    <row r="27" spans="1:11" ht="15.75" customHeight="1" x14ac:dyDescent="0.25">
      <c r="A27" s="43"/>
      <c r="B27" s="43"/>
      <c r="C27" s="43"/>
      <c r="D27" s="43"/>
      <c r="E27" s="43"/>
      <c r="F27" s="44"/>
      <c r="G27" s="43"/>
      <c r="H27" s="43"/>
      <c r="I27" s="43"/>
      <c r="J27" s="43"/>
      <c r="K27" s="43"/>
    </row>
    <row r="28" spans="1:11" ht="15.75" customHeight="1" x14ac:dyDescent="0.25">
      <c r="A28" s="43"/>
      <c r="B28" s="43"/>
      <c r="C28" s="43"/>
      <c r="D28" s="43"/>
      <c r="E28" s="43"/>
      <c r="F28" s="44"/>
      <c r="G28" s="43"/>
      <c r="H28" s="43"/>
      <c r="I28" s="43"/>
      <c r="J28" s="43"/>
      <c r="K28" s="43"/>
    </row>
    <row r="29" spans="1:11" ht="15.75" customHeight="1" x14ac:dyDescent="0.25">
      <c r="A29" s="43"/>
      <c r="B29" s="43"/>
      <c r="C29" s="43"/>
      <c r="D29" s="43"/>
      <c r="E29" s="43"/>
      <c r="F29" s="44"/>
      <c r="G29" s="43"/>
      <c r="H29" s="43"/>
      <c r="I29" s="43"/>
      <c r="J29" s="43"/>
      <c r="K29" s="43"/>
    </row>
    <row r="30" spans="1:11" ht="15.75" customHeight="1" x14ac:dyDescent="0.25">
      <c r="A30" s="43"/>
      <c r="B30" s="43"/>
      <c r="C30" s="43"/>
      <c r="D30" s="43"/>
      <c r="E30" s="43"/>
      <c r="F30" s="44"/>
      <c r="G30" s="43"/>
      <c r="H30" s="43"/>
      <c r="I30" s="43"/>
      <c r="J30" s="43"/>
      <c r="K30" s="43"/>
    </row>
    <row r="31" spans="1:11" ht="15.75" customHeight="1" x14ac:dyDescent="0.25">
      <c r="A31" s="43"/>
      <c r="B31" s="43"/>
      <c r="C31" s="43"/>
      <c r="D31" s="43"/>
      <c r="E31" s="43"/>
      <c r="F31" s="44"/>
      <c r="G31" s="43"/>
      <c r="H31" s="43"/>
      <c r="I31" s="43"/>
      <c r="J31" s="43"/>
      <c r="K31" s="43"/>
    </row>
    <row r="32" spans="1:11" ht="15.75" customHeight="1" x14ac:dyDescent="0.25">
      <c r="A32" s="43"/>
      <c r="B32" s="43"/>
      <c r="C32" s="43"/>
      <c r="D32" s="43"/>
      <c r="E32" s="43"/>
      <c r="F32" s="44"/>
      <c r="G32" s="43"/>
      <c r="H32" s="43"/>
      <c r="I32" s="43"/>
      <c r="J32" s="43"/>
      <c r="K32" s="43"/>
    </row>
    <row r="33" spans="1:11" ht="15.75" customHeight="1" x14ac:dyDescent="0.25">
      <c r="A33" s="43"/>
      <c r="B33" s="43"/>
      <c r="C33" s="43"/>
      <c r="D33" s="43"/>
      <c r="E33" s="43"/>
      <c r="F33" s="44"/>
      <c r="G33" s="43"/>
      <c r="H33" s="43"/>
      <c r="I33" s="43"/>
      <c r="J33" s="43"/>
      <c r="K33" s="43"/>
    </row>
    <row r="34" spans="1:11" ht="15.75" customHeight="1" x14ac:dyDescent="0.25">
      <c r="A34" s="43"/>
      <c r="B34" s="43"/>
      <c r="C34" s="43"/>
      <c r="D34" s="43"/>
      <c r="E34" s="43"/>
      <c r="F34" s="44"/>
      <c r="G34" s="43"/>
      <c r="H34" s="43"/>
      <c r="I34" s="43"/>
      <c r="J34" s="43"/>
      <c r="K34" s="43"/>
    </row>
    <row r="35" spans="1:11" ht="15.75" customHeight="1" x14ac:dyDescent="0.25">
      <c r="A35" s="43"/>
      <c r="B35" s="43"/>
      <c r="C35" s="43"/>
      <c r="D35" s="43"/>
      <c r="E35" s="43"/>
      <c r="F35" s="44"/>
      <c r="G35" s="43"/>
      <c r="H35" s="43"/>
      <c r="I35" s="43"/>
      <c r="J35" s="43"/>
      <c r="K35" s="43"/>
    </row>
    <row r="36" spans="1:11" ht="15.75" customHeight="1" x14ac:dyDescent="0.25">
      <c r="A36" s="43"/>
      <c r="B36" s="43"/>
      <c r="C36" s="43"/>
      <c r="D36" s="43"/>
      <c r="E36" s="43"/>
      <c r="F36" s="44"/>
      <c r="G36" s="43"/>
      <c r="H36" s="43"/>
      <c r="I36" s="43"/>
      <c r="J36" s="43"/>
      <c r="K36" s="43"/>
    </row>
    <row r="37" spans="1:11" ht="15.75" customHeight="1" x14ac:dyDescent="0.25">
      <c r="A37" s="43"/>
      <c r="B37" s="43"/>
      <c r="C37" s="43"/>
      <c r="D37" s="43"/>
      <c r="E37" s="43"/>
      <c r="F37" s="44"/>
      <c r="G37" s="43"/>
      <c r="H37" s="43"/>
      <c r="I37" s="43"/>
      <c r="J37" s="43"/>
      <c r="K37" s="43"/>
    </row>
    <row r="38" spans="1:11" ht="15.75" customHeight="1" x14ac:dyDescent="0.25">
      <c r="A38" s="43"/>
      <c r="B38" s="43"/>
      <c r="C38" s="43"/>
      <c r="D38" s="43"/>
      <c r="E38" s="43"/>
      <c r="F38" s="44"/>
      <c r="G38" s="43"/>
      <c r="H38" s="43"/>
      <c r="I38" s="43"/>
      <c r="J38" s="43"/>
      <c r="K38" s="43"/>
    </row>
    <row r="39" spans="1:11" ht="15.75" customHeight="1" x14ac:dyDescent="0.25">
      <c r="A39" s="43"/>
      <c r="B39" s="43"/>
      <c r="C39" s="43"/>
      <c r="D39" s="43"/>
      <c r="E39" s="43"/>
      <c r="F39" s="44"/>
      <c r="G39" s="43"/>
      <c r="H39" s="43"/>
      <c r="I39" s="43"/>
      <c r="J39" s="43"/>
      <c r="K39" s="43"/>
    </row>
    <row r="40" spans="1:11" ht="15.75" customHeight="1" x14ac:dyDescent="0.25">
      <c r="A40" s="43"/>
      <c r="B40" s="43"/>
      <c r="C40" s="43"/>
      <c r="D40" s="43"/>
      <c r="E40" s="43"/>
      <c r="F40" s="44"/>
      <c r="G40" s="43"/>
      <c r="H40" s="43"/>
      <c r="I40" s="43"/>
      <c r="J40" s="43"/>
      <c r="K40" s="43"/>
    </row>
    <row r="41" spans="1:11" ht="15.75" customHeight="1" x14ac:dyDescent="0.25">
      <c r="A41" s="43"/>
      <c r="B41" s="43"/>
      <c r="C41" s="43"/>
      <c r="D41" s="43"/>
      <c r="E41" s="43"/>
      <c r="F41" s="44"/>
      <c r="G41" s="43"/>
      <c r="H41" s="43"/>
      <c r="I41" s="43"/>
      <c r="J41" s="43"/>
      <c r="K41" s="43"/>
    </row>
    <row r="42" spans="1:11" ht="15.75" customHeight="1" x14ac:dyDescent="0.25">
      <c r="A42" s="43"/>
      <c r="B42" s="43"/>
      <c r="C42" s="43"/>
      <c r="D42" s="43"/>
      <c r="E42" s="43"/>
      <c r="F42" s="44"/>
      <c r="G42" s="43"/>
      <c r="H42" s="43"/>
      <c r="I42" s="43"/>
      <c r="J42" s="43"/>
      <c r="K42" s="43"/>
    </row>
    <row r="43" spans="1:11" ht="15.75" customHeight="1" x14ac:dyDescent="0.25">
      <c r="A43" s="43"/>
      <c r="B43" s="43"/>
      <c r="C43" s="43"/>
      <c r="D43" s="43"/>
      <c r="E43" s="43"/>
      <c r="F43" s="44"/>
      <c r="G43" s="43"/>
      <c r="H43" s="43"/>
      <c r="I43" s="43"/>
      <c r="J43" s="43"/>
      <c r="K43" s="43"/>
    </row>
    <row r="44" spans="1:11" ht="15.75" customHeight="1" x14ac:dyDescent="0.25">
      <c r="A44" s="43"/>
      <c r="B44" s="43"/>
      <c r="C44" s="43"/>
      <c r="D44" s="43"/>
      <c r="E44" s="43"/>
      <c r="F44" s="44"/>
      <c r="G44" s="43"/>
      <c r="H44" s="43"/>
      <c r="I44" s="43"/>
      <c r="J44" s="43"/>
      <c r="K44" s="43"/>
    </row>
    <row r="45" spans="1:11" ht="15.75" customHeight="1" x14ac:dyDescent="0.25">
      <c r="A45" s="43"/>
      <c r="B45" s="43"/>
      <c r="C45" s="43"/>
      <c r="D45" s="43"/>
      <c r="E45" s="43"/>
      <c r="F45" s="44"/>
      <c r="G45" s="43"/>
      <c r="H45" s="43"/>
      <c r="I45" s="43"/>
      <c r="J45" s="43"/>
      <c r="K45" s="43"/>
    </row>
    <row r="46" spans="1:11" ht="15.75" customHeight="1" x14ac:dyDescent="0.25">
      <c r="A46" s="43"/>
      <c r="B46" s="43"/>
      <c r="C46" s="43"/>
      <c r="D46" s="43"/>
      <c r="E46" s="43"/>
      <c r="F46" s="44"/>
      <c r="G46" s="43"/>
      <c r="H46" s="43"/>
      <c r="I46" s="43"/>
      <c r="J46" s="43"/>
      <c r="K46" s="43"/>
    </row>
    <row r="47" spans="1:11" ht="15.75" customHeight="1" x14ac:dyDescent="0.25">
      <c r="A47" s="43"/>
      <c r="B47" s="43"/>
      <c r="C47" s="43"/>
      <c r="D47" s="43"/>
      <c r="E47" s="43"/>
      <c r="F47" s="44"/>
      <c r="G47" s="43"/>
      <c r="H47" s="43"/>
      <c r="I47" s="43"/>
      <c r="J47" s="43"/>
      <c r="K47" s="43"/>
    </row>
    <row r="48" spans="1:11" ht="15.75" customHeight="1" x14ac:dyDescent="0.25">
      <c r="A48" s="43"/>
      <c r="B48" s="43"/>
      <c r="C48" s="43"/>
      <c r="D48" s="43"/>
      <c r="E48" s="43"/>
      <c r="F48" s="44"/>
      <c r="G48" s="43"/>
      <c r="H48" s="43"/>
      <c r="I48" s="43"/>
      <c r="J48" s="43"/>
      <c r="K48" s="43"/>
    </row>
    <row r="49" spans="1:11" ht="15.75" customHeight="1" x14ac:dyDescent="0.25">
      <c r="A49" s="43"/>
      <c r="B49" s="43"/>
      <c r="C49" s="43"/>
      <c r="D49" s="43"/>
      <c r="E49" s="43"/>
      <c r="F49" s="44"/>
      <c r="G49" s="43"/>
      <c r="H49" s="43"/>
      <c r="I49" s="43"/>
      <c r="J49" s="43"/>
      <c r="K49" s="43"/>
    </row>
    <row r="50" spans="1:11" ht="15.75" customHeight="1" x14ac:dyDescent="0.25">
      <c r="A50" s="43"/>
      <c r="B50" s="43"/>
      <c r="C50" s="43"/>
      <c r="D50" s="43"/>
      <c r="E50" s="43"/>
      <c r="F50" s="44"/>
      <c r="G50" s="43"/>
      <c r="H50" s="43"/>
      <c r="I50" s="43"/>
      <c r="J50" s="43"/>
      <c r="K50" s="43"/>
    </row>
    <row r="51" spans="1:11" ht="15.75" customHeight="1" x14ac:dyDescent="0.25">
      <c r="A51" s="43"/>
      <c r="B51" s="43"/>
      <c r="C51" s="43"/>
      <c r="D51" s="43"/>
      <c r="E51" s="43"/>
      <c r="F51" s="44"/>
      <c r="G51" s="43"/>
      <c r="H51" s="43"/>
      <c r="I51" s="43"/>
      <c r="J51" s="43"/>
      <c r="K51" s="43"/>
    </row>
    <row r="52" spans="1:11" ht="15.75" customHeight="1" x14ac:dyDescent="0.25">
      <c r="A52" s="43"/>
      <c r="B52" s="43"/>
      <c r="C52" s="43"/>
      <c r="D52" s="43"/>
      <c r="E52" s="43"/>
      <c r="F52" s="44"/>
      <c r="G52" s="43"/>
      <c r="H52" s="43"/>
      <c r="I52" s="43"/>
      <c r="J52" s="43"/>
      <c r="K52" s="43"/>
    </row>
    <row r="53" spans="1:11" ht="15.75" customHeight="1" x14ac:dyDescent="0.25">
      <c r="A53" s="43"/>
      <c r="B53" s="43"/>
      <c r="C53" s="43"/>
      <c r="D53" s="43"/>
      <c r="E53" s="43"/>
      <c r="F53" s="44"/>
      <c r="G53" s="43"/>
      <c r="H53" s="43"/>
      <c r="I53" s="43"/>
      <c r="J53" s="43"/>
      <c r="K53" s="43"/>
    </row>
    <row r="54" spans="1:11" ht="15.75" customHeight="1" x14ac:dyDescent="0.25">
      <c r="A54" s="43"/>
      <c r="B54" s="43"/>
      <c r="C54" s="43"/>
      <c r="D54" s="43"/>
      <c r="E54" s="43"/>
      <c r="F54" s="44"/>
      <c r="G54" s="43"/>
      <c r="H54" s="43"/>
      <c r="I54" s="43"/>
      <c r="J54" s="43"/>
      <c r="K54" s="43"/>
    </row>
    <row r="55" spans="1:11" ht="15.75" customHeight="1" x14ac:dyDescent="0.25">
      <c r="A55" s="43"/>
      <c r="B55" s="43"/>
      <c r="C55" s="43"/>
      <c r="D55" s="43"/>
      <c r="E55" s="43"/>
      <c r="F55" s="44"/>
      <c r="G55" s="43"/>
      <c r="H55" s="43"/>
      <c r="I55" s="43"/>
      <c r="J55" s="43"/>
      <c r="K55" s="43"/>
    </row>
    <row r="56" spans="1:11" ht="15.75" customHeight="1" x14ac:dyDescent="0.25">
      <c r="A56" s="43"/>
      <c r="B56" s="43"/>
      <c r="C56" s="43"/>
      <c r="D56" s="43"/>
      <c r="E56" s="43"/>
      <c r="F56" s="44"/>
      <c r="G56" s="43"/>
      <c r="H56" s="43"/>
      <c r="I56" s="43"/>
      <c r="J56" s="43"/>
      <c r="K56" s="43"/>
    </row>
    <row r="57" spans="1:11" ht="15.75" customHeight="1" x14ac:dyDescent="0.25">
      <c r="A57" s="43"/>
      <c r="B57" s="43"/>
      <c r="C57" s="43"/>
      <c r="D57" s="43"/>
      <c r="E57" s="43"/>
      <c r="F57" s="44"/>
      <c r="G57" s="43"/>
      <c r="H57" s="43"/>
      <c r="I57" s="43"/>
      <c r="J57" s="43"/>
      <c r="K57" s="43"/>
    </row>
    <row r="58" spans="1:11" ht="15.75" customHeight="1" x14ac:dyDescent="0.25">
      <c r="A58" s="43"/>
      <c r="B58" s="43"/>
      <c r="C58" s="43"/>
      <c r="D58" s="43"/>
      <c r="E58" s="43"/>
      <c r="F58" s="44"/>
      <c r="G58" s="43"/>
      <c r="H58" s="43"/>
      <c r="I58" s="43"/>
      <c r="J58" s="43"/>
      <c r="K58" s="43"/>
    </row>
    <row r="59" spans="1:11" ht="15.75" customHeight="1" x14ac:dyDescent="0.25">
      <c r="A59" s="43"/>
      <c r="B59" s="43"/>
      <c r="C59" s="43"/>
      <c r="D59" s="43"/>
      <c r="E59" s="43"/>
      <c r="F59" s="44"/>
      <c r="G59" s="43"/>
      <c r="H59" s="43"/>
      <c r="I59" s="43"/>
      <c r="J59" s="43"/>
      <c r="K59" s="43"/>
    </row>
    <row r="60" spans="1:11" ht="15.75" customHeight="1" x14ac:dyDescent="0.25">
      <c r="A60" s="43"/>
      <c r="B60" s="43"/>
      <c r="C60" s="43"/>
      <c r="D60" s="43"/>
      <c r="E60" s="43"/>
      <c r="F60" s="44"/>
      <c r="G60" s="43"/>
      <c r="H60" s="43"/>
      <c r="I60" s="43"/>
      <c r="J60" s="43"/>
      <c r="K60" s="43"/>
    </row>
    <row r="61" spans="1:11" ht="15.75" customHeight="1" x14ac:dyDescent="0.25">
      <c r="A61" s="43"/>
      <c r="B61" s="43"/>
      <c r="C61" s="43"/>
      <c r="D61" s="43"/>
      <c r="E61" s="43"/>
      <c r="F61" s="44"/>
      <c r="G61" s="43"/>
      <c r="H61" s="43"/>
      <c r="I61" s="43"/>
      <c r="J61" s="43"/>
      <c r="K61" s="43"/>
    </row>
    <row r="62" spans="1:11" ht="15.75" customHeight="1" x14ac:dyDescent="0.25">
      <c r="A62" s="43"/>
      <c r="B62" s="43"/>
      <c r="C62" s="43"/>
      <c r="D62" s="43"/>
      <c r="E62" s="43"/>
      <c r="F62" s="44"/>
      <c r="G62" s="43"/>
      <c r="H62" s="43"/>
      <c r="I62" s="43"/>
      <c r="J62" s="43"/>
      <c r="K62" s="43"/>
    </row>
    <row r="63" spans="1:11" ht="15.75" customHeight="1" x14ac:dyDescent="0.25">
      <c r="A63" s="43"/>
      <c r="B63" s="43"/>
      <c r="C63" s="43"/>
      <c r="D63" s="43"/>
      <c r="E63" s="43"/>
      <c r="F63" s="44"/>
      <c r="G63" s="43"/>
      <c r="H63" s="43"/>
      <c r="I63" s="43"/>
      <c r="J63" s="43"/>
      <c r="K63" s="43"/>
    </row>
    <row r="64" spans="1:11" ht="15.75" customHeight="1" x14ac:dyDescent="0.25">
      <c r="A64" s="43"/>
      <c r="B64" s="43"/>
      <c r="C64" s="43"/>
      <c r="D64" s="43"/>
      <c r="E64" s="43"/>
      <c r="F64" s="44"/>
      <c r="G64" s="43"/>
      <c r="H64" s="43"/>
      <c r="I64" s="43"/>
      <c r="J64" s="43"/>
      <c r="K64" s="43"/>
    </row>
    <row r="65" spans="1:11" ht="15.75" customHeight="1" x14ac:dyDescent="0.25">
      <c r="A65" s="43"/>
      <c r="B65" s="43"/>
      <c r="C65" s="43"/>
      <c r="D65" s="43"/>
      <c r="E65" s="43"/>
      <c r="F65" s="44"/>
      <c r="G65" s="43"/>
      <c r="H65" s="43"/>
      <c r="I65" s="43"/>
      <c r="J65" s="43"/>
      <c r="K65" s="43"/>
    </row>
    <row r="66" spans="1:11" ht="15.75" customHeight="1" x14ac:dyDescent="0.25">
      <c r="A66" s="43"/>
      <c r="B66" s="43"/>
      <c r="C66" s="43"/>
      <c r="D66" s="43"/>
      <c r="E66" s="43"/>
      <c r="F66" s="44"/>
      <c r="G66" s="43"/>
      <c r="H66" s="43"/>
      <c r="I66" s="43"/>
      <c r="J66" s="43"/>
      <c r="K66" s="43"/>
    </row>
    <row r="67" spans="1:11" ht="15.75" customHeight="1" x14ac:dyDescent="0.25">
      <c r="A67" s="43"/>
      <c r="B67" s="43"/>
      <c r="C67" s="43"/>
      <c r="D67" s="43"/>
      <c r="E67" s="43"/>
      <c r="F67" s="44"/>
      <c r="G67" s="43"/>
      <c r="H67" s="43"/>
      <c r="I67" s="43"/>
      <c r="J67" s="43"/>
      <c r="K67" s="43"/>
    </row>
    <row r="68" spans="1:11" ht="15.75" customHeight="1" x14ac:dyDescent="0.25">
      <c r="A68" s="43"/>
      <c r="B68" s="43"/>
      <c r="C68" s="43"/>
      <c r="D68" s="43"/>
      <c r="E68" s="43"/>
      <c r="F68" s="44"/>
      <c r="G68" s="43"/>
      <c r="H68" s="43"/>
      <c r="I68" s="43"/>
      <c r="J68" s="43"/>
      <c r="K68" s="43"/>
    </row>
    <row r="69" spans="1:11" ht="15.75" customHeight="1" x14ac:dyDescent="0.25">
      <c r="A69" s="43"/>
      <c r="B69" s="43"/>
      <c r="C69" s="43"/>
      <c r="D69" s="43"/>
      <c r="E69" s="43"/>
      <c r="F69" s="44"/>
      <c r="G69" s="43"/>
      <c r="H69" s="43"/>
      <c r="I69" s="43"/>
      <c r="J69" s="43"/>
      <c r="K69" s="43"/>
    </row>
    <row r="70" spans="1:11" ht="15.75" customHeight="1" x14ac:dyDescent="0.25">
      <c r="A70" s="43"/>
      <c r="B70" s="43"/>
      <c r="C70" s="43"/>
      <c r="D70" s="43"/>
      <c r="E70" s="43"/>
      <c r="F70" s="44"/>
      <c r="G70" s="43"/>
      <c r="H70" s="43"/>
      <c r="I70" s="43"/>
      <c r="J70" s="43"/>
      <c r="K70" s="43"/>
    </row>
    <row r="71" spans="1:11" ht="15.75" customHeight="1" x14ac:dyDescent="0.25">
      <c r="A71" s="43"/>
      <c r="B71" s="43"/>
      <c r="C71" s="43"/>
      <c r="D71" s="43"/>
      <c r="E71" s="43"/>
      <c r="F71" s="44"/>
      <c r="G71" s="43"/>
      <c r="H71" s="43"/>
      <c r="I71" s="43"/>
      <c r="J71" s="43"/>
      <c r="K71" s="43"/>
    </row>
    <row r="72" spans="1:11" ht="15.75" customHeight="1" x14ac:dyDescent="0.25">
      <c r="A72" s="43"/>
      <c r="B72" s="43"/>
      <c r="C72" s="43"/>
      <c r="D72" s="43"/>
      <c r="E72" s="43"/>
      <c r="F72" s="44"/>
      <c r="G72" s="43"/>
      <c r="H72" s="43"/>
      <c r="I72" s="43"/>
      <c r="J72" s="43"/>
      <c r="K72" s="43"/>
    </row>
    <row r="73" spans="1:11" ht="15.75" customHeight="1" x14ac:dyDescent="0.25">
      <c r="A73" s="43"/>
      <c r="B73" s="43"/>
      <c r="C73" s="43"/>
      <c r="D73" s="43"/>
      <c r="E73" s="43"/>
      <c r="F73" s="44"/>
      <c r="G73" s="43"/>
      <c r="H73" s="43"/>
      <c r="I73" s="43"/>
      <c r="J73" s="43"/>
      <c r="K73" s="43"/>
    </row>
    <row r="74" spans="1:11" ht="15.75" customHeight="1" x14ac:dyDescent="0.25">
      <c r="A74" s="43"/>
      <c r="B74" s="43"/>
      <c r="C74" s="43"/>
      <c r="D74" s="43"/>
      <c r="E74" s="43"/>
      <c r="F74" s="44"/>
      <c r="G74" s="43"/>
      <c r="H74" s="43"/>
      <c r="I74" s="43"/>
      <c r="J74" s="43"/>
      <c r="K74" s="43"/>
    </row>
    <row r="75" spans="1:11" ht="15.75" customHeight="1" x14ac:dyDescent="0.25">
      <c r="A75" s="43"/>
      <c r="B75" s="43"/>
      <c r="C75" s="43"/>
      <c r="D75" s="43"/>
      <c r="E75" s="43"/>
      <c r="F75" s="44"/>
      <c r="G75" s="43"/>
      <c r="H75" s="43"/>
      <c r="I75" s="43"/>
      <c r="J75" s="43"/>
      <c r="K75" s="43"/>
    </row>
    <row r="76" spans="1:11" ht="15.75" customHeight="1" x14ac:dyDescent="0.25">
      <c r="A76" s="43"/>
      <c r="B76" s="43"/>
      <c r="C76" s="43"/>
      <c r="D76" s="43"/>
      <c r="E76" s="43"/>
      <c r="F76" s="44"/>
      <c r="G76" s="43"/>
      <c r="H76" s="43"/>
      <c r="I76" s="43"/>
      <c r="J76" s="43"/>
      <c r="K76" s="43"/>
    </row>
    <row r="77" spans="1:11" ht="15.75" customHeight="1" x14ac:dyDescent="0.25">
      <c r="A77" s="43"/>
      <c r="B77" s="43"/>
      <c r="C77" s="43"/>
      <c r="D77" s="43"/>
      <c r="E77" s="43"/>
      <c r="F77" s="44"/>
      <c r="G77" s="43"/>
      <c r="H77" s="43"/>
      <c r="I77" s="43"/>
      <c r="J77" s="43"/>
      <c r="K77" s="43"/>
    </row>
    <row r="78" spans="1:11" ht="15.75" customHeight="1" x14ac:dyDescent="0.25">
      <c r="A78" s="43"/>
      <c r="B78" s="43"/>
      <c r="C78" s="43"/>
      <c r="D78" s="43"/>
      <c r="E78" s="43"/>
      <c r="F78" s="44"/>
      <c r="G78" s="43"/>
      <c r="H78" s="43"/>
      <c r="I78" s="43"/>
      <c r="J78" s="43"/>
      <c r="K78" s="43"/>
    </row>
    <row r="79" spans="1:11" ht="15.75" customHeight="1" x14ac:dyDescent="0.25">
      <c r="A79" s="43"/>
      <c r="B79" s="43"/>
      <c r="C79" s="43"/>
      <c r="D79" s="43"/>
      <c r="E79" s="43"/>
      <c r="F79" s="44"/>
      <c r="G79" s="43"/>
      <c r="H79" s="43"/>
      <c r="I79" s="43"/>
      <c r="J79" s="43"/>
      <c r="K79" s="43"/>
    </row>
    <row r="80" spans="1:11" ht="15.75" customHeight="1" x14ac:dyDescent="0.25">
      <c r="A80" s="43"/>
      <c r="B80" s="43"/>
      <c r="C80" s="43"/>
      <c r="D80" s="43"/>
      <c r="E80" s="43"/>
      <c r="F80" s="44"/>
      <c r="G80" s="43"/>
      <c r="H80" s="43"/>
      <c r="I80" s="43"/>
      <c r="J80" s="43"/>
      <c r="K80" s="43"/>
    </row>
    <row r="81" spans="1:11" ht="15.75" customHeight="1" x14ac:dyDescent="0.25">
      <c r="A81" s="43"/>
      <c r="B81" s="43"/>
      <c r="C81" s="43"/>
      <c r="D81" s="43"/>
      <c r="E81" s="43"/>
      <c r="F81" s="44"/>
      <c r="G81" s="43"/>
      <c r="H81" s="43"/>
      <c r="I81" s="43"/>
      <c r="J81" s="43"/>
      <c r="K81" s="43"/>
    </row>
    <row r="82" spans="1:11" ht="15.75" customHeight="1" x14ac:dyDescent="0.25">
      <c r="A82" s="43"/>
      <c r="B82" s="43"/>
      <c r="C82" s="43"/>
      <c r="D82" s="43"/>
      <c r="E82" s="43"/>
      <c r="F82" s="44"/>
      <c r="G82" s="43"/>
      <c r="H82" s="43"/>
      <c r="I82" s="43"/>
      <c r="J82" s="43"/>
      <c r="K82" s="43"/>
    </row>
    <row r="83" spans="1:11" ht="15.75" customHeight="1" x14ac:dyDescent="0.25">
      <c r="A83" s="43"/>
      <c r="B83" s="43"/>
      <c r="C83" s="43"/>
      <c r="D83" s="43"/>
      <c r="E83" s="43"/>
      <c r="F83" s="44"/>
      <c r="G83" s="43"/>
      <c r="H83" s="43"/>
      <c r="I83" s="43"/>
      <c r="J83" s="43"/>
      <c r="K83" s="43"/>
    </row>
    <row r="84" spans="1:11" ht="15.75" customHeight="1" x14ac:dyDescent="0.25">
      <c r="A84" s="43"/>
      <c r="B84" s="43"/>
      <c r="C84" s="43"/>
      <c r="D84" s="43"/>
      <c r="E84" s="43"/>
      <c r="F84" s="44"/>
      <c r="G84" s="43"/>
      <c r="H84" s="43"/>
      <c r="I84" s="43"/>
      <c r="J84" s="43"/>
      <c r="K84" s="43"/>
    </row>
    <row r="85" spans="1:11" ht="15.75" customHeight="1" x14ac:dyDescent="0.25">
      <c r="A85" s="43"/>
      <c r="B85" s="43"/>
      <c r="C85" s="43"/>
      <c r="D85" s="43"/>
      <c r="E85" s="43"/>
      <c r="F85" s="44"/>
      <c r="G85" s="43"/>
      <c r="H85" s="43"/>
      <c r="I85" s="43"/>
      <c r="J85" s="43"/>
      <c r="K85" s="43"/>
    </row>
    <row r="86" spans="1:11" ht="15.75" customHeight="1" x14ac:dyDescent="0.25">
      <c r="A86" s="43"/>
      <c r="B86" s="43"/>
      <c r="C86" s="43"/>
      <c r="D86" s="43"/>
      <c r="E86" s="43"/>
      <c r="F86" s="44"/>
      <c r="G86" s="43"/>
      <c r="H86" s="43"/>
      <c r="I86" s="43"/>
      <c r="J86" s="43"/>
      <c r="K86" s="43"/>
    </row>
    <row r="87" spans="1:11" ht="15.75" customHeight="1" x14ac:dyDescent="0.25">
      <c r="A87" s="43"/>
      <c r="B87" s="43"/>
      <c r="C87" s="43"/>
      <c r="D87" s="43"/>
      <c r="E87" s="43"/>
      <c r="F87" s="44"/>
      <c r="G87" s="43"/>
      <c r="H87" s="43"/>
      <c r="I87" s="43"/>
      <c r="J87" s="43"/>
      <c r="K87" s="43"/>
    </row>
    <row r="88" spans="1:11" ht="15.75" customHeight="1" x14ac:dyDescent="0.25">
      <c r="A88" s="43"/>
      <c r="B88" s="43"/>
      <c r="C88" s="43"/>
      <c r="D88" s="43"/>
      <c r="E88" s="43"/>
      <c r="F88" s="44"/>
      <c r="G88" s="43"/>
      <c r="H88" s="43"/>
      <c r="I88" s="43"/>
      <c r="J88" s="43"/>
      <c r="K88" s="43"/>
    </row>
    <row r="89" spans="1:11" ht="15.75" customHeight="1" x14ac:dyDescent="0.25">
      <c r="A89" s="43"/>
      <c r="B89" s="43"/>
      <c r="C89" s="43"/>
      <c r="D89" s="43"/>
      <c r="E89" s="43"/>
      <c r="F89" s="44"/>
      <c r="G89" s="43"/>
      <c r="H89" s="43"/>
      <c r="I89" s="43"/>
      <c r="J89" s="43"/>
      <c r="K89" s="43"/>
    </row>
    <row r="90" spans="1:11" ht="15.75" customHeight="1" x14ac:dyDescent="0.25">
      <c r="A90" s="43"/>
      <c r="B90" s="43"/>
      <c r="C90" s="43"/>
      <c r="D90" s="43"/>
      <c r="E90" s="43"/>
      <c r="F90" s="44"/>
      <c r="G90" s="43"/>
      <c r="H90" s="43"/>
      <c r="I90" s="43"/>
      <c r="J90" s="43"/>
      <c r="K90" s="43"/>
    </row>
    <row r="91" spans="1:11" ht="15.75" customHeight="1" x14ac:dyDescent="0.25">
      <c r="A91" s="43"/>
      <c r="B91" s="43"/>
      <c r="C91" s="43"/>
      <c r="D91" s="43"/>
      <c r="E91" s="43"/>
      <c r="F91" s="44"/>
      <c r="G91" s="43"/>
      <c r="H91" s="43"/>
      <c r="I91" s="43"/>
      <c r="J91" s="43"/>
      <c r="K91" s="43"/>
    </row>
    <row r="92" spans="1:11" ht="15.75" customHeight="1" x14ac:dyDescent="0.25">
      <c r="A92" s="43"/>
      <c r="B92" s="43"/>
      <c r="C92" s="43"/>
      <c r="D92" s="43"/>
      <c r="E92" s="43"/>
      <c r="F92" s="44"/>
      <c r="G92" s="43"/>
      <c r="H92" s="43"/>
      <c r="I92" s="43"/>
      <c r="J92" s="43"/>
      <c r="K92" s="43"/>
    </row>
    <row r="93" spans="1:11" ht="15.75" customHeight="1" x14ac:dyDescent="0.25">
      <c r="A93" s="43"/>
      <c r="B93" s="43"/>
      <c r="C93" s="43"/>
      <c r="D93" s="43"/>
      <c r="E93" s="43"/>
      <c r="F93" s="44"/>
      <c r="G93" s="43"/>
      <c r="H93" s="43"/>
      <c r="I93" s="43"/>
      <c r="J93" s="43"/>
      <c r="K93" s="43"/>
    </row>
    <row r="94" spans="1:11" ht="15.75" customHeight="1" x14ac:dyDescent="0.25">
      <c r="A94" s="43"/>
      <c r="B94" s="43"/>
      <c r="C94" s="43"/>
      <c r="D94" s="43"/>
      <c r="E94" s="43"/>
      <c r="F94" s="44"/>
      <c r="G94" s="43"/>
      <c r="H94" s="43"/>
      <c r="I94" s="43"/>
      <c r="J94" s="43"/>
      <c r="K94" s="43"/>
    </row>
    <row r="95" spans="1:11" ht="15.75" customHeight="1" x14ac:dyDescent="0.25">
      <c r="A95" s="43"/>
      <c r="B95" s="43"/>
      <c r="C95" s="43"/>
      <c r="D95" s="43"/>
      <c r="E95" s="43"/>
      <c r="F95" s="44"/>
      <c r="G95" s="43"/>
      <c r="H95" s="43"/>
      <c r="I95" s="43"/>
      <c r="J95" s="43"/>
      <c r="K95" s="43"/>
    </row>
    <row r="96" spans="1:11" ht="15.75" customHeight="1" x14ac:dyDescent="0.25">
      <c r="A96" s="43"/>
      <c r="B96" s="43"/>
      <c r="C96" s="43"/>
      <c r="D96" s="43"/>
      <c r="E96" s="43"/>
      <c r="F96" s="44"/>
      <c r="G96" s="43"/>
      <c r="H96" s="43"/>
      <c r="I96" s="43"/>
      <c r="J96" s="43"/>
      <c r="K96" s="43"/>
    </row>
    <row r="97" spans="1:11" ht="15.75" customHeight="1" x14ac:dyDescent="0.25">
      <c r="A97" s="43"/>
      <c r="B97" s="43"/>
      <c r="C97" s="43"/>
      <c r="D97" s="43"/>
      <c r="E97" s="43"/>
      <c r="F97" s="44"/>
      <c r="G97" s="43"/>
      <c r="H97" s="43"/>
      <c r="I97" s="43"/>
      <c r="J97" s="43"/>
      <c r="K97" s="43"/>
    </row>
    <row r="98" spans="1:11" ht="15.75" customHeight="1" x14ac:dyDescent="0.25">
      <c r="A98" s="43"/>
      <c r="B98" s="43"/>
      <c r="C98" s="43"/>
      <c r="D98" s="43"/>
      <c r="E98" s="43"/>
      <c r="F98" s="44"/>
      <c r="G98" s="43"/>
      <c r="H98" s="43"/>
      <c r="I98" s="43"/>
      <c r="J98" s="43"/>
      <c r="K98" s="43"/>
    </row>
    <row r="99" spans="1:11" ht="15.75" customHeight="1" x14ac:dyDescent="0.25">
      <c r="A99" s="43"/>
      <c r="B99" s="43"/>
      <c r="C99" s="43"/>
      <c r="D99" s="43"/>
      <c r="E99" s="43"/>
      <c r="F99" s="44"/>
      <c r="G99" s="43"/>
      <c r="H99" s="43"/>
      <c r="I99" s="43"/>
      <c r="J99" s="43"/>
      <c r="K99" s="43"/>
    </row>
    <row r="100" spans="1:11" ht="15.75" customHeight="1" x14ac:dyDescent="0.25">
      <c r="A100" s="43"/>
      <c r="B100" s="43"/>
      <c r="C100" s="43"/>
      <c r="D100" s="43"/>
      <c r="E100" s="43"/>
      <c r="F100" s="44"/>
      <c r="G100" s="43"/>
      <c r="H100" s="43"/>
      <c r="I100" s="43"/>
      <c r="J100" s="43"/>
      <c r="K100" s="43"/>
    </row>
    <row r="101" spans="1:11" ht="15.75" customHeight="1" x14ac:dyDescent="0.25">
      <c r="A101" s="43"/>
      <c r="B101" s="43"/>
      <c r="C101" s="43"/>
      <c r="D101" s="43"/>
      <c r="E101" s="43"/>
      <c r="F101" s="44"/>
      <c r="G101" s="43"/>
      <c r="H101" s="43"/>
      <c r="I101" s="43"/>
      <c r="J101" s="43"/>
      <c r="K101" s="43"/>
    </row>
    <row r="102" spans="1:11" ht="15.75" customHeight="1" x14ac:dyDescent="0.25">
      <c r="A102" s="43"/>
      <c r="B102" s="43"/>
      <c r="C102" s="43"/>
      <c r="D102" s="43"/>
      <c r="E102" s="43"/>
      <c r="F102" s="44"/>
      <c r="G102" s="43"/>
      <c r="H102" s="43"/>
      <c r="I102" s="43"/>
      <c r="J102" s="43"/>
      <c r="K102" s="43"/>
    </row>
    <row r="103" spans="1:11" ht="15.75" customHeight="1" x14ac:dyDescent="0.25">
      <c r="A103" s="43"/>
      <c r="B103" s="43"/>
      <c r="C103" s="43"/>
      <c r="D103" s="43"/>
      <c r="E103" s="43"/>
      <c r="F103" s="44"/>
      <c r="G103" s="43"/>
      <c r="H103" s="43"/>
      <c r="I103" s="43"/>
      <c r="J103" s="43"/>
      <c r="K103" s="43"/>
    </row>
    <row r="104" spans="1:11" ht="15.75" customHeight="1" x14ac:dyDescent="0.25">
      <c r="A104" s="43"/>
      <c r="B104" s="43"/>
      <c r="C104" s="43"/>
      <c r="D104" s="43"/>
      <c r="E104" s="43"/>
      <c r="F104" s="44"/>
      <c r="G104" s="43"/>
      <c r="H104" s="43"/>
      <c r="I104" s="43"/>
      <c r="J104" s="43"/>
      <c r="K104" s="43"/>
    </row>
    <row r="105" spans="1:11" ht="15.75" customHeight="1" x14ac:dyDescent="0.25">
      <c r="A105" s="43"/>
      <c r="B105" s="43"/>
      <c r="C105" s="43"/>
      <c r="D105" s="43"/>
      <c r="E105" s="43"/>
      <c r="F105" s="44"/>
      <c r="G105" s="43"/>
      <c r="H105" s="43"/>
      <c r="I105" s="43"/>
      <c r="J105" s="43"/>
      <c r="K105" s="43"/>
    </row>
    <row r="106" spans="1:11" ht="15.75" customHeight="1" x14ac:dyDescent="0.25">
      <c r="A106" s="43"/>
      <c r="B106" s="43"/>
      <c r="C106" s="43"/>
      <c r="D106" s="43"/>
      <c r="E106" s="43"/>
      <c r="F106" s="44"/>
      <c r="G106" s="43"/>
      <c r="H106" s="43"/>
      <c r="I106" s="43"/>
      <c r="J106" s="43"/>
      <c r="K106" s="43"/>
    </row>
    <row r="107" spans="1:11" ht="15.75" customHeight="1" x14ac:dyDescent="0.25">
      <c r="A107" s="43"/>
      <c r="B107" s="43"/>
      <c r="C107" s="43"/>
      <c r="D107" s="43"/>
      <c r="E107" s="43"/>
      <c r="F107" s="44"/>
      <c r="G107" s="43"/>
      <c r="H107" s="43"/>
      <c r="I107" s="43"/>
      <c r="J107" s="43"/>
      <c r="K107" s="43"/>
    </row>
    <row r="108" spans="1:11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</row>
    <row r="109" spans="1:11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</row>
    <row r="110" spans="1:11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</row>
    <row r="111" spans="1:11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</row>
    <row r="112" spans="1:11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</row>
    <row r="113" spans="1:11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</row>
    <row r="114" spans="1:11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</row>
    <row r="115" spans="1:11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</row>
    <row r="116" spans="1:11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</row>
    <row r="117" spans="1:11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</row>
    <row r="118" spans="1:11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</row>
    <row r="119" spans="1:11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</row>
    <row r="120" spans="1:11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</row>
    <row r="121" spans="1:11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</row>
    <row r="122" spans="1:11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</row>
    <row r="123" spans="1:11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</row>
    <row r="124" spans="1:11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</row>
    <row r="125" spans="1:11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</row>
    <row r="126" spans="1:11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</row>
    <row r="127" spans="1:11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</row>
    <row r="128" spans="1:11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</row>
    <row r="129" spans="1:11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</row>
    <row r="130" spans="1:11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</row>
    <row r="131" spans="1:11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</row>
    <row r="132" spans="1:11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</row>
    <row r="133" spans="1:11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</row>
    <row r="134" spans="1:11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</row>
    <row r="135" spans="1:11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</row>
    <row r="136" spans="1:11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</row>
    <row r="137" spans="1:11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</row>
    <row r="138" spans="1:11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</row>
    <row r="139" spans="1:11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</row>
    <row r="140" spans="1:11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</row>
    <row r="141" spans="1:11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</row>
    <row r="142" spans="1:11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</row>
    <row r="143" spans="1:11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</row>
    <row r="144" spans="1:11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</row>
    <row r="145" spans="1:11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</row>
    <row r="146" spans="1:11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</row>
    <row r="147" spans="1:11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</row>
    <row r="148" spans="1:11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</row>
    <row r="149" spans="1:11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</row>
    <row r="150" spans="1:11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</row>
    <row r="151" spans="1:11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</row>
    <row r="152" spans="1:11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</row>
    <row r="153" spans="1:11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</row>
    <row r="154" spans="1:11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</row>
    <row r="155" spans="1:11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</row>
    <row r="156" spans="1:11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</row>
    <row r="157" spans="1:11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</row>
    <row r="158" spans="1:11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</row>
    <row r="159" spans="1:11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</row>
    <row r="160" spans="1:11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</row>
    <row r="161" spans="1:11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</row>
    <row r="162" spans="1:11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</row>
    <row r="163" spans="1:11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</row>
    <row r="164" spans="1:11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</row>
    <row r="165" spans="1:11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</row>
    <row r="166" spans="1:11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</row>
    <row r="167" spans="1:11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</row>
    <row r="168" spans="1:11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</row>
    <row r="169" spans="1:11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</row>
    <row r="170" spans="1:11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</row>
    <row r="171" spans="1:11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</row>
    <row r="172" spans="1:11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</row>
    <row r="173" spans="1:11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</row>
    <row r="174" spans="1:11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</row>
    <row r="175" spans="1:11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</row>
    <row r="176" spans="1:11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</row>
    <row r="177" spans="1:11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</row>
    <row r="178" spans="1:11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</row>
    <row r="179" spans="1:11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</row>
    <row r="180" spans="1:11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</row>
    <row r="181" spans="1:11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</row>
    <row r="182" spans="1:11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</row>
    <row r="183" spans="1:11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</row>
    <row r="184" spans="1:11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</row>
    <row r="185" spans="1:11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</row>
    <row r="186" spans="1:11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</row>
    <row r="187" spans="1:11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</row>
    <row r="188" spans="1:11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</row>
    <row r="189" spans="1:11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</row>
    <row r="190" spans="1:11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</row>
    <row r="191" spans="1:11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</row>
    <row r="192" spans="1:11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</row>
    <row r="193" spans="1:11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</row>
    <row r="194" spans="1:11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</row>
    <row r="195" spans="1:11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</row>
    <row r="196" spans="1:11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</row>
    <row r="197" spans="1:11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</row>
    <row r="198" spans="1:11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</row>
    <row r="199" spans="1:11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</row>
    <row r="200" spans="1:11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</row>
    <row r="201" spans="1:11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</row>
    <row r="202" spans="1:11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</row>
    <row r="203" spans="1:11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</row>
    <row r="204" spans="1:11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</row>
    <row r="205" spans="1:11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</row>
    <row r="206" spans="1:11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</row>
    <row r="207" spans="1:11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</row>
    <row r="208" spans="1:11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</row>
    <row r="209" spans="1:11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</row>
    <row r="210" spans="1:11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</row>
    <row r="211" spans="1:11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</row>
    <row r="212" spans="1:11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</row>
    <row r="213" spans="1:11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</row>
    <row r="214" spans="1:11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</row>
    <row r="215" spans="1:11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</row>
    <row r="216" spans="1:11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</row>
    <row r="217" spans="1:11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</row>
    <row r="218" spans="1:11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</row>
    <row r="219" spans="1:11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</row>
    <row r="220" spans="1:11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</row>
    <row r="221" spans="1:11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</row>
    <row r="222" spans="1:11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</row>
    <row r="223" spans="1:11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</row>
    <row r="224" spans="1:11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</row>
    <row r="225" spans="1:11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</row>
    <row r="226" spans="1:11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</row>
    <row r="227" spans="1:11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</row>
    <row r="228" spans="1:11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</row>
    <row r="229" spans="1:11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</row>
    <row r="230" spans="1:11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</row>
    <row r="231" spans="1:11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</row>
    <row r="232" spans="1:11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</row>
    <row r="233" spans="1:11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</row>
    <row r="234" spans="1:11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</row>
    <row r="235" spans="1:11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</row>
    <row r="236" spans="1:11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</row>
    <row r="237" spans="1:11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</row>
    <row r="238" spans="1:11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</row>
    <row r="239" spans="1:11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</row>
    <row r="240" spans="1:11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</row>
    <row r="241" spans="1:11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</row>
    <row r="242" spans="1:11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</row>
    <row r="243" spans="1:11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</row>
    <row r="244" spans="1:11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</row>
    <row r="245" spans="1:11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</row>
    <row r="246" spans="1:11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</row>
    <row r="247" spans="1:11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</row>
    <row r="248" spans="1:11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</row>
    <row r="249" spans="1:11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</row>
    <row r="250" spans="1:11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</row>
    <row r="251" spans="1:11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</row>
    <row r="252" spans="1:11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</row>
    <row r="253" spans="1:11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</row>
    <row r="254" spans="1:11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</row>
    <row r="255" spans="1:11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</row>
    <row r="256" spans="1:11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</row>
    <row r="257" spans="1:11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</row>
    <row r="258" spans="1:11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</row>
    <row r="259" spans="1:11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</row>
    <row r="260" spans="1:11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</row>
    <row r="261" spans="1:11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</row>
    <row r="262" spans="1:11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</row>
    <row r="263" spans="1:11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</row>
    <row r="264" spans="1:11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</row>
    <row r="265" spans="1:11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</row>
    <row r="266" spans="1:11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</row>
    <row r="267" spans="1:11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</row>
    <row r="268" spans="1:11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</row>
    <row r="269" spans="1:11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</row>
    <row r="270" spans="1:11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</row>
    <row r="271" spans="1:11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</row>
    <row r="272" spans="1:11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</row>
    <row r="273" spans="1:11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</row>
    <row r="274" spans="1:11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</row>
    <row r="275" spans="1:11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</row>
    <row r="276" spans="1:11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</row>
    <row r="277" spans="1:11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</row>
    <row r="278" spans="1:11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</row>
    <row r="279" spans="1:11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</row>
    <row r="280" spans="1:11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</row>
    <row r="281" spans="1:11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</row>
    <row r="282" spans="1:11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</row>
    <row r="283" spans="1:11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</row>
    <row r="284" spans="1:11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</row>
    <row r="285" spans="1:11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</row>
    <row r="286" spans="1:11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</row>
    <row r="287" spans="1:11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</row>
    <row r="288" spans="1:11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</row>
    <row r="289" spans="1:11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</row>
    <row r="290" spans="1:11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</row>
    <row r="291" spans="1:11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</row>
    <row r="292" spans="1:11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</row>
    <row r="293" spans="1:11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</row>
    <row r="294" spans="1:11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</row>
    <row r="295" spans="1:11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</row>
    <row r="296" spans="1:11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</row>
    <row r="297" spans="1:11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</row>
    <row r="298" spans="1:11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</row>
    <row r="299" spans="1:11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</row>
    <row r="300" spans="1:11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</row>
    <row r="301" spans="1:11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</row>
    <row r="302" spans="1:11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</row>
    <row r="303" spans="1:11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</row>
    <row r="304" spans="1:11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</row>
    <row r="305" spans="1:11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</row>
    <row r="306" spans="1:11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</row>
    <row r="307" spans="1:11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</row>
    <row r="308" spans="1:11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</row>
    <row r="309" spans="1:11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</row>
    <row r="310" spans="1:11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</row>
    <row r="311" spans="1:11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</row>
    <row r="312" spans="1:11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</row>
    <row r="313" spans="1:11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</row>
    <row r="314" spans="1:11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</row>
    <row r="315" spans="1:11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</row>
    <row r="316" spans="1:11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</row>
    <row r="317" spans="1:11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</row>
    <row r="318" spans="1:11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</row>
    <row r="319" spans="1:11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</row>
    <row r="320" spans="1:11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</row>
    <row r="321" spans="1:11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</row>
    <row r="322" spans="1:11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</row>
    <row r="323" spans="1:11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</row>
    <row r="324" spans="1:11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</row>
    <row r="325" spans="1:11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</row>
    <row r="326" spans="1:11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</row>
    <row r="327" spans="1:11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</row>
    <row r="328" spans="1:11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</row>
    <row r="329" spans="1:11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</row>
    <row r="330" spans="1:11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</row>
    <row r="331" spans="1:11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</row>
    <row r="332" spans="1:11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</row>
    <row r="333" spans="1:11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</row>
    <row r="334" spans="1:11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</row>
    <row r="335" spans="1:11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</row>
    <row r="336" spans="1:11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</row>
    <row r="337" spans="1:11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</row>
    <row r="338" spans="1:11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</row>
    <row r="339" spans="1:11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</row>
    <row r="340" spans="1:11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</row>
    <row r="341" spans="1:11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</row>
    <row r="342" spans="1:11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</row>
    <row r="343" spans="1:11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</row>
    <row r="344" spans="1:11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</row>
    <row r="345" spans="1:11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</row>
    <row r="346" spans="1:11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</row>
    <row r="347" spans="1:11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</row>
    <row r="348" spans="1:11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</row>
    <row r="349" spans="1:11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</row>
    <row r="350" spans="1:11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</row>
    <row r="351" spans="1:11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</row>
    <row r="352" spans="1:11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</row>
    <row r="353" spans="1:11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</row>
    <row r="354" spans="1:11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</row>
    <row r="355" spans="1:11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</row>
    <row r="356" spans="1:11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</row>
    <row r="357" spans="1:11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</row>
    <row r="358" spans="1:11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</row>
    <row r="359" spans="1:11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</row>
    <row r="360" spans="1:11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</row>
    <row r="361" spans="1:11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</row>
    <row r="362" spans="1:11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</row>
    <row r="363" spans="1:11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</row>
    <row r="364" spans="1:11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</row>
    <row r="365" spans="1:11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</row>
    <row r="366" spans="1:11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</row>
    <row r="367" spans="1:11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</row>
    <row r="368" spans="1:11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</row>
    <row r="369" spans="1:11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</row>
    <row r="370" spans="1:11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</row>
    <row r="371" spans="1:11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</row>
    <row r="372" spans="1:11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</row>
    <row r="373" spans="1:11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</row>
    <row r="374" spans="1:11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</row>
    <row r="375" spans="1:11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</row>
    <row r="376" spans="1:11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</row>
    <row r="377" spans="1:11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</row>
    <row r="378" spans="1:11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</row>
    <row r="379" spans="1:11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</row>
    <row r="380" spans="1:11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</row>
    <row r="381" spans="1:11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</row>
    <row r="382" spans="1:11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</row>
    <row r="383" spans="1:11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</row>
    <row r="384" spans="1:11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</row>
    <row r="385" spans="1:11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</row>
    <row r="386" spans="1:11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</row>
    <row r="387" spans="1:11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</row>
    <row r="388" spans="1:11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</row>
    <row r="389" spans="1:11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</row>
    <row r="390" spans="1:11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</row>
    <row r="391" spans="1:11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</row>
    <row r="392" spans="1:11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</row>
    <row r="393" spans="1:11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</row>
    <row r="394" spans="1:11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</row>
    <row r="395" spans="1:11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</row>
    <row r="396" spans="1:11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</row>
    <row r="397" spans="1:11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</row>
    <row r="398" spans="1:11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</row>
    <row r="399" spans="1:11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</row>
    <row r="400" spans="1:11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</row>
    <row r="401" spans="1:11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</row>
    <row r="402" spans="1:11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</row>
    <row r="403" spans="1:11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</row>
    <row r="404" spans="1:11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</row>
    <row r="405" spans="1:11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</row>
    <row r="406" spans="1:11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</row>
    <row r="407" spans="1:11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</row>
    <row r="408" spans="1:11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</row>
    <row r="409" spans="1:11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</row>
    <row r="410" spans="1:11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</row>
    <row r="411" spans="1:11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</row>
    <row r="412" spans="1:11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</row>
    <row r="413" spans="1:11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</row>
    <row r="414" spans="1:11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</row>
    <row r="415" spans="1:11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</row>
    <row r="416" spans="1:11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</row>
    <row r="417" spans="1:11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</row>
    <row r="418" spans="1:11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</row>
    <row r="419" spans="1:11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</row>
    <row r="420" spans="1:11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</row>
    <row r="421" spans="1:11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</row>
    <row r="422" spans="1:11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</row>
    <row r="423" spans="1:11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</row>
    <row r="424" spans="1:11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</row>
    <row r="425" spans="1:11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</row>
    <row r="426" spans="1:11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</row>
    <row r="427" spans="1:11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</row>
    <row r="428" spans="1:11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</row>
    <row r="429" spans="1:11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</row>
    <row r="430" spans="1:11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</row>
    <row r="431" spans="1:11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</row>
    <row r="432" spans="1:11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</row>
    <row r="433" spans="1:11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</row>
    <row r="434" spans="1:11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</row>
    <row r="435" spans="1:11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</row>
    <row r="436" spans="1:11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</row>
    <row r="437" spans="1:11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</row>
    <row r="438" spans="1:11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</row>
    <row r="439" spans="1:11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</row>
    <row r="440" spans="1:11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</row>
    <row r="441" spans="1:11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</row>
    <row r="442" spans="1:11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</row>
    <row r="443" spans="1:11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</row>
    <row r="444" spans="1:11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</row>
    <row r="445" spans="1:11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</row>
    <row r="446" spans="1:11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</row>
    <row r="447" spans="1:11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</row>
    <row r="448" spans="1:11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</row>
    <row r="449" spans="1:11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</row>
    <row r="450" spans="1:11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</row>
    <row r="451" spans="1:11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</row>
    <row r="452" spans="1:11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</row>
    <row r="453" spans="1:11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</row>
    <row r="454" spans="1:11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</row>
    <row r="455" spans="1:11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</row>
    <row r="456" spans="1:11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</row>
    <row r="457" spans="1:11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</row>
    <row r="458" spans="1:11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</row>
    <row r="459" spans="1:11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</row>
    <row r="460" spans="1:11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</row>
    <row r="461" spans="1:11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</row>
    <row r="462" spans="1:11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</row>
    <row r="463" spans="1:11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</row>
    <row r="464" spans="1:11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</row>
    <row r="465" spans="1:11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</row>
    <row r="466" spans="1:11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</row>
    <row r="467" spans="1:11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</row>
    <row r="468" spans="1:11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</row>
    <row r="469" spans="1:11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</row>
    <row r="470" spans="1:11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</row>
    <row r="471" spans="1:11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</row>
    <row r="472" spans="1:11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</row>
    <row r="473" spans="1:11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</row>
    <row r="474" spans="1:11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</row>
    <row r="475" spans="1:11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</row>
    <row r="476" spans="1:11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</row>
    <row r="477" spans="1:11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</row>
    <row r="478" spans="1:11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</row>
    <row r="479" spans="1:11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</row>
    <row r="480" spans="1:11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</row>
    <row r="481" spans="1:11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</row>
    <row r="482" spans="1:11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</row>
    <row r="483" spans="1:11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</row>
    <row r="484" spans="1:11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</row>
    <row r="485" spans="1:11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</row>
    <row r="486" spans="1:11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</row>
    <row r="487" spans="1:11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</row>
    <row r="488" spans="1:11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</row>
    <row r="489" spans="1:11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</row>
    <row r="490" spans="1:11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</row>
    <row r="491" spans="1:11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</row>
    <row r="492" spans="1:11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</row>
    <row r="493" spans="1:11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</row>
    <row r="494" spans="1:11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</row>
    <row r="495" spans="1:11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</row>
    <row r="496" spans="1:11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</row>
    <row r="497" spans="1:11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</row>
    <row r="498" spans="1:11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</row>
    <row r="499" spans="1:11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</row>
    <row r="500" spans="1:11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</row>
    <row r="501" spans="1:11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</row>
    <row r="502" spans="1:11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</row>
    <row r="503" spans="1:11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</row>
    <row r="504" spans="1:11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</row>
    <row r="505" spans="1:11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</row>
    <row r="506" spans="1:11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</row>
    <row r="507" spans="1:11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</row>
    <row r="508" spans="1:11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</row>
    <row r="509" spans="1:11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</row>
    <row r="510" spans="1:11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</row>
    <row r="511" spans="1:11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</row>
    <row r="512" spans="1:11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</row>
    <row r="513" spans="1:11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</row>
    <row r="514" spans="1:11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</row>
    <row r="515" spans="1:11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</row>
    <row r="516" spans="1:11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</row>
    <row r="517" spans="1:11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</row>
    <row r="518" spans="1:11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</row>
    <row r="519" spans="1:11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</row>
    <row r="520" spans="1:11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</row>
    <row r="521" spans="1:11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</row>
    <row r="522" spans="1:11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</row>
    <row r="523" spans="1:11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</row>
    <row r="524" spans="1:11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</row>
    <row r="525" spans="1:11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</row>
    <row r="526" spans="1:11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</row>
    <row r="527" spans="1:11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</row>
    <row r="528" spans="1:11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</row>
    <row r="529" spans="1:11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</row>
    <row r="530" spans="1:11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</row>
    <row r="531" spans="1:11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</row>
    <row r="532" spans="1:11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</row>
    <row r="533" spans="1:11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</row>
    <row r="534" spans="1:11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</row>
    <row r="535" spans="1:11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</row>
    <row r="536" spans="1:11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</row>
    <row r="537" spans="1:11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</row>
    <row r="538" spans="1:11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</row>
    <row r="539" spans="1:11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</row>
    <row r="540" spans="1:11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</row>
    <row r="541" spans="1:11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</row>
    <row r="542" spans="1:11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</row>
    <row r="543" spans="1:11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</row>
    <row r="544" spans="1:11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</row>
    <row r="545" spans="1:11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</row>
    <row r="546" spans="1:11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</row>
    <row r="547" spans="1:11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</row>
    <row r="548" spans="1:11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</row>
    <row r="549" spans="1:11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</row>
    <row r="550" spans="1:11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</row>
    <row r="551" spans="1:11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</row>
    <row r="552" spans="1:11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</row>
    <row r="553" spans="1:11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</row>
    <row r="554" spans="1:11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</row>
    <row r="555" spans="1:11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</row>
    <row r="556" spans="1:11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</row>
    <row r="557" spans="1:11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</row>
    <row r="558" spans="1:11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</row>
    <row r="559" spans="1:11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</row>
    <row r="560" spans="1:11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</row>
    <row r="561" spans="1:11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</row>
    <row r="562" spans="1:11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</row>
    <row r="563" spans="1:11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</row>
    <row r="564" spans="1:11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</row>
    <row r="565" spans="1:11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</row>
    <row r="566" spans="1:11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</row>
    <row r="567" spans="1:11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</row>
    <row r="568" spans="1:11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</row>
    <row r="569" spans="1:11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</row>
    <row r="570" spans="1:11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</row>
    <row r="571" spans="1:11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</row>
    <row r="572" spans="1:11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</row>
    <row r="573" spans="1:11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</row>
    <row r="574" spans="1:11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</row>
    <row r="575" spans="1:11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</row>
    <row r="576" spans="1:11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</row>
    <row r="577" spans="1:11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</row>
    <row r="578" spans="1:11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</row>
    <row r="579" spans="1:11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</row>
    <row r="580" spans="1:11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</row>
    <row r="581" spans="1:11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</row>
    <row r="582" spans="1:11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</row>
    <row r="583" spans="1:11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</row>
    <row r="584" spans="1:11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</row>
    <row r="585" spans="1:11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</row>
    <row r="586" spans="1:11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</row>
    <row r="587" spans="1:11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</row>
    <row r="588" spans="1:11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</row>
    <row r="589" spans="1:11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</row>
    <row r="590" spans="1:11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</row>
    <row r="591" spans="1:11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</row>
    <row r="592" spans="1:11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</row>
    <row r="593" spans="1:11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</row>
    <row r="594" spans="1:11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</row>
    <row r="595" spans="1:11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</row>
    <row r="596" spans="1:11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</row>
    <row r="597" spans="1:11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</row>
    <row r="598" spans="1:11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</row>
    <row r="599" spans="1:11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</row>
    <row r="600" spans="1:11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</row>
    <row r="601" spans="1:11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</row>
    <row r="602" spans="1:11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</row>
    <row r="603" spans="1:11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</row>
    <row r="604" spans="1:11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</row>
    <row r="605" spans="1:11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</row>
    <row r="606" spans="1:11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</row>
    <row r="607" spans="1:11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</row>
    <row r="608" spans="1:11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</row>
    <row r="609" spans="1:11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</row>
    <row r="610" spans="1:11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</row>
    <row r="611" spans="1:11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</row>
    <row r="612" spans="1:11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</row>
    <row r="613" spans="1:11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</row>
    <row r="614" spans="1:11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</row>
    <row r="615" spans="1:11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</row>
    <row r="616" spans="1:11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</row>
    <row r="617" spans="1:11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</row>
    <row r="618" spans="1:11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</row>
    <row r="619" spans="1:11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</row>
    <row r="620" spans="1:11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</row>
    <row r="621" spans="1:11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</row>
    <row r="622" spans="1:11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</row>
    <row r="623" spans="1:11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</row>
    <row r="624" spans="1:11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</row>
    <row r="625" spans="1:11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</row>
    <row r="626" spans="1:11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</row>
    <row r="627" spans="1:11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</row>
    <row r="628" spans="1:11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</row>
    <row r="629" spans="1:11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</row>
    <row r="630" spans="1:11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</row>
    <row r="631" spans="1:11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</row>
    <row r="632" spans="1:11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</row>
    <row r="633" spans="1:11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</row>
    <row r="634" spans="1:11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</row>
    <row r="635" spans="1:11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</row>
    <row r="636" spans="1:11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</row>
    <row r="637" spans="1:11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</row>
    <row r="638" spans="1:11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</row>
    <row r="639" spans="1:11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</row>
    <row r="640" spans="1:11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</row>
    <row r="641" spans="1:11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</row>
    <row r="642" spans="1:11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</row>
    <row r="643" spans="1:11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</row>
    <row r="644" spans="1:11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</row>
    <row r="645" spans="1:11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</row>
    <row r="646" spans="1:11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</row>
    <row r="647" spans="1:11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</row>
    <row r="648" spans="1:11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</row>
    <row r="649" spans="1:11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</row>
    <row r="650" spans="1:11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</row>
    <row r="651" spans="1:11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</row>
    <row r="652" spans="1:11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</row>
    <row r="653" spans="1:11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</row>
    <row r="654" spans="1:11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</row>
    <row r="655" spans="1:11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</row>
    <row r="656" spans="1:11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</row>
    <row r="657" spans="1:11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</row>
    <row r="658" spans="1:11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</row>
    <row r="659" spans="1:11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</row>
    <row r="660" spans="1:11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</row>
    <row r="661" spans="1:11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</row>
    <row r="662" spans="1:11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</row>
    <row r="663" spans="1:11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</row>
    <row r="664" spans="1:11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</row>
    <row r="665" spans="1:11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</row>
    <row r="666" spans="1:11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</row>
    <row r="667" spans="1:11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</row>
    <row r="668" spans="1:11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</row>
    <row r="669" spans="1:11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</row>
    <row r="670" spans="1:11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</row>
    <row r="671" spans="1:11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</row>
    <row r="672" spans="1:11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</row>
    <row r="673" spans="1:11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</row>
    <row r="674" spans="1:11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</row>
    <row r="675" spans="1:11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</row>
    <row r="676" spans="1:11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</row>
    <row r="677" spans="1:11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</row>
    <row r="678" spans="1:11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</row>
    <row r="679" spans="1:11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</row>
    <row r="680" spans="1:11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</row>
    <row r="681" spans="1:11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</row>
    <row r="682" spans="1:11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</row>
    <row r="683" spans="1:11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</row>
    <row r="684" spans="1:11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</row>
    <row r="685" spans="1:11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</row>
    <row r="686" spans="1:11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</row>
    <row r="687" spans="1:11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</row>
    <row r="688" spans="1:11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</row>
    <row r="689" spans="1:11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</row>
    <row r="690" spans="1:11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</row>
    <row r="691" spans="1:11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</row>
    <row r="692" spans="1:11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</row>
    <row r="693" spans="1:11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</row>
    <row r="694" spans="1:11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</row>
    <row r="695" spans="1:11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</row>
    <row r="696" spans="1:11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</row>
    <row r="697" spans="1:11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</row>
    <row r="698" spans="1:11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</row>
    <row r="699" spans="1:11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</row>
    <row r="700" spans="1:11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</row>
    <row r="701" spans="1:11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</row>
    <row r="702" spans="1:11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</row>
    <row r="703" spans="1:11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</row>
    <row r="704" spans="1:11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</row>
    <row r="705" spans="1:11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</row>
    <row r="706" spans="1:11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</row>
    <row r="707" spans="1:11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</row>
    <row r="708" spans="1:11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</row>
    <row r="709" spans="1:11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</row>
    <row r="710" spans="1:11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</row>
    <row r="711" spans="1:11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</row>
    <row r="712" spans="1:11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</row>
    <row r="713" spans="1:11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</row>
    <row r="714" spans="1:11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</row>
    <row r="715" spans="1:11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</row>
    <row r="716" spans="1:11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</row>
    <row r="717" spans="1:11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</row>
    <row r="718" spans="1:11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</row>
    <row r="719" spans="1:11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</row>
    <row r="720" spans="1:11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</row>
    <row r="721" spans="1:11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</row>
    <row r="722" spans="1:11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</row>
    <row r="723" spans="1:11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</row>
    <row r="724" spans="1:11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</row>
    <row r="725" spans="1:11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</row>
    <row r="726" spans="1:11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</row>
    <row r="727" spans="1:11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</row>
    <row r="728" spans="1:11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</row>
    <row r="729" spans="1:11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</row>
    <row r="730" spans="1:11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</row>
    <row r="731" spans="1:11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</row>
    <row r="732" spans="1:11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</row>
    <row r="733" spans="1:11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</row>
    <row r="734" spans="1:11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</row>
    <row r="735" spans="1:11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</row>
    <row r="736" spans="1:11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</row>
    <row r="737" spans="1:11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</row>
    <row r="738" spans="1:11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</row>
    <row r="739" spans="1:11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</row>
    <row r="740" spans="1:11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</row>
    <row r="741" spans="1:11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</row>
    <row r="742" spans="1:11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</row>
    <row r="743" spans="1:11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</row>
    <row r="744" spans="1:11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</row>
    <row r="745" spans="1:11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</row>
    <row r="746" spans="1:11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</row>
    <row r="747" spans="1:11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</row>
    <row r="748" spans="1:11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</row>
    <row r="749" spans="1:11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</row>
    <row r="750" spans="1:11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</row>
    <row r="751" spans="1:11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</row>
    <row r="752" spans="1:11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</row>
    <row r="753" spans="1:11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</row>
    <row r="754" spans="1:11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</row>
    <row r="755" spans="1:11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</row>
    <row r="756" spans="1:11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</row>
    <row r="757" spans="1:11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</row>
    <row r="758" spans="1:11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</row>
    <row r="759" spans="1:11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</row>
    <row r="760" spans="1:11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</row>
    <row r="761" spans="1:11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</row>
    <row r="762" spans="1:11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</row>
    <row r="763" spans="1:11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</row>
    <row r="764" spans="1:11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</row>
    <row r="765" spans="1:11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</row>
    <row r="766" spans="1:11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</row>
    <row r="767" spans="1:11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</row>
    <row r="768" spans="1:11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</row>
    <row r="769" spans="1:11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</row>
    <row r="770" spans="1:11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</row>
    <row r="771" spans="1:11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</row>
    <row r="772" spans="1:11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</row>
    <row r="773" spans="1:11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</row>
    <row r="774" spans="1:11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</row>
    <row r="775" spans="1:11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</row>
    <row r="776" spans="1:11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</row>
    <row r="777" spans="1:11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</row>
    <row r="778" spans="1:11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</row>
    <row r="779" spans="1:11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</row>
    <row r="780" spans="1:11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</row>
    <row r="781" spans="1:11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</row>
    <row r="782" spans="1:11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</row>
    <row r="783" spans="1:11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</row>
    <row r="784" spans="1:11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</row>
    <row r="785" spans="1:11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</row>
    <row r="786" spans="1:11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</row>
    <row r="787" spans="1:11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</row>
    <row r="788" spans="1:11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</row>
    <row r="789" spans="1:11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</row>
    <row r="790" spans="1:11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</row>
    <row r="791" spans="1:11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</row>
    <row r="792" spans="1:11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</row>
    <row r="793" spans="1:11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</row>
    <row r="794" spans="1:11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</row>
    <row r="795" spans="1:11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</row>
    <row r="796" spans="1:11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</row>
    <row r="797" spans="1:11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</row>
    <row r="798" spans="1:11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</row>
    <row r="799" spans="1:11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</row>
    <row r="800" spans="1:11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</row>
    <row r="801" spans="1:11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</row>
    <row r="802" spans="1:11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</row>
    <row r="803" spans="1:11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</row>
    <row r="804" spans="1:11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</row>
    <row r="805" spans="1:11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</row>
    <row r="806" spans="1:11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</row>
    <row r="807" spans="1:11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</row>
    <row r="808" spans="1:11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</row>
    <row r="809" spans="1:11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</row>
    <row r="810" spans="1:11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</row>
    <row r="811" spans="1:11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</row>
    <row r="812" spans="1:11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</row>
    <row r="813" spans="1:11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</row>
    <row r="814" spans="1:11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</row>
    <row r="815" spans="1:11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</row>
    <row r="816" spans="1:11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</row>
    <row r="817" spans="1:11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</row>
    <row r="818" spans="1:11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</row>
    <row r="819" spans="1:11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</row>
    <row r="820" spans="1:11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</row>
    <row r="821" spans="1:11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</row>
    <row r="822" spans="1:11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</row>
    <row r="823" spans="1:11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</row>
    <row r="824" spans="1:11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</row>
    <row r="825" spans="1:11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</row>
    <row r="826" spans="1:11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</row>
    <row r="827" spans="1:11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</row>
    <row r="828" spans="1:11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</row>
    <row r="829" spans="1:11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</row>
    <row r="830" spans="1:11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</row>
    <row r="831" spans="1:11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</row>
    <row r="832" spans="1:11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</row>
    <row r="833" spans="1:11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</row>
    <row r="834" spans="1:11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</row>
    <row r="835" spans="1:11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</row>
    <row r="836" spans="1:11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</row>
    <row r="837" spans="1:11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</row>
    <row r="838" spans="1:11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</row>
    <row r="839" spans="1:11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</row>
    <row r="840" spans="1:11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</row>
    <row r="841" spans="1:11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</row>
    <row r="842" spans="1:11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</row>
    <row r="843" spans="1:11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</row>
    <row r="844" spans="1:11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</row>
    <row r="845" spans="1:11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</row>
    <row r="846" spans="1:11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</row>
    <row r="847" spans="1:11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</row>
    <row r="848" spans="1:11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</row>
    <row r="849" spans="1:11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</row>
    <row r="850" spans="1:11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</row>
    <row r="851" spans="1:11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</row>
    <row r="852" spans="1:11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</row>
    <row r="853" spans="1:11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</row>
    <row r="854" spans="1:11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</row>
    <row r="855" spans="1:11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</row>
    <row r="856" spans="1:11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</row>
    <row r="857" spans="1:11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</row>
    <row r="858" spans="1:11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</row>
    <row r="859" spans="1:11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</row>
    <row r="860" spans="1:11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</row>
    <row r="861" spans="1:11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</row>
    <row r="862" spans="1:11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</row>
    <row r="863" spans="1:11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</row>
    <row r="864" spans="1:11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</row>
    <row r="865" spans="1:11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</row>
    <row r="866" spans="1:11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</row>
    <row r="867" spans="1:11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</row>
    <row r="868" spans="1:11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</row>
    <row r="869" spans="1:11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</row>
    <row r="870" spans="1:11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</row>
    <row r="871" spans="1:11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</row>
    <row r="872" spans="1:11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</row>
    <row r="873" spans="1:11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</row>
    <row r="874" spans="1:11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</row>
    <row r="875" spans="1:11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</row>
    <row r="876" spans="1:11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</row>
    <row r="877" spans="1:11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</row>
    <row r="878" spans="1:11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</row>
    <row r="879" spans="1:11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</row>
    <row r="880" spans="1:11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</row>
    <row r="881" spans="1:11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</row>
    <row r="882" spans="1:11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</row>
    <row r="883" spans="1:11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</row>
    <row r="884" spans="1:11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</row>
    <row r="885" spans="1:11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</row>
    <row r="886" spans="1:11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</row>
    <row r="887" spans="1:11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</row>
    <row r="888" spans="1:11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</row>
    <row r="889" spans="1:11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</row>
    <row r="890" spans="1:11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</row>
    <row r="891" spans="1:11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</row>
    <row r="892" spans="1:11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</row>
    <row r="893" spans="1:11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</row>
    <row r="894" spans="1:11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</row>
    <row r="895" spans="1:11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</row>
    <row r="896" spans="1:11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</row>
    <row r="897" spans="1:11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</row>
    <row r="898" spans="1:11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</row>
    <row r="899" spans="1:11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</row>
    <row r="900" spans="1:11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</row>
    <row r="901" spans="1:11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</row>
    <row r="902" spans="1:11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</row>
    <row r="903" spans="1:11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</row>
    <row r="904" spans="1:11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</row>
    <row r="905" spans="1:11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</row>
    <row r="906" spans="1:11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</row>
    <row r="907" spans="1:11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</row>
    <row r="908" spans="1:11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</row>
    <row r="909" spans="1:11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</row>
    <row r="910" spans="1:11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</row>
    <row r="911" spans="1:11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</row>
    <row r="912" spans="1:11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</row>
    <row r="913" spans="1:11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</row>
    <row r="914" spans="1:11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</row>
    <row r="915" spans="1:11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</row>
    <row r="916" spans="1:11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</row>
    <row r="917" spans="1:11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</row>
    <row r="918" spans="1:11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</row>
    <row r="919" spans="1:11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</row>
    <row r="920" spans="1:11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</row>
    <row r="921" spans="1:11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</row>
    <row r="922" spans="1:11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</row>
    <row r="923" spans="1:11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</row>
    <row r="924" spans="1:11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</row>
    <row r="925" spans="1:11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</row>
    <row r="926" spans="1:11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</row>
    <row r="927" spans="1:11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</row>
    <row r="928" spans="1:11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</row>
    <row r="929" spans="1:11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</row>
    <row r="930" spans="1:11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</row>
    <row r="931" spans="1:11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</row>
    <row r="932" spans="1:11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</row>
    <row r="933" spans="1:11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</row>
    <row r="934" spans="1:11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</row>
    <row r="935" spans="1:11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</row>
    <row r="936" spans="1:11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</row>
    <row r="937" spans="1:11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</row>
    <row r="938" spans="1:11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</row>
    <row r="939" spans="1:11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</row>
    <row r="940" spans="1:11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</row>
    <row r="941" spans="1:11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</row>
    <row r="942" spans="1:11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</row>
    <row r="943" spans="1:11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</row>
    <row r="944" spans="1:11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</row>
    <row r="945" spans="1:11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</row>
    <row r="946" spans="1:11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</row>
    <row r="947" spans="1:11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</row>
    <row r="948" spans="1:11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</row>
    <row r="949" spans="1:11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</row>
    <row r="950" spans="1:11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</row>
    <row r="951" spans="1:11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</row>
    <row r="952" spans="1:11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</row>
    <row r="953" spans="1:11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</row>
    <row r="954" spans="1:11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</row>
    <row r="955" spans="1:11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</row>
    <row r="956" spans="1:11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</row>
    <row r="957" spans="1:11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</row>
    <row r="958" spans="1:11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</row>
    <row r="959" spans="1:11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</row>
    <row r="960" spans="1:11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</row>
    <row r="961" spans="1:11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</row>
    <row r="962" spans="1:11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</row>
    <row r="963" spans="1:11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</row>
    <row r="964" spans="1:11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</row>
    <row r="965" spans="1:11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</row>
    <row r="966" spans="1:11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</row>
    <row r="967" spans="1:11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</row>
    <row r="968" spans="1:11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</row>
    <row r="969" spans="1:11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</row>
    <row r="970" spans="1:11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</row>
    <row r="971" spans="1:11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</row>
    <row r="972" spans="1:11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</row>
    <row r="973" spans="1:11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</row>
    <row r="974" spans="1:11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</row>
    <row r="975" spans="1:11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</row>
    <row r="976" spans="1:11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</row>
    <row r="977" spans="1:11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</row>
    <row r="978" spans="1:11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</row>
    <row r="979" spans="1:11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</row>
    <row r="980" spans="1:11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</row>
    <row r="981" spans="1:11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</row>
    <row r="982" spans="1:11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</row>
    <row r="983" spans="1:11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</row>
    <row r="984" spans="1:11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</row>
    <row r="985" spans="1:11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</row>
    <row r="986" spans="1:11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</row>
    <row r="987" spans="1:11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</row>
    <row r="988" spans="1:11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</row>
    <row r="989" spans="1:11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</row>
    <row r="990" spans="1:11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</row>
    <row r="991" spans="1:11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</row>
    <row r="992" spans="1:11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</row>
    <row r="993" spans="1:11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</row>
    <row r="994" spans="1:11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</row>
    <row r="995" spans="1:11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</row>
    <row r="996" spans="1:11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</row>
    <row r="997" spans="1:11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</row>
    <row r="998" spans="1:11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</row>
    <row r="999" spans="1:11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</row>
    <row r="1000" spans="1:11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</row>
  </sheetData>
  <mergeCells count="1">
    <mergeCell ref="A1:K1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DEPARA</vt:lpstr>
      <vt:lpstr>carga_exclusao</vt:lpstr>
      <vt:lpstr>carga_inclusao</vt:lpstr>
      <vt:lpstr>SORTEMP!BD_Sortim_Sortem.accdb</vt:lpstr>
      <vt:lpstr>SORTIM!BD_Sortim_Sortem.accdb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Zigaib</dc:creator>
  <cp:lastModifiedBy>André Zigaib</cp:lastModifiedBy>
  <dcterms:created xsi:type="dcterms:W3CDTF">2020-10-01T18:47:24Z</dcterms:created>
  <dcterms:modified xsi:type="dcterms:W3CDTF">2021-03-26T16:27:47Z</dcterms:modified>
</cp:coreProperties>
</file>